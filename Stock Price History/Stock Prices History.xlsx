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LA" sheetId="1" r:id="rId5"/>
    <sheet state="visible" name="ASXNDQ" sheetId="2" r:id="rId6"/>
    <sheet state="visible" name="ASXVTS" sheetId="3" r:id="rId7"/>
    <sheet state="visible" name="ASXVAS" sheetId="4" r:id="rId8"/>
    <sheet state="visible" name="ASXVEU" sheetId="5" r:id="rId9"/>
    <sheet state="visible" name="AAPL" sheetId="6" r:id="rId10"/>
    <sheet state="visible" name="AMZN" sheetId="7" r:id="rId11"/>
    <sheet state="visible" name="ARKK" sheetId="8" r:id="rId12"/>
    <sheet state="visible" name="CRM" sheetId="9" r:id="rId13"/>
    <sheet state="visible" name="DIS" sheetId="10" r:id="rId14"/>
    <sheet state="visible" name="FDX" sheetId="11" r:id="rId15"/>
    <sheet state="visible" name="MSFT" sheetId="12" r:id="rId16"/>
    <sheet state="visible" name="NIO" sheetId="13" r:id="rId1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IFERROR(__xludf.DUMMYFUNCTION("GOOGLEFINANCE(""TSLA"",""close"",DATE(2020,10,1),TODAY(),""daily"")"),"Date")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IFERROR(__xludf.DUMMYFUNCTION("""COMPUTED_VALUE"""),149.39)</f>
        <v>149.39</v>
      </c>
    </row>
    <row r="3">
      <c r="A3" s="2">
        <f>IFERROR(__xludf.DUMMYFUNCTION("""COMPUTED_VALUE"""),44106.66666666667)</f>
        <v>44106.66667</v>
      </c>
      <c r="B3" s="1">
        <f>IFERROR(__xludf.DUMMYFUNCTION("""COMPUTED_VALUE"""),138.36)</f>
        <v>138.36</v>
      </c>
    </row>
    <row r="4">
      <c r="A4" s="2">
        <f>IFERROR(__xludf.DUMMYFUNCTION("""COMPUTED_VALUE"""),44109.66666666667)</f>
        <v>44109.66667</v>
      </c>
      <c r="B4" s="1">
        <f>IFERROR(__xludf.DUMMYFUNCTION("""COMPUTED_VALUE"""),141.89)</f>
        <v>141.89</v>
      </c>
    </row>
    <row r="5">
      <c r="A5" s="2">
        <f>IFERROR(__xludf.DUMMYFUNCTION("""COMPUTED_VALUE"""),44110.66666666667)</f>
        <v>44110.66667</v>
      </c>
      <c r="B5" s="1">
        <f>IFERROR(__xludf.DUMMYFUNCTION("""COMPUTED_VALUE"""),137.99)</f>
        <v>137.99</v>
      </c>
    </row>
    <row r="6">
      <c r="A6" s="2">
        <f>IFERROR(__xludf.DUMMYFUNCTION("""COMPUTED_VALUE"""),44111.66666666667)</f>
        <v>44111.66667</v>
      </c>
      <c r="B6" s="1">
        <f>IFERROR(__xludf.DUMMYFUNCTION("""COMPUTED_VALUE"""),141.77)</f>
        <v>141.77</v>
      </c>
    </row>
    <row r="7">
      <c r="A7" s="2">
        <f>IFERROR(__xludf.DUMMYFUNCTION("""COMPUTED_VALUE"""),44112.66666666667)</f>
        <v>44112.66667</v>
      </c>
      <c r="B7" s="1">
        <f>IFERROR(__xludf.DUMMYFUNCTION("""COMPUTED_VALUE"""),141.97)</f>
        <v>141.97</v>
      </c>
    </row>
    <row r="8">
      <c r="A8" s="2">
        <f>IFERROR(__xludf.DUMMYFUNCTION("""COMPUTED_VALUE"""),44113.66666666667)</f>
        <v>44113.66667</v>
      </c>
      <c r="B8" s="1">
        <f>IFERROR(__xludf.DUMMYFUNCTION("""COMPUTED_VALUE"""),144.67)</f>
        <v>144.67</v>
      </c>
    </row>
    <row r="9">
      <c r="A9" s="2">
        <f>IFERROR(__xludf.DUMMYFUNCTION("""COMPUTED_VALUE"""),44116.66666666667)</f>
        <v>44116.66667</v>
      </c>
      <c r="B9" s="1">
        <f>IFERROR(__xludf.DUMMYFUNCTION("""COMPUTED_VALUE"""),147.43)</f>
        <v>147.43</v>
      </c>
    </row>
    <row r="10">
      <c r="A10" s="2">
        <f>IFERROR(__xludf.DUMMYFUNCTION("""COMPUTED_VALUE"""),44117.66666666667)</f>
        <v>44117.66667</v>
      </c>
      <c r="B10" s="1">
        <f>IFERROR(__xludf.DUMMYFUNCTION("""COMPUTED_VALUE"""),148.88)</f>
        <v>148.88</v>
      </c>
    </row>
    <row r="11">
      <c r="A11" s="2">
        <f>IFERROR(__xludf.DUMMYFUNCTION("""COMPUTED_VALUE"""),44118.66666666667)</f>
        <v>44118.66667</v>
      </c>
      <c r="B11" s="1">
        <f>IFERROR(__xludf.DUMMYFUNCTION("""COMPUTED_VALUE"""),153.77)</f>
        <v>153.77</v>
      </c>
    </row>
    <row r="12">
      <c r="A12" s="2">
        <f>IFERROR(__xludf.DUMMYFUNCTION("""COMPUTED_VALUE"""),44119.66666666667)</f>
        <v>44119.66667</v>
      </c>
      <c r="B12" s="1">
        <f>IFERROR(__xludf.DUMMYFUNCTION("""COMPUTED_VALUE"""),149.63)</f>
        <v>149.63</v>
      </c>
    </row>
    <row r="13">
      <c r="A13" s="2">
        <f>IFERROR(__xludf.DUMMYFUNCTION("""COMPUTED_VALUE"""),44120.66666666667)</f>
        <v>44120.66667</v>
      </c>
      <c r="B13" s="1">
        <f>IFERROR(__xludf.DUMMYFUNCTION("""COMPUTED_VALUE"""),146.56)</f>
        <v>146.56</v>
      </c>
    </row>
    <row r="14">
      <c r="A14" s="2">
        <f>IFERROR(__xludf.DUMMYFUNCTION("""COMPUTED_VALUE"""),44123.66666666667)</f>
        <v>44123.66667</v>
      </c>
      <c r="B14" s="1">
        <f>IFERROR(__xludf.DUMMYFUNCTION("""COMPUTED_VALUE"""),143.61)</f>
        <v>143.61</v>
      </c>
    </row>
    <row r="15">
      <c r="A15" s="2">
        <f>IFERROR(__xludf.DUMMYFUNCTION("""COMPUTED_VALUE"""),44124.66666666667)</f>
        <v>44124.66667</v>
      </c>
      <c r="B15" s="1">
        <f>IFERROR(__xludf.DUMMYFUNCTION("""COMPUTED_VALUE"""),140.65)</f>
        <v>140.65</v>
      </c>
    </row>
    <row r="16">
      <c r="A16" s="2">
        <f>IFERROR(__xludf.DUMMYFUNCTION("""COMPUTED_VALUE"""),44125.66666666667)</f>
        <v>44125.66667</v>
      </c>
      <c r="B16" s="1">
        <f>IFERROR(__xludf.DUMMYFUNCTION("""COMPUTED_VALUE"""),140.88)</f>
        <v>140.88</v>
      </c>
    </row>
    <row r="17">
      <c r="A17" s="2">
        <f>IFERROR(__xludf.DUMMYFUNCTION("""COMPUTED_VALUE"""),44126.66666666667)</f>
        <v>44126.66667</v>
      </c>
      <c r="B17" s="1">
        <f>IFERROR(__xludf.DUMMYFUNCTION("""COMPUTED_VALUE"""),141.93)</f>
        <v>141.93</v>
      </c>
    </row>
    <row r="18">
      <c r="A18" s="2">
        <f>IFERROR(__xludf.DUMMYFUNCTION("""COMPUTED_VALUE"""),44127.66666666667)</f>
        <v>44127.66667</v>
      </c>
      <c r="B18" s="1">
        <f>IFERROR(__xludf.DUMMYFUNCTION("""COMPUTED_VALUE"""),140.21)</f>
        <v>140.21</v>
      </c>
    </row>
    <row r="19">
      <c r="A19" s="2">
        <f>IFERROR(__xludf.DUMMYFUNCTION("""COMPUTED_VALUE"""),44130.66666666667)</f>
        <v>44130.66667</v>
      </c>
      <c r="B19" s="1">
        <f>IFERROR(__xludf.DUMMYFUNCTION("""COMPUTED_VALUE"""),140.09)</f>
        <v>140.09</v>
      </c>
    </row>
    <row r="20">
      <c r="A20" s="2">
        <f>IFERROR(__xludf.DUMMYFUNCTION("""COMPUTED_VALUE"""),44131.66666666667)</f>
        <v>44131.66667</v>
      </c>
      <c r="B20" s="1">
        <f>IFERROR(__xludf.DUMMYFUNCTION("""COMPUTED_VALUE"""),141.56)</f>
        <v>141.56</v>
      </c>
    </row>
    <row r="21">
      <c r="A21" s="2">
        <f>IFERROR(__xludf.DUMMYFUNCTION("""COMPUTED_VALUE"""),44132.66666666667)</f>
        <v>44132.66667</v>
      </c>
      <c r="B21" s="1">
        <f>IFERROR(__xludf.DUMMYFUNCTION("""COMPUTED_VALUE"""),135.34)</f>
        <v>135.34</v>
      </c>
    </row>
    <row r="22">
      <c r="A22" s="2">
        <f>IFERROR(__xludf.DUMMYFUNCTION("""COMPUTED_VALUE"""),44133.66666666667)</f>
        <v>44133.66667</v>
      </c>
      <c r="B22" s="1">
        <f>IFERROR(__xludf.DUMMYFUNCTION("""COMPUTED_VALUE"""),136.94)</f>
        <v>136.94</v>
      </c>
    </row>
    <row r="23">
      <c r="A23" s="2">
        <f>IFERROR(__xludf.DUMMYFUNCTION("""COMPUTED_VALUE"""),44134.66666666667)</f>
        <v>44134.66667</v>
      </c>
      <c r="B23" s="1">
        <f>IFERROR(__xludf.DUMMYFUNCTION("""COMPUTED_VALUE"""),129.35)</f>
        <v>129.35</v>
      </c>
    </row>
    <row r="24">
      <c r="A24" s="2">
        <f>IFERROR(__xludf.DUMMYFUNCTION("""COMPUTED_VALUE"""),44137.66666666667)</f>
        <v>44137.66667</v>
      </c>
      <c r="B24" s="1">
        <f>IFERROR(__xludf.DUMMYFUNCTION("""COMPUTED_VALUE"""),133.5)</f>
        <v>133.5</v>
      </c>
    </row>
    <row r="25">
      <c r="A25" s="2">
        <f>IFERROR(__xludf.DUMMYFUNCTION("""COMPUTED_VALUE"""),44138.66666666667)</f>
        <v>44138.66667</v>
      </c>
      <c r="B25" s="1">
        <f>IFERROR(__xludf.DUMMYFUNCTION("""COMPUTED_VALUE"""),141.3)</f>
        <v>141.3</v>
      </c>
    </row>
    <row r="26">
      <c r="A26" s="2">
        <f>IFERROR(__xludf.DUMMYFUNCTION("""COMPUTED_VALUE"""),44139.66666666667)</f>
        <v>44139.66667</v>
      </c>
      <c r="B26" s="1">
        <f>IFERROR(__xludf.DUMMYFUNCTION("""COMPUTED_VALUE"""),140.33)</f>
        <v>140.33</v>
      </c>
    </row>
    <row r="27">
      <c r="A27" s="2">
        <f>IFERROR(__xludf.DUMMYFUNCTION("""COMPUTED_VALUE"""),44140.66666666667)</f>
        <v>44140.66667</v>
      </c>
      <c r="B27" s="1">
        <f>IFERROR(__xludf.DUMMYFUNCTION("""COMPUTED_VALUE"""),146.03)</f>
        <v>146.03</v>
      </c>
    </row>
    <row r="28">
      <c r="A28" s="2">
        <f>IFERROR(__xludf.DUMMYFUNCTION("""COMPUTED_VALUE"""),44141.66666666667)</f>
        <v>44141.66667</v>
      </c>
      <c r="B28" s="1">
        <f>IFERROR(__xludf.DUMMYFUNCTION("""COMPUTED_VALUE"""),143.32)</f>
        <v>143.32</v>
      </c>
    </row>
    <row r="29">
      <c r="A29" s="2">
        <f>IFERROR(__xludf.DUMMYFUNCTION("""COMPUTED_VALUE"""),44144.66666666667)</f>
        <v>44144.66667</v>
      </c>
      <c r="B29" s="1">
        <f>IFERROR(__xludf.DUMMYFUNCTION("""COMPUTED_VALUE"""),140.42)</f>
        <v>140.42</v>
      </c>
    </row>
    <row r="30">
      <c r="A30" s="2">
        <f>IFERROR(__xludf.DUMMYFUNCTION("""COMPUTED_VALUE"""),44145.66666666667)</f>
        <v>44145.66667</v>
      </c>
      <c r="B30" s="1">
        <f>IFERROR(__xludf.DUMMYFUNCTION("""COMPUTED_VALUE"""),136.79)</f>
        <v>136.79</v>
      </c>
    </row>
    <row r="31">
      <c r="A31" s="2">
        <f>IFERROR(__xludf.DUMMYFUNCTION("""COMPUTED_VALUE"""),44146.66666666667)</f>
        <v>44146.66667</v>
      </c>
      <c r="B31" s="1">
        <f>IFERROR(__xludf.DUMMYFUNCTION("""COMPUTED_VALUE"""),139.04)</f>
        <v>139.04</v>
      </c>
    </row>
    <row r="32">
      <c r="A32" s="2">
        <f>IFERROR(__xludf.DUMMYFUNCTION("""COMPUTED_VALUE"""),44147.66666666667)</f>
        <v>44147.66667</v>
      </c>
      <c r="B32" s="1">
        <f>IFERROR(__xludf.DUMMYFUNCTION("""COMPUTED_VALUE"""),137.25)</f>
        <v>137.25</v>
      </c>
    </row>
    <row r="33">
      <c r="A33" s="2">
        <f>IFERROR(__xludf.DUMMYFUNCTION("""COMPUTED_VALUE"""),44148.66666666667)</f>
        <v>44148.66667</v>
      </c>
      <c r="B33" s="1">
        <f>IFERROR(__xludf.DUMMYFUNCTION("""COMPUTED_VALUE"""),136.17)</f>
        <v>136.17</v>
      </c>
    </row>
    <row r="34">
      <c r="A34" s="2">
        <f>IFERROR(__xludf.DUMMYFUNCTION("""COMPUTED_VALUE"""),44151.66666666667)</f>
        <v>44151.66667</v>
      </c>
      <c r="B34" s="1">
        <f>IFERROR(__xludf.DUMMYFUNCTION("""COMPUTED_VALUE"""),136.03)</f>
        <v>136.03</v>
      </c>
    </row>
    <row r="35">
      <c r="A35" s="2">
        <f>IFERROR(__xludf.DUMMYFUNCTION("""COMPUTED_VALUE"""),44152.66666666667)</f>
        <v>44152.66667</v>
      </c>
      <c r="B35" s="1">
        <f>IFERROR(__xludf.DUMMYFUNCTION("""COMPUTED_VALUE"""),147.2)</f>
        <v>147.2</v>
      </c>
    </row>
    <row r="36">
      <c r="A36" s="2">
        <f>IFERROR(__xludf.DUMMYFUNCTION("""COMPUTED_VALUE"""),44153.66666666667)</f>
        <v>44153.66667</v>
      </c>
      <c r="B36" s="1">
        <f>IFERROR(__xludf.DUMMYFUNCTION("""COMPUTED_VALUE"""),162.21)</f>
        <v>162.21</v>
      </c>
    </row>
    <row r="37">
      <c r="A37" s="2">
        <f>IFERROR(__xludf.DUMMYFUNCTION("""COMPUTED_VALUE"""),44154.66666666667)</f>
        <v>44154.66667</v>
      </c>
      <c r="B37" s="1">
        <f>IFERROR(__xludf.DUMMYFUNCTION("""COMPUTED_VALUE"""),166.42)</f>
        <v>166.42</v>
      </c>
    </row>
    <row r="38">
      <c r="A38" s="2">
        <f>IFERROR(__xludf.DUMMYFUNCTION("""COMPUTED_VALUE"""),44155.66666666667)</f>
        <v>44155.66667</v>
      </c>
      <c r="B38" s="1">
        <f>IFERROR(__xludf.DUMMYFUNCTION("""COMPUTED_VALUE"""),163.2)</f>
        <v>163.2</v>
      </c>
    </row>
    <row r="39">
      <c r="A39" s="2">
        <f>IFERROR(__xludf.DUMMYFUNCTION("""COMPUTED_VALUE"""),44158.66666666667)</f>
        <v>44158.66667</v>
      </c>
      <c r="B39" s="1">
        <f>IFERROR(__xludf.DUMMYFUNCTION("""COMPUTED_VALUE"""),173.95)</f>
        <v>173.95</v>
      </c>
    </row>
    <row r="40">
      <c r="A40" s="2">
        <f>IFERROR(__xludf.DUMMYFUNCTION("""COMPUTED_VALUE"""),44159.66666666667)</f>
        <v>44159.66667</v>
      </c>
      <c r="B40" s="1">
        <f>IFERROR(__xludf.DUMMYFUNCTION("""COMPUTED_VALUE"""),185.13)</f>
        <v>185.13</v>
      </c>
    </row>
    <row r="41">
      <c r="A41" s="2">
        <f>IFERROR(__xludf.DUMMYFUNCTION("""COMPUTED_VALUE"""),44160.66666666667)</f>
        <v>44160.66667</v>
      </c>
      <c r="B41" s="1">
        <f>IFERROR(__xludf.DUMMYFUNCTION("""COMPUTED_VALUE"""),191.33)</f>
        <v>191.33</v>
      </c>
    </row>
    <row r="42">
      <c r="A42" s="2">
        <f>IFERROR(__xludf.DUMMYFUNCTION("""COMPUTED_VALUE"""),44162.54166666667)</f>
        <v>44162.54167</v>
      </c>
      <c r="B42" s="1">
        <f>IFERROR(__xludf.DUMMYFUNCTION("""COMPUTED_VALUE"""),195.25)</f>
        <v>195.25</v>
      </c>
    </row>
    <row r="43">
      <c r="A43" s="2">
        <f>IFERROR(__xludf.DUMMYFUNCTION("""COMPUTED_VALUE"""),44165.66666666667)</f>
        <v>44165.66667</v>
      </c>
      <c r="B43" s="1">
        <f>IFERROR(__xludf.DUMMYFUNCTION("""COMPUTED_VALUE"""),189.2)</f>
        <v>189.2</v>
      </c>
    </row>
    <row r="44">
      <c r="A44" s="2">
        <f>IFERROR(__xludf.DUMMYFUNCTION("""COMPUTED_VALUE"""),44166.66666666667)</f>
        <v>44166.66667</v>
      </c>
      <c r="B44" s="1">
        <f>IFERROR(__xludf.DUMMYFUNCTION("""COMPUTED_VALUE"""),194.92)</f>
        <v>194.92</v>
      </c>
    </row>
    <row r="45">
      <c r="A45" s="2">
        <f>IFERROR(__xludf.DUMMYFUNCTION("""COMPUTED_VALUE"""),44167.66666666667)</f>
        <v>44167.66667</v>
      </c>
      <c r="B45" s="1">
        <f>IFERROR(__xludf.DUMMYFUNCTION("""COMPUTED_VALUE"""),189.61)</f>
        <v>189.61</v>
      </c>
    </row>
    <row r="46">
      <c r="A46" s="2">
        <f>IFERROR(__xludf.DUMMYFUNCTION("""COMPUTED_VALUE"""),44168.66666666667)</f>
        <v>44168.66667</v>
      </c>
      <c r="B46" s="1">
        <f>IFERROR(__xludf.DUMMYFUNCTION("""COMPUTED_VALUE"""),197.79)</f>
        <v>197.79</v>
      </c>
    </row>
    <row r="47">
      <c r="A47" s="2">
        <f>IFERROR(__xludf.DUMMYFUNCTION("""COMPUTED_VALUE"""),44169.66666666667)</f>
        <v>44169.66667</v>
      </c>
      <c r="B47" s="1">
        <f>IFERROR(__xludf.DUMMYFUNCTION("""COMPUTED_VALUE"""),199.68)</f>
        <v>199.68</v>
      </c>
    </row>
    <row r="48">
      <c r="A48" s="2">
        <f>IFERROR(__xludf.DUMMYFUNCTION("""COMPUTED_VALUE"""),44172.66666666667)</f>
        <v>44172.66667</v>
      </c>
      <c r="B48" s="1">
        <f>IFERROR(__xludf.DUMMYFUNCTION("""COMPUTED_VALUE"""),213.92)</f>
        <v>213.92</v>
      </c>
    </row>
    <row r="49">
      <c r="A49" s="2">
        <f>IFERROR(__xludf.DUMMYFUNCTION("""COMPUTED_VALUE"""),44173.66666666667)</f>
        <v>44173.66667</v>
      </c>
      <c r="B49" s="1">
        <f>IFERROR(__xludf.DUMMYFUNCTION("""COMPUTED_VALUE"""),216.63)</f>
        <v>216.63</v>
      </c>
    </row>
    <row r="50">
      <c r="A50" s="2">
        <f>IFERROR(__xludf.DUMMYFUNCTION("""COMPUTED_VALUE"""),44174.66666666667)</f>
        <v>44174.66667</v>
      </c>
      <c r="B50" s="1">
        <f>IFERROR(__xludf.DUMMYFUNCTION("""COMPUTED_VALUE"""),201.49)</f>
        <v>201.49</v>
      </c>
    </row>
    <row r="51">
      <c r="A51" s="2">
        <f>IFERROR(__xludf.DUMMYFUNCTION("""COMPUTED_VALUE"""),44175.66666666667)</f>
        <v>44175.66667</v>
      </c>
      <c r="B51" s="1">
        <f>IFERROR(__xludf.DUMMYFUNCTION("""COMPUTED_VALUE"""),209.02)</f>
        <v>209.02</v>
      </c>
    </row>
    <row r="52">
      <c r="A52" s="2">
        <f>IFERROR(__xludf.DUMMYFUNCTION("""COMPUTED_VALUE"""),44176.66666666667)</f>
        <v>44176.66667</v>
      </c>
      <c r="B52" s="1">
        <f>IFERROR(__xludf.DUMMYFUNCTION("""COMPUTED_VALUE"""),203.33)</f>
        <v>203.33</v>
      </c>
    </row>
    <row r="53">
      <c r="A53" s="2">
        <f>IFERROR(__xludf.DUMMYFUNCTION("""COMPUTED_VALUE"""),44179.66666666667)</f>
        <v>44179.66667</v>
      </c>
      <c r="B53" s="1">
        <f>IFERROR(__xludf.DUMMYFUNCTION("""COMPUTED_VALUE"""),213.28)</f>
        <v>213.28</v>
      </c>
    </row>
    <row r="54">
      <c r="A54" s="2">
        <f>IFERROR(__xludf.DUMMYFUNCTION("""COMPUTED_VALUE"""),44180.66666666667)</f>
        <v>44180.66667</v>
      </c>
      <c r="B54" s="1">
        <f>IFERROR(__xludf.DUMMYFUNCTION("""COMPUTED_VALUE"""),211.08)</f>
        <v>211.08</v>
      </c>
    </row>
    <row r="55">
      <c r="A55" s="2">
        <f>IFERROR(__xludf.DUMMYFUNCTION("""COMPUTED_VALUE"""),44181.66666666667)</f>
        <v>44181.66667</v>
      </c>
      <c r="B55" s="1">
        <f>IFERROR(__xludf.DUMMYFUNCTION("""COMPUTED_VALUE"""),207.59)</f>
        <v>207.59</v>
      </c>
    </row>
    <row r="56">
      <c r="A56" s="2">
        <f>IFERROR(__xludf.DUMMYFUNCTION("""COMPUTED_VALUE"""),44182.66666666667)</f>
        <v>44182.66667</v>
      </c>
      <c r="B56" s="1">
        <f>IFERROR(__xludf.DUMMYFUNCTION("""COMPUTED_VALUE"""),218.63)</f>
        <v>218.63</v>
      </c>
    </row>
    <row r="57">
      <c r="A57" s="2">
        <f>IFERROR(__xludf.DUMMYFUNCTION("""COMPUTED_VALUE"""),44183.66666666667)</f>
        <v>44183.66667</v>
      </c>
      <c r="B57" s="1">
        <f>IFERROR(__xludf.DUMMYFUNCTION("""COMPUTED_VALUE"""),231.67)</f>
        <v>231.67</v>
      </c>
    </row>
    <row r="58">
      <c r="A58" s="2">
        <f>IFERROR(__xludf.DUMMYFUNCTION("""COMPUTED_VALUE"""),44186.66666666667)</f>
        <v>44186.66667</v>
      </c>
      <c r="B58" s="1">
        <f>IFERROR(__xludf.DUMMYFUNCTION("""COMPUTED_VALUE"""),216.62)</f>
        <v>216.62</v>
      </c>
    </row>
    <row r="59">
      <c r="A59" s="2">
        <f>IFERROR(__xludf.DUMMYFUNCTION("""COMPUTED_VALUE"""),44187.66666666667)</f>
        <v>44187.66667</v>
      </c>
      <c r="B59" s="1">
        <f>IFERROR(__xludf.DUMMYFUNCTION("""COMPUTED_VALUE"""),213.45)</f>
        <v>213.45</v>
      </c>
    </row>
    <row r="60">
      <c r="A60" s="2">
        <f>IFERROR(__xludf.DUMMYFUNCTION("""COMPUTED_VALUE"""),44188.66666666667)</f>
        <v>44188.66667</v>
      </c>
      <c r="B60" s="1">
        <f>IFERROR(__xludf.DUMMYFUNCTION("""COMPUTED_VALUE"""),215.33)</f>
        <v>215.33</v>
      </c>
    </row>
    <row r="61">
      <c r="A61" s="2">
        <f>IFERROR(__xludf.DUMMYFUNCTION("""COMPUTED_VALUE"""),44189.54166666667)</f>
        <v>44189.54167</v>
      </c>
      <c r="B61" s="1">
        <f>IFERROR(__xludf.DUMMYFUNCTION("""COMPUTED_VALUE"""),220.59)</f>
        <v>220.59</v>
      </c>
    </row>
    <row r="62">
      <c r="A62" s="2">
        <f>IFERROR(__xludf.DUMMYFUNCTION("""COMPUTED_VALUE"""),44193.66666666667)</f>
        <v>44193.66667</v>
      </c>
      <c r="B62" s="1">
        <f>IFERROR(__xludf.DUMMYFUNCTION("""COMPUTED_VALUE"""),221.23)</f>
        <v>221.23</v>
      </c>
    </row>
    <row r="63">
      <c r="A63" s="2">
        <f>IFERROR(__xludf.DUMMYFUNCTION("""COMPUTED_VALUE"""),44194.66666666667)</f>
        <v>44194.66667</v>
      </c>
      <c r="B63" s="1">
        <f>IFERROR(__xludf.DUMMYFUNCTION("""COMPUTED_VALUE"""),222.0)</f>
        <v>222</v>
      </c>
    </row>
    <row r="64">
      <c r="A64" s="2">
        <f>IFERROR(__xludf.DUMMYFUNCTION("""COMPUTED_VALUE"""),44195.66666666667)</f>
        <v>44195.66667</v>
      </c>
      <c r="B64" s="1">
        <f>IFERROR(__xludf.DUMMYFUNCTION("""COMPUTED_VALUE"""),231.59)</f>
        <v>231.59</v>
      </c>
    </row>
    <row r="65">
      <c r="A65" s="2">
        <f>IFERROR(__xludf.DUMMYFUNCTION("""COMPUTED_VALUE"""),44196.66666666667)</f>
        <v>44196.66667</v>
      </c>
      <c r="B65" s="1">
        <f>IFERROR(__xludf.DUMMYFUNCTION("""COMPUTED_VALUE"""),235.22)</f>
        <v>235.22</v>
      </c>
    </row>
    <row r="66">
      <c r="A66" s="2">
        <f>IFERROR(__xludf.DUMMYFUNCTION("""COMPUTED_VALUE"""),44200.66666666667)</f>
        <v>44200.66667</v>
      </c>
      <c r="B66" s="1">
        <f>IFERROR(__xludf.DUMMYFUNCTION("""COMPUTED_VALUE"""),243.26)</f>
        <v>243.26</v>
      </c>
    </row>
    <row r="67">
      <c r="A67" s="2">
        <f>IFERROR(__xludf.DUMMYFUNCTION("""COMPUTED_VALUE"""),44201.66666666667)</f>
        <v>44201.66667</v>
      </c>
      <c r="B67" s="1">
        <f>IFERROR(__xludf.DUMMYFUNCTION("""COMPUTED_VALUE"""),245.04)</f>
        <v>245.04</v>
      </c>
    </row>
    <row r="68">
      <c r="A68" s="2">
        <f>IFERROR(__xludf.DUMMYFUNCTION("""COMPUTED_VALUE"""),44202.66666666667)</f>
        <v>44202.66667</v>
      </c>
      <c r="B68" s="1">
        <f>IFERROR(__xludf.DUMMYFUNCTION("""COMPUTED_VALUE"""),251.99)</f>
        <v>251.99</v>
      </c>
    </row>
    <row r="69">
      <c r="A69" s="2">
        <f>IFERROR(__xludf.DUMMYFUNCTION("""COMPUTED_VALUE"""),44203.66666666667)</f>
        <v>44203.66667</v>
      </c>
      <c r="B69" s="1">
        <f>IFERROR(__xludf.DUMMYFUNCTION("""COMPUTED_VALUE"""),272.01)</f>
        <v>272.01</v>
      </c>
    </row>
    <row r="70">
      <c r="A70" s="2">
        <f>IFERROR(__xludf.DUMMYFUNCTION("""COMPUTED_VALUE"""),44204.66666666667)</f>
        <v>44204.66667</v>
      </c>
      <c r="B70" s="1">
        <f>IFERROR(__xludf.DUMMYFUNCTION("""COMPUTED_VALUE"""),293.34)</f>
        <v>293.34</v>
      </c>
    </row>
    <row r="71">
      <c r="A71" s="2">
        <f>IFERROR(__xludf.DUMMYFUNCTION("""COMPUTED_VALUE"""),44207.66666666667)</f>
        <v>44207.66667</v>
      </c>
      <c r="B71" s="1">
        <f>IFERROR(__xludf.DUMMYFUNCTION("""COMPUTED_VALUE"""),270.4)</f>
        <v>270.4</v>
      </c>
    </row>
    <row r="72">
      <c r="A72" s="2">
        <f>IFERROR(__xludf.DUMMYFUNCTION("""COMPUTED_VALUE"""),44208.66666666667)</f>
        <v>44208.66667</v>
      </c>
      <c r="B72" s="1">
        <f>IFERROR(__xludf.DUMMYFUNCTION("""COMPUTED_VALUE"""),283.15)</f>
        <v>283.15</v>
      </c>
    </row>
    <row r="73">
      <c r="A73" s="2">
        <f>IFERROR(__xludf.DUMMYFUNCTION("""COMPUTED_VALUE"""),44209.66666666667)</f>
        <v>44209.66667</v>
      </c>
      <c r="B73" s="1">
        <f>IFERROR(__xludf.DUMMYFUNCTION("""COMPUTED_VALUE"""),284.8)</f>
        <v>284.8</v>
      </c>
    </row>
    <row r="74">
      <c r="A74" s="2">
        <f>IFERROR(__xludf.DUMMYFUNCTION("""COMPUTED_VALUE"""),44210.66666666667)</f>
        <v>44210.66667</v>
      </c>
      <c r="B74" s="1">
        <f>IFERROR(__xludf.DUMMYFUNCTION("""COMPUTED_VALUE"""),281.67)</f>
        <v>281.67</v>
      </c>
    </row>
    <row r="75">
      <c r="A75" s="2">
        <f>IFERROR(__xludf.DUMMYFUNCTION("""COMPUTED_VALUE"""),44211.66666666667)</f>
        <v>44211.66667</v>
      </c>
      <c r="B75" s="1">
        <f>IFERROR(__xludf.DUMMYFUNCTION("""COMPUTED_VALUE"""),275.39)</f>
        <v>275.39</v>
      </c>
    </row>
    <row r="76">
      <c r="A76" s="2">
        <f>IFERROR(__xludf.DUMMYFUNCTION("""COMPUTED_VALUE"""),44215.66666666667)</f>
        <v>44215.66667</v>
      </c>
      <c r="B76" s="1">
        <f>IFERROR(__xludf.DUMMYFUNCTION("""COMPUTED_VALUE"""),281.52)</f>
        <v>281.52</v>
      </c>
    </row>
    <row r="77">
      <c r="A77" s="2">
        <f>IFERROR(__xludf.DUMMYFUNCTION("""COMPUTED_VALUE"""),44216.66666666667)</f>
        <v>44216.66667</v>
      </c>
      <c r="B77" s="1">
        <f>IFERROR(__xludf.DUMMYFUNCTION("""COMPUTED_VALUE"""),283.48)</f>
        <v>283.48</v>
      </c>
    </row>
    <row r="78">
      <c r="A78" s="2">
        <f>IFERROR(__xludf.DUMMYFUNCTION("""COMPUTED_VALUE"""),44217.66666666667)</f>
        <v>44217.66667</v>
      </c>
      <c r="B78" s="1">
        <f>IFERROR(__xludf.DUMMYFUNCTION("""COMPUTED_VALUE"""),281.66)</f>
        <v>281.66</v>
      </c>
    </row>
    <row r="79">
      <c r="A79" s="2">
        <f>IFERROR(__xludf.DUMMYFUNCTION("""COMPUTED_VALUE"""),44218.66666666667)</f>
        <v>44218.66667</v>
      </c>
      <c r="B79" s="1">
        <f>IFERROR(__xludf.DUMMYFUNCTION("""COMPUTED_VALUE"""),282.21)</f>
        <v>282.21</v>
      </c>
    </row>
    <row r="80">
      <c r="A80" s="2">
        <f>IFERROR(__xludf.DUMMYFUNCTION("""COMPUTED_VALUE"""),44221.66666666667)</f>
        <v>44221.66667</v>
      </c>
      <c r="B80" s="1">
        <f>IFERROR(__xludf.DUMMYFUNCTION("""COMPUTED_VALUE"""),293.6)</f>
        <v>293.6</v>
      </c>
    </row>
    <row r="81">
      <c r="A81" s="2">
        <f>IFERROR(__xludf.DUMMYFUNCTION("""COMPUTED_VALUE"""),44222.66666666667)</f>
        <v>44222.66667</v>
      </c>
      <c r="B81" s="1">
        <f>IFERROR(__xludf.DUMMYFUNCTION("""COMPUTED_VALUE"""),294.36)</f>
        <v>294.36</v>
      </c>
    </row>
    <row r="82">
      <c r="A82" s="2">
        <f>IFERROR(__xludf.DUMMYFUNCTION("""COMPUTED_VALUE"""),44223.66666666667)</f>
        <v>44223.66667</v>
      </c>
      <c r="B82" s="1">
        <f>IFERROR(__xludf.DUMMYFUNCTION("""COMPUTED_VALUE"""),288.05)</f>
        <v>288.05</v>
      </c>
    </row>
    <row r="83">
      <c r="A83" s="2">
        <f>IFERROR(__xludf.DUMMYFUNCTION("""COMPUTED_VALUE"""),44224.66666666667)</f>
        <v>44224.66667</v>
      </c>
      <c r="B83" s="1">
        <f>IFERROR(__xludf.DUMMYFUNCTION("""COMPUTED_VALUE"""),278.48)</f>
        <v>278.48</v>
      </c>
    </row>
    <row r="84">
      <c r="A84" s="2">
        <f>IFERROR(__xludf.DUMMYFUNCTION("""COMPUTED_VALUE"""),44225.66666666667)</f>
        <v>44225.66667</v>
      </c>
      <c r="B84" s="1">
        <f>IFERROR(__xludf.DUMMYFUNCTION("""COMPUTED_VALUE"""),264.51)</f>
        <v>264.51</v>
      </c>
    </row>
    <row r="85">
      <c r="A85" s="2">
        <f>IFERROR(__xludf.DUMMYFUNCTION("""COMPUTED_VALUE"""),44228.66666666667)</f>
        <v>44228.66667</v>
      </c>
      <c r="B85" s="1">
        <f>IFERROR(__xludf.DUMMYFUNCTION("""COMPUTED_VALUE"""),279.94)</f>
        <v>279.94</v>
      </c>
    </row>
    <row r="86">
      <c r="A86" s="2">
        <f>IFERROR(__xludf.DUMMYFUNCTION("""COMPUTED_VALUE"""),44229.66666666667)</f>
        <v>44229.66667</v>
      </c>
      <c r="B86" s="1">
        <f>IFERROR(__xludf.DUMMYFUNCTION("""COMPUTED_VALUE"""),290.93)</f>
        <v>290.93</v>
      </c>
    </row>
    <row r="87">
      <c r="A87" s="2">
        <f>IFERROR(__xludf.DUMMYFUNCTION("""COMPUTED_VALUE"""),44230.66666666667)</f>
        <v>44230.66667</v>
      </c>
      <c r="B87" s="1">
        <f>IFERROR(__xludf.DUMMYFUNCTION("""COMPUTED_VALUE"""),284.9)</f>
        <v>284.9</v>
      </c>
    </row>
    <row r="88">
      <c r="A88" s="2">
        <f>IFERROR(__xludf.DUMMYFUNCTION("""COMPUTED_VALUE"""),44231.66666666667)</f>
        <v>44231.66667</v>
      </c>
      <c r="B88" s="1">
        <f>IFERROR(__xludf.DUMMYFUNCTION("""COMPUTED_VALUE"""),283.33)</f>
        <v>283.33</v>
      </c>
    </row>
    <row r="89">
      <c r="A89" s="2">
        <f>IFERROR(__xludf.DUMMYFUNCTION("""COMPUTED_VALUE"""),44232.66666666667)</f>
        <v>44232.66667</v>
      </c>
      <c r="B89" s="1">
        <f>IFERROR(__xludf.DUMMYFUNCTION("""COMPUTED_VALUE"""),284.08)</f>
        <v>284.08</v>
      </c>
    </row>
    <row r="90">
      <c r="A90" s="2">
        <f>IFERROR(__xludf.DUMMYFUNCTION("""COMPUTED_VALUE"""),44235.66666666667)</f>
        <v>44235.66667</v>
      </c>
      <c r="B90" s="1">
        <f>IFERROR(__xludf.DUMMYFUNCTION("""COMPUTED_VALUE"""),287.81)</f>
        <v>287.81</v>
      </c>
    </row>
    <row r="91">
      <c r="A91" s="2">
        <f>IFERROR(__xludf.DUMMYFUNCTION("""COMPUTED_VALUE"""),44236.66666666667)</f>
        <v>44236.66667</v>
      </c>
      <c r="B91" s="1">
        <f>IFERROR(__xludf.DUMMYFUNCTION("""COMPUTED_VALUE"""),283.15)</f>
        <v>283.15</v>
      </c>
    </row>
    <row r="92">
      <c r="A92" s="2">
        <f>IFERROR(__xludf.DUMMYFUNCTION("""COMPUTED_VALUE"""),44237.66666666667)</f>
        <v>44237.66667</v>
      </c>
      <c r="B92" s="1">
        <f>IFERROR(__xludf.DUMMYFUNCTION("""COMPUTED_VALUE"""),268.27)</f>
        <v>268.27</v>
      </c>
    </row>
    <row r="93">
      <c r="A93" s="2">
        <f>IFERROR(__xludf.DUMMYFUNCTION("""COMPUTED_VALUE"""),44238.66666666667)</f>
        <v>44238.66667</v>
      </c>
      <c r="B93" s="1">
        <f>IFERROR(__xludf.DUMMYFUNCTION("""COMPUTED_VALUE"""),270.55)</f>
        <v>270.55</v>
      </c>
    </row>
    <row r="94">
      <c r="A94" s="2">
        <f>IFERROR(__xludf.DUMMYFUNCTION("""COMPUTED_VALUE"""),44239.66666666667)</f>
        <v>44239.66667</v>
      </c>
      <c r="B94" s="1">
        <f>IFERROR(__xludf.DUMMYFUNCTION("""COMPUTED_VALUE"""),272.04)</f>
        <v>272.04</v>
      </c>
    </row>
    <row r="95">
      <c r="A95" s="2">
        <f>IFERROR(__xludf.DUMMYFUNCTION("""COMPUTED_VALUE"""),44243.66666666667)</f>
        <v>44243.66667</v>
      </c>
      <c r="B95" s="1">
        <f>IFERROR(__xludf.DUMMYFUNCTION("""COMPUTED_VALUE"""),265.41)</f>
        <v>265.41</v>
      </c>
    </row>
    <row r="96">
      <c r="A96" s="2">
        <f>IFERROR(__xludf.DUMMYFUNCTION("""COMPUTED_VALUE"""),44244.66666666667)</f>
        <v>44244.66667</v>
      </c>
      <c r="B96" s="1">
        <f>IFERROR(__xludf.DUMMYFUNCTION("""COMPUTED_VALUE"""),266.05)</f>
        <v>266.05</v>
      </c>
    </row>
    <row r="97">
      <c r="A97" s="2">
        <f>IFERROR(__xludf.DUMMYFUNCTION("""COMPUTED_VALUE"""),44245.66666666667)</f>
        <v>44245.66667</v>
      </c>
      <c r="B97" s="1">
        <f>IFERROR(__xludf.DUMMYFUNCTION("""COMPUTED_VALUE"""),262.46)</f>
        <v>262.46</v>
      </c>
    </row>
    <row r="98">
      <c r="A98" s="2">
        <f>IFERROR(__xludf.DUMMYFUNCTION("""COMPUTED_VALUE"""),44246.66666666667)</f>
        <v>44246.66667</v>
      </c>
      <c r="B98" s="1">
        <f>IFERROR(__xludf.DUMMYFUNCTION("""COMPUTED_VALUE"""),260.43)</f>
        <v>260.43</v>
      </c>
    </row>
    <row r="99">
      <c r="A99" s="2">
        <f>IFERROR(__xludf.DUMMYFUNCTION("""COMPUTED_VALUE"""),44249.66666666667)</f>
        <v>44249.66667</v>
      </c>
      <c r="B99" s="1">
        <f>IFERROR(__xludf.DUMMYFUNCTION("""COMPUTED_VALUE"""),238.17)</f>
        <v>238.17</v>
      </c>
    </row>
    <row r="100">
      <c r="A100" s="2">
        <f>IFERROR(__xludf.DUMMYFUNCTION("""COMPUTED_VALUE"""),44250.66666666667)</f>
        <v>44250.66667</v>
      </c>
      <c r="B100" s="1">
        <f>IFERROR(__xludf.DUMMYFUNCTION("""COMPUTED_VALUE"""),232.95)</f>
        <v>232.95</v>
      </c>
    </row>
    <row r="101">
      <c r="A101" s="2">
        <f>IFERROR(__xludf.DUMMYFUNCTION("""COMPUTED_VALUE"""),44251.66666666667)</f>
        <v>44251.66667</v>
      </c>
      <c r="B101" s="1">
        <f>IFERROR(__xludf.DUMMYFUNCTION("""COMPUTED_VALUE"""),247.34)</f>
        <v>247.34</v>
      </c>
    </row>
    <row r="102">
      <c r="A102" s="2">
        <f>IFERROR(__xludf.DUMMYFUNCTION("""COMPUTED_VALUE"""),44252.66666666667)</f>
        <v>44252.66667</v>
      </c>
      <c r="B102" s="1">
        <f>IFERROR(__xludf.DUMMYFUNCTION("""COMPUTED_VALUE"""),227.41)</f>
        <v>227.41</v>
      </c>
    </row>
    <row r="103">
      <c r="A103" s="2">
        <f>IFERROR(__xludf.DUMMYFUNCTION("""COMPUTED_VALUE"""),44253.66666666667)</f>
        <v>44253.66667</v>
      </c>
      <c r="B103" s="1">
        <f>IFERROR(__xludf.DUMMYFUNCTION("""COMPUTED_VALUE"""),225.17)</f>
        <v>225.17</v>
      </c>
    </row>
    <row r="104">
      <c r="A104" s="2">
        <f>IFERROR(__xludf.DUMMYFUNCTION("""COMPUTED_VALUE"""),44256.66666666667)</f>
        <v>44256.66667</v>
      </c>
      <c r="B104" s="1">
        <f>IFERROR(__xludf.DUMMYFUNCTION("""COMPUTED_VALUE"""),239.48)</f>
        <v>239.48</v>
      </c>
    </row>
    <row r="105">
      <c r="A105" s="2">
        <f>IFERROR(__xludf.DUMMYFUNCTION("""COMPUTED_VALUE"""),44257.66666666667)</f>
        <v>44257.66667</v>
      </c>
      <c r="B105" s="1">
        <f>IFERROR(__xludf.DUMMYFUNCTION("""COMPUTED_VALUE"""),228.81)</f>
        <v>228.81</v>
      </c>
    </row>
    <row r="106">
      <c r="A106" s="2">
        <f>IFERROR(__xludf.DUMMYFUNCTION("""COMPUTED_VALUE"""),44258.66666666667)</f>
        <v>44258.66667</v>
      </c>
      <c r="B106" s="1">
        <f>IFERROR(__xludf.DUMMYFUNCTION("""COMPUTED_VALUE"""),217.73)</f>
        <v>217.73</v>
      </c>
    </row>
    <row r="107">
      <c r="A107" s="2">
        <f>IFERROR(__xludf.DUMMYFUNCTION("""COMPUTED_VALUE"""),44259.66666666667)</f>
        <v>44259.66667</v>
      </c>
      <c r="B107" s="1">
        <f>IFERROR(__xludf.DUMMYFUNCTION("""COMPUTED_VALUE"""),207.15)</f>
        <v>207.15</v>
      </c>
    </row>
    <row r="108">
      <c r="A108" s="2">
        <f>IFERROR(__xludf.DUMMYFUNCTION("""COMPUTED_VALUE"""),44260.66666666667)</f>
        <v>44260.66667</v>
      </c>
      <c r="B108" s="1">
        <f>IFERROR(__xludf.DUMMYFUNCTION("""COMPUTED_VALUE"""),199.32)</f>
        <v>199.32</v>
      </c>
    </row>
    <row r="109">
      <c r="A109" s="2">
        <f>IFERROR(__xludf.DUMMYFUNCTION("""COMPUTED_VALUE"""),44263.66666666667)</f>
        <v>44263.66667</v>
      </c>
      <c r="B109" s="1">
        <f>IFERROR(__xludf.DUMMYFUNCTION("""COMPUTED_VALUE"""),187.67)</f>
        <v>187.67</v>
      </c>
    </row>
    <row r="110">
      <c r="A110" s="2">
        <f>IFERROR(__xludf.DUMMYFUNCTION("""COMPUTED_VALUE"""),44264.66666666667)</f>
        <v>44264.66667</v>
      </c>
      <c r="B110" s="1">
        <f>IFERROR(__xludf.DUMMYFUNCTION("""COMPUTED_VALUE"""),224.53)</f>
        <v>224.53</v>
      </c>
    </row>
    <row r="111">
      <c r="A111" s="2">
        <f>IFERROR(__xludf.DUMMYFUNCTION("""COMPUTED_VALUE"""),44265.66666666667)</f>
        <v>44265.66667</v>
      </c>
      <c r="B111" s="1">
        <f>IFERROR(__xludf.DUMMYFUNCTION("""COMPUTED_VALUE"""),222.69)</f>
        <v>222.69</v>
      </c>
    </row>
    <row r="112">
      <c r="A112" s="2">
        <f>IFERROR(__xludf.DUMMYFUNCTION("""COMPUTED_VALUE"""),44266.66666666667)</f>
        <v>44266.66667</v>
      </c>
      <c r="B112" s="1">
        <f>IFERROR(__xludf.DUMMYFUNCTION("""COMPUTED_VALUE"""),233.2)</f>
        <v>233.2</v>
      </c>
    </row>
    <row r="113">
      <c r="A113" s="2">
        <f>IFERROR(__xludf.DUMMYFUNCTION("""COMPUTED_VALUE"""),44267.66666666667)</f>
        <v>44267.66667</v>
      </c>
      <c r="B113" s="1">
        <f>IFERROR(__xludf.DUMMYFUNCTION("""COMPUTED_VALUE"""),231.24)</f>
        <v>231.24</v>
      </c>
    </row>
    <row r="114">
      <c r="A114" s="2">
        <f>IFERROR(__xludf.DUMMYFUNCTION("""COMPUTED_VALUE"""),44270.66666666667)</f>
        <v>44270.66667</v>
      </c>
      <c r="B114" s="1">
        <f>IFERROR(__xludf.DUMMYFUNCTION("""COMPUTED_VALUE"""),235.98)</f>
        <v>235.98</v>
      </c>
    </row>
    <row r="115">
      <c r="A115" s="2">
        <f>IFERROR(__xludf.DUMMYFUNCTION("""COMPUTED_VALUE"""),44271.66666666667)</f>
        <v>44271.66667</v>
      </c>
      <c r="B115" s="1">
        <f>IFERROR(__xludf.DUMMYFUNCTION("""COMPUTED_VALUE"""),225.63)</f>
        <v>225.63</v>
      </c>
    </row>
    <row r="116">
      <c r="A116" s="2">
        <f>IFERROR(__xludf.DUMMYFUNCTION("""COMPUTED_VALUE"""),44272.66666666667)</f>
        <v>44272.66667</v>
      </c>
      <c r="B116" s="1">
        <f>IFERROR(__xludf.DUMMYFUNCTION("""COMPUTED_VALUE"""),233.94)</f>
        <v>233.94</v>
      </c>
    </row>
    <row r="117">
      <c r="A117" s="2">
        <f>IFERROR(__xludf.DUMMYFUNCTION("""COMPUTED_VALUE"""),44273.66666666667)</f>
        <v>44273.66667</v>
      </c>
      <c r="B117" s="1">
        <f>IFERROR(__xludf.DUMMYFUNCTION("""COMPUTED_VALUE"""),217.72)</f>
        <v>217.72</v>
      </c>
    </row>
    <row r="118">
      <c r="A118" s="2">
        <f>IFERROR(__xludf.DUMMYFUNCTION("""COMPUTED_VALUE"""),44274.66666666667)</f>
        <v>44274.66667</v>
      </c>
      <c r="B118" s="1">
        <f>IFERROR(__xludf.DUMMYFUNCTION("""COMPUTED_VALUE"""),218.29)</f>
        <v>218.29</v>
      </c>
    </row>
    <row r="119">
      <c r="A119" s="2">
        <f>IFERROR(__xludf.DUMMYFUNCTION("""COMPUTED_VALUE"""),44277.66666666667)</f>
        <v>44277.66667</v>
      </c>
      <c r="B119" s="1">
        <f>IFERROR(__xludf.DUMMYFUNCTION("""COMPUTED_VALUE"""),223.33)</f>
        <v>223.33</v>
      </c>
    </row>
    <row r="120">
      <c r="A120" s="2">
        <f>IFERROR(__xludf.DUMMYFUNCTION("""COMPUTED_VALUE"""),44278.66666666667)</f>
        <v>44278.66667</v>
      </c>
      <c r="B120" s="1">
        <f>IFERROR(__xludf.DUMMYFUNCTION("""COMPUTED_VALUE"""),220.72)</f>
        <v>220.72</v>
      </c>
    </row>
    <row r="121">
      <c r="A121" s="2">
        <f>IFERROR(__xludf.DUMMYFUNCTION("""COMPUTED_VALUE"""),44279.66666666667)</f>
        <v>44279.66667</v>
      </c>
      <c r="B121" s="1">
        <f>IFERROR(__xludf.DUMMYFUNCTION("""COMPUTED_VALUE"""),210.09)</f>
        <v>210.09</v>
      </c>
    </row>
    <row r="122">
      <c r="A122" s="2">
        <f>IFERROR(__xludf.DUMMYFUNCTION("""COMPUTED_VALUE"""),44280.66666666667)</f>
        <v>44280.66667</v>
      </c>
      <c r="B122" s="1">
        <f>IFERROR(__xludf.DUMMYFUNCTION("""COMPUTED_VALUE"""),213.46)</f>
        <v>213.46</v>
      </c>
    </row>
    <row r="123">
      <c r="A123" s="2">
        <f>IFERROR(__xludf.DUMMYFUNCTION("""COMPUTED_VALUE"""),44281.66666666667)</f>
        <v>44281.66667</v>
      </c>
      <c r="B123" s="1">
        <f>IFERROR(__xludf.DUMMYFUNCTION("""COMPUTED_VALUE"""),206.24)</f>
        <v>206.24</v>
      </c>
    </row>
    <row r="124">
      <c r="A124" s="2">
        <f>IFERROR(__xludf.DUMMYFUNCTION("""COMPUTED_VALUE"""),44284.66666666667)</f>
        <v>44284.66667</v>
      </c>
      <c r="B124" s="1">
        <f>IFERROR(__xludf.DUMMYFUNCTION("""COMPUTED_VALUE"""),203.76)</f>
        <v>203.76</v>
      </c>
    </row>
    <row r="125">
      <c r="A125" s="2">
        <f>IFERROR(__xludf.DUMMYFUNCTION("""COMPUTED_VALUE"""),44285.66666666667)</f>
        <v>44285.66667</v>
      </c>
      <c r="B125" s="1">
        <f>IFERROR(__xludf.DUMMYFUNCTION("""COMPUTED_VALUE"""),211.87)</f>
        <v>211.87</v>
      </c>
    </row>
    <row r="126">
      <c r="A126" s="2">
        <f>IFERROR(__xludf.DUMMYFUNCTION("""COMPUTED_VALUE"""),44286.66666666667)</f>
        <v>44286.66667</v>
      </c>
      <c r="B126" s="1">
        <f>IFERROR(__xludf.DUMMYFUNCTION("""COMPUTED_VALUE"""),222.64)</f>
        <v>222.64</v>
      </c>
    </row>
    <row r="127">
      <c r="A127" s="2">
        <f>IFERROR(__xludf.DUMMYFUNCTION("""COMPUTED_VALUE"""),44287.66666666667)</f>
        <v>44287.66667</v>
      </c>
      <c r="B127" s="1">
        <f>IFERROR(__xludf.DUMMYFUNCTION("""COMPUTED_VALUE"""),220.58)</f>
        <v>220.58</v>
      </c>
    </row>
    <row r="128">
      <c r="A128" s="2">
        <f>IFERROR(__xludf.DUMMYFUNCTION("""COMPUTED_VALUE"""),44291.66666666667)</f>
        <v>44291.66667</v>
      </c>
      <c r="B128" s="1">
        <f>IFERROR(__xludf.DUMMYFUNCTION("""COMPUTED_VALUE"""),230.35)</f>
        <v>230.35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IFERROR(__xludf.DUMMYFUNCTION("""COMPUTED_VALUE"""),230.54)</f>
        <v>230.54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IFERROR(__xludf.DUMMYFUNCTION("""COMPUTED_VALUE"""),223.66)</f>
        <v>223.66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IFERROR(__xludf.DUMMYFUNCTION("""COMPUTED_VALUE"""),227.93)</f>
        <v>227.93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IFERROR(__xludf.DUMMYFUNCTION("""COMPUTED_VALUE"""),225.67)</f>
        <v>225.67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IFERROR(__xludf.DUMMYFUNCTION("""COMPUTED_VALUE"""),233.99)</f>
        <v>233.99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IFERROR(__xludf.DUMMYFUNCTION("""COMPUTED_VALUE"""),254.11)</f>
        <v>254.11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IFERROR(__xludf.DUMMYFUNCTION("""COMPUTED_VALUE"""),244.08)</f>
        <v>244.08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IFERROR(__xludf.DUMMYFUNCTION("""COMPUTED_VALUE"""),246.28)</f>
        <v>246.28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IFERROR(__xludf.DUMMYFUNCTION("""COMPUTED_VALUE"""),246.59)</f>
        <v>246.59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IFERROR(__xludf.DUMMYFUNCTION("""COMPUTED_VALUE"""),238.21)</f>
        <v>238.21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IFERROR(__xludf.DUMMYFUNCTION("""COMPUTED_VALUE"""),239.66)</f>
        <v>239.66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IFERROR(__xludf.DUMMYFUNCTION("""COMPUTED_VALUE"""),248.04)</f>
        <v>248.04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IFERROR(__xludf.DUMMYFUNCTION("""COMPUTED_VALUE"""),239.9)</f>
        <v>239.9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IFERROR(__xludf.DUMMYFUNCTION("""COMPUTED_VALUE"""),243.13)</f>
        <v>243.13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IFERROR(__xludf.DUMMYFUNCTION("""COMPUTED_VALUE"""),246.07)</f>
        <v>246.07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IFERROR(__xludf.DUMMYFUNCTION("""COMPUTED_VALUE"""),234.91)</f>
        <v>234.91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IFERROR(__xludf.DUMMYFUNCTION("""COMPUTED_VALUE"""),231.47)</f>
        <v>231.47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IFERROR(__xludf.DUMMYFUNCTION("""COMPUTED_VALUE"""),225.67)</f>
        <v>225.67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IFERROR(__xludf.DUMMYFUNCTION("""COMPUTED_VALUE"""),236.48)</f>
        <v>236.48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IFERROR(__xludf.DUMMYFUNCTION("""COMPUTED_VALUE"""),228.3)</f>
        <v>228.3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IFERROR(__xludf.DUMMYFUNCTION("""COMPUTED_VALUE"""),224.53)</f>
        <v>224.53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IFERROR(__xludf.DUMMYFUNCTION("""COMPUTED_VALUE"""),223.65)</f>
        <v>223.65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IFERROR(__xludf.DUMMYFUNCTION("""COMPUTED_VALUE"""),221.18)</f>
        <v>221.18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IFERROR(__xludf.DUMMYFUNCTION("""COMPUTED_VALUE"""),224.12)</f>
        <v>224.12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IFERROR(__xludf.DUMMYFUNCTION("""COMPUTED_VALUE"""),209.68)</f>
        <v>209.68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IFERROR(__xludf.DUMMYFUNCTION("""COMPUTED_VALUE"""),205.73)</f>
        <v>205.73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IFERROR(__xludf.DUMMYFUNCTION("""COMPUTED_VALUE"""),196.63)</f>
        <v>196.63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IFERROR(__xludf.DUMMYFUNCTION("""COMPUTED_VALUE"""),190.56)</f>
        <v>190.56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IFERROR(__xludf.DUMMYFUNCTION("""COMPUTED_VALUE"""),196.58)</f>
        <v>196.58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IFERROR(__xludf.DUMMYFUNCTION("""COMPUTED_VALUE"""),192.28)</f>
        <v>192.28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IFERROR(__xludf.DUMMYFUNCTION("""COMPUTED_VALUE"""),192.62)</f>
        <v>192.62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IFERROR(__xludf.DUMMYFUNCTION("""COMPUTED_VALUE"""),187.82)</f>
        <v>187.82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IFERROR(__xludf.DUMMYFUNCTION("""COMPUTED_VALUE"""),195.59)</f>
        <v>195.59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IFERROR(__xludf.DUMMYFUNCTION("""COMPUTED_VALUE"""),193.63)</f>
        <v>193.63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IFERROR(__xludf.DUMMYFUNCTION("""COMPUTED_VALUE"""),202.15)</f>
        <v>202.15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IFERROR(__xludf.DUMMYFUNCTION("""COMPUTED_VALUE"""),201.56)</f>
        <v>201.56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IFERROR(__xludf.DUMMYFUNCTION("""COMPUTED_VALUE"""),206.38)</f>
        <v>206.38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IFERROR(__xludf.DUMMYFUNCTION("""COMPUTED_VALUE"""),210.28)</f>
        <v>210.28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IFERROR(__xludf.DUMMYFUNCTION("""COMPUTED_VALUE"""),208.41)</f>
        <v>208.41</v>
      </c>
    </row>
    <row r="168">
      <c r="A168" s="2">
        <f>IFERROR(__xludf.DUMMYFUNCTION("""COMPUTED_VALUE"""),44348.66666666667)</f>
        <v>44348.66667</v>
      </c>
      <c r="B168" s="1">
        <f>IFERROR(__xludf.DUMMYFUNCTION("""COMPUTED_VALUE"""),207.97)</f>
        <v>207.97</v>
      </c>
    </row>
    <row r="169">
      <c r="A169" s="2">
        <f>IFERROR(__xludf.DUMMYFUNCTION("""COMPUTED_VALUE"""),44349.66666666667)</f>
        <v>44349.66667</v>
      </c>
      <c r="B169" s="1">
        <f>IFERROR(__xludf.DUMMYFUNCTION("""COMPUTED_VALUE"""),201.71)</f>
        <v>201.71</v>
      </c>
    </row>
    <row r="170">
      <c r="A170" s="2">
        <f>IFERROR(__xludf.DUMMYFUNCTION("""COMPUTED_VALUE"""),44350.66666666667)</f>
        <v>44350.66667</v>
      </c>
      <c r="B170" s="1">
        <f>IFERROR(__xludf.DUMMYFUNCTION("""COMPUTED_VALUE"""),190.95)</f>
        <v>190.95</v>
      </c>
    </row>
    <row r="171">
      <c r="A171" s="2">
        <f>IFERROR(__xludf.DUMMYFUNCTION("""COMPUTED_VALUE"""),44351.66666666667)</f>
        <v>44351.66667</v>
      </c>
      <c r="B171" s="1">
        <f>IFERROR(__xludf.DUMMYFUNCTION("""COMPUTED_VALUE"""),199.68)</f>
        <v>199.68</v>
      </c>
    </row>
    <row r="172">
      <c r="A172" s="2">
        <f>IFERROR(__xludf.DUMMYFUNCTION("""COMPUTED_VALUE"""),44354.66666666667)</f>
        <v>44354.66667</v>
      </c>
      <c r="B172" s="1">
        <f>IFERROR(__xludf.DUMMYFUNCTION("""COMPUTED_VALUE"""),201.71)</f>
        <v>201.71</v>
      </c>
    </row>
    <row r="173">
      <c r="A173" s="2">
        <f>IFERROR(__xludf.DUMMYFUNCTION("""COMPUTED_VALUE"""),44355.66666666667)</f>
        <v>44355.66667</v>
      </c>
      <c r="B173" s="1">
        <f>IFERROR(__xludf.DUMMYFUNCTION("""COMPUTED_VALUE"""),201.2)</f>
        <v>201.2</v>
      </c>
    </row>
    <row r="174">
      <c r="A174" s="2">
        <f>IFERROR(__xludf.DUMMYFUNCTION("""COMPUTED_VALUE"""),44356.66666666667)</f>
        <v>44356.66667</v>
      </c>
      <c r="B174" s="1">
        <f>IFERROR(__xludf.DUMMYFUNCTION("""COMPUTED_VALUE"""),199.59)</f>
        <v>199.59</v>
      </c>
    </row>
    <row r="175">
      <c r="A175" s="2">
        <f>IFERROR(__xludf.DUMMYFUNCTION("""COMPUTED_VALUE"""),44357.66666666667)</f>
        <v>44357.66667</v>
      </c>
      <c r="B175" s="1">
        <f>IFERROR(__xludf.DUMMYFUNCTION("""COMPUTED_VALUE"""),203.37)</f>
        <v>203.37</v>
      </c>
    </row>
    <row r="176">
      <c r="A176" s="2">
        <f>IFERROR(__xludf.DUMMYFUNCTION("""COMPUTED_VALUE"""),44358.66666666667)</f>
        <v>44358.66667</v>
      </c>
      <c r="B176" s="1">
        <f>IFERROR(__xludf.DUMMYFUNCTION("""COMPUTED_VALUE"""),203.3)</f>
        <v>203.3</v>
      </c>
    </row>
    <row r="177">
      <c r="A177" s="2">
        <f>IFERROR(__xludf.DUMMYFUNCTION("""COMPUTED_VALUE"""),44361.66666666667)</f>
        <v>44361.66667</v>
      </c>
      <c r="B177" s="1">
        <f>IFERROR(__xludf.DUMMYFUNCTION("""COMPUTED_VALUE"""),205.9)</f>
        <v>205.9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IFERROR(__xludf.DUMMYFUNCTION("""COMPUTED_VALUE"""),199.79)</f>
        <v>199.79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IFERROR(__xludf.DUMMYFUNCTION("""COMPUTED_VALUE"""),201.62)</f>
        <v>201.62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IFERROR(__xludf.DUMMYFUNCTION("""COMPUTED_VALUE"""),205.53)</f>
        <v>205.53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IFERROR(__xludf.DUMMYFUNCTION("""COMPUTED_VALUE"""),207.77)</f>
        <v>207.77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IFERROR(__xludf.DUMMYFUNCTION("""COMPUTED_VALUE"""),206.94)</f>
        <v>206.94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IFERROR(__xludf.DUMMYFUNCTION("""COMPUTED_VALUE"""),207.9)</f>
        <v>207.9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IFERROR(__xludf.DUMMYFUNCTION("""COMPUTED_VALUE"""),218.86)</f>
        <v>218.86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IFERROR(__xludf.DUMMYFUNCTION("""COMPUTED_VALUE"""),226.61)</f>
        <v>226.61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IFERROR(__xludf.DUMMYFUNCTION("""COMPUTED_VALUE"""),223.96)</f>
        <v>223.96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IFERROR(__xludf.DUMMYFUNCTION("""COMPUTED_VALUE"""),229.57)</f>
        <v>229.57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IFERROR(__xludf.DUMMYFUNCTION("""COMPUTED_VALUE"""),226.92)</f>
        <v>226.92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IFERROR(__xludf.DUMMYFUNCTION("""COMPUTED_VALUE"""),226.57)</f>
        <v>226.57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IFERROR(__xludf.DUMMYFUNCTION("""COMPUTED_VALUE"""),225.97)</f>
        <v>225.97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IFERROR(__xludf.DUMMYFUNCTION("""COMPUTED_VALUE"""),226.3)</f>
        <v>226.3</v>
      </c>
    </row>
    <row r="192">
      <c r="A192" s="2">
        <f>IFERROR(__xludf.DUMMYFUNCTION("""COMPUTED_VALUE"""),44383.66666666667)</f>
        <v>44383.66667</v>
      </c>
      <c r="B192" s="1">
        <f>IFERROR(__xludf.DUMMYFUNCTION("""COMPUTED_VALUE"""),219.86)</f>
        <v>219.86</v>
      </c>
    </row>
    <row r="193">
      <c r="A193" s="2">
        <f>IFERROR(__xludf.DUMMYFUNCTION("""COMPUTED_VALUE"""),44384.66666666667)</f>
        <v>44384.66667</v>
      </c>
      <c r="B193" s="1">
        <f>IFERROR(__xludf.DUMMYFUNCTION("""COMPUTED_VALUE"""),214.88)</f>
        <v>214.88</v>
      </c>
    </row>
    <row r="194">
      <c r="A194" s="2">
        <f>IFERROR(__xludf.DUMMYFUNCTION("""COMPUTED_VALUE"""),44385.66666666667)</f>
        <v>44385.66667</v>
      </c>
      <c r="B194" s="1">
        <f>IFERROR(__xludf.DUMMYFUNCTION("""COMPUTED_VALUE"""),217.6)</f>
        <v>217.6</v>
      </c>
    </row>
    <row r="195">
      <c r="A195" s="2">
        <f>IFERROR(__xludf.DUMMYFUNCTION("""COMPUTED_VALUE"""),44386.66666666667)</f>
        <v>44386.66667</v>
      </c>
      <c r="B195" s="1">
        <f>IFERROR(__xludf.DUMMYFUNCTION("""COMPUTED_VALUE"""),218.98)</f>
        <v>218.98</v>
      </c>
    </row>
    <row r="196">
      <c r="A196" s="2">
        <f>IFERROR(__xludf.DUMMYFUNCTION("""COMPUTED_VALUE"""),44389.66666666667)</f>
        <v>44389.66667</v>
      </c>
      <c r="B196" s="1">
        <f>IFERROR(__xludf.DUMMYFUNCTION("""COMPUTED_VALUE"""),228.57)</f>
        <v>228.57</v>
      </c>
    </row>
    <row r="197">
      <c r="A197" s="2">
        <f>IFERROR(__xludf.DUMMYFUNCTION("""COMPUTED_VALUE"""),44390.66666666667)</f>
        <v>44390.66667</v>
      </c>
      <c r="B197" s="1">
        <f>IFERROR(__xludf.DUMMYFUNCTION("""COMPUTED_VALUE"""),222.85)</f>
        <v>222.85</v>
      </c>
    </row>
    <row r="198">
      <c r="A198" s="2">
        <f>IFERROR(__xludf.DUMMYFUNCTION("""COMPUTED_VALUE"""),44391.66666666667)</f>
        <v>44391.66667</v>
      </c>
      <c r="B198" s="1">
        <f>IFERROR(__xludf.DUMMYFUNCTION("""COMPUTED_VALUE"""),217.79)</f>
        <v>217.79</v>
      </c>
    </row>
    <row r="199">
      <c r="A199" s="2">
        <f>IFERROR(__xludf.DUMMYFUNCTION("""COMPUTED_VALUE"""),44392.66666666667)</f>
        <v>44392.66667</v>
      </c>
      <c r="B199" s="1">
        <f>IFERROR(__xludf.DUMMYFUNCTION("""COMPUTED_VALUE"""),216.87)</f>
        <v>216.87</v>
      </c>
    </row>
    <row r="200">
      <c r="A200" s="2">
        <f>IFERROR(__xludf.DUMMYFUNCTION("""COMPUTED_VALUE"""),44393.66666666667)</f>
        <v>44393.66667</v>
      </c>
      <c r="B200" s="1">
        <f>IFERROR(__xludf.DUMMYFUNCTION("""COMPUTED_VALUE"""),214.74)</f>
        <v>214.74</v>
      </c>
    </row>
    <row r="201">
      <c r="A201" s="2">
        <f>IFERROR(__xludf.DUMMYFUNCTION("""COMPUTED_VALUE"""),44396.66666666667)</f>
        <v>44396.66667</v>
      </c>
      <c r="B201" s="1">
        <f>IFERROR(__xludf.DUMMYFUNCTION("""COMPUTED_VALUE"""),215.41)</f>
        <v>215.41</v>
      </c>
    </row>
    <row r="202">
      <c r="A202" s="2">
        <f>IFERROR(__xludf.DUMMYFUNCTION("""COMPUTED_VALUE"""),44397.66666666667)</f>
        <v>44397.66667</v>
      </c>
      <c r="B202" s="1">
        <f>IFERROR(__xludf.DUMMYFUNCTION("""COMPUTED_VALUE"""),220.17)</f>
        <v>220.17</v>
      </c>
    </row>
    <row r="203">
      <c r="A203" s="2">
        <f>IFERROR(__xludf.DUMMYFUNCTION("""COMPUTED_VALUE"""),44398.66666666667)</f>
        <v>44398.66667</v>
      </c>
      <c r="B203" s="1">
        <f>IFERROR(__xludf.DUMMYFUNCTION("""COMPUTED_VALUE"""),218.43)</f>
        <v>218.43</v>
      </c>
    </row>
    <row r="204">
      <c r="A204" s="2">
        <f>IFERROR(__xludf.DUMMYFUNCTION("""COMPUTED_VALUE"""),44399.66666666667)</f>
        <v>44399.66667</v>
      </c>
      <c r="B204" s="1">
        <f>IFERROR(__xludf.DUMMYFUNCTION("""COMPUTED_VALUE"""),216.42)</f>
        <v>216.42</v>
      </c>
    </row>
    <row r="205">
      <c r="A205" s="2">
        <f>IFERROR(__xludf.DUMMYFUNCTION("""COMPUTED_VALUE"""),44400.66666666667)</f>
        <v>44400.66667</v>
      </c>
      <c r="B205" s="1">
        <f>IFERROR(__xludf.DUMMYFUNCTION("""COMPUTED_VALUE"""),214.46)</f>
        <v>214.46</v>
      </c>
    </row>
    <row r="206">
      <c r="A206" s="2">
        <f>IFERROR(__xludf.DUMMYFUNCTION("""COMPUTED_VALUE"""),44403.66666666667)</f>
        <v>44403.66667</v>
      </c>
      <c r="B206" s="1">
        <f>IFERROR(__xludf.DUMMYFUNCTION("""COMPUTED_VALUE"""),219.21)</f>
        <v>219.21</v>
      </c>
    </row>
    <row r="207">
      <c r="A207" s="2">
        <f>IFERROR(__xludf.DUMMYFUNCTION("""COMPUTED_VALUE"""),44404.66666666667)</f>
        <v>44404.66667</v>
      </c>
      <c r="B207" s="1">
        <f>IFERROR(__xludf.DUMMYFUNCTION("""COMPUTED_VALUE"""),214.93)</f>
        <v>214.93</v>
      </c>
    </row>
    <row r="208">
      <c r="A208" s="2">
        <f>IFERROR(__xludf.DUMMYFUNCTION("""COMPUTED_VALUE"""),44405.66666666667)</f>
        <v>44405.66667</v>
      </c>
      <c r="B208" s="1">
        <f>IFERROR(__xludf.DUMMYFUNCTION("""COMPUTED_VALUE"""),215.66)</f>
        <v>215.66</v>
      </c>
    </row>
    <row r="209">
      <c r="A209" s="2">
        <f>IFERROR(__xludf.DUMMYFUNCTION("""COMPUTED_VALUE"""),44406.66666666667)</f>
        <v>44406.66667</v>
      </c>
      <c r="B209" s="1">
        <f>IFERROR(__xludf.DUMMYFUNCTION("""COMPUTED_VALUE"""),225.78)</f>
        <v>225.78</v>
      </c>
    </row>
    <row r="210">
      <c r="A210" s="2">
        <f>IFERROR(__xludf.DUMMYFUNCTION("""COMPUTED_VALUE"""),44407.66666666667)</f>
        <v>44407.66667</v>
      </c>
      <c r="B210" s="1">
        <f>IFERROR(__xludf.DUMMYFUNCTION("""COMPUTED_VALUE"""),229.07)</f>
        <v>229.07</v>
      </c>
    </row>
    <row r="211">
      <c r="A211" s="2">
        <f>IFERROR(__xludf.DUMMYFUNCTION("""COMPUTED_VALUE"""),44410.66666666667)</f>
        <v>44410.66667</v>
      </c>
      <c r="B211" s="1">
        <f>IFERROR(__xludf.DUMMYFUNCTION("""COMPUTED_VALUE"""),236.56)</f>
        <v>236.56</v>
      </c>
    </row>
    <row r="212">
      <c r="A212" s="2">
        <f>IFERROR(__xludf.DUMMYFUNCTION("""COMPUTED_VALUE"""),44411.66666666667)</f>
        <v>44411.66667</v>
      </c>
      <c r="B212" s="1">
        <f>IFERROR(__xludf.DUMMYFUNCTION("""COMPUTED_VALUE"""),236.58)</f>
        <v>236.58</v>
      </c>
    </row>
    <row r="213">
      <c r="A213" s="2">
        <f>IFERROR(__xludf.DUMMYFUNCTION("""COMPUTED_VALUE"""),44412.66666666667)</f>
        <v>44412.66667</v>
      </c>
      <c r="B213" s="1">
        <f>IFERROR(__xludf.DUMMYFUNCTION("""COMPUTED_VALUE"""),236.97)</f>
        <v>236.97</v>
      </c>
    </row>
    <row r="214">
      <c r="A214" s="2">
        <f>IFERROR(__xludf.DUMMYFUNCTION("""COMPUTED_VALUE"""),44413.66666666667)</f>
        <v>44413.66667</v>
      </c>
      <c r="B214" s="1">
        <f>IFERROR(__xludf.DUMMYFUNCTION("""COMPUTED_VALUE"""),238.21)</f>
        <v>238.21</v>
      </c>
    </row>
    <row r="215">
      <c r="A215" s="2">
        <f>IFERROR(__xludf.DUMMYFUNCTION("""COMPUTED_VALUE"""),44414.66666666667)</f>
        <v>44414.66667</v>
      </c>
      <c r="B215" s="1">
        <f>IFERROR(__xludf.DUMMYFUNCTION("""COMPUTED_VALUE"""),233.03)</f>
        <v>233.03</v>
      </c>
    </row>
    <row r="216">
      <c r="A216" s="2">
        <f>IFERROR(__xludf.DUMMYFUNCTION("""COMPUTED_VALUE"""),44417.66666666667)</f>
        <v>44417.66667</v>
      </c>
      <c r="B216" s="1">
        <f>IFERROR(__xludf.DUMMYFUNCTION("""COMPUTED_VALUE"""),237.92)</f>
        <v>237.92</v>
      </c>
    </row>
    <row r="217">
      <c r="A217" s="2">
        <f>IFERROR(__xludf.DUMMYFUNCTION("""COMPUTED_VALUE"""),44418.66666666667)</f>
        <v>44418.66667</v>
      </c>
      <c r="B217" s="1">
        <f>IFERROR(__xludf.DUMMYFUNCTION("""COMPUTED_VALUE"""),236.66)</f>
        <v>236.66</v>
      </c>
    </row>
    <row r="218">
      <c r="A218" s="2">
        <f>IFERROR(__xludf.DUMMYFUNCTION("""COMPUTED_VALUE"""),44419.66666666667)</f>
        <v>44419.66667</v>
      </c>
      <c r="B218" s="1">
        <f>IFERROR(__xludf.DUMMYFUNCTION("""COMPUTED_VALUE"""),235.94)</f>
        <v>235.94</v>
      </c>
    </row>
    <row r="219">
      <c r="A219" s="2">
        <f>IFERROR(__xludf.DUMMYFUNCTION("""COMPUTED_VALUE"""),44420.66666666667)</f>
        <v>44420.66667</v>
      </c>
      <c r="B219" s="1">
        <f>IFERROR(__xludf.DUMMYFUNCTION("""COMPUTED_VALUE"""),240.75)</f>
        <v>240.75</v>
      </c>
    </row>
    <row r="220">
      <c r="A220" s="2">
        <f>IFERROR(__xludf.DUMMYFUNCTION("""COMPUTED_VALUE"""),44421.66666666667)</f>
        <v>44421.66667</v>
      </c>
      <c r="B220" s="1">
        <f>IFERROR(__xludf.DUMMYFUNCTION("""COMPUTED_VALUE"""),239.06)</f>
        <v>239.06</v>
      </c>
    </row>
    <row r="221">
      <c r="A221" s="2">
        <f>IFERROR(__xludf.DUMMYFUNCTION("""COMPUTED_VALUE"""),44424.66666666667)</f>
        <v>44424.66667</v>
      </c>
      <c r="B221" s="1">
        <f>IFERROR(__xludf.DUMMYFUNCTION("""COMPUTED_VALUE"""),228.72)</f>
        <v>228.72</v>
      </c>
    </row>
    <row r="222">
      <c r="A222" s="2">
        <f>IFERROR(__xludf.DUMMYFUNCTION("""COMPUTED_VALUE"""),44425.66666666667)</f>
        <v>44425.66667</v>
      </c>
      <c r="B222" s="1">
        <f>IFERROR(__xludf.DUMMYFUNCTION("""COMPUTED_VALUE"""),221.9)</f>
        <v>221.9</v>
      </c>
    </row>
    <row r="223">
      <c r="A223" s="2">
        <f>IFERROR(__xludf.DUMMYFUNCTION("""COMPUTED_VALUE"""),44426.66666666667)</f>
        <v>44426.66667</v>
      </c>
      <c r="B223" s="1">
        <f>IFERROR(__xludf.DUMMYFUNCTION("""COMPUTED_VALUE"""),229.66)</f>
        <v>229.66</v>
      </c>
    </row>
    <row r="224">
      <c r="A224" s="2">
        <f>IFERROR(__xludf.DUMMYFUNCTION("""COMPUTED_VALUE"""),44427.66666666667)</f>
        <v>44427.66667</v>
      </c>
      <c r="B224" s="1">
        <f>IFERROR(__xludf.DUMMYFUNCTION("""COMPUTED_VALUE"""),224.49)</f>
        <v>224.49</v>
      </c>
    </row>
    <row r="225">
      <c r="A225" s="2">
        <f>IFERROR(__xludf.DUMMYFUNCTION("""COMPUTED_VALUE"""),44428.66666666667)</f>
        <v>44428.66667</v>
      </c>
      <c r="B225" s="1">
        <f>IFERROR(__xludf.DUMMYFUNCTION("""COMPUTED_VALUE"""),226.75)</f>
        <v>226.75</v>
      </c>
    </row>
    <row r="226">
      <c r="A226" s="2">
        <f>IFERROR(__xludf.DUMMYFUNCTION("""COMPUTED_VALUE"""),44431.66666666667)</f>
        <v>44431.66667</v>
      </c>
      <c r="B226" s="1">
        <f>IFERROR(__xludf.DUMMYFUNCTION("""COMPUTED_VALUE"""),235.43)</f>
        <v>235.43</v>
      </c>
    </row>
    <row r="227">
      <c r="A227" s="2">
        <f>IFERROR(__xludf.DUMMYFUNCTION("""COMPUTED_VALUE"""),44432.66666666667)</f>
        <v>44432.66667</v>
      </c>
      <c r="B227" s="1">
        <f>IFERROR(__xludf.DUMMYFUNCTION("""COMPUTED_VALUE"""),236.16)</f>
        <v>236.16</v>
      </c>
    </row>
    <row r="228">
      <c r="A228" s="2">
        <f>IFERROR(__xludf.DUMMYFUNCTION("""COMPUTED_VALUE"""),44433.66666666667)</f>
        <v>44433.66667</v>
      </c>
      <c r="B228" s="1">
        <f>IFERROR(__xludf.DUMMYFUNCTION("""COMPUTED_VALUE"""),237.07)</f>
        <v>237.07</v>
      </c>
    </row>
    <row r="229">
      <c r="A229" s="2">
        <f>IFERROR(__xludf.DUMMYFUNCTION("""COMPUTED_VALUE"""),44434.66666666667)</f>
        <v>44434.66667</v>
      </c>
      <c r="B229" s="1">
        <f>IFERROR(__xludf.DUMMYFUNCTION("""COMPUTED_VALUE"""),233.72)</f>
        <v>233.72</v>
      </c>
    </row>
    <row r="230">
      <c r="A230" s="2">
        <f>IFERROR(__xludf.DUMMYFUNCTION("""COMPUTED_VALUE"""),44435.66666666667)</f>
        <v>44435.66667</v>
      </c>
      <c r="B230" s="1">
        <f>IFERROR(__xludf.DUMMYFUNCTION("""COMPUTED_VALUE"""),237.31)</f>
        <v>237.31</v>
      </c>
    </row>
    <row r="231">
      <c r="A231" s="2">
        <f>IFERROR(__xludf.DUMMYFUNCTION("""COMPUTED_VALUE"""),44438.66666666667)</f>
        <v>44438.66667</v>
      </c>
      <c r="B231" s="1">
        <f>IFERROR(__xludf.DUMMYFUNCTION("""COMPUTED_VALUE"""),243.64)</f>
        <v>243.64</v>
      </c>
    </row>
    <row r="232">
      <c r="A232" s="2">
        <f>IFERROR(__xludf.DUMMYFUNCTION("""COMPUTED_VALUE"""),44439.66666666667)</f>
        <v>44439.66667</v>
      </c>
      <c r="B232" s="1">
        <f>IFERROR(__xludf.DUMMYFUNCTION("""COMPUTED_VALUE"""),245.24)</f>
        <v>245.24</v>
      </c>
    </row>
    <row r="233">
      <c r="A233" s="2">
        <f>IFERROR(__xludf.DUMMYFUNCTION("""COMPUTED_VALUE"""),44440.66666666667)</f>
        <v>44440.66667</v>
      </c>
      <c r="B233" s="1">
        <f>IFERROR(__xludf.DUMMYFUNCTION("""COMPUTED_VALUE"""),244.7)</f>
        <v>244.7</v>
      </c>
    </row>
    <row r="234">
      <c r="A234" s="2">
        <f>IFERROR(__xludf.DUMMYFUNCTION("""COMPUTED_VALUE"""),44441.66666666667)</f>
        <v>44441.66667</v>
      </c>
      <c r="B234" s="1">
        <f>IFERROR(__xludf.DUMMYFUNCTION("""COMPUTED_VALUE"""),244.13)</f>
        <v>244.13</v>
      </c>
    </row>
    <row r="235">
      <c r="A235" s="2">
        <f>IFERROR(__xludf.DUMMYFUNCTION("""COMPUTED_VALUE"""),44442.66666666667)</f>
        <v>44442.66667</v>
      </c>
      <c r="B235" s="1">
        <f>IFERROR(__xludf.DUMMYFUNCTION("""COMPUTED_VALUE"""),244.52)</f>
        <v>244.52</v>
      </c>
    </row>
    <row r="236">
      <c r="A236" s="2">
        <f>IFERROR(__xludf.DUMMYFUNCTION("""COMPUTED_VALUE"""),44446.66666666667)</f>
        <v>44446.66667</v>
      </c>
      <c r="B236" s="1">
        <f>IFERROR(__xludf.DUMMYFUNCTION("""COMPUTED_VALUE"""),250.97)</f>
        <v>250.97</v>
      </c>
    </row>
    <row r="237">
      <c r="A237" s="2">
        <f>IFERROR(__xludf.DUMMYFUNCTION("""COMPUTED_VALUE"""),44447.66666666667)</f>
        <v>44447.66667</v>
      </c>
      <c r="B237" s="1">
        <f>IFERROR(__xludf.DUMMYFUNCTION("""COMPUTED_VALUE"""),251.29)</f>
        <v>251.29</v>
      </c>
    </row>
    <row r="238">
      <c r="A238" s="2">
        <f>IFERROR(__xludf.DUMMYFUNCTION("""COMPUTED_VALUE"""),44448.66666666667)</f>
        <v>44448.66667</v>
      </c>
      <c r="B238" s="1">
        <f>IFERROR(__xludf.DUMMYFUNCTION("""COMPUTED_VALUE"""),251.62)</f>
        <v>251.62</v>
      </c>
    </row>
    <row r="239">
      <c r="A239" s="2">
        <f>IFERROR(__xludf.DUMMYFUNCTION("""COMPUTED_VALUE"""),44449.66666666667)</f>
        <v>44449.66667</v>
      </c>
      <c r="B239" s="1">
        <f>IFERROR(__xludf.DUMMYFUNCTION("""COMPUTED_VALUE"""),245.42)</f>
        <v>245.42</v>
      </c>
    </row>
    <row r="240">
      <c r="A240" s="2">
        <f>IFERROR(__xludf.DUMMYFUNCTION("""COMPUTED_VALUE"""),44452.66666666667)</f>
        <v>44452.66667</v>
      </c>
      <c r="B240" s="1">
        <f>IFERROR(__xludf.DUMMYFUNCTION("""COMPUTED_VALUE"""),247.67)</f>
        <v>247.67</v>
      </c>
    </row>
    <row r="241">
      <c r="A241" s="2">
        <f>IFERROR(__xludf.DUMMYFUNCTION("""COMPUTED_VALUE"""),44453.66666666667)</f>
        <v>44453.66667</v>
      </c>
      <c r="B241" s="1">
        <f>IFERROR(__xludf.DUMMYFUNCTION("""COMPUTED_VALUE"""),248.16)</f>
        <v>248.16</v>
      </c>
    </row>
    <row r="242">
      <c r="A242" s="2">
        <f>IFERROR(__xludf.DUMMYFUNCTION("""COMPUTED_VALUE"""),44454.66666666667)</f>
        <v>44454.66667</v>
      </c>
      <c r="B242" s="1">
        <f>IFERROR(__xludf.DUMMYFUNCTION("""COMPUTED_VALUE"""),251.94)</f>
        <v>251.94</v>
      </c>
    </row>
    <row r="243">
      <c r="A243" s="2">
        <f>IFERROR(__xludf.DUMMYFUNCTION("""COMPUTED_VALUE"""),44455.66666666667)</f>
        <v>44455.66667</v>
      </c>
      <c r="B243" s="1">
        <f>IFERROR(__xludf.DUMMYFUNCTION("""COMPUTED_VALUE"""),252.33)</f>
        <v>252.33</v>
      </c>
    </row>
    <row r="244">
      <c r="A244" s="2">
        <f>IFERROR(__xludf.DUMMYFUNCTION("""COMPUTED_VALUE"""),44456.66666666667)</f>
        <v>44456.66667</v>
      </c>
      <c r="B244" s="1">
        <f>IFERROR(__xludf.DUMMYFUNCTION("""COMPUTED_VALUE"""),253.16)</f>
        <v>253.16</v>
      </c>
    </row>
    <row r="245">
      <c r="A245" s="2">
        <f>IFERROR(__xludf.DUMMYFUNCTION("""COMPUTED_VALUE"""),44459.66666666667)</f>
        <v>44459.66667</v>
      </c>
      <c r="B245" s="1">
        <f>IFERROR(__xludf.DUMMYFUNCTION("""COMPUTED_VALUE"""),243.39)</f>
        <v>243.39</v>
      </c>
    </row>
    <row r="246">
      <c r="A246" s="2">
        <f>IFERROR(__xludf.DUMMYFUNCTION("""COMPUTED_VALUE"""),44460.66666666667)</f>
        <v>44460.66667</v>
      </c>
      <c r="B246" s="1">
        <f>IFERROR(__xludf.DUMMYFUNCTION("""COMPUTED_VALUE"""),246.46)</f>
        <v>246.46</v>
      </c>
    </row>
    <row r="247">
      <c r="A247" s="2">
        <f>IFERROR(__xludf.DUMMYFUNCTION("""COMPUTED_VALUE"""),44461.66666666667)</f>
        <v>44461.66667</v>
      </c>
      <c r="B247" s="1">
        <f>IFERROR(__xludf.DUMMYFUNCTION("""COMPUTED_VALUE"""),250.65)</f>
        <v>250.65</v>
      </c>
    </row>
    <row r="248">
      <c r="A248" s="2">
        <f>IFERROR(__xludf.DUMMYFUNCTION("""COMPUTED_VALUE"""),44462.66666666667)</f>
        <v>44462.66667</v>
      </c>
      <c r="B248" s="1">
        <f>IFERROR(__xludf.DUMMYFUNCTION("""COMPUTED_VALUE"""),251.21)</f>
        <v>251.21</v>
      </c>
    </row>
    <row r="249">
      <c r="A249" s="2">
        <f>IFERROR(__xludf.DUMMYFUNCTION("""COMPUTED_VALUE"""),44463.66666666667)</f>
        <v>44463.66667</v>
      </c>
      <c r="B249" s="1">
        <f>IFERROR(__xludf.DUMMYFUNCTION("""COMPUTED_VALUE"""),258.13)</f>
        <v>258.13</v>
      </c>
    </row>
    <row r="250">
      <c r="A250" s="2">
        <f>IFERROR(__xludf.DUMMYFUNCTION("""COMPUTED_VALUE"""),44466.66666666667)</f>
        <v>44466.66667</v>
      </c>
      <c r="B250" s="1">
        <f>IFERROR(__xludf.DUMMYFUNCTION("""COMPUTED_VALUE"""),263.79)</f>
        <v>263.79</v>
      </c>
    </row>
    <row r="251">
      <c r="A251" s="2">
        <f>IFERROR(__xludf.DUMMYFUNCTION("""COMPUTED_VALUE"""),44467.66666666667)</f>
        <v>44467.66667</v>
      </c>
      <c r="B251" s="1">
        <f>IFERROR(__xludf.DUMMYFUNCTION("""COMPUTED_VALUE"""),259.19)</f>
        <v>259.19</v>
      </c>
    </row>
    <row r="252">
      <c r="A252" s="2">
        <f>IFERROR(__xludf.DUMMYFUNCTION("""COMPUTED_VALUE"""),44468.66666666667)</f>
        <v>44468.66667</v>
      </c>
      <c r="B252" s="1">
        <f>IFERROR(__xludf.DUMMYFUNCTION("""COMPUTED_VALUE"""),260.44)</f>
        <v>260.44</v>
      </c>
    </row>
    <row r="253">
      <c r="A253" s="2">
        <f>IFERROR(__xludf.DUMMYFUNCTION("""COMPUTED_VALUE"""),44469.66666666667)</f>
        <v>44469.66667</v>
      </c>
      <c r="B253" s="1">
        <f>IFERROR(__xludf.DUMMYFUNCTION("""COMPUTED_VALUE"""),258.49)</f>
        <v>258.49</v>
      </c>
    </row>
    <row r="254">
      <c r="A254" s="2">
        <f>IFERROR(__xludf.DUMMYFUNCTION("""COMPUTED_VALUE"""),44470.66666666667)</f>
        <v>44470.66667</v>
      </c>
      <c r="B254" s="1">
        <f>IFERROR(__xludf.DUMMYFUNCTION("""COMPUTED_VALUE"""),258.41)</f>
        <v>258.41</v>
      </c>
    </row>
    <row r="255">
      <c r="A255" s="2">
        <f>IFERROR(__xludf.DUMMYFUNCTION("""COMPUTED_VALUE"""),44473.66666666667)</f>
        <v>44473.66667</v>
      </c>
      <c r="B255" s="1">
        <f>IFERROR(__xludf.DUMMYFUNCTION("""COMPUTED_VALUE"""),260.51)</f>
        <v>260.51</v>
      </c>
    </row>
    <row r="256">
      <c r="A256" s="2">
        <f>IFERROR(__xludf.DUMMYFUNCTION("""COMPUTED_VALUE"""),44474.66666666667)</f>
        <v>44474.66667</v>
      </c>
      <c r="B256" s="1">
        <f>IFERROR(__xludf.DUMMYFUNCTION("""COMPUTED_VALUE"""),260.2)</f>
        <v>260.2</v>
      </c>
    </row>
    <row r="257">
      <c r="A257" s="2">
        <f>IFERROR(__xludf.DUMMYFUNCTION("""COMPUTED_VALUE"""),44475.66666666667)</f>
        <v>44475.66667</v>
      </c>
      <c r="B257" s="1">
        <f>IFERROR(__xludf.DUMMYFUNCTION("""COMPUTED_VALUE"""),260.92)</f>
        <v>260.92</v>
      </c>
    </row>
    <row r="258">
      <c r="A258" s="2">
        <f>IFERROR(__xludf.DUMMYFUNCTION("""COMPUTED_VALUE"""),44476.66666666667)</f>
        <v>44476.66667</v>
      </c>
      <c r="B258" s="1">
        <f>IFERROR(__xludf.DUMMYFUNCTION("""COMPUTED_VALUE"""),264.54)</f>
        <v>264.54</v>
      </c>
    </row>
    <row r="259">
      <c r="A259" s="2">
        <f>IFERROR(__xludf.DUMMYFUNCTION("""COMPUTED_VALUE"""),44477.66666666667)</f>
        <v>44477.66667</v>
      </c>
      <c r="B259" s="1">
        <f>IFERROR(__xludf.DUMMYFUNCTION("""COMPUTED_VALUE"""),261.83)</f>
        <v>261.83</v>
      </c>
    </row>
    <row r="260">
      <c r="A260" s="2">
        <f>IFERROR(__xludf.DUMMYFUNCTION("""COMPUTED_VALUE"""),44480.66666666667)</f>
        <v>44480.66667</v>
      </c>
      <c r="B260" s="1">
        <f>IFERROR(__xludf.DUMMYFUNCTION("""COMPUTED_VALUE"""),263.98)</f>
        <v>263.98</v>
      </c>
    </row>
    <row r="261">
      <c r="A261" s="2">
        <f>IFERROR(__xludf.DUMMYFUNCTION("""COMPUTED_VALUE"""),44481.66666666667)</f>
        <v>44481.66667</v>
      </c>
      <c r="B261" s="1">
        <f>IFERROR(__xludf.DUMMYFUNCTION("""COMPUTED_VALUE"""),268.57)</f>
        <v>268.57</v>
      </c>
    </row>
    <row r="262">
      <c r="A262" s="2">
        <f>IFERROR(__xludf.DUMMYFUNCTION("""COMPUTED_VALUE"""),44482.66666666667)</f>
        <v>44482.66667</v>
      </c>
      <c r="B262" s="1">
        <f>IFERROR(__xludf.DUMMYFUNCTION("""COMPUTED_VALUE"""),270.36)</f>
        <v>270.36</v>
      </c>
    </row>
    <row r="263">
      <c r="A263" s="2">
        <f>IFERROR(__xludf.DUMMYFUNCTION("""COMPUTED_VALUE"""),44483.66666666667)</f>
        <v>44483.66667</v>
      </c>
      <c r="B263" s="1">
        <f>IFERROR(__xludf.DUMMYFUNCTION("""COMPUTED_VALUE"""),272.77)</f>
        <v>272.77</v>
      </c>
    </row>
    <row r="264">
      <c r="A264" s="2">
        <f>IFERROR(__xludf.DUMMYFUNCTION("""COMPUTED_VALUE"""),44484.66666666667)</f>
        <v>44484.66667</v>
      </c>
      <c r="B264" s="1">
        <f>IFERROR(__xludf.DUMMYFUNCTION("""COMPUTED_VALUE"""),281.01)</f>
        <v>281.01</v>
      </c>
    </row>
    <row r="265">
      <c r="A265" s="2">
        <f>IFERROR(__xludf.DUMMYFUNCTION("""COMPUTED_VALUE"""),44487.66666666667)</f>
        <v>44487.66667</v>
      </c>
      <c r="B265" s="1">
        <f>IFERROR(__xludf.DUMMYFUNCTION("""COMPUTED_VALUE"""),290.04)</f>
        <v>290.04</v>
      </c>
    </row>
    <row r="266">
      <c r="A266" s="2">
        <f>IFERROR(__xludf.DUMMYFUNCTION("""COMPUTED_VALUE"""),44488.66666666667)</f>
        <v>44488.66667</v>
      </c>
      <c r="B266" s="1">
        <f>IFERROR(__xludf.DUMMYFUNCTION("""COMPUTED_VALUE"""),288.09)</f>
        <v>288.09</v>
      </c>
    </row>
    <row r="267">
      <c r="A267" s="2">
        <f>IFERROR(__xludf.DUMMYFUNCTION("""COMPUTED_VALUE"""),44489.66666666667)</f>
        <v>44489.66667</v>
      </c>
      <c r="B267" s="1">
        <f>IFERROR(__xludf.DUMMYFUNCTION("""COMPUTED_VALUE"""),288.6)</f>
        <v>288.6</v>
      </c>
    </row>
    <row r="268">
      <c r="A268" s="2">
        <f>IFERROR(__xludf.DUMMYFUNCTION("""COMPUTED_VALUE"""),44490.66666666667)</f>
        <v>44490.66667</v>
      </c>
      <c r="B268" s="1">
        <f>IFERROR(__xludf.DUMMYFUNCTION("""COMPUTED_VALUE"""),298.0)</f>
        <v>298</v>
      </c>
    </row>
    <row r="269">
      <c r="A269" s="2">
        <f>IFERROR(__xludf.DUMMYFUNCTION("""COMPUTED_VALUE"""),44491.66666666667)</f>
        <v>44491.66667</v>
      </c>
      <c r="B269" s="1">
        <f>IFERROR(__xludf.DUMMYFUNCTION("""COMPUTED_VALUE"""),303.23)</f>
        <v>303.23</v>
      </c>
    </row>
    <row r="270">
      <c r="A270" s="2">
        <f>IFERROR(__xludf.DUMMYFUNCTION("""COMPUTED_VALUE"""),44494.66666666667)</f>
        <v>44494.66667</v>
      </c>
      <c r="B270" s="1">
        <f>IFERROR(__xludf.DUMMYFUNCTION("""COMPUTED_VALUE"""),341.62)</f>
        <v>341.62</v>
      </c>
    </row>
    <row r="271">
      <c r="A271" s="2">
        <f>IFERROR(__xludf.DUMMYFUNCTION("""COMPUTED_VALUE"""),44495.66666666667)</f>
        <v>44495.66667</v>
      </c>
      <c r="B271" s="1">
        <f>IFERROR(__xludf.DUMMYFUNCTION("""COMPUTED_VALUE"""),339.48)</f>
        <v>339.48</v>
      </c>
    </row>
    <row r="272">
      <c r="A272" s="2">
        <f>IFERROR(__xludf.DUMMYFUNCTION("""COMPUTED_VALUE"""),44496.66666666667)</f>
        <v>44496.66667</v>
      </c>
      <c r="B272" s="1">
        <f>IFERROR(__xludf.DUMMYFUNCTION("""COMPUTED_VALUE"""),345.95)</f>
        <v>345.95</v>
      </c>
    </row>
    <row r="273">
      <c r="A273" s="2">
        <f>IFERROR(__xludf.DUMMYFUNCTION("""COMPUTED_VALUE"""),44497.66666666667)</f>
        <v>44497.66667</v>
      </c>
      <c r="B273" s="1">
        <f>IFERROR(__xludf.DUMMYFUNCTION("""COMPUTED_VALUE"""),359.01)</f>
        <v>359.01</v>
      </c>
    </row>
    <row r="274">
      <c r="A274" s="2">
        <f>IFERROR(__xludf.DUMMYFUNCTION("""COMPUTED_VALUE"""),44498.66666666667)</f>
        <v>44498.66667</v>
      </c>
      <c r="B274" s="1">
        <f>IFERROR(__xludf.DUMMYFUNCTION("""COMPUTED_VALUE"""),371.33)</f>
        <v>371.33</v>
      </c>
    </row>
    <row r="275">
      <c r="A275" s="2">
        <f>IFERROR(__xludf.DUMMYFUNCTION("""COMPUTED_VALUE"""),44501.66666666667)</f>
        <v>44501.66667</v>
      </c>
      <c r="B275" s="1">
        <f>IFERROR(__xludf.DUMMYFUNCTION("""COMPUTED_VALUE"""),402.86)</f>
        <v>402.86</v>
      </c>
    </row>
    <row r="276">
      <c r="A276" s="2">
        <f>IFERROR(__xludf.DUMMYFUNCTION("""COMPUTED_VALUE"""),44502.66666666667)</f>
        <v>44502.66667</v>
      </c>
      <c r="B276" s="1">
        <f>IFERROR(__xludf.DUMMYFUNCTION("""COMPUTED_VALUE"""),390.67)</f>
        <v>390.67</v>
      </c>
    </row>
    <row r="277">
      <c r="A277" s="2">
        <f>IFERROR(__xludf.DUMMYFUNCTION("""COMPUTED_VALUE"""),44503.66666666667)</f>
        <v>44503.66667</v>
      </c>
      <c r="B277" s="1">
        <f>IFERROR(__xludf.DUMMYFUNCTION("""COMPUTED_VALUE"""),404.62)</f>
        <v>404.62</v>
      </c>
    </row>
    <row r="278">
      <c r="A278" s="2">
        <f>IFERROR(__xludf.DUMMYFUNCTION("""COMPUTED_VALUE"""),44504.66666666667)</f>
        <v>44504.66667</v>
      </c>
      <c r="B278" s="1">
        <f>IFERROR(__xludf.DUMMYFUNCTION("""COMPUTED_VALUE"""),409.97)</f>
        <v>409.97</v>
      </c>
    </row>
    <row r="279">
      <c r="A279" s="2">
        <f>IFERROR(__xludf.DUMMYFUNCTION("""COMPUTED_VALUE"""),44505.66666666667)</f>
        <v>44505.66667</v>
      </c>
      <c r="B279" s="1">
        <f>IFERROR(__xludf.DUMMYFUNCTION("""COMPUTED_VALUE"""),407.36)</f>
        <v>407.36</v>
      </c>
    </row>
    <row r="280">
      <c r="A280" s="2">
        <f>IFERROR(__xludf.DUMMYFUNCTION("""COMPUTED_VALUE"""),44508.66666666667)</f>
        <v>44508.66667</v>
      </c>
      <c r="B280" s="1">
        <f>IFERROR(__xludf.DUMMYFUNCTION("""COMPUTED_VALUE"""),387.65)</f>
        <v>387.65</v>
      </c>
    </row>
    <row r="281">
      <c r="A281" s="2">
        <f>IFERROR(__xludf.DUMMYFUNCTION("""COMPUTED_VALUE"""),44509.66666666667)</f>
        <v>44509.66667</v>
      </c>
      <c r="B281" s="1">
        <f>IFERROR(__xludf.DUMMYFUNCTION("""COMPUTED_VALUE"""),341.17)</f>
        <v>341.17</v>
      </c>
    </row>
    <row r="282">
      <c r="A282" s="2">
        <f>IFERROR(__xludf.DUMMYFUNCTION("""COMPUTED_VALUE"""),44510.66666666667)</f>
        <v>44510.66667</v>
      </c>
      <c r="B282" s="1">
        <f>IFERROR(__xludf.DUMMYFUNCTION("""COMPUTED_VALUE"""),355.98)</f>
        <v>355.98</v>
      </c>
    </row>
    <row r="283">
      <c r="A283" s="2">
        <f>IFERROR(__xludf.DUMMYFUNCTION("""COMPUTED_VALUE"""),44511.66666666667)</f>
        <v>44511.66667</v>
      </c>
      <c r="B283" s="1">
        <f>IFERROR(__xludf.DUMMYFUNCTION("""COMPUTED_VALUE"""),354.5)</f>
        <v>354.5</v>
      </c>
    </row>
    <row r="284">
      <c r="A284" s="2">
        <f>IFERROR(__xludf.DUMMYFUNCTION("""COMPUTED_VALUE"""),44512.66666666667)</f>
        <v>44512.66667</v>
      </c>
      <c r="B284" s="1">
        <f>IFERROR(__xludf.DUMMYFUNCTION("""COMPUTED_VALUE"""),344.47)</f>
        <v>344.47</v>
      </c>
    </row>
    <row r="285">
      <c r="A285" s="2">
        <f>IFERROR(__xludf.DUMMYFUNCTION("""COMPUTED_VALUE"""),44515.66666666667)</f>
        <v>44515.66667</v>
      </c>
      <c r="B285" s="1">
        <f>IFERROR(__xludf.DUMMYFUNCTION("""COMPUTED_VALUE"""),337.8)</f>
        <v>337.8</v>
      </c>
    </row>
    <row r="286">
      <c r="A286" s="2">
        <f>IFERROR(__xludf.DUMMYFUNCTION("""COMPUTED_VALUE"""),44516.66666666667)</f>
        <v>44516.66667</v>
      </c>
      <c r="B286" s="1">
        <f>IFERROR(__xludf.DUMMYFUNCTION("""COMPUTED_VALUE"""),351.58)</f>
        <v>351.58</v>
      </c>
    </row>
    <row r="287">
      <c r="A287" s="2">
        <f>IFERROR(__xludf.DUMMYFUNCTION("""COMPUTED_VALUE"""),44517.66666666667)</f>
        <v>44517.66667</v>
      </c>
      <c r="B287" s="1">
        <f>IFERROR(__xludf.DUMMYFUNCTION("""COMPUTED_VALUE"""),363.0)</f>
        <v>363</v>
      </c>
    </row>
    <row r="288">
      <c r="A288" s="2">
        <f>IFERROR(__xludf.DUMMYFUNCTION("""COMPUTED_VALUE"""),44518.66666666667)</f>
        <v>44518.66667</v>
      </c>
      <c r="B288" s="1">
        <f>IFERROR(__xludf.DUMMYFUNCTION("""COMPUTED_VALUE"""),365.46)</f>
        <v>365.46</v>
      </c>
    </row>
    <row r="289">
      <c r="A289" s="2">
        <f>IFERROR(__xludf.DUMMYFUNCTION("""COMPUTED_VALUE"""),44519.66666666667)</f>
        <v>44519.66667</v>
      </c>
      <c r="B289" s="1">
        <f>IFERROR(__xludf.DUMMYFUNCTION("""COMPUTED_VALUE"""),379.02)</f>
        <v>379.02</v>
      </c>
    </row>
    <row r="290">
      <c r="A290" s="2">
        <f>IFERROR(__xludf.DUMMYFUNCTION("""COMPUTED_VALUE"""),44522.66666666667)</f>
        <v>44522.66667</v>
      </c>
      <c r="B290" s="1">
        <f>IFERROR(__xludf.DUMMYFUNCTION("""COMPUTED_VALUE"""),385.62)</f>
        <v>385.62</v>
      </c>
    </row>
    <row r="291">
      <c r="A291" s="2">
        <f>IFERROR(__xludf.DUMMYFUNCTION("""COMPUTED_VALUE"""),44523.66666666667)</f>
        <v>44523.66667</v>
      </c>
      <c r="B291" s="1">
        <f>IFERROR(__xludf.DUMMYFUNCTION("""COMPUTED_VALUE"""),369.68)</f>
        <v>369.68</v>
      </c>
    </row>
    <row r="292">
      <c r="A292" s="2">
        <f>IFERROR(__xludf.DUMMYFUNCTION("""COMPUTED_VALUE"""),44524.66666666667)</f>
        <v>44524.66667</v>
      </c>
      <c r="B292" s="1">
        <f>IFERROR(__xludf.DUMMYFUNCTION("""COMPUTED_VALUE"""),372.0)</f>
        <v>372</v>
      </c>
    </row>
    <row r="293">
      <c r="A293" s="2">
        <f>IFERROR(__xludf.DUMMYFUNCTION("""COMPUTED_VALUE"""),44526.54166666667)</f>
        <v>44526.54167</v>
      </c>
      <c r="B293" s="1">
        <f>IFERROR(__xludf.DUMMYFUNCTION("""COMPUTED_VALUE"""),360.64)</f>
        <v>360.64</v>
      </c>
    </row>
    <row r="294">
      <c r="A294" s="2">
        <f>IFERROR(__xludf.DUMMYFUNCTION("""COMPUTED_VALUE"""),44529.66666666667)</f>
        <v>44529.66667</v>
      </c>
      <c r="B294" s="1">
        <f>IFERROR(__xludf.DUMMYFUNCTION("""COMPUTED_VALUE"""),379.0)</f>
        <v>379</v>
      </c>
    </row>
    <row r="295">
      <c r="A295" s="2">
        <f>IFERROR(__xludf.DUMMYFUNCTION("""COMPUTED_VALUE"""),44530.66666666667)</f>
        <v>44530.66667</v>
      </c>
      <c r="B295" s="1">
        <f>IFERROR(__xludf.DUMMYFUNCTION("""COMPUTED_VALUE"""),381.59)</f>
        <v>381.59</v>
      </c>
    </row>
    <row r="296">
      <c r="A296" s="2">
        <f>IFERROR(__xludf.DUMMYFUNCTION("""COMPUTED_VALUE"""),44531.66666666667)</f>
        <v>44531.66667</v>
      </c>
      <c r="B296" s="1">
        <f>IFERROR(__xludf.DUMMYFUNCTION("""COMPUTED_VALUE"""),365.0)</f>
        <v>365</v>
      </c>
    </row>
    <row r="297">
      <c r="A297" s="2">
        <f>IFERROR(__xludf.DUMMYFUNCTION("""COMPUTED_VALUE"""),44532.66666666667)</f>
        <v>44532.66667</v>
      </c>
      <c r="B297" s="1">
        <f>IFERROR(__xludf.DUMMYFUNCTION("""COMPUTED_VALUE"""),361.53)</f>
        <v>361.53</v>
      </c>
    </row>
    <row r="298">
      <c r="A298" s="2">
        <f>IFERROR(__xludf.DUMMYFUNCTION("""COMPUTED_VALUE"""),44533.66666666667)</f>
        <v>44533.66667</v>
      </c>
      <c r="B298" s="1">
        <f>IFERROR(__xludf.DUMMYFUNCTION("""COMPUTED_VALUE"""),338.32)</f>
        <v>338.32</v>
      </c>
    </row>
    <row r="299">
      <c r="A299" s="2">
        <f>IFERROR(__xludf.DUMMYFUNCTION("""COMPUTED_VALUE"""),44536.66666666667)</f>
        <v>44536.66667</v>
      </c>
      <c r="B299" s="1">
        <f>IFERROR(__xludf.DUMMYFUNCTION("""COMPUTED_VALUE"""),336.34)</f>
        <v>336.34</v>
      </c>
    </row>
    <row r="300">
      <c r="A300" s="2">
        <f>IFERROR(__xludf.DUMMYFUNCTION("""COMPUTED_VALUE"""),44537.66666666667)</f>
        <v>44537.66667</v>
      </c>
      <c r="B300" s="1">
        <f>IFERROR(__xludf.DUMMYFUNCTION("""COMPUTED_VALUE"""),350.58)</f>
        <v>350.58</v>
      </c>
    </row>
    <row r="301">
      <c r="A301" s="2">
        <f>IFERROR(__xludf.DUMMYFUNCTION("""COMPUTED_VALUE"""),44538.66666666667)</f>
        <v>44538.66667</v>
      </c>
      <c r="B301" s="1">
        <f>IFERROR(__xludf.DUMMYFUNCTION("""COMPUTED_VALUE"""),356.32)</f>
        <v>356.32</v>
      </c>
    </row>
    <row r="302">
      <c r="A302" s="2">
        <f>IFERROR(__xludf.DUMMYFUNCTION("""COMPUTED_VALUE"""),44539.66666666667)</f>
        <v>44539.66667</v>
      </c>
      <c r="B302" s="1">
        <f>IFERROR(__xludf.DUMMYFUNCTION("""COMPUTED_VALUE"""),334.6)</f>
        <v>334.6</v>
      </c>
    </row>
    <row r="303">
      <c r="A303" s="2">
        <f>IFERROR(__xludf.DUMMYFUNCTION("""COMPUTED_VALUE"""),44540.66666666667)</f>
        <v>44540.66667</v>
      </c>
      <c r="B303" s="1">
        <f>IFERROR(__xludf.DUMMYFUNCTION("""COMPUTED_VALUE"""),339.01)</f>
        <v>339.01</v>
      </c>
    </row>
    <row r="304">
      <c r="A304" s="2">
        <f>IFERROR(__xludf.DUMMYFUNCTION("""COMPUTED_VALUE"""),44543.66666666667)</f>
        <v>44543.66667</v>
      </c>
      <c r="B304" s="1">
        <f>IFERROR(__xludf.DUMMYFUNCTION("""COMPUTED_VALUE"""),322.14)</f>
        <v>322.14</v>
      </c>
    </row>
    <row r="305">
      <c r="A305" s="2">
        <f>IFERROR(__xludf.DUMMYFUNCTION("""COMPUTED_VALUE"""),44544.66666666667)</f>
        <v>44544.66667</v>
      </c>
      <c r="B305" s="1">
        <f>IFERROR(__xludf.DUMMYFUNCTION("""COMPUTED_VALUE"""),319.5)</f>
        <v>319.5</v>
      </c>
    </row>
    <row r="306">
      <c r="A306" s="2">
        <f>IFERROR(__xludf.DUMMYFUNCTION("""COMPUTED_VALUE"""),44545.66666666667)</f>
        <v>44545.66667</v>
      </c>
      <c r="B306" s="1">
        <f>IFERROR(__xludf.DUMMYFUNCTION("""COMPUTED_VALUE"""),325.33)</f>
        <v>325.33</v>
      </c>
    </row>
    <row r="307">
      <c r="A307" s="2">
        <f>IFERROR(__xludf.DUMMYFUNCTION("""COMPUTED_VALUE"""),44546.66666666667)</f>
        <v>44546.66667</v>
      </c>
      <c r="B307" s="1">
        <f>IFERROR(__xludf.DUMMYFUNCTION("""COMPUTED_VALUE"""),308.97)</f>
        <v>308.97</v>
      </c>
    </row>
    <row r="308">
      <c r="A308" s="2">
        <f>IFERROR(__xludf.DUMMYFUNCTION("""COMPUTED_VALUE"""),44547.66666666667)</f>
        <v>44547.66667</v>
      </c>
      <c r="B308" s="1">
        <f>IFERROR(__xludf.DUMMYFUNCTION("""COMPUTED_VALUE"""),310.86)</f>
        <v>310.86</v>
      </c>
    </row>
    <row r="309">
      <c r="A309" s="2">
        <f>IFERROR(__xludf.DUMMYFUNCTION("""COMPUTED_VALUE"""),44550.66666666667)</f>
        <v>44550.66667</v>
      </c>
      <c r="B309" s="1">
        <f>IFERROR(__xludf.DUMMYFUNCTION("""COMPUTED_VALUE"""),299.98)</f>
        <v>299.98</v>
      </c>
    </row>
    <row r="310">
      <c r="A310" s="2">
        <f>IFERROR(__xludf.DUMMYFUNCTION("""COMPUTED_VALUE"""),44551.66666666667)</f>
        <v>44551.66667</v>
      </c>
      <c r="B310" s="1">
        <f>IFERROR(__xludf.DUMMYFUNCTION("""COMPUTED_VALUE"""),312.84)</f>
        <v>312.84</v>
      </c>
    </row>
    <row r="311">
      <c r="A311" s="2">
        <f>IFERROR(__xludf.DUMMYFUNCTION("""COMPUTED_VALUE"""),44552.66666666667)</f>
        <v>44552.66667</v>
      </c>
      <c r="B311" s="1">
        <f>IFERROR(__xludf.DUMMYFUNCTION("""COMPUTED_VALUE"""),336.29)</f>
        <v>336.29</v>
      </c>
    </row>
    <row r="312">
      <c r="A312" s="2">
        <f>IFERROR(__xludf.DUMMYFUNCTION("""COMPUTED_VALUE"""),44553.66666666667)</f>
        <v>44553.66667</v>
      </c>
      <c r="B312" s="1">
        <f>IFERROR(__xludf.DUMMYFUNCTION("""COMPUTED_VALUE"""),355.67)</f>
        <v>355.67</v>
      </c>
    </row>
    <row r="313">
      <c r="A313" s="2">
        <f>IFERROR(__xludf.DUMMYFUNCTION("""COMPUTED_VALUE"""),44557.66666666667)</f>
        <v>44557.66667</v>
      </c>
      <c r="B313" s="1">
        <f>IFERROR(__xludf.DUMMYFUNCTION("""COMPUTED_VALUE"""),364.65)</f>
        <v>364.65</v>
      </c>
    </row>
    <row r="314">
      <c r="A314" s="2">
        <f>IFERROR(__xludf.DUMMYFUNCTION("""COMPUTED_VALUE"""),44558.66666666667)</f>
        <v>44558.66667</v>
      </c>
      <c r="B314" s="1">
        <f>IFERROR(__xludf.DUMMYFUNCTION("""COMPUTED_VALUE"""),362.82)</f>
        <v>362.82</v>
      </c>
    </row>
    <row r="315">
      <c r="A315" s="2">
        <f>IFERROR(__xludf.DUMMYFUNCTION("""COMPUTED_VALUE"""),44559.66666666667)</f>
        <v>44559.66667</v>
      </c>
      <c r="B315" s="1">
        <f>IFERROR(__xludf.DUMMYFUNCTION("""COMPUTED_VALUE"""),362.06)</f>
        <v>362.06</v>
      </c>
    </row>
    <row r="316">
      <c r="A316" s="2">
        <f>IFERROR(__xludf.DUMMYFUNCTION("""COMPUTED_VALUE"""),44560.66666666667)</f>
        <v>44560.66667</v>
      </c>
      <c r="B316" s="1">
        <f>IFERROR(__xludf.DUMMYFUNCTION("""COMPUTED_VALUE"""),356.78)</f>
        <v>356.78</v>
      </c>
    </row>
    <row r="317">
      <c r="A317" s="2">
        <f>IFERROR(__xludf.DUMMYFUNCTION("""COMPUTED_VALUE"""),44561.66666666667)</f>
        <v>44561.66667</v>
      </c>
      <c r="B317" s="1">
        <f>IFERROR(__xludf.DUMMYFUNCTION("""COMPUTED_VALUE"""),352.26)</f>
        <v>352.26</v>
      </c>
    </row>
    <row r="318">
      <c r="A318" s="2">
        <f>IFERROR(__xludf.DUMMYFUNCTION("""COMPUTED_VALUE"""),44564.66666666667)</f>
        <v>44564.66667</v>
      </c>
      <c r="B318" s="1">
        <f>IFERROR(__xludf.DUMMYFUNCTION("""COMPUTED_VALUE"""),399.93)</f>
        <v>399.93</v>
      </c>
    </row>
    <row r="319">
      <c r="A319" s="2">
        <f>IFERROR(__xludf.DUMMYFUNCTION("""COMPUTED_VALUE"""),44565.66666666667)</f>
        <v>44565.66667</v>
      </c>
      <c r="B319" s="1">
        <f>IFERROR(__xludf.DUMMYFUNCTION("""COMPUTED_VALUE"""),383.2)</f>
        <v>383.2</v>
      </c>
    </row>
    <row r="320">
      <c r="A320" s="2">
        <f>IFERROR(__xludf.DUMMYFUNCTION("""COMPUTED_VALUE"""),44566.66666666667)</f>
        <v>44566.66667</v>
      </c>
      <c r="B320" s="1">
        <f>IFERROR(__xludf.DUMMYFUNCTION("""COMPUTED_VALUE"""),362.71)</f>
        <v>362.71</v>
      </c>
    </row>
    <row r="321">
      <c r="A321" s="2">
        <f>IFERROR(__xludf.DUMMYFUNCTION("""COMPUTED_VALUE"""),44567.66666666667)</f>
        <v>44567.66667</v>
      </c>
      <c r="B321" s="1">
        <f>IFERROR(__xludf.DUMMYFUNCTION("""COMPUTED_VALUE"""),354.9)</f>
        <v>354.9</v>
      </c>
    </row>
    <row r="322">
      <c r="A322" s="2">
        <f>IFERROR(__xludf.DUMMYFUNCTION("""COMPUTED_VALUE"""),44568.66666666667)</f>
        <v>44568.66667</v>
      </c>
      <c r="B322" s="1">
        <f>IFERROR(__xludf.DUMMYFUNCTION("""COMPUTED_VALUE"""),342.32)</f>
        <v>342.32</v>
      </c>
    </row>
    <row r="323">
      <c r="A323" s="2">
        <f>IFERROR(__xludf.DUMMYFUNCTION("""COMPUTED_VALUE"""),44571.66666666667)</f>
        <v>44571.66667</v>
      </c>
      <c r="B323" s="1">
        <f>IFERROR(__xludf.DUMMYFUNCTION("""COMPUTED_VALUE"""),352.71)</f>
        <v>352.71</v>
      </c>
    </row>
    <row r="324">
      <c r="A324" s="2">
        <f>IFERROR(__xludf.DUMMYFUNCTION("""COMPUTED_VALUE"""),44572.66666666667)</f>
        <v>44572.66667</v>
      </c>
      <c r="B324" s="1">
        <f>IFERROR(__xludf.DUMMYFUNCTION("""COMPUTED_VALUE"""),354.8)</f>
        <v>354.8</v>
      </c>
    </row>
    <row r="325">
      <c r="A325" s="2">
        <f>IFERROR(__xludf.DUMMYFUNCTION("""COMPUTED_VALUE"""),44573.66666666667)</f>
        <v>44573.66667</v>
      </c>
      <c r="B325" s="1">
        <f>IFERROR(__xludf.DUMMYFUNCTION("""COMPUTED_VALUE"""),368.74)</f>
        <v>368.74</v>
      </c>
    </row>
    <row r="326">
      <c r="A326" s="2">
        <f>IFERROR(__xludf.DUMMYFUNCTION("""COMPUTED_VALUE"""),44574.66666666667)</f>
        <v>44574.66667</v>
      </c>
      <c r="B326" s="1">
        <f>IFERROR(__xludf.DUMMYFUNCTION("""COMPUTED_VALUE"""),343.85)</f>
        <v>343.85</v>
      </c>
    </row>
    <row r="327">
      <c r="A327" s="2">
        <f>IFERROR(__xludf.DUMMYFUNCTION("""COMPUTED_VALUE"""),44575.66666666667)</f>
        <v>44575.66667</v>
      </c>
      <c r="B327" s="1">
        <f>IFERROR(__xludf.DUMMYFUNCTION("""COMPUTED_VALUE"""),349.87)</f>
        <v>349.87</v>
      </c>
    </row>
    <row r="328">
      <c r="A328" s="2">
        <f>IFERROR(__xludf.DUMMYFUNCTION("""COMPUTED_VALUE"""),44579.66666666667)</f>
        <v>44579.66667</v>
      </c>
      <c r="B328" s="1">
        <f>IFERROR(__xludf.DUMMYFUNCTION("""COMPUTED_VALUE"""),343.5)</f>
        <v>343.5</v>
      </c>
    </row>
    <row r="329">
      <c r="A329" s="2">
        <f>IFERROR(__xludf.DUMMYFUNCTION("""COMPUTED_VALUE"""),44580.66666666667)</f>
        <v>44580.66667</v>
      </c>
      <c r="B329" s="1">
        <f>IFERROR(__xludf.DUMMYFUNCTION("""COMPUTED_VALUE"""),331.88)</f>
        <v>331.88</v>
      </c>
    </row>
    <row r="330">
      <c r="A330" s="2">
        <f>IFERROR(__xludf.DUMMYFUNCTION("""COMPUTED_VALUE"""),44581.66666666667)</f>
        <v>44581.66667</v>
      </c>
      <c r="B330" s="1">
        <f>IFERROR(__xludf.DUMMYFUNCTION("""COMPUTED_VALUE"""),332.09)</f>
        <v>332.09</v>
      </c>
    </row>
    <row r="331">
      <c r="A331" s="2">
        <f>IFERROR(__xludf.DUMMYFUNCTION("""COMPUTED_VALUE"""),44582.66666666667)</f>
        <v>44582.66667</v>
      </c>
      <c r="B331" s="1">
        <f>IFERROR(__xludf.DUMMYFUNCTION("""COMPUTED_VALUE"""),314.63)</f>
        <v>314.63</v>
      </c>
    </row>
    <row r="332">
      <c r="A332" s="2">
        <f>IFERROR(__xludf.DUMMYFUNCTION("""COMPUTED_VALUE"""),44585.66666666667)</f>
        <v>44585.66667</v>
      </c>
      <c r="B332" s="1">
        <f>IFERROR(__xludf.DUMMYFUNCTION("""COMPUTED_VALUE"""),310.0)</f>
        <v>310</v>
      </c>
    </row>
    <row r="333">
      <c r="A333" s="2">
        <f>IFERROR(__xludf.DUMMYFUNCTION("""COMPUTED_VALUE"""),44586.66666666667)</f>
        <v>44586.66667</v>
      </c>
      <c r="B333" s="1">
        <f>IFERROR(__xludf.DUMMYFUNCTION("""COMPUTED_VALUE"""),306.13)</f>
        <v>306.13</v>
      </c>
    </row>
    <row r="334">
      <c r="A334" s="2">
        <f>IFERROR(__xludf.DUMMYFUNCTION("""COMPUTED_VALUE"""),44587.66666666667)</f>
        <v>44587.66667</v>
      </c>
      <c r="B334" s="1">
        <f>IFERROR(__xludf.DUMMYFUNCTION("""COMPUTED_VALUE"""),312.47)</f>
        <v>312.47</v>
      </c>
    </row>
    <row r="335">
      <c r="A335" s="2">
        <f>IFERROR(__xludf.DUMMYFUNCTION("""COMPUTED_VALUE"""),44588.66666666667)</f>
        <v>44588.66667</v>
      </c>
      <c r="B335" s="1">
        <f>IFERROR(__xludf.DUMMYFUNCTION("""COMPUTED_VALUE"""),276.37)</f>
        <v>276.37</v>
      </c>
    </row>
    <row r="336">
      <c r="A336" s="2">
        <f>IFERROR(__xludf.DUMMYFUNCTION("""COMPUTED_VALUE"""),44589.66666666667)</f>
        <v>44589.66667</v>
      </c>
      <c r="B336" s="1">
        <f>IFERROR(__xludf.DUMMYFUNCTION("""COMPUTED_VALUE"""),282.12)</f>
        <v>282.12</v>
      </c>
    </row>
    <row r="337">
      <c r="A337" s="2">
        <f>IFERROR(__xludf.DUMMYFUNCTION("""COMPUTED_VALUE"""),44592.66666666667)</f>
        <v>44592.66667</v>
      </c>
      <c r="B337" s="1">
        <f>IFERROR(__xludf.DUMMYFUNCTION("""COMPUTED_VALUE"""),312.24)</f>
        <v>312.24</v>
      </c>
    </row>
    <row r="338">
      <c r="A338" s="2">
        <f>IFERROR(__xludf.DUMMYFUNCTION("""COMPUTED_VALUE"""),44593.66666666667)</f>
        <v>44593.66667</v>
      </c>
      <c r="B338" s="1">
        <f>IFERROR(__xludf.DUMMYFUNCTION("""COMPUTED_VALUE"""),310.42)</f>
        <v>310.42</v>
      </c>
    </row>
    <row r="339">
      <c r="A339" s="2">
        <f>IFERROR(__xludf.DUMMYFUNCTION("""COMPUTED_VALUE"""),44594.66666666667)</f>
        <v>44594.66667</v>
      </c>
      <c r="B339" s="1">
        <f>IFERROR(__xludf.DUMMYFUNCTION("""COMPUTED_VALUE"""),301.89)</f>
        <v>301.89</v>
      </c>
    </row>
    <row r="340">
      <c r="A340" s="2">
        <f>IFERROR(__xludf.DUMMYFUNCTION("""COMPUTED_VALUE"""),44595.66666666667)</f>
        <v>44595.66667</v>
      </c>
      <c r="B340" s="1">
        <f>IFERROR(__xludf.DUMMYFUNCTION("""COMPUTED_VALUE"""),297.05)</f>
        <v>297.05</v>
      </c>
    </row>
    <row r="341">
      <c r="A341" s="2">
        <f>IFERROR(__xludf.DUMMYFUNCTION("""COMPUTED_VALUE"""),44596.66666666667)</f>
        <v>44596.66667</v>
      </c>
      <c r="B341" s="1">
        <f>IFERROR(__xludf.DUMMYFUNCTION("""COMPUTED_VALUE"""),307.77)</f>
        <v>307.77</v>
      </c>
    </row>
    <row r="342">
      <c r="A342" s="2">
        <f>IFERROR(__xludf.DUMMYFUNCTION("""COMPUTED_VALUE"""),44599.66666666667)</f>
        <v>44599.66667</v>
      </c>
      <c r="B342" s="1">
        <f>IFERROR(__xludf.DUMMYFUNCTION("""COMPUTED_VALUE"""),302.45)</f>
        <v>302.45</v>
      </c>
    </row>
    <row r="343">
      <c r="A343" s="2">
        <f>IFERROR(__xludf.DUMMYFUNCTION("""COMPUTED_VALUE"""),44600.66666666667)</f>
        <v>44600.66667</v>
      </c>
      <c r="B343" s="1">
        <f>IFERROR(__xludf.DUMMYFUNCTION("""COMPUTED_VALUE"""),307.33)</f>
        <v>307.33</v>
      </c>
    </row>
    <row r="344">
      <c r="A344" s="2">
        <f>IFERROR(__xludf.DUMMYFUNCTION("""COMPUTED_VALUE"""),44601.66666666667)</f>
        <v>44601.66667</v>
      </c>
      <c r="B344" s="1">
        <f>IFERROR(__xludf.DUMMYFUNCTION("""COMPUTED_VALUE"""),310.67)</f>
        <v>310.67</v>
      </c>
    </row>
    <row r="345">
      <c r="A345" s="2">
        <f>IFERROR(__xludf.DUMMYFUNCTION("""COMPUTED_VALUE"""),44602.66666666667)</f>
        <v>44602.66667</v>
      </c>
      <c r="B345" s="1">
        <f>IFERROR(__xludf.DUMMYFUNCTION("""COMPUTED_VALUE"""),301.52)</f>
        <v>301.52</v>
      </c>
    </row>
    <row r="346">
      <c r="A346" s="2">
        <f>IFERROR(__xludf.DUMMYFUNCTION("""COMPUTED_VALUE"""),44603.66666666667)</f>
        <v>44603.66667</v>
      </c>
      <c r="B346" s="1">
        <f>IFERROR(__xludf.DUMMYFUNCTION("""COMPUTED_VALUE"""),286.67)</f>
        <v>286.67</v>
      </c>
    </row>
    <row r="347">
      <c r="A347" s="2">
        <f>IFERROR(__xludf.DUMMYFUNCTION("""COMPUTED_VALUE"""),44606.66666666667)</f>
        <v>44606.66667</v>
      </c>
      <c r="B347" s="1">
        <f>IFERROR(__xludf.DUMMYFUNCTION("""COMPUTED_VALUE"""),291.92)</f>
        <v>291.92</v>
      </c>
    </row>
    <row r="348">
      <c r="A348" s="2">
        <f>IFERROR(__xludf.DUMMYFUNCTION("""COMPUTED_VALUE"""),44607.66666666667)</f>
        <v>44607.66667</v>
      </c>
      <c r="B348" s="1">
        <f>IFERROR(__xludf.DUMMYFUNCTION("""COMPUTED_VALUE"""),307.48)</f>
        <v>307.48</v>
      </c>
    </row>
    <row r="349">
      <c r="A349" s="2">
        <f>IFERROR(__xludf.DUMMYFUNCTION("""COMPUTED_VALUE"""),44608.66666666667)</f>
        <v>44608.66667</v>
      </c>
      <c r="B349" s="1">
        <f>IFERROR(__xludf.DUMMYFUNCTION("""COMPUTED_VALUE"""),307.8)</f>
        <v>307.8</v>
      </c>
    </row>
    <row r="350">
      <c r="A350" s="2">
        <f>IFERROR(__xludf.DUMMYFUNCTION("""COMPUTED_VALUE"""),44609.66666666667)</f>
        <v>44609.66667</v>
      </c>
      <c r="B350" s="1">
        <f>IFERROR(__xludf.DUMMYFUNCTION("""COMPUTED_VALUE"""),292.12)</f>
        <v>292.12</v>
      </c>
    </row>
    <row r="351">
      <c r="A351" s="2">
        <f>IFERROR(__xludf.DUMMYFUNCTION("""COMPUTED_VALUE"""),44610.66666666667)</f>
        <v>44610.66667</v>
      </c>
      <c r="B351" s="1">
        <f>IFERROR(__xludf.DUMMYFUNCTION("""COMPUTED_VALUE"""),285.66)</f>
        <v>285.66</v>
      </c>
    </row>
    <row r="352">
      <c r="A352" s="2">
        <f>IFERROR(__xludf.DUMMYFUNCTION("""COMPUTED_VALUE"""),44614.66666666667)</f>
        <v>44614.66667</v>
      </c>
      <c r="B352" s="1">
        <f>IFERROR(__xludf.DUMMYFUNCTION("""COMPUTED_VALUE"""),273.84)</f>
        <v>273.84</v>
      </c>
    </row>
    <row r="353">
      <c r="A353" s="2">
        <f>IFERROR(__xludf.DUMMYFUNCTION("""COMPUTED_VALUE"""),44615.66666666667)</f>
        <v>44615.66667</v>
      </c>
      <c r="B353" s="1">
        <f>IFERROR(__xludf.DUMMYFUNCTION("""COMPUTED_VALUE"""),254.68)</f>
        <v>254.68</v>
      </c>
    </row>
    <row r="354">
      <c r="A354" s="2">
        <f>IFERROR(__xludf.DUMMYFUNCTION("""COMPUTED_VALUE"""),44616.66666666667)</f>
        <v>44616.66667</v>
      </c>
      <c r="B354" s="1">
        <f>IFERROR(__xludf.DUMMYFUNCTION("""COMPUTED_VALUE"""),266.92)</f>
        <v>266.92</v>
      </c>
    </row>
    <row r="355">
      <c r="A355" s="2">
        <f>IFERROR(__xludf.DUMMYFUNCTION("""COMPUTED_VALUE"""),44617.66666666667)</f>
        <v>44617.66667</v>
      </c>
      <c r="B355" s="1">
        <f>IFERROR(__xludf.DUMMYFUNCTION("""COMPUTED_VALUE"""),269.96)</f>
        <v>269.96</v>
      </c>
    </row>
    <row r="356">
      <c r="A356" s="2">
        <f>IFERROR(__xludf.DUMMYFUNCTION("""COMPUTED_VALUE"""),44620.66666666667)</f>
        <v>44620.66667</v>
      </c>
      <c r="B356" s="1">
        <f>IFERROR(__xludf.DUMMYFUNCTION("""COMPUTED_VALUE"""),290.14)</f>
        <v>290.14</v>
      </c>
    </row>
    <row r="357">
      <c r="A357" s="2">
        <f>IFERROR(__xludf.DUMMYFUNCTION("""COMPUTED_VALUE"""),44621.66666666667)</f>
        <v>44621.66667</v>
      </c>
      <c r="B357" s="1">
        <f>IFERROR(__xludf.DUMMYFUNCTION("""COMPUTED_VALUE"""),288.12)</f>
        <v>288.12</v>
      </c>
    </row>
    <row r="358">
      <c r="A358" s="2">
        <f>IFERROR(__xludf.DUMMYFUNCTION("""COMPUTED_VALUE"""),44622.66666666667)</f>
        <v>44622.66667</v>
      </c>
      <c r="B358" s="1">
        <f>IFERROR(__xludf.DUMMYFUNCTION("""COMPUTED_VALUE"""),293.3)</f>
        <v>293.3</v>
      </c>
    </row>
    <row r="359">
      <c r="A359" s="2">
        <f>IFERROR(__xludf.DUMMYFUNCTION("""COMPUTED_VALUE"""),44623.66666666667)</f>
        <v>44623.66667</v>
      </c>
      <c r="B359" s="1">
        <f>IFERROR(__xludf.DUMMYFUNCTION("""COMPUTED_VALUE"""),279.76)</f>
        <v>279.76</v>
      </c>
    </row>
    <row r="360">
      <c r="A360" s="2">
        <f>IFERROR(__xludf.DUMMYFUNCTION("""COMPUTED_VALUE"""),44624.66666666667)</f>
        <v>44624.66667</v>
      </c>
      <c r="B360" s="1">
        <f>IFERROR(__xludf.DUMMYFUNCTION("""COMPUTED_VALUE"""),279.43)</f>
        <v>279.43</v>
      </c>
    </row>
    <row r="361">
      <c r="A361" s="2">
        <f>IFERROR(__xludf.DUMMYFUNCTION("""COMPUTED_VALUE"""),44627.66666666667)</f>
        <v>44627.66667</v>
      </c>
      <c r="B361" s="1">
        <f>IFERROR(__xludf.DUMMYFUNCTION("""COMPUTED_VALUE"""),268.19)</f>
        <v>268.19</v>
      </c>
    </row>
    <row r="362">
      <c r="A362" s="2">
        <f>IFERROR(__xludf.DUMMYFUNCTION("""COMPUTED_VALUE"""),44628.66666666667)</f>
        <v>44628.66667</v>
      </c>
      <c r="B362" s="1">
        <f>IFERROR(__xludf.DUMMYFUNCTION("""COMPUTED_VALUE"""),274.8)</f>
        <v>274.8</v>
      </c>
    </row>
    <row r="363">
      <c r="A363" s="2">
        <f>IFERROR(__xludf.DUMMYFUNCTION("""COMPUTED_VALUE"""),44629.66666666667)</f>
        <v>44629.66667</v>
      </c>
      <c r="B363" s="1">
        <f>IFERROR(__xludf.DUMMYFUNCTION("""COMPUTED_VALUE"""),286.32)</f>
        <v>286.32</v>
      </c>
    </row>
    <row r="364">
      <c r="A364" s="2">
        <f>IFERROR(__xludf.DUMMYFUNCTION("""COMPUTED_VALUE"""),44630.66666666667)</f>
        <v>44630.66667</v>
      </c>
      <c r="B364" s="1">
        <f>IFERROR(__xludf.DUMMYFUNCTION("""COMPUTED_VALUE"""),279.43)</f>
        <v>279.43</v>
      </c>
    </row>
    <row r="365">
      <c r="A365" s="2">
        <f>IFERROR(__xludf.DUMMYFUNCTION("""COMPUTED_VALUE"""),44631.66666666667)</f>
        <v>44631.66667</v>
      </c>
      <c r="B365" s="1">
        <f>IFERROR(__xludf.DUMMYFUNCTION("""COMPUTED_VALUE"""),265.12)</f>
        <v>265.12</v>
      </c>
    </row>
    <row r="366">
      <c r="A366" s="2">
        <f>IFERROR(__xludf.DUMMYFUNCTION("""COMPUTED_VALUE"""),44634.66666666667)</f>
        <v>44634.66667</v>
      </c>
      <c r="B366" s="1">
        <f>IFERROR(__xludf.DUMMYFUNCTION("""COMPUTED_VALUE"""),255.46)</f>
        <v>255.46</v>
      </c>
    </row>
    <row r="367">
      <c r="A367" s="2">
        <f>IFERROR(__xludf.DUMMYFUNCTION("""COMPUTED_VALUE"""),44635.66666666667)</f>
        <v>44635.66667</v>
      </c>
      <c r="B367" s="1">
        <f>IFERROR(__xludf.DUMMYFUNCTION("""COMPUTED_VALUE"""),267.3)</f>
        <v>267.3</v>
      </c>
    </row>
    <row r="368">
      <c r="A368" s="2">
        <f>IFERROR(__xludf.DUMMYFUNCTION("""COMPUTED_VALUE"""),44636.66666666667)</f>
        <v>44636.66667</v>
      </c>
      <c r="B368" s="1">
        <f>IFERROR(__xludf.DUMMYFUNCTION("""COMPUTED_VALUE"""),280.08)</f>
        <v>280.08</v>
      </c>
    </row>
    <row r="369">
      <c r="A369" s="2">
        <f>IFERROR(__xludf.DUMMYFUNCTION("""COMPUTED_VALUE"""),44637.66666666667)</f>
        <v>44637.66667</v>
      </c>
      <c r="B369" s="1">
        <f>IFERROR(__xludf.DUMMYFUNCTION("""COMPUTED_VALUE"""),290.53)</f>
        <v>290.53</v>
      </c>
    </row>
    <row r="370">
      <c r="A370" s="2">
        <f>IFERROR(__xludf.DUMMYFUNCTION("""COMPUTED_VALUE"""),44638.66666666667)</f>
        <v>44638.66667</v>
      </c>
      <c r="B370" s="1">
        <f>IFERROR(__xludf.DUMMYFUNCTION("""COMPUTED_VALUE"""),301.8)</f>
        <v>301.8</v>
      </c>
    </row>
    <row r="371">
      <c r="A371" s="2">
        <f>IFERROR(__xludf.DUMMYFUNCTION("""COMPUTED_VALUE"""),44641.66666666667)</f>
        <v>44641.66667</v>
      </c>
      <c r="B371" s="1">
        <f>IFERROR(__xludf.DUMMYFUNCTION("""COMPUTED_VALUE"""),307.05)</f>
        <v>307.05</v>
      </c>
    </row>
    <row r="372">
      <c r="A372" s="2">
        <f>IFERROR(__xludf.DUMMYFUNCTION("""COMPUTED_VALUE"""),44642.66666666667)</f>
        <v>44642.66667</v>
      </c>
      <c r="B372" s="1">
        <f>IFERROR(__xludf.DUMMYFUNCTION("""COMPUTED_VALUE"""),331.33)</f>
        <v>331.33</v>
      </c>
    </row>
    <row r="373">
      <c r="A373" s="2">
        <f>IFERROR(__xludf.DUMMYFUNCTION("""COMPUTED_VALUE"""),44643.66666666667)</f>
        <v>44643.66667</v>
      </c>
      <c r="B373" s="1">
        <f>IFERROR(__xludf.DUMMYFUNCTION("""COMPUTED_VALUE"""),333.04)</f>
        <v>333.04</v>
      </c>
    </row>
    <row r="374">
      <c r="A374" s="2">
        <f>IFERROR(__xludf.DUMMYFUNCTION("""COMPUTED_VALUE"""),44644.66666666667)</f>
        <v>44644.66667</v>
      </c>
      <c r="B374" s="1">
        <f>IFERROR(__xludf.DUMMYFUNCTION("""COMPUTED_VALUE"""),337.97)</f>
        <v>337.97</v>
      </c>
    </row>
    <row r="375">
      <c r="A375" s="2">
        <f>IFERROR(__xludf.DUMMYFUNCTION("""COMPUTED_VALUE"""),44645.66666666667)</f>
        <v>44645.66667</v>
      </c>
      <c r="B375" s="1">
        <f>IFERROR(__xludf.DUMMYFUNCTION("""COMPUTED_VALUE"""),336.88)</f>
        <v>336.88</v>
      </c>
    </row>
    <row r="376">
      <c r="A376" s="2">
        <f>IFERROR(__xludf.DUMMYFUNCTION("""COMPUTED_VALUE"""),44648.66666666667)</f>
        <v>44648.66667</v>
      </c>
      <c r="B376" s="1">
        <f>IFERROR(__xludf.DUMMYFUNCTION("""COMPUTED_VALUE"""),363.95)</f>
        <v>363.95</v>
      </c>
    </row>
    <row r="377">
      <c r="A377" s="2">
        <f>IFERROR(__xludf.DUMMYFUNCTION("""COMPUTED_VALUE"""),44649.66666666667)</f>
        <v>44649.66667</v>
      </c>
      <c r="B377" s="1">
        <f>IFERROR(__xludf.DUMMYFUNCTION("""COMPUTED_VALUE"""),366.52)</f>
        <v>366.52</v>
      </c>
    </row>
    <row r="378">
      <c r="A378" s="2">
        <f>IFERROR(__xludf.DUMMYFUNCTION("""COMPUTED_VALUE"""),44650.66666666667)</f>
        <v>44650.66667</v>
      </c>
      <c r="B378" s="1">
        <f>IFERROR(__xludf.DUMMYFUNCTION("""COMPUTED_VALUE"""),364.66)</f>
        <v>364.66</v>
      </c>
    </row>
    <row r="379">
      <c r="A379" s="2">
        <f>IFERROR(__xludf.DUMMYFUNCTION("""COMPUTED_VALUE"""),44651.66666666667)</f>
        <v>44651.66667</v>
      </c>
      <c r="B379" s="1">
        <f>IFERROR(__xludf.DUMMYFUNCTION("""COMPUTED_VALUE"""),359.2)</f>
        <v>359.2</v>
      </c>
    </row>
    <row r="380">
      <c r="A380" s="2">
        <f>IFERROR(__xludf.DUMMYFUNCTION("""COMPUTED_VALUE"""),44652.66666666667)</f>
        <v>44652.66667</v>
      </c>
      <c r="B380" s="1">
        <f>IFERROR(__xludf.DUMMYFUNCTION("""COMPUTED_VALUE"""),361.53)</f>
        <v>361.53</v>
      </c>
    </row>
    <row r="381">
      <c r="A381" s="2">
        <f>IFERROR(__xludf.DUMMYFUNCTION("""COMPUTED_VALUE"""),44655.66666666667)</f>
        <v>44655.66667</v>
      </c>
      <c r="B381" s="1">
        <f>IFERROR(__xludf.DUMMYFUNCTION("""COMPUTED_VALUE"""),381.82)</f>
        <v>381.82</v>
      </c>
    </row>
    <row r="382">
      <c r="A382" s="2">
        <f>IFERROR(__xludf.DUMMYFUNCTION("""COMPUTED_VALUE"""),44656.66666666667)</f>
        <v>44656.66667</v>
      </c>
      <c r="B382" s="1">
        <f>IFERROR(__xludf.DUMMYFUNCTION("""COMPUTED_VALUE"""),363.75)</f>
        <v>363.75</v>
      </c>
    </row>
    <row r="383">
      <c r="A383" s="2">
        <f>IFERROR(__xludf.DUMMYFUNCTION("""COMPUTED_VALUE"""),44657.66666666667)</f>
        <v>44657.66667</v>
      </c>
      <c r="B383" s="1">
        <f>IFERROR(__xludf.DUMMYFUNCTION("""COMPUTED_VALUE"""),348.59)</f>
        <v>348.59</v>
      </c>
    </row>
    <row r="384">
      <c r="A384" s="2">
        <f>IFERROR(__xludf.DUMMYFUNCTION("""COMPUTED_VALUE"""),44658.66666666667)</f>
        <v>44658.66667</v>
      </c>
      <c r="B384" s="1">
        <f>IFERROR(__xludf.DUMMYFUNCTION("""COMPUTED_VALUE"""),352.42)</f>
        <v>352.42</v>
      </c>
    </row>
    <row r="385">
      <c r="A385" s="2">
        <f>IFERROR(__xludf.DUMMYFUNCTION("""COMPUTED_VALUE"""),44659.66666666667)</f>
        <v>44659.66667</v>
      </c>
      <c r="B385" s="1">
        <f>IFERROR(__xludf.DUMMYFUNCTION("""COMPUTED_VALUE"""),341.83)</f>
        <v>341.83</v>
      </c>
    </row>
    <row r="386">
      <c r="A386" s="2">
        <f>IFERROR(__xludf.DUMMYFUNCTION("""COMPUTED_VALUE"""),44662.66666666667)</f>
        <v>44662.66667</v>
      </c>
      <c r="B386" s="1">
        <f>IFERROR(__xludf.DUMMYFUNCTION("""COMPUTED_VALUE"""),325.31)</f>
        <v>325.31</v>
      </c>
    </row>
    <row r="387">
      <c r="A387" s="2">
        <f>IFERROR(__xludf.DUMMYFUNCTION("""COMPUTED_VALUE"""),44663.66666666667)</f>
        <v>44663.66667</v>
      </c>
      <c r="B387" s="1">
        <f>IFERROR(__xludf.DUMMYFUNCTION("""COMPUTED_VALUE"""),328.98)</f>
        <v>328.98</v>
      </c>
    </row>
    <row r="388">
      <c r="A388" s="2">
        <f>IFERROR(__xludf.DUMMYFUNCTION("""COMPUTED_VALUE"""),44664.66666666667)</f>
        <v>44664.66667</v>
      </c>
      <c r="B388" s="1">
        <f>IFERROR(__xludf.DUMMYFUNCTION("""COMPUTED_VALUE"""),340.79)</f>
        <v>340.79</v>
      </c>
    </row>
    <row r="389">
      <c r="A389" s="2">
        <f>IFERROR(__xludf.DUMMYFUNCTION("""COMPUTED_VALUE"""),44665.66666666667)</f>
        <v>44665.66667</v>
      </c>
      <c r="B389" s="1">
        <f>IFERROR(__xludf.DUMMYFUNCTION("""COMPUTED_VALUE"""),328.33)</f>
        <v>328.33</v>
      </c>
    </row>
    <row r="390">
      <c r="A390" s="2">
        <f>IFERROR(__xludf.DUMMYFUNCTION("""COMPUTED_VALUE"""),44669.66666666667)</f>
        <v>44669.66667</v>
      </c>
      <c r="B390" s="1">
        <f>IFERROR(__xludf.DUMMYFUNCTION("""COMPUTED_VALUE"""),334.76)</f>
        <v>334.76</v>
      </c>
    </row>
    <row r="391">
      <c r="A391" s="2">
        <f>IFERROR(__xludf.DUMMYFUNCTION("""COMPUTED_VALUE"""),44670.66666666667)</f>
        <v>44670.66667</v>
      </c>
      <c r="B391" s="1">
        <f>IFERROR(__xludf.DUMMYFUNCTION("""COMPUTED_VALUE"""),342.72)</f>
        <v>342.72</v>
      </c>
    </row>
    <row r="392">
      <c r="A392" s="2">
        <f>IFERROR(__xludf.DUMMYFUNCTION("""COMPUTED_VALUE"""),44671.66666666667)</f>
        <v>44671.66667</v>
      </c>
      <c r="B392" s="1">
        <f>IFERROR(__xludf.DUMMYFUNCTION("""COMPUTED_VALUE"""),325.73)</f>
        <v>325.73</v>
      </c>
    </row>
    <row r="393">
      <c r="A393" s="2">
        <f>IFERROR(__xludf.DUMMYFUNCTION("""COMPUTED_VALUE"""),44672.66666666667)</f>
        <v>44672.66667</v>
      </c>
      <c r="B393" s="1">
        <f>IFERROR(__xludf.DUMMYFUNCTION("""COMPUTED_VALUE"""),336.26)</f>
        <v>336.26</v>
      </c>
    </row>
    <row r="394">
      <c r="A394" s="2">
        <f>IFERROR(__xludf.DUMMYFUNCTION("""COMPUTED_VALUE"""),44673.66666666667)</f>
        <v>44673.66667</v>
      </c>
      <c r="B394" s="1">
        <f>IFERROR(__xludf.DUMMYFUNCTION("""COMPUTED_VALUE"""),335.02)</f>
        <v>335.02</v>
      </c>
    </row>
    <row r="395">
      <c r="A395" s="2">
        <f>IFERROR(__xludf.DUMMYFUNCTION("""COMPUTED_VALUE"""),44676.66666666667)</f>
        <v>44676.66667</v>
      </c>
      <c r="B395" s="1">
        <f>IFERROR(__xludf.DUMMYFUNCTION("""COMPUTED_VALUE"""),332.67)</f>
        <v>332.67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IFERROR(__xludf.DUMMYFUNCTION("""COMPUTED_VALUE"""),292.14)</f>
        <v>292.14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IFERROR(__xludf.DUMMYFUNCTION("""COMPUTED_VALUE"""),293.84)</f>
        <v>293.84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IFERROR(__xludf.DUMMYFUNCTION("""COMPUTED_VALUE"""),292.5)</f>
        <v>292.5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IFERROR(__xludf.DUMMYFUNCTION("""COMPUTED_VALUE"""),290.25)</f>
        <v>290.25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IFERROR(__xludf.DUMMYFUNCTION("""COMPUTED_VALUE"""),300.98)</f>
        <v>300.98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IFERROR(__xludf.DUMMYFUNCTION("""COMPUTED_VALUE"""),303.08)</f>
        <v>303.08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IFERROR(__xludf.DUMMYFUNCTION("""COMPUTED_VALUE"""),317.54)</f>
        <v>317.54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IFERROR(__xludf.DUMMYFUNCTION("""COMPUTED_VALUE"""),291.09)</f>
        <v>291.09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IFERROR(__xludf.DUMMYFUNCTION("""COMPUTED_VALUE"""),288.55)</f>
        <v>288.55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IFERROR(__xludf.DUMMYFUNCTION("""COMPUTED_VALUE"""),262.37)</f>
        <v>262.37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IFERROR(__xludf.DUMMYFUNCTION("""COMPUTED_VALUE"""),266.68)</f>
        <v>266.68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IFERROR(__xludf.DUMMYFUNCTION("""COMPUTED_VALUE"""),244.67)</f>
        <v>244.67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IFERROR(__xludf.DUMMYFUNCTION("""COMPUTED_VALUE"""),242.67)</f>
        <v>242.67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IFERROR(__xludf.DUMMYFUNCTION("""COMPUTED_VALUE"""),256.53)</f>
        <v>256.53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IFERROR(__xludf.DUMMYFUNCTION("""COMPUTED_VALUE"""),241.46)</f>
        <v>241.46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IFERROR(__xludf.DUMMYFUNCTION("""COMPUTED_VALUE"""),253.87)</f>
        <v>253.87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IFERROR(__xludf.DUMMYFUNCTION("""COMPUTED_VALUE"""),236.6)</f>
        <v>236.6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IFERROR(__xludf.DUMMYFUNCTION("""COMPUTED_VALUE"""),236.47)</f>
        <v>236.47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IFERROR(__xludf.DUMMYFUNCTION("""COMPUTED_VALUE"""),221.3)</f>
        <v>221.3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IFERROR(__xludf.DUMMYFUNCTION("""COMPUTED_VALUE"""),224.97)</f>
        <v>224.97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IFERROR(__xludf.DUMMYFUNCTION("""COMPUTED_VALUE"""),209.39)</f>
        <v>209.39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IFERROR(__xludf.DUMMYFUNCTION("""COMPUTED_VALUE"""),219.6)</f>
        <v>219.6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IFERROR(__xludf.DUMMYFUNCTION("""COMPUTED_VALUE"""),235.91)</f>
        <v>235.91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IFERROR(__xludf.DUMMYFUNCTION("""COMPUTED_VALUE"""),253.21)</f>
        <v>253.21</v>
      </c>
    </row>
    <row r="420">
      <c r="A420" s="2">
        <f>IFERROR(__xludf.DUMMYFUNCTION("""COMPUTED_VALUE"""),44712.66666666667)</f>
        <v>44712.66667</v>
      </c>
      <c r="B420" s="1">
        <f>IFERROR(__xludf.DUMMYFUNCTION("""COMPUTED_VALUE"""),252.75)</f>
        <v>252.75</v>
      </c>
    </row>
    <row r="421">
      <c r="A421" s="2">
        <f>IFERROR(__xludf.DUMMYFUNCTION("""COMPUTED_VALUE"""),44713.66666666667)</f>
        <v>44713.66667</v>
      </c>
      <c r="B421" s="1">
        <f>IFERROR(__xludf.DUMMYFUNCTION("""COMPUTED_VALUE"""),246.79)</f>
        <v>246.79</v>
      </c>
    </row>
    <row r="422">
      <c r="A422" s="2">
        <f>IFERROR(__xludf.DUMMYFUNCTION("""COMPUTED_VALUE"""),44714.66666666667)</f>
        <v>44714.66667</v>
      </c>
      <c r="B422" s="1">
        <f>IFERROR(__xludf.DUMMYFUNCTION("""COMPUTED_VALUE"""),258.33)</f>
        <v>258.33</v>
      </c>
    </row>
    <row r="423">
      <c r="A423" s="2">
        <f>IFERROR(__xludf.DUMMYFUNCTION("""COMPUTED_VALUE"""),44715.66666666667)</f>
        <v>44715.66667</v>
      </c>
      <c r="B423" s="1">
        <f>IFERROR(__xludf.DUMMYFUNCTION("""COMPUTED_VALUE"""),234.52)</f>
        <v>234.52</v>
      </c>
    </row>
    <row r="424">
      <c r="A424" s="2">
        <f>IFERROR(__xludf.DUMMYFUNCTION("""COMPUTED_VALUE"""),44718.66666666667)</f>
        <v>44718.66667</v>
      </c>
      <c r="B424" s="1">
        <f>IFERROR(__xludf.DUMMYFUNCTION("""COMPUTED_VALUE"""),238.28)</f>
        <v>238.28</v>
      </c>
    </row>
    <row r="425">
      <c r="A425" s="2">
        <f>IFERROR(__xludf.DUMMYFUNCTION("""COMPUTED_VALUE"""),44719.66666666667)</f>
        <v>44719.66667</v>
      </c>
      <c r="B425" s="1">
        <f>IFERROR(__xludf.DUMMYFUNCTION("""COMPUTED_VALUE"""),238.89)</f>
        <v>238.89</v>
      </c>
    </row>
    <row r="426">
      <c r="A426" s="2">
        <f>IFERROR(__xludf.DUMMYFUNCTION("""COMPUTED_VALUE"""),44720.66666666667)</f>
        <v>44720.66667</v>
      </c>
      <c r="B426" s="1">
        <f>IFERROR(__xludf.DUMMYFUNCTION("""COMPUTED_VALUE"""),241.87)</f>
        <v>241.87</v>
      </c>
    </row>
    <row r="427">
      <c r="A427" s="2">
        <f>IFERROR(__xludf.DUMMYFUNCTION("""COMPUTED_VALUE"""),44721.66666666667)</f>
        <v>44721.66667</v>
      </c>
      <c r="B427" s="1">
        <f>IFERROR(__xludf.DUMMYFUNCTION("""COMPUTED_VALUE"""),239.71)</f>
        <v>239.71</v>
      </c>
    </row>
    <row r="428">
      <c r="A428" s="2">
        <f>IFERROR(__xludf.DUMMYFUNCTION("""COMPUTED_VALUE"""),44722.66666666667)</f>
        <v>44722.66667</v>
      </c>
      <c r="B428" s="1">
        <f>IFERROR(__xludf.DUMMYFUNCTION("""COMPUTED_VALUE"""),232.23)</f>
        <v>232.23</v>
      </c>
    </row>
    <row r="429">
      <c r="A429" s="2">
        <f>IFERROR(__xludf.DUMMYFUNCTION("""COMPUTED_VALUE"""),44725.66666666667)</f>
        <v>44725.66667</v>
      </c>
      <c r="B429" s="1">
        <f>IFERROR(__xludf.DUMMYFUNCTION("""COMPUTED_VALUE"""),215.74)</f>
        <v>215.74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IFERROR(__xludf.DUMMYFUNCTION("""COMPUTED_VALUE"""),220.89)</f>
        <v>220.89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IFERROR(__xludf.DUMMYFUNCTION("""COMPUTED_VALUE"""),233.0)</f>
        <v>233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IFERROR(__xludf.DUMMYFUNCTION("""COMPUTED_VALUE"""),213.1)</f>
        <v>213.1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IFERROR(__xludf.DUMMYFUNCTION("""COMPUTED_VALUE"""),216.76)</f>
        <v>216.76</v>
      </c>
    </row>
    <row r="434">
      <c r="A434" s="2">
        <f>IFERROR(__xludf.DUMMYFUNCTION("""COMPUTED_VALUE"""),44733.66666666667)</f>
        <v>44733.66667</v>
      </c>
      <c r="B434" s="1">
        <f>IFERROR(__xludf.DUMMYFUNCTION("""COMPUTED_VALUE"""),237.04)</f>
        <v>237.04</v>
      </c>
    </row>
    <row r="435">
      <c r="A435" s="2">
        <f>IFERROR(__xludf.DUMMYFUNCTION("""COMPUTED_VALUE"""),44734.66666666667)</f>
        <v>44734.66667</v>
      </c>
      <c r="B435" s="1">
        <f>IFERROR(__xludf.DUMMYFUNCTION("""COMPUTED_VALUE"""),236.09)</f>
        <v>236.09</v>
      </c>
    </row>
    <row r="436">
      <c r="A436" s="2">
        <f>IFERROR(__xludf.DUMMYFUNCTION("""COMPUTED_VALUE"""),44735.66666666667)</f>
        <v>44735.66667</v>
      </c>
      <c r="B436" s="1">
        <f>IFERROR(__xludf.DUMMYFUNCTION("""COMPUTED_VALUE"""),235.07)</f>
        <v>235.07</v>
      </c>
    </row>
    <row r="437">
      <c r="A437" s="2">
        <f>IFERROR(__xludf.DUMMYFUNCTION("""COMPUTED_VALUE"""),44736.66666666667)</f>
        <v>44736.66667</v>
      </c>
      <c r="B437" s="1">
        <f>IFERROR(__xludf.DUMMYFUNCTION("""COMPUTED_VALUE"""),245.71)</f>
        <v>245.71</v>
      </c>
    </row>
    <row r="438">
      <c r="A438" s="2">
        <f>IFERROR(__xludf.DUMMYFUNCTION("""COMPUTED_VALUE"""),44739.66666666667)</f>
        <v>44739.66667</v>
      </c>
      <c r="B438" s="1">
        <f>IFERROR(__xludf.DUMMYFUNCTION("""COMPUTED_VALUE"""),244.92)</f>
        <v>244.92</v>
      </c>
    </row>
    <row r="439">
      <c r="A439" s="2">
        <f>IFERROR(__xludf.DUMMYFUNCTION("""COMPUTED_VALUE"""),44740.66666666667)</f>
        <v>44740.66667</v>
      </c>
      <c r="B439" s="1">
        <f>IFERROR(__xludf.DUMMYFUNCTION("""COMPUTED_VALUE"""),232.66)</f>
        <v>232.66</v>
      </c>
    </row>
    <row r="440">
      <c r="A440" s="2">
        <f>IFERROR(__xludf.DUMMYFUNCTION("""COMPUTED_VALUE"""),44741.66666666667)</f>
        <v>44741.66667</v>
      </c>
      <c r="B440" s="1">
        <f>IFERROR(__xludf.DUMMYFUNCTION("""COMPUTED_VALUE"""),228.49)</f>
        <v>228.49</v>
      </c>
    </row>
    <row r="441">
      <c r="A441" s="2">
        <f>IFERROR(__xludf.DUMMYFUNCTION("""COMPUTED_VALUE"""),44742.66666666667)</f>
        <v>44742.66667</v>
      </c>
      <c r="B441" s="1">
        <f>IFERROR(__xludf.DUMMYFUNCTION("""COMPUTED_VALUE"""),224.47)</f>
        <v>224.47</v>
      </c>
    </row>
    <row r="442">
      <c r="A442" s="2">
        <f>IFERROR(__xludf.DUMMYFUNCTION("""COMPUTED_VALUE"""),44743.66666666667)</f>
        <v>44743.66667</v>
      </c>
      <c r="B442" s="1">
        <f>IFERROR(__xludf.DUMMYFUNCTION("""COMPUTED_VALUE"""),227.26)</f>
        <v>227.26</v>
      </c>
    </row>
    <row r="443">
      <c r="A443" s="2">
        <f>IFERROR(__xludf.DUMMYFUNCTION("""COMPUTED_VALUE"""),44747.66666666667)</f>
        <v>44747.66667</v>
      </c>
      <c r="B443" s="1">
        <f>IFERROR(__xludf.DUMMYFUNCTION("""COMPUTED_VALUE"""),233.07)</f>
        <v>233.07</v>
      </c>
    </row>
    <row r="444">
      <c r="A444" s="2">
        <f>IFERROR(__xludf.DUMMYFUNCTION("""COMPUTED_VALUE"""),44748.66666666667)</f>
        <v>44748.66667</v>
      </c>
      <c r="B444" s="1">
        <f>IFERROR(__xludf.DUMMYFUNCTION("""COMPUTED_VALUE"""),231.73)</f>
        <v>231.73</v>
      </c>
    </row>
    <row r="445">
      <c r="A445" s="2">
        <f>IFERROR(__xludf.DUMMYFUNCTION("""COMPUTED_VALUE"""),44749.66666666667)</f>
        <v>44749.66667</v>
      </c>
      <c r="B445" s="1">
        <f>IFERROR(__xludf.DUMMYFUNCTION("""COMPUTED_VALUE"""),244.54)</f>
        <v>244.54</v>
      </c>
    </row>
    <row r="446">
      <c r="A446" s="2">
        <f>IFERROR(__xludf.DUMMYFUNCTION("""COMPUTED_VALUE"""),44750.66666666667)</f>
        <v>44750.66667</v>
      </c>
      <c r="B446" s="1">
        <f>IFERROR(__xludf.DUMMYFUNCTION("""COMPUTED_VALUE"""),250.76)</f>
        <v>250.76</v>
      </c>
    </row>
    <row r="447">
      <c r="A447" s="2">
        <f>IFERROR(__xludf.DUMMYFUNCTION("""COMPUTED_VALUE"""),44753.66666666667)</f>
        <v>44753.66667</v>
      </c>
      <c r="B447" s="1">
        <f>IFERROR(__xludf.DUMMYFUNCTION("""COMPUTED_VALUE"""),234.34)</f>
        <v>234.34</v>
      </c>
    </row>
    <row r="448">
      <c r="A448" s="2">
        <f>IFERROR(__xludf.DUMMYFUNCTION("""COMPUTED_VALUE"""),44754.66666666667)</f>
        <v>44754.66667</v>
      </c>
      <c r="B448" s="1">
        <f>IFERROR(__xludf.DUMMYFUNCTION("""COMPUTED_VALUE"""),233.07)</f>
        <v>233.07</v>
      </c>
    </row>
    <row r="449">
      <c r="A449" s="2">
        <f>IFERROR(__xludf.DUMMYFUNCTION("""COMPUTED_VALUE"""),44755.66666666667)</f>
        <v>44755.66667</v>
      </c>
      <c r="B449" s="1">
        <f>IFERROR(__xludf.DUMMYFUNCTION("""COMPUTED_VALUE"""),237.04)</f>
        <v>237.04</v>
      </c>
    </row>
    <row r="450">
      <c r="A450" s="2">
        <f>IFERROR(__xludf.DUMMYFUNCTION("""COMPUTED_VALUE"""),44756.66666666667)</f>
        <v>44756.66667</v>
      </c>
      <c r="B450" s="1">
        <f>IFERROR(__xludf.DUMMYFUNCTION("""COMPUTED_VALUE"""),238.31)</f>
        <v>238.31</v>
      </c>
    </row>
    <row r="451">
      <c r="A451" s="2">
        <f>IFERROR(__xludf.DUMMYFUNCTION("""COMPUTED_VALUE"""),44757.66666666667)</f>
        <v>44757.66667</v>
      </c>
      <c r="B451" s="1">
        <f>IFERROR(__xludf.DUMMYFUNCTION("""COMPUTED_VALUE"""),240.07)</f>
        <v>240.07</v>
      </c>
    </row>
    <row r="452">
      <c r="A452" s="2">
        <f>IFERROR(__xludf.DUMMYFUNCTION("""COMPUTED_VALUE"""),44760.66666666667)</f>
        <v>44760.66667</v>
      </c>
      <c r="B452" s="1">
        <f>IFERROR(__xludf.DUMMYFUNCTION("""COMPUTED_VALUE"""),240.55)</f>
        <v>240.55</v>
      </c>
    </row>
    <row r="453">
      <c r="A453" s="2">
        <f>IFERROR(__xludf.DUMMYFUNCTION("""COMPUTED_VALUE"""),44761.66666666667)</f>
        <v>44761.66667</v>
      </c>
      <c r="B453" s="1">
        <f>IFERROR(__xludf.DUMMYFUNCTION("""COMPUTED_VALUE"""),245.53)</f>
        <v>245.53</v>
      </c>
    </row>
    <row r="454">
      <c r="A454" s="2">
        <f>IFERROR(__xludf.DUMMYFUNCTION("""COMPUTED_VALUE"""),44762.66666666667)</f>
        <v>44762.66667</v>
      </c>
      <c r="B454" s="1">
        <f>IFERROR(__xludf.DUMMYFUNCTION("""COMPUTED_VALUE"""),247.5)</f>
        <v>247.5</v>
      </c>
    </row>
    <row r="455">
      <c r="A455" s="2">
        <f>IFERROR(__xludf.DUMMYFUNCTION("""COMPUTED_VALUE"""),44763.66666666667)</f>
        <v>44763.66667</v>
      </c>
      <c r="B455" s="1">
        <f>IFERROR(__xludf.DUMMYFUNCTION("""COMPUTED_VALUE"""),271.71)</f>
        <v>271.71</v>
      </c>
    </row>
    <row r="456">
      <c r="A456" s="2">
        <f>IFERROR(__xludf.DUMMYFUNCTION("""COMPUTED_VALUE"""),44764.66666666667)</f>
        <v>44764.66667</v>
      </c>
      <c r="B456" s="1">
        <f>IFERROR(__xludf.DUMMYFUNCTION("""COMPUTED_VALUE"""),272.24)</f>
        <v>272.24</v>
      </c>
    </row>
    <row r="457">
      <c r="A457" s="2">
        <f>IFERROR(__xludf.DUMMYFUNCTION("""COMPUTED_VALUE"""),44767.66666666667)</f>
        <v>44767.66667</v>
      </c>
      <c r="B457" s="1">
        <f>IFERROR(__xludf.DUMMYFUNCTION("""COMPUTED_VALUE"""),268.43)</f>
        <v>268.43</v>
      </c>
    </row>
    <row r="458">
      <c r="A458" s="2">
        <f>IFERROR(__xludf.DUMMYFUNCTION("""COMPUTED_VALUE"""),44768.66666666667)</f>
        <v>44768.66667</v>
      </c>
      <c r="B458" s="1">
        <f>IFERROR(__xludf.DUMMYFUNCTION("""COMPUTED_VALUE"""),258.86)</f>
        <v>258.86</v>
      </c>
    </row>
    <row r="459">
      <c r="A459" s="2">
        <f>IFERROR(__xludf.DUMMYFUNCTION("""COMPUTED_VALUE"""),44769.66666666667)</f>
        <v>44769.66667</v>
      </c>
      <c r="B459" s="1">
        <f>IFERROR(__xludf.DUMMYFUNCTION("""COMPUTED_VALUE"""),274.82)</f>
        <v>274.82</v>
      </c>
    </row>
    <row r="460">
      <c r="A460" s="2">
        <f>IFERROR(__xludf.DUMMYFUNCTION("""COMPUTED_VALUE"""),44770.66666666667)</f>
        <v>44770.66667</v>
      </c>
      <c r="B460" s="1">
        <f>IFERROR(__xludf.DUMMYFUNCTION("""COMPUTED_VALUE"""),280.9)</f>
        <v>280.9</v>
      </c>
    </row>
    <row r="461">
      <c r="A461" s="2">
        <f>IFERROR(__xludf.DUMMYFUNCTION("""COMPUTED_VALUE"""),44771.66666666667)</f>
        <v>44771.66667</v>
      </c>
      <c r="B461" s="1">
        <f>IFERROR(__xludf.DUMMYFUNCTION("""COMPUTED_VALUE"""),297.15)</f>
        <v>297.15</v>
      </c>
    </row>
    <row r="462">
      <c r="A462" s="2">
        <f>IFERROR(__xludf.DUMMYFUNCTION("""COMPUTED_VALUE"""),44774.66666666667)</f>
        <v>44774.66667</v>
      </c>
      <c r="B462" s="1">
        <f>IFERROR(__xludf.DUMMYFUNCTION("""COMPUTED_VALUE"""),297.28)</f>
        <v>297.28</v>
      </c>
    </row>
    <row r="463">
      <c r="A463" s="2">
        <f>IFERROR(__xludf.DUMMYFUNCTION("""COMPUTED_VALUE"""),44775.66666666667)</f>
        <v>44775.66667</v>
      </c>
      <c r="B463" s="1">
        <f>IFERROR(__xludf.DUMMYFUNCTION("""COMPUTED_VALUE"""),300.59)</f>
        <v>300.59</v>
      </c>
    </row>
    <row r="464">
      <c r="A464" s="2">
        <f>IFERROR(__xludf.DUMMYFUNCTION("""COMPUTED_VALUE"""),44776.66666666667)</f>
        <v>44776.66667</v>
      </c>
      <c r="B464" s="1">
        <f>IFERROR(__xludf.DUMMYFUNCTION("""COMPUTED_VALUE"""),307.4)</f>
        <v>307.4</v>
      </c>
    </row>
    <row r="465">
      <c r="A465" s="2">
        <f>IFERROR(__xludf.DUMMYFUNCTION("""COMPUTED_VALUE"""),44777.66666666667)</f>
        <v>44777.66667</v>
      </c>
      <c r="B465" s="1">
        <f>IFERROR(__xludf.DUMMYFUNCTION("""COMPUTED_VALUE"""),308.63)</f>
        <v>308.63</v>
      </c>
    </row>
    <row r="466">
      <c r="A466" s="2">
        <f>IFERROR(__xludf.DUMMYFUNCTION("""COMPUTED_VALUE"""),44778.66666666667)</f>
        <v>44778.66667</v>
      </c>
      <c r="B466" s="1">
        <f>IFERROR(__xludf.DUMMYFUNCTION("""COMPUTED_VALUE"""),288.17)</f>
        <v>288.17</v>
      </c>
    </row>
    <row r="467">
      <c r="A467" s="2">
        <f>IFERROR(__xludf.DUMMYFUNCTION("""COMPUTED_VALUE"""),44781.66666666667)</f>
        <v>44781.66667</v>
      </c>
      <c r="B467" s="1">
        <f>IFERROR(__xludf.DUMMYFUNCTION("""COMPUTED_VALUE"""),290.42)</f>
        <v>290.42</v>
      </c>
    </row>
    <row r="468">
      <c r="A468" s="2">
        <f>IFERROR(__xludf.DUMMYFUNCTION("""COMPUTED_VALUE"""),44782.66666666667)</f>
        <v>44782.66667</v>
      </c>
      <c r="B468" s="1">
        <f>IFERROR(__xludf.DUMMYFUNCTION("""COMPUTED_VALUE"""),283.33)</f>
        <v>283.33</v>
      </c>
    </row>
    <row r="469">
      <c r="A469" s="2">
        <f>IFERROR(__xludf.DUMMYFUNCTION("""COMPUTED_VALUE"""),44783.66666666667)</f>
        <v>44783.66667</v>
      </c>
      <c r="B469" s="1">
        <f>IFERROR(__xludf.DUMMYFUNCTION("""COMPUTED_VALUE"""),294.36)</f>
        <v>294.36</v>
      </c>
    </row>
    <row r="470">
      <c r="A470" s="2">
        <f>IFERROR(__xludf.DUMMYFUNCTION("""COMPUTED_VALUE"""),44784.66666666667)</f>
        <v>44784.66667</v>
      </c>
      <c r="B470" s="1">
        <f>IFERROR(__xludf.DUMMYFUNCTION("""COMPUTED_VALUE"""),286.63)</f>
        <v>286.63</v>
      </c>
    </row>
    <row r="471">
      <c r="A471" s="2">
        <f>IFERROR(__xludf.DUMMYFUNCTION("""COMPUTED_VALUE"""),44785.66666666667)</f>
        <v>44785.66667</v>
      </c>
      <c r="B471" s="1">
        <f>IFERROR(__xludf.DUMMYFUNCTION("""COMPUTED_VALUE"""),300.03)</f>
        <v>300.03</v>
      </c>
    </row>
    <row r="472">
      <c r="A472" s="2">
        <f>IFERROR(__xludf.DUMMYFUNCTION("""COMPUTED_VALUE"""),44788.66666666667)</f>
        <v>44788.66667</v>
      </c>
      <c r="B472" s="1">
        <f>IFERROR(__xludf.DUMMYFUNCTION("""COMPUTED_VALUE"""),309.32)</f>
        <v>309.32</v>
      </c>
    </row>
    <row r="473">
      <c r="A473" s="2">
        <f>IFERROR(__xludf.DUMMYFUNCTION("""COMPUTED_VALUE"""),44789.66666666667)</f>
        <v>44789.66667</v>
      </c>
      <c r="B473" s="1">
        <f>IFERROR(__xludf.DUMMYFUNCTION("""COMPUTED_VALUE"""),306.56)</f>
        <v>306.56</v>
      </c>
    </row>
    <row r="474">
      <c r="A474" s="2">
        <f>IFERROR(__xludf.DUMMYFUNCTION("""COMPUTED_VALUE"""),44790.66666666667)</f>
        <v>44790.66667</v>
      </c>
      <c r="B474" s="1">
        <f>IFERROR(__xludf.DUMMYFUNCTION("""COMPUTED_VALUE"""),304.0)</f>
        <v>304</v>
      </c>
    </row>
    <row r="475">
      <c r="A475" s="2">
        <f>IFERROR(__xludf.DUMMYFUNCTION("""COMPUTED_VALUE"""),44791.66666666667)</f>
        <v>44791.66667</v>
      </c>
      <c r="B475" s="1">
        <f>IFERROR(__xludf.DUMMYFUNCTION("""COMPUTED_VALUE"""),302.87)</f>
        <v>302.87</v>
      </c>
    </row>
    <row r="476">
      <c r="A476" s="2">
        <f>IFERROR(__xludf.DUMMYFUNCTION("""COMPUTED_VALUE"""),44792.66666666667)</f>
        <v>44792.66667</v>
      </c>
      <c r="B476" s="1">
        <f>IFERROR(__xludf.DUMMYFUNCTION("""COMPUTED_VALUE"""),296.67)</f>
        <v>296.67</v>
      </c>
    </row>
    <row r="477">
      <c r="A477" s="2">
        <f>IFERROR(__xludf.DUMMYFUNCTION("""COMPUTED_VALUE"""),44795.66666666667)</f>
        <v>44795.66667</v>
      </c>
      <c r="B477" s="1">
        <f>IFERROR(__xludf.DUMMYFUNCTION("""COMPUTED_VALUE"""),289.91)</f>
        <v>289.91</v>
      </c>
    </row>
    <row r="478">
      <c r="A478" s="2">
        <f>IFERROR(__xludf.DUMMYFUNCTION("""COMPUTED_VALUE"""),44796.66666666667)</f>
        <v>44796.66667</v>
      </c>
      <c r="B478" s="1">
        <f>IFERROR(__xludf.DUMMYFUNCTION("""COMPUTED_VALUE"""),296.45)</f>
        <v>296.45</v>
      </c>
    </row>
    <row r="479">
      <c r="A479" s="2">
        <f>IFERROR(__xludf.DUMMYFUNCTION("""COMPUTED_VALUE"""),44797.66666666667)</f>
        <v>44797.66667</v>
      </c>
      <c r="B479" s="1">
        <f>IFERROR(__xludf.DUMMYFUNCTION("""COMPUTED_VALUE"""),297.1)</f>
        <v>297.1</v>
      </c>
    </row>
    <row r="480">
      <c r="A480" s="2">
        <f>IFERROR(__xludf.DUMMYFUNCTION("""COMPUTED_VALUE"""),44798.66666666667)</f>
        <v>44798.66667</v>
      </c>
      <c r="B480" s="1">
        <f>IFERROR(__xludf.DUMMYFUNCTION("""COMPUTED_VALUE"""),296.07)</f>
        <v>296.07</v>
      </c>
    </row>
    <row r="481">
      <c r="A481" s="2">
        <f>IFERROR(__xludf.DUMMYFUNCTION("""COMPUTED_VALUE"""),44799.66666666667)</f>
        <v>44799.66667</v>
      </c>
      <c r="B481" s="1">
        <f>IFERROR(__xludf.DUMMYFUNCTION("""COMPUTED_VALUE"""),288.09)</f>
        <v>288.09</v>
      </c>
    </row>
    <row r="482">
      <c r="A482" s="2">
        <f>IFERROR(__xludf.DUMMYFUNCTION("""COMPUTED_VALUE"""),44802.66666666667)</f>
        <v>44802.66667</v>
      </c>
      <c r="B482" s="1">
        <f>IFERROR(__xludf.DUMMYFUNCTION("""COMPUTED_VALUE"""),284.82)</f>
        <v>284.82</v>
      </c>
    </row>
    <row r="483">
      <c r="A483" s="2">
        <f>IFERROR(__xludf.DUMMYFUNCTION("""COMPUTED_VALUE"""),44803.66666666667)</f>
        <v>44803.66667</v>
      </c>
      <c r="B483" s="1">
        <f>IFERROR(__xludf.DUMMYFUNCTION("""COMPUTED_VALUE"""),277.7)</f>
        <v>277.7</v>
      </c>
    </row>
    <row r="484">
      <c r="A484" s="2">
        <f>IFERROR(__xludf.DUMMYFUNCTION("""COMPUTED_VALUE"""),44804.66666666667)</f>
        <v>44804.66667</v>
      </c>
      <c r="B484" s="1">
        <f>IFERROR(__xludf.DUMMYFUNCTION("""COMPUTED_VALUE"""),275.61)</f>
        <v>275.61</v>
      </c>
    </row>
    <row r="485">
      <c r="A485" s="2">
        <f>IFERROR(__xludf.DUMMYFUNCTION("""COMPUTED_VALUE"""),44805.66666666667)</f>
        <v>44805.66667</v>
      </c>
      <c r="B485" s="1">
        <f>IFERROR(__xludf.DUMMYFUNCTION("""COMPUTED_VALUE"""),277.16)</f>
        <v>277.16</v>
      </c>
    </row>
    <row r="486">
      <c r="A486" s="2">
        <f>IFERROR(__xludf.DUMMYFUNCTION("""COMPUTED_VALUE"""),44806.66666666667)</f>
        <v>44806.66667</v>
      </c>
      <c r="B486" s="1">
        <f>IFERROR(__xludf.DUMMYFUNCTION("""COMPUTED_VALUE"""),270.21)</f>
        <v>270.21</v>
      </c>
    </row>
    <row r="487">
      <c r="A487" s="2">
        <f>IFERROR(__xludf.DUMMYFUNCTION("""COMPUTED_VALUE"""),44810.66666666667)</f>
        <v>44810.66667</v>
      </c>
      <c r="B487" s="1">
        <f>IFERROR(__xludf.DUMMYFUNCTION("""COMPUTED_VALUE"""),274.42)</f>
        <v>274.42</v>
      </c>
    </row>
    <row r="488">
      <c r="A488" s="2">
        <f>IFERROR(__xludf.DUMMYFUNCTION("""COMPUTED_VALUE"""),44811.66666666667)</f>
        <v>44811.66667</v>
      </c>
      <c r="B488" s="1">
        <f>IFERROR(__xludf.DUMMYFUNCTION("""COMPUTED_VALUE"""),283.7)</f>
        <v>283.7</v>
      </c>
    </row>
    <row r="489">
      <c r="A489" s="2">
        <f>IFERROR(__xludf.DUMMYFUNCTION("""COMPUTED_VALUE"""),44812.66666666667)</f>
        <v>44812.66667</v>
      </c>
      <c r="B489" s="1">
        <f>IFERROR(__xludf.DUMMYFUNCTION("""COMPUTED_VALUE"""),289.26)</f>
        <v>289.26</v>
      </c>
    </row>
    <row r="490">
      <c r="A490" s="2">
        <f>IFERROR(__xludf.DUMMYFUNCTION("""COMPUTED_VALUE"""),44813.66666666667)</f>
        <v>44813.66667</v>
      </c>
      <c r="B490" s="1">
        <f>IFERROR(__xludf.DUMMYFUNCTION("""COMPUTED_VALUE"""),299.68)</f>
        <v>299.68</v>
      </c>
    </row>
    <row r="491">
      <c r="A491" s="2">
        <f>IFERROR(__xludf.DUMMYFUNCTION("""COMPUTED_VALUE"""),44816.66666666667)</f>
        <v>44816.66667</v>
      </c>
      <c r="B491" s="1">
        <f>IFERROR(__xludf.DUMMYFUNCTION("""COMPUTED_VALUE"""),304.42)</f>
        <v>304.42</v>
      </c>
    </row>
    <row r="492">
      <c r="A492" s="2">
        <f>IFERROR(__xludf.DUMMYFUNCTION("""COMPUTED_VALUE"""),44817.66666666667)</f>
        <v>44817.66667</v>
      </c>
      <c r="B492" s="1">
        <f>IFERROR(__xludf.DUMMYFUNCTION("""COMPUTED_VALUE"""),292.13)</f>
        <v>292.13</v>
      </c>
    </row>
    <row r="493">
      <c r="A493" s="2">
        <f>IFERROR(__xludf.DUMMYFUNCTION("""COMPUTED_VALUE"""),44818.66666666667)</f>
        <v>44818.66667</v>
      </c>
      <c r="B493" s="1">
        <f>IFERROR(__xludf.DUMMYFUNCTION("""COMPUTED_VALUE"""),302.61)</f>
        <v>302.61</v>
      </c>
    </row>
    <row r="494">
      <c r="A494" s="2">
        <f>IFERROR(__xludf.DUMMYFUNCTION("""COMPUTED_VALUE"""),44819.66666666667)</f>
        <v>44819.66667</v>
      </c>
      <c r="B494" s="1">
        <f>IFERROR(__xludf.DUMMYFUNCTION("""COMPUTED_VALUE"""),303.75)</f>
        <v>303.75</v>
      </c>
    </row>
    <row r="495">
      <c r="A495" s="2">
        <f>IFERROR(__xludf.DUMMYFUNCTION("""COMPUTED_VALUE"""),44820.66666666667)</f>
        <v>44820.66667</v>
      </c>
      <c r="B495" s="1">
        <f>IFERROR(__xludf.DUMMYFUNCTION("""COMPUTED_VALUE"""),303.35)</f>
        <v>303.35</v>
      </c>
    </row>
    <row r="496">
      <c r="A496" s="2">
        <f>IFERROR(__xludf.DUMMYFUNCTION("""COMPUTED_VALUE"""),44823.66666666667)</f>
        <v>44823.66667</v>
      </c>
      <c r="B496" s="1">
        <f>IFERROR(__xludf.DUMMYFUNCTION("""COMPUTED_VALUE"""),309.07)</f>
        <v>309.07</v>
      </c>
    </row>
    <row r="497">
      <c r="A497" s="2">
        <f>IFERROR(__xludf.DUMMYFUNCTION("""COMPUTED_VALUE"""),44824.66666666667)</f>
        <v>44824.66667</v>
      </c>
      <c r="B497" s="1">
        <f>IFERROR(__xludf.DUMMYFUNCTION("""COMPUTED_VALUE"""),308.73)</f>
        <v>308.73</v>
      </c>
    </row>
    <row r="498">
      <c r="A498" s="2">
        <f>IFERROR(__xludf.DUMMYFUNCTION("""COMPUTED_VALUE"""),44825.66666666667)</f>
        <v>44825.66667</v>
      </c>
      <c r="B498" s="1">
        <f>IFERROR(__xludf.DUMMYFUNCTION("""COMPUTED_VALUE"""),300.8)</f>
        <v>300.8</v>
      </c>
    </row>
    <row r="499">
      <c r="A499" s="2">
        <f>IFERROR(__xludf.DUMMYFUNCTION("""COMPUTED_VALUE"""),44826.66666666667)</f>
        <v>44826.66667</v>
      </c>
      <c r="B499" s="1">
        <f>IFERROR(__xludf.DUMMYFUNCTION("""COMPUTED_VALUE"""),288.59)</f>
        <v>288.59</v>
      </c>
    </row>
    <row r="500">
      <c r="A500" s="2">
        <f>IFERROR(__xludf.DUMMYFUNCTION("""COMPUTED_VALUE"""),44827.66666666667)</f>
        <v>44827.66667</v>
      </c>
      <c r="B500" s="1">
        <f>IFERROR(__xludf.DUMMYFUNCTION("""COMPUTED_VALUE"""),275.33)</f>
        <v>275.33</v>
      </c>
    </row>
    <row r="501">
      <c r="A501" s="2">
        <f>IFERROR(__xludf.DUMMYFUNCTION("""COMPUTED_VALUE"""),44830.66666666667)</f>
        <v>44830.66667</v>
      </c>
      <c r="B501" s="1">
        <f>IFERROR(__xludf.DUMMYFUNCTION("""COMPUTED_VALUE"""),276.01)</f>
        <v>276.01</v>
      </c>
    </row>
    <row r="502">
      <c r="A502" s="2">
        <f>IFERROR(__xludf.DUMMYFUNCTION("""COMPUTED_VALUE"""),44831.66666666667)</f>
        <v>44831.66667</v>
      </c>
      <c r="B502" s="1">
        <f>IFERROR(__xludf.DUMMYFUNCTION("""COMPUTED_VALUE"""),282.94)</f>
        <v>282.94</v>
      </c>
    </row>
    <row r="503">
      <c r="A503" s="2">
        <f>IFERROR(__xludf.DUMMYFUNCTION("""COMPUTED_VALUE"""),44832.66666666667)</f>
        <v>44832.66667</v>
      </c>
      <c r="B503" s="1">
        <f>IFERROR(__xludf.DUMMYFUNCTION("""COMPUTED_VALUE"""),287.81)</f>
        <v>287.81</v>
      </c>
    </row>
    <row r="504">
      <c r="A504" s="2">
        <f>IFERROR(__xludf.DUMMYFUNCTION("""COMPUTED_VALUE"""),44833.66666666667)</f>
        <v>44833.66667</v>
      </c>
      <c r="B504" s="1">
        <f>IFERROR(__xludf.DUMMYFUNCTION("""COMPUTED_VALUE"""),268.21)</f>
        <v>268.21</v>
      </c>
    </row>
    <row r="505">
      <c r="A505" s="2">
        <f>IFERROR(__xludf.DUMMYFUNCTION("""COMPUTED_VALUE"""),44834.66666666667)</f>
        <v>44834.66667</v>
      </c>
      <c r="B505" s="1">
        <f>IFERROR(__xludf.DUMMYFUNCTION("""COMPUTED_VALUE"""),265.25)</f>
        <v>265.25</v>
      </c>
    </row>
    <row r="506">
      <c r="A506" s="2">
        <f>IFERROR(__xludf.DUMMYFUNCTION("""COMPUTED_VALUE"""),44837.66666666667)</f>
        <v>44837.66667</v>
      </c>
      <c r="B506" s="1">
        <f>IFERROR(__xludf.DUMMYFUNCTION("""COMPUTED_VALUE"""),242.4)</f>
        <v>242.4</v>
      </c>
    </row>
    <row r="507">
      <c r="A507" s="2">
        <f>IFERROR(__xludf.DUMMYFUNCTION("""COMPUTED_VALUE"""),44838.66666666667)</f>
        <v>44838.66667</v>
      </c>
      <c r="B507" s="1">
        <f>IFERROR(__xludf.DUMMYFUNCTION("""COMPUTED_VALUE"""),249.44)</f>
        <v>249.44</v>
      </c>
    </row>
    <row r="508">
      <c r="A508" s="2">
        <f>IFERROR(__xludf.DUMMYFUNCTION("""COMPUTED_VALUE"""),44839.66666666667)</f>
        <v>44839.66667</v>
      </c>
      <c r="B508" s="1">
        <f>IFERROR(__xludf.DUMMYFUNCTION("""COMPUTED_VALUE"""),240.81)</f>
        <v>240.81</v>
      </c>
    </row>
    <row r="509">
      <c r="A509" s="2">
        <f>IFERROR(__xludf.DUMMYFUNCTION("""COMPUTED_VALUE"""),44840.66666666667)</f>
        <v>44840.66667</v>
      </c>
      <c r="B509" s="1">
        <f>IFERROR(__xludf.DUMMYFUNCTION("""COMPUTED_VALUE"""),238.13)</f>
        <v>238.13</v>
      </c>
    </row>
    <row r="510">
      <c r="A510" s="2">
        <f>IFERROR(__xludf.DUMMYFUNCTION("""COMPUTED_VALUE"""),44841.66666666667)</f>
        <v>44841.66667</v>
      </c>
      <c r="B510" s="1">
        <f>IFERROR(__xludf.DUMMYFUNCTION("""COMPUTED_VALUE"""),223.07)</f>
        <v>223.07</v>
      </c>
    </row>
    <row r="511">
      <c r="A511" s="2">
        <f>IFERROR(__xludf.DUMMYFUNCTION("""COMPUTED_VALUE"""),44844.66666666667)</f>
        <v>44844.66667</v>
      </c>
      <c r="B511" s="1">
        <f>IFERROR(__xludf.DUMMYFUNCTION("""COMPUTED_VALUE"""),222.96)</f>
        <v>222.96</v>
      </c>
    </row>
    <row r="512">
      <c r="A512" s="2">
        <f>IFERROR(__xludf.DUMMYFUNCTION("""COMPUTED_VALUE"""),44845.66666666667)</f>
        <v>44845.66667</v>
      </c>
      <c r="B512" s="1">
        <f>IFERROR(__xludf.DUMMYFUNCTION("""COMPUTED_VALUE"""),216.5)</f>
        <v>216.5</v>
      </c>
    </row>
    <row r="513">
      <c r="A513" s="2">
        <f>IFERROR(__xludf.DUMMYFUNCTION("""COMPUTED_VALUE"""),44846.66666666667)</f>
        <v>44846.66667</v>
      </c>
      <c r="B513" s="1">
        <f>IFERROR(__xludf.DUMMYFUNCTION("""COMPUTED_VALUE"""),217.24)</f>
        <v>217.24</v>
      </c>
    </row>
    <row r="514">
      <c r="A514" s="2">
        <f>IFERROR(__xludf.DUMMYFUNCTION("""COMPUTED_VALUE"""),44847.66666666667)</f>
        <v>44847.66667</v>
      </c>
      <c r="B514" s="1">
        <f>IFERROR(__xludf.DUMMYFUNCTION("""COMPUTED_VALUE"""),221.72)</f>
        <v>221.72</v>
      </c>
    </row>
    <row r="515">
      <c r="A515" s="2">
        <f>IFERROR(__xludf.DUMMYFUNCTION("""COMPUTED_VALUE"""),44848.66666666667)</f>
        <v>44848.66667</v>
      </c>
      <c r="B515" s="1">
        <f>IFERROR(__xludf.DUMMYFUNCTION("""COMPUTED_VALUE"""),204.99)</f>
        <v>204.99</v>
      </c>
    </row>
    <row r="516">
      <c r="A516" s="2">
        <f>IFERROR(__xludf.DUMMYFUNCTION("""COMPUTED_VALUE"""),44851.66666666667)</f>
        <v>44851.66667</v>
      </c>
      <c r="B516" s="1">
        <f>IFERROR(__xludf.DUMMYFUNCTION("""COMPUTED_VALUE"""),219.35)</f>
        <v>219.35</v>
      </c>
    </row>
    <row r="517">
      <c r="A517" s="2">
        <f>IFERROR(__xludf.DUMMYFUNCTION("""COMPUTED_VALUE"""),44852.66666666667)</f>
        <v>44852.66667</v>
      </c>
      <c r="B517" s="1">
        <f>IFERROR(__xludf.DUMMYFUNCTION("""COMPUTED_VALUE"""),220.19)</f>
        <v>220.19</v>
      </c>
    </row>
    <row r="518">
      <c r="A518" s="2">
        <f>IFERROR(__xludf.DUMMYFUNCTION("""COMPUTED_VALUE"""),44853.66666666667)</f>
        <v>44853.66667</v>
      </c>
      <c r="B518" s="1">
        <f>IFERROR(__xludf.DUMMYFUNCTION("""COMPUTED_VALUE"""),222.04)</f>
        <v>222.04</v>
      </c>
    </row>
    <row r="519">
      <c r="A519" s="2">
        <f>IFERROR(__xludf.DUMMYFUNCTION("""COMPUTED_VALUE"""),44854.66666666667)</f>
        <v>44854.66667</v>
      </c>
      <c r="B519" s="1">
        <f>IFERROR(__xludf.DUMMYFUNCTION("""COMPUTED_VALUE"""),207.28)</f>
        <v>207.28</v>
      </c>
    </row>
    <row r="520">
      <c r="A520" s="2">
        <f>IFERROR(__xludf.DUMMYFUNCTION("""COMPUTED_VALUE"""),44855.66666666667)</f>
        <v>44855.66667</v>
      </c>
      <c r="B520" s="1">
        <f>IFERROR(__xludf.DUMMYFUNCTION("""COMPUTED_VALUE"""),214.44)</f>
        <v>214.44</v>
      </c>
    </row>
    <row r="521">
      <c r="A521" s="2">
        <f>IFERROR(__xludf.DUMMYFUNCTION("""COMPUTED_VALUE"""),44858.66666666667)</f>
        <v>44858.66667</v>
      </c>
      <c r="B521" s="1">
        <f>IFERROR(__xludf.DUMMYFUNCTION("""COMPUTED_VALUE"""),211.25)</f>
        <v>211.25</v>
      </c>
    </row>
    <row r="522">
      <c r="A522" s="2">
        <f>IFERROR(__xludf.DUMMYFUNCTION("""COMPUTED_VALUE"""),44859.66666666667)</f>
        <v>44859.66667</v>
      </c>
      <c r="B522" s="1">
        <f>IFERROR(__xludf.DUMMYFUNCTION("""COMPUTED_VALUE"""),222.42)</f>
        <v>222.42</v>
      </c>
    </row>
    <row r="523">
      <c r="A523" s="2">
        <f>IFERROR(__xludf.DUMMYFUNCTION("""COMPUTED_VALUE"""),44860.66666666667)</f>
        <v>44860.66667</v>
      </c>
      <c r="B523" s="1">
        <f>IFERROR(__xludf.DUMMYFUNCTION("""COMPUTED_VALUE"""),224.64)</f>
        <v>224.64</v>
      </c>
    </row>
    <row r="524">
      <c r="A524" s="2">
        <f>IFERROR(__xludf.DUMMYFUNCTION("""COMPUTED_VALUE"""),44861.66666666667)</f>
        <v>44861.66667</v>
      </c>
      <c r="B524" s="1">
        <f>IFERROR(__xludf.DUMMYFUNCTION("""COMPUTED_VALUE"""),225.09)</f>
        <v>225.09</v>
      </c>
    </row>
    <row r="525">
      <c r="A525" s="2">
        <f>IFERROR(__xludf.DUMMYFUNCTION("""COMPUTED_VALUE"""),44862.66666666667)</f>
        <v>44862.66667</v>
      </c>
      <c r="B525" s="1">
        <f>IFERROR(__xludf.DUMMYFUNCTION("""COMPUTED_VALUE"""),228.52)</f>
        <v>228.52</v>
      </c>
    </row>
    <row r="526">
      <c r="A526" s="2">
        <f>IFERROR(__xludf.DUMMYFUNCTION("""COMPUTED_VALUE"""),44865.66666666667)</f>
        <v>44865.66667</v>
      </c>
      <c r="B526" s="1">
        <f>IFERROR(__xludf.DUMMYFUNCTION("""COMPUTED_VALUE"""),227.54)</f>
        <v>227.54</v>
      </c>
    </row>
    <row r="527">
      <c r="A527" s="2">
        <f>IFERROR(__xludf.DUMMYFUNCTION("""COMPUTED_VALUE"""),44866.66666666667)</f>
        <v>44866.66667</v>
      </c>
      <c r="B527" s="1">
        <f>IFERROR(__xludf.DUMMYFUNCTION("""COMPUTED_VALUE"""),227.82)</f>
        <v>227.82</v>
      </c>
    </row>
    <row r="528">
      <c r="A528" s="2">
        <f>IFERROR(__xludf.DUMMYFUNCTION("""COMPUTED_VALUE"""),44867.66666666667)</f>
        <v>44867.66667</v>
      </c>
      <c r="B528" s="1">
        <f>IFERROR(__xludf.DUMMYFUNCTION("""COMPUTED_VALUE"""),214.98)</f>
        <v>214.98</v>
      </c>
    </row>
    <row r="529">
      <c r="A529" s="2">
        <f>IFERROR(__xludf.DUMMYFUNCTION("""COMPUTED_VALUE"""),44868.66666666667)</f>
        <v>44868.66667</v>
      </c>
      <c r="B529" s="1">
        <f>IFERROR(__xludf.DUMMYFUNCTION("""COMPUTED_VALUE"""),215.31)</f>
        <v>215.31</v>
      </c>
    </row>
    <row r="530">
      <c r="A530" s="2">
        <f>IFERROR(__xludf.DUMMYFUNCTION("""COMPUTED_VALUE"""),44869.66666666667)</f>
        <v>44869.66667</v>
      </c>
      <c r="B530" s="1">
        <f>IFERROR(__xludf.DUMMYFUNCTION("""COMPUTED_VALUE"""),207.47)</f>
        <v>207.47</v>
      </c>
    </row>
    <row r="531">
      <c r="A531" s="2">
        <f>IFERROR(__xludf.DUMMYFUNCTION("""COMPUTED_VALUE"""),44872.66666666667)</f>
        <v>44872.66667</v>
      </c>
      <c r="B531" s="1">
        <f>IFERROR(__xludf.DUMMYFUNCTION("""COMPUTED_VALUE"""),197.08)</f>
        <v>197.08</v>
      </c>
    </row>
    <row r="532">
      <c r="A532" s="2">
        <f>IFERROR(__xludf.DUMMYFUNCTION("""COMPUTED_VALUE"""),44873.66666666667)</f>
        <v>44873.66667</v>
      </c>
      <c r="B532" s="1">
        <f>IFERROR(__xludf.DUMMYFUNCTION("""COMPUTED_VALUE"""),191.3)</f>
        <v>191.3</v>
      </c>
    </row>
    <row r="533">
      <c r="A533" s="2">
        <f>IFERROR(__xludf.DUMMYFUNCTION("""COMPUTED_VALUE"""),44874.66666666667)</f>
        <v>44874.66667</v>
      </c>
      <c r="B533" s="1">
        <f>IFERROR(__xludf.DUMMYFUNCTION("""COMPUTED_VALUE"""),177.59)</f>
        <v>177.59</v>
      </c>
    </row>
    <row r="534">
      <c r="A534" s="2">
        <f>IFERROR(__xludf.DUMMYFUNCTION("""COMPUTED_VALUE"""),44875.66666666667)</f>
        <v>44875.66667</v>
      </c>
      <c r="B534" s="1">
        <f>IFERROR(__xludf.DUMMYFUNCTION("""COMPUTED_VALUE"""),190.72)</f>
        <v>190.72</v>
      </c>
    </row>
    <row r="535">
      <c r="A535" s="2">
        <f>IFERROR(__xludf.DUMMYFUNCTION("""COMPUTED_VALUE"""),44876.66666666667)</f>
        <v>44876.66667</v>
      </c>
      <c r="B535" s="1">
        <f>IFERROR(__xludf.DUMMYFUNCTION("""COMPUTED_VALUE"""),195.97)</f>
        <v>195.97</v>
      </c>
    </row>
    <row r="536">
      <c r="A536" s="2">
        <f>IFERROR(__xludf.DUMMYFUNCTION("""COMPUTED_VALUE"""),44879.66666666667)</f>
        <v>44879.66667</v>
      </c>
      <c r="B536" s="1">
        <f>IFERROR(__xludf.DUMMYFUNCTION("""COMPUTED_VALUE"""),190.95)</f>
        <v>190.95</v>
      </c>
    </row>
    <row r="537">
      <c r="A537" s="2">
        <f>IFERROR(__xludf.DUMMYFUNCTION("""COMPUTED_VALUE"""),44880.66666666667)</f>
        <v>44880.66667</v>
      </c>
      <c r="B537" s="1">
        <f>IFERROR(__xludf.DUMMYFUNCTION("""COMPUTED_VALUE"""),194.42)</f>
        <v>194.42</v>
      </c>
    </row>
    <row r="538">
      <c r="A538" s="2">
        <f>IFERROR(__xludf.DUMMYFUNCTION("""COMPUTED_VALUE"""),44881.66666666667)</f>
        <v>44881.66667</v>
      </c>
      <c r="B538" s="1">
        <f>IFERROR(__xludf.DUMMYFUNCTION("""COMPUTED_VALUE"""),186.92)</f>
        <v>186.92</v>
      </c>
    </row>
    <row r="539">
      <c r="A539" s="2">
        <f>IFERROR(__xludf.DUMMYFUNCTION("""COMPUTED_VALUE"""),44882.66666666667)</f>
        <v>44882.66667</v>
      </c>
      <c r="B539" s="1">
        <f>IFERROR(__xludf.DUMMYFUNCTION("""COMPUTED_VALUE"""),183.17)</f>
        <v>183.17</v>
      </c>
    </row>
    <row r="540">
      <c r="A540" s="2">
        <f>IFERROR(__xludf.DUMMYFUNCTION("""COMPUTED_VALUE"""),44883.66666666667)</f>
        <v>44883.66667</v>
      </c>
      <c r="B540" s="1">
        <f>IFERROR(__xludf.DUMMYFUNCTION("""COMPUTED_VALUE"""),180.19)</f>
        <v>180.19</v>
      </c>
    </row>
    <row r="541">
      <c r="A541" s="2">
        <f>IFERROR(__xludf.DUMMYFUNCTION("""COMPUTED_VALUE"""),44886.66666666667)</f>
        <v>44886.66667</v>
      </c>
      <c r="B541" s="1">
        <f>IFERROR(__xludf.DUMMYFUNCTION("""COMPUTED_VALUE"""),167.87)</f>
        <v>167.87</v>
      </c>
    </row>
    <row r="542">
      <c r="A542" s="2">
        <f>IFERROR(__xludf.DUMMYFUNCTION("""COMPUTED_VALUE"""),44887.66666666667)</f>
        <v>44887.66667</v>
      </c>
      <c r="B542" s="1">
        <f>IFERROR(__xludf.DUMMYFUNCTION("""COMPUTED_VALUE"""),169.91)</f>
        <v>169.91</v>
      </c>
    </row>
    <row r="543">
      <c r="A543" s="2">
        <f>IFERROR(__xludf.DUMMYFUNCTION("""COMPUTED_VALUE"""),44888.66666666667)</f>
        <v>44888.66667</v>
      </c>
      <c r="B543" s="1">
        <f>IFERROR(__xludf.DUMMYFUNCTION("""COMPUTED_VALUE"""),183.2)</f>
        <v>183.2</v>
      </c>
    </row>
    <row r="544">
      <c r="A544" s="2">
        <f>IFERROR(__xludf.DUMMYFUNCTION("""COMPUTED_VALUE"""),44890.54513888889)</f>
        <v>44890.54514</v>
      </c>
      <c r="B544" s="1">
        <f>IFERROR(__xludf.DUMMYFUNCTION("""COMPUTED_VALUE"""),182.86)</f>
        <v>182.86</v>
      </c>
    </row>
    <row r="545">
      <c r="A545" s="2">
        <f>IFERROR(__xludf.DUMMYFUNCTION("""COMPUTED_VALUE"""),44893.66666666667)</f>
        <v>44893.66667</v>
      </c>
      <c r="B545" s="1">
        <f>IFERROR(__xludf.DUMMYFUNCTION("""COMPUTED_VALUE"""),182.92)</f>
        <v>182.92</v>
      </c>
    </row>
    <row r="546">
      <c r="A546" s="2">
        <f>IFERROR(__xludf.DUMMYFUNCTION("""COMPUTED_VALUE"""),44894.66666666667)</f>
        <v>44894.66667</v>
      </c>
      <c r="B546" s="1">
        <f>IFERROR(__xludf.DUMMYFUNCTION("""COMPUTED_VALUE"""),180.83)</f>
        <v>180.83</v>
      </c>
    </row>
    <row r="547">
      <c r="A547" s="2">
        <f>IFERROR(__xludf.DUMMYFUNCTION("""COMPUTED_VALUE"""),44895.66666666667)</f>
        <v>44895.66667</v>
      </c>
      <c r="B547" s="1">
        <f>IFERROR(__xludf.DUMMYFUNCTION("""COMPUTED_VALUE"""),194.7)</f>
        <v>194.7</v>
      </c>
    </row>
    <row r="548">
      <c r="A548" s="2">
        <f>IFERROR(__xludf.DUMMYFUNCTION("""COMPUTED_VALUE"""),44896.66666666667)</f>
        <v>44896.66667</v>
      </c>
      <c r="B548" s="1">
        <f>IFERROR(__xludf.DUMMYFUNCTION("""COMPUTED_VALUE"""),194.7)</f>
        <v>194.7</v>
      </c>
    </row>
    <row r="549">
      <c r="A549" s="2">
        <f>IFERROR(__xludf.DUMMYFUNCTION("""COMPUTED_VALUE"""),44897.66666666667)</f>
        <v>44897.66667</v>
      </c>
      <c r="B549" s="1">
        <f>IFERROR(__xludf.DUMMYFUNCTION("""COMPUTED_VALUE"""),194.86)</f>
        <v>194.86</v>
      </c>
    </row>
    <row r="550">
      <c r="A550" s="2">
        <f>IFERROR(__xludf.DUMMYFUNCTION("""COMPUTED_VALUE"""),44900.66666666667)</f>
        <v>44900.66667</v>
      </c>
      <c r="B550" s="1">
        <f>IFERROR(__xludf.DUMMYFUNCTION("""COMPUTED_VALUE"""),182.45)</f>
        <v>182.45</v>
      </c>
    </row>
    <row r="551">
      <c r="A551" s="2">
        <f>IFERROR(__xludf.DUMMYFUNCTION("""COMPUTED_VALUE"""),44901.66666666667)</f>
        <v>44901.66667</v>
      </c>
      <c r="B551" s="1">
        <f>IFERROR(__xludf.DUMMYFUNCTION("""COMPUTED_VALUE"""),179.82)</f>
        <v>179.82</v>
      </c>
    </row>
    <row r="552">
      <c r="A552" s="2">
        <f>IFERROR(__xludf.DUMMYFUNCTION("""COMPUTED_VALUE"""),44902.66666666667)</f>
        <v>44902.66667</v>
      </c>
      <c r="B552" s="1">
        <f>IFERROR(__xludf.DUMMYFUNCTION("""COMPUTED_VALUE"""),174.04)</f>
        <v>174.04</v>
      </c>
    </row>
    <row r="553">
      <c r="A553" s="2">
        <f>IFERROR(__xludf.DUMMYFUNCTION("""COMPUTED_VALUE"""),44903.66666666667)</f>
        <v>44903.66667</v>
      </c>
      <c r="B553" s="1">
        <f>IFERROR(__xludf.DUMMYFUNCTION("""COMPUTED_VALUE"""),173.44)</f>
        <v>173.44</v>
      </c>
    </row>
    <row r="554">
      <c r="A554" s="2">
        <f>IFERROR(__xludf.DUMMYFUNCTION("""COMPUTED_VALUE"""),44904.66666666667)</f>
        <v>44904.66667</v>
      </c>
      <c r="B554" s="1">
        <f>IFERROR(__xludf.DUMMYFUNCTION("""COMPUTED_VALUE"""),179.05)</f>
        <v>179.05</v>
      </c>
    </row>
    <row r="555">
      <c r="A555" s="2">
        <f>IFERROR(__xludf.DUMMYFUNCTION("""COMPUTED_VALUE"""),44907.66666666667)</f>
        <v>44907.66667</v>
      </c>
      <c r="B555" s="1">
        <f>IFERROR(__xludf.DUMMYFUNCTION("""COMPUTED_VALUE"""),167.82)</f>
        <v>167.82</v>
      </c>
    </row>
    <row r="556">
      <c r="A556" s="2">
        <f>IFERROR(__xludf.DUMMYFUNCTION("""COMPUTED_VALUE"""),44908.66666666667)</f>
        <v>44908.66667</v>
      </c>
      <c r="B556" s="1">
        <f>IFERROR(__xludf.DUMMYFUNCTION("""COMPUTED_VALUE"""),160.95)</f>
        <v>160.95</v>
      </c>
    </row>
    <row r="557">
      <c r="A557" s="2">
        <f>IFERROR(__xludf.DUMMYFUNCTION("""COMPUTED_VALUE"""),44909.66666666667)</f>
        <v>44909.66667</v>
      </c>
      <c r="B557" s="1">
        <f>IFERROR(__xludf.DUMMYFUNCTION("""COMPUTED_VALUE"""),156.8)</f>
        <v>156.8</v>
      </c>
    </row>
    <row r="558">
      <c r="A558" s="2">
        <f>IFERROR(__xludf.DUMMYFUNCTION("""COMPUTED_VALUE"""),44910.66666666667)</f>
        <v>44910.66667</v>
      </c>
      <c r="B558" s="1">
        <f>IFERROR(__xludf.DUMMYFUNCTION("""COMPUTED_VALUE"""),157.67)</f>
        <v>157.67</v>
      </c>
    </row>
    <row r="559">
      <c r="A559" s="2">
        <f>IFERROR(__xludf.DUMMYFUNCTION("""COMPUTED_VALUE"""),44911.66666666667)</f>
        <v>44911.66667</v>
      </c>
      <c r="B559" s="1">
        <f>IFERROR(__xludf.DUMMYFUNCTION("""COMPUTED_VALUE"""),150.23)</f>
        <v>150.23</v>
      </c>
    </row>
    <row r="560">
      <c r="A560" s="2">
        <f>IFERROR(__xludf.DUMMYFUNCTION("""COMPUTED_VALUE"""),44914.66666666667)</f>
        <v>44914.66667</v>
      </c>
      <c r="B560" s="1">
        <f>IFERROR(__xludf.DUMMYFUNCTION("""COMPUTED_VALUE"""),149.87)</f>
        <v>149.87</v>
      </c>
    </row>
    <row r="561">
      <c r="A561" s="2">
        <f>IFERROR(__xludf.DUMMYFUNCTION("""COMPUTED_VALUE"""),44915.66666666667)</f>
        <v>44915.66667</v>
      </c>
      <c r="B561" s="1">
        <f>IFERROR(__xludf.DUMMYFUNCTION("""COMPUTED_VALUE"""),137.8)</f>
        <v>137.8</v>
      </c>
    </row>
    <row r="562">
      <c r="A562" s="2">
        <f>IFERROR(__xludf.DUMMYFUNCTION("""COMPUTED_VALUE"""),44916.66666666667)</f>
        <v>44916.66667</v>
      </c>
      <c r="B562" s="1">
        <f>IFERROR(__xludf.DUMMYFUNCTION("""COMPUTED_VALUE"""),137.57)</f>
        <v>137.57</v>
      </c>
    </row>
    <row r="563">
      <c r="A563" s="2">
        <f>IFERROR(__xludf.DUMMYFUNCTION("""COMPUTED_VALUE"""),44917.66666666667)</f>
        <v>44917.66667</v>
      </c>
      <c r="B563" s="1">
        <f>IFERROR(__xludf.DUMMYFUNCTION("""COMPUTED_VALUE"""),125.35)</f>
        <v>125.35</v>
      </c>
    </row>
    <row r="564">
      <c r="A564" s="2">
        <f>IFERROR(__xludf.DUMMYFUNCTION("""COMPUTED_VALUE"""),44918.66666666667)</f>
        <v>44918.66667</v>
      </c>
      <c r="B564" s="1">
        <f>IFERROR(__xludf.DUMMYFUNCTION("""COMPUTED_VALUE"""),123.15)</f>
        <v>123.15</v>
      </c>
    </row>
    <row r="565">
      <c r="A565" s="2">
        <f>IFERROR(__xludf.DUMMYFUNCTION("""COMPUTED_VALUE"""),44922.66666666667)</f>
        <v>44922.66667</v>
      </c>
      <c r="B565" s="1">
        <f>IFERROR(__xludf.DUMMYFUNCTION("""COMPUTED_VALUE"""),109.1)</f>
        <v>109.1</v>
      </c>
    </row>
    <row r="566">
      <c r="A566" s="2">
        <f>IFERROR(__xludf.DUMMYFUNCTION("""COMPUTED_VALUE"""),44923.66666666667)</f>
        <v>44923.66667</v>
      </c>
      <c r="B566" s="1">
        <f>IFERROR(__xludf.DUMMYFUNCTION("""COMPUTED_VALUE"""),112.71)</f>
        <v>112.71</v>
      </c>
    </row>
    <row r="567">
      <c r="A567" s="2">
        <f>IFERROR(__xludf.DUMMYFUNCTION("""COMPUTED_VALUE"""),44924.66666666667)</f>
        <v>44924.66667</v>
      </c>
      <c r="B567" s="1">
        <f>IFERROR(__xludf.DUMMYFUNCTION("""COMPUTED_VALUE"""),121.82)</f>
        <v>121.82</v>
      </c>
    </row>
    <row r="568">
      <c r="A568" s="2">
        <f>IFERROR(__xludf.DUMMYFUNCTION("""COMPUTED_VALUE"""),44925.66666666667)</f>
        <v>44925.66667</v>
      </c>
      <c r="B568" s="1">
        <f>IFERROR(__xludf.DUMMYFUNCTION("""COMPUTED_VALUE"""),123.18)</f>
        <v>123.18</v>
      </c>
    </row>
    <row r="569">
      <c r="A569" s="2">
        <f>IFERROR(__xludf.DUMMYFUNCTION("""COMPUTED_VALUE"""),44929.66666666667)</f>
        <v>44929.66667</v>
      </c>
      <c r="B569" s="1">
        <f>IFERROR(__xludf.DUMMYFUNCTION("""COMPUTED_VALUE"""),108.1)</f>
        <v>108.1</v>
      </c>
    </row>
    <row r="570">
      <c r="A570" s="2">
        <f>IFERROR(__xludf.DUMMYFUNCTION("""COMPUTED_VALUE"""),44930.66666666667)</f>
        <v>44930.66667</v>
      </c>
      <c r="B570" s="1">
        <f>IFERROR(__xludf.DUMMYFUNCTION("""COMPUTED_VALUE"""),113.64)</f>
        <v>113.64</v>
      </c>
    </row>
    <row r="571">
      <c r="A571" s="2">
        <f>IFERROR(__xludf.DUMMYFUNCTION("""COMPUTED_VALUE"""),44931.66666666667)</f>
        <v>44931.66667</v>
      </c>
      <c r="B571" s="1">
        <f>IFERROR(__xludf.DUMMYFUNCTION("""COMPUTED_VALUE"""),110.34)</f>
        <v>110.34</v>
      </c>
    </row>
    <row r="572">
      <c r="A572" s="2">
        <f>IFERROR(__xludf.DUMMYFUNCTION("""COMPUTED_VALUE"""),44932.66666666667)</f>
        <v>44932.66667</v>
      </c>
      <c r="B572" s="1">
        <f>IFERROR(__xludf.DUMMYFUNCTION("""COMPUTED_VALUE"""),113.06)</f>
        <v>113.06</v>
      </c>
    </row>
    <row r="573">
      <c r="A573" s="2">
        <f>IFERROR(__xludf.DUMMYFUNCTION("""COMPUTED_VALUE"""),44935.66666666667)</f>
        <v>44935.66667</v>
      </c>
      <c r="B573" s="1">
        <f>IFERROR(__xludf.DUMMYFUNCTION("""COMPUTED_VALUE"""),119.77)</f>
        <v>119.77</v>
      </c>
    </row>
    <row r="574">
      <c r="A574" s="2">
        <f>IFERROR(__xludf.DUMMYFUNCTION("""COMPUTED_VALUE"""),44936.66666666667)</f>
        <v>44936.66667</v>
      </c>
      <c r="B574" s="1">
        <f>IFERROR(__xludf.DUMMYFUNCTION("""COMPUTED_VALUE"""),118.85)</f>
        <v>118.85</v>
      </c>
    </row>
    <row r="575">
      <c r="A575" s="2">
        <f>IFERROR(__xludf.DUMMYFUNCTION("""COMPUTED_VALUE"""),44937.66666666667)</f>
        <v>44937.66667</v>
      </c>
      <c r="B575" s="1">
        <f>IFERROR(__xludf.DUMMYFUNCTION("""COMPUTED_VALUE"""),123.22)</f>
        <v>123.22</v>
      </c>
    </row>
    <row r="576">
      <c r="A576" s="2">
        <f>IFERROR(__xludf.DUMMYFUNCTION("""COMPUTED_VALUE"""),44938.66666666667)</f>
        <v>44938.66667</v>
      </c>
      <c r="B576" s="1">
        <f>IFERROR(__xludf.DUMMYFUNCTION("""COMPUTED_VALUE"""),123.56)</f>
        <v>123.56</v>
      </c>
    </row>
    <row r="577">
      <c r="A577" s="2">
        <f>IFERROR(__xludf.DUMMYFUNCTION("""COMPUTED_VALUE"""),44939.66666666667)</f>
        <v>44939.66667</v>
      </c>
      <c r="B577" s="1">
        <f>IFERROR(__xludf.DUMMYFUNCTION("""COMPUTED_VALUE"""),122.4)</f>
        <v>122.4</v>
      </c>
    </row>
    <row r="578">
      <c r="A578" s="2">
        <f>IFERROR(__xludf.DUMMYFUNCTION("""COMPUTED_VALUE"""),44943.66666666667)</f>
        <v>44943.66667</v>
      </c>
      <c r="B578" s="1">
        <f>IFERROR(__xludf.DUMMYFUNCTION("""COMPUTED_VALUE"""),131.49)</f>
        <v>131.49</v>
      </c>
    </row>
    <row r="579">
      <c r="A579" s="2">
        <f>IFERROR(__xludf.DUMMYFUNCTION("""COMPUTED_VALUE"""),44944.66666666667)</f>
        <v>44944.66667</v>
      </c>
      <c r="B579" s="1">
        <f>IFERROR(__xludf.DUMMYFUNCTION("""COMPUTED_VALUE"""),128.78)</f>
        <v>128.78</v>
      </c>
    </row>
    <row r="580">
      <c r="A580" s="2">
        <f>IFERROR(__xludf.DUMMYFUNCTION("""COMPUTED_VALUE"""),44945.66666666667)</f>
        <v>44945.66667</v>
      </c>
      <c r="B580" s="1">
        <f>IFERROR(__xludf.DUMMYFUNCTION("""COMPUTED_VALUE"""),127.17)</f>
        <v>127.17</v>
      </c>
    </row>
    <row r="581">
      <c r="A581" s="2">
        <f>IFERROR(__xludf.DUMMYFUNCTION("""COMPUTED_VALUE"""),44946.66666666667)</f>
        <v>44946.66667</v>
      </c>
      <c r="B581" s="1">
        <f>IFERROR(__xludf.DUMMYFUNCTION("""COMPUTED_VALUE"""),133.42)</f>
        <v>133.42</v>
      </c>
    </row>
    <row r="582">
      <c r="A582" s="2">
        <f>IFERROR(__xludf.DUMMYFUNCTION("""COMPUTED_VALUE"""),44949.66666666667)</f>
        <v>44949.66667</v>
      </c>
      <c r="B582" s="1">
        <f>IFERROR(__xludf.DUMMYFUNCTION("""COMPUTED_VALUE"""),143.75)</f>
        <v>143.75</v>
      </c>
    </row>
    <row r="583">
      <c r="A583" s="2">
        <f>IFERROR(__xludf.DUMMYFUNCTION("""COMPUTED_VALUE"""),44950.66666666667)</f>
        <v>44950.66667</v>
      </c>
      <c r="B583" s="1">
        <f>IFERROR(__xludf.DUMMYFUNCTION("""COMPUTED_VALUE"""),143.89)</f>
        <v>143.89</v>
      </c>
    </row>
    <row r="584">
      <c r="A584" s="2">
        <f>IFERROR(__xludf.DUMMYFUNCTION("""COMPUTED_VALUE"""),44951.66666666667)</f>
        <v>44951.66667</v>
      </c>
      <c r="B584" s="1">
        <f>IFERROR(__xludf.DUMMYFUNCTION("""COMPUTED_VALUE"""),144.43)</f>
        <v>144.43</v>
      </c>
    </row>
    <row r="585">
      <c r="A585" s="2">
        <f>IFERROR(__xludf.DUMMYFUNCTION("""COMPUTED_VALUE"""),44952.66666666667)</f>
        <v>44952.66667</v>
      </c>
      <c r="B585" s="1">
        <f>IFERROR(__xludf.DUMMYFUNCTION("""COMPUTED_VALUE"""),160.27)</f>
        <v>160.27</v>
      </c>
    </row>
    <row r="586">
      <c r="A586" s="2">
        <f>IFERROR(__xludf.DUMMYFUNCTION("""COMPUTED_VALUE"""),44953.66666666667)</f>
        <v>44953.66667</v>
      </c>
      <c r="B586" s="1">
        <f>IFERROR(__xludf.DUMMYFUNCTION("""COMPUTED_VALUE"""),177.9)</f>
        <v>177.9</v>
      </c>
    </row>
    <row r="587">
      <c r="A587" s="2">
        <f>IFERROR(__xludf.DUMMYFUNCTION("""COMPUTED_VALUE"""),44956.66666666667)</f>
        <v>44956.66667</v>
      </c>
      <c r="B587" s="1">
        <f>IFERROR(__xludf.DUMMYFUNCTION("""COMPUTED_VALUE"""),166.66)</f>
        <v>166.66</v>
      </c>
    </row>
    <row r="588">
      <c r="A588" s="2">
        <f>IFERROR(__xludf.DUMMYFUNCTION("""COMPUTED_VALUE"""),44957.66666666667)</f>
        <v>44957.66667</v>
      </c>
      <c r="B588" s="1">
        <f>IFERROR(__xludf.DUMMYFUNCTION("""COMPUTED_VALUE"""),173.22)</f>
        <v>173.22</v>
      </c>
    </row>
    <row r="589">
      <c r="A589" s="2">
        <f>IFERROR(__xludf.DUMMYFUNCTION("""COMPUTED_VALUE"""),44958.66666666667)</f>
        <v>44958.66667</v>
      </c>
      <c r="B589" s="1">
        <f>IFERROR(__xludf.DUMMYFUNCTION("""COMPUTED_VALUE"""),181.41)</f>
        <v>181.41</v>
      </c>
    </row>
    <row r="590">
      <c r="A590" s="2">
        <f>IFERROR(__xludf.DUMMYFUNCTION("""COMPUTED_VALUE"""),44959.66666666667)</f>
        <v>44959.66667</v>
      </c>
      <c r="B590" s="1">
        <f>IFERROR(__xludf.DUMMYFUNCTION("""COMPUTED_VALUE"""),188.27)</f>
        <v>188.27</v>
      </c>
    </row>
    <row r="591">
      <c r="A591" s="2">
        <f>IFERROR(__xludf.DUMMYFUNCTION("""COMPUTED_VALUE"""),44960.66666666667)</f>
        <v>44960.66667</v>
      </c>
      <c r="B591" s="1">
        <f>IFERROR(__xludf.DUMMYFUNCTION("""COMPUTED_VALUE"""),189.98)</f>
        <v>189.98</v>
      </c>
    </row>
    <row r="592">
      <c r="A592" s="2">
        <f>IFERROR(__xludf.DUMMYFUNCTION("""COMPUTED_VALUE"""),44963.66666666667)</f>
        <v>44963.66667</v>
      </c>
      <c r="B592" s="1">
        <f>IFERROR(__xludf.DUMMYFUNCTION("""COMPUTED_VALUE"""),194.76)</f>
        <v>194.76</v>
      </c>
    </row>
    <row r="593">
      <c r="A593" s="2">
        <f>IFERROR(__xludf.DUMMYFUNCTION("""COMPUTED_VALUE"""),44964.66666666667)</f>
        <v>44964.66667</v>
      </c>
      <c r="B593" s="1">
        <f>IFERROR(__xludf.DUMMYFUNCTION("""COMPUTED_VALUE"""),196.81)</f>
        <v>196.81</v>
      </c>
    </row>
    <row r="594">
      <c r="A594" s="2">
        <f>IFERROR(__xludf.DUMMYFUNCTION("""COMPUTED_VALUE"""),44965.66666666667)</f>
        <v>44965.66667</v>
      </c>
      <c r="B594" s="1">
        <f>IFERROR(__xludf.DUMMYFUNCTION("""COMPUTED_VALUE"""),201.29)</f>
        <v>201.29</v>
      </c>
    </row>
    <row r="595">
      <c r="A595" s="2">
        <f>IFERROR(__xludf.DUMMYFUNCTION("""COMPUTED_VALUE"""),44966.66666666667)</f>
        <v>44966.66667</v>
      </c>
      <c r="B595" s="1">
        <f>IFERROR(__xludf.DUMMYFUNCTION("""COMPUTED_VALUE"""),207.32)</f>
        <v>207.32</v>
      </c>
    </row>
    <row r="596">
      <c r="A596" s="2">
        <f>IFERROR(__xludf.DUMMYFUNCTION("""COMPUTED_VALUE"""),44967.66666666667)</f>
        <v>44967.66667</v>
      </c>
      <c r="B596" s="1">
        <f>IFERROR(__xludf.DUMMYFUNCTION("""COMPUTED_VALUE"""),196.89)</f>
        <v>196.89</v>
      </c>
    </row>
    <row r="597">
      <c r="A597" s="2">
        <f>IFERROR(__xludf.DUMMYFUNCTION("""COMPUTED_VALUE"""),44970.66666666667)</f>
        <v>44970.66667</v>
      </c>
      <c r="B597" s="1">
        <f>IFERROR(__xludf.DUMMYFUNCTION("""COMPUTED_VALUE"""),194.64)</f>
        <v>194.64</v>
      </c>
    </row>
    <row r="598">
      <c r="A598" s="2">
        <f>IFERROR(__xludf.DUMMYFUNCTION("""COMPUTED_VALUE"""),44971.66666666667)</f>
        <v>44971.66667</v>
      </c>
      <c r="B598" s="1">
        <f>IFERROR(__xludf.DUMMYFUNCTION("""COMPUTED_VALUE"""),209.25)</f>
        <v>209.25</v>
      </c>
    </row>
    <row r="599">
      <c r="A599" s="2">
        <f>IFERROR(__xludf.DUMMYFUNCTION("""COMPUTED_VALUE"""),44972.66666666667)</f>
        <v>44972.66667</v>
      </c>
      <c r="B599" s="1">
        <f>IFERROR(__xludf.DUMMYFUNCTION("""COMPUTED_VALUE"""),214.24)</f>
        <v>214.24</v>
      </c>
    </row>
    <row r="600">
      <c r="A600" s="2">
        <f>IFERROR(__xludf.DUMMYFUNCTION("""COMPUTED_VALUE"""),44973.66666666667)</f>
        <v>44973.66667</v>
      </c>
      <c r="B600" s="1">
        <f>IFERROR(__xludf.DUMMYFUNCTION("""COMPUTED_VALUE"""),202.04)</f>
        <v>202.04</v>
      </c>
    </row>
    <row r="601">
      <c r="A601" s="2">
        <f>IFERROR(__xludf.DUMMYFUNCTION("""COMPUTED_VALUE"""),44974.66666666667)</f>
        <v>44974.66667</v>
      </c>
      <c r="B601" s="1">
        <f>IFERROR(__xludf.DUMMYFUNCTION("""COMPUTED_VALUE"""),208.31)</f>
        <v>208.31</v>
      </c>
    </row>
    <row r="602">
      <c r="A602" s="2">
        <f>IFERROR(__xludf.DUMMYFUNCTION("""COMPUTED_VALUE"""),44978.66666666667)</f>
        <v>44978.66667</v>
      </c>
      <c r="B602" s="1">
        <f>IFERROR(__xludf.DUMMYFUNCTION("""COMPUTED_VALUE"""),197.37)</f>
        <v>197.37</v>
      </c>
    </row>
    <row r="603">
      <c r="A603" s="2">
        <f>IFERROR(__xludf.DUMMYFUNCTION("""COMPUTED_VALUE"""),44979.66666666667)</f>
        <v>44979.66667</v>
      </c>
      <c r="B603" s="1">
        <f>IFERROR(__xludf.DUMMYFUNCTION("""COMPUTED_VALUE"""),200.86)</f>
        <v>200.86</v>
      </c>
    </row>
    <row r="604">
      <c r="A604" s="2">
        <f>IFERROR(__xludf.DUMMYFUNCTION("""COMPUTED_VALUE"""),44980.66666666667)</f>
        <v>44980.66667</v>
      </c>
      <c r="B604" s="1">
        <f>IFERROR(__xludf.DUMMYFUNCTION("""COMPUTED_VALUE"""),202.07)</f>
        <v>202.07</v>
      </c>
    </row>
    <row r="605">
      <c r="A605" s="2">
        <f>IFERROR(__xludf.DUMMYFUNCTION("""COMPUTED_VALUE"""),44981.66666666667)</f>
        <v>44981.66667</v>
      </c>
      <c r="B605" s="1">
        <f>IFERROR(__xludf.DUMMYFUNCTION("""COMPUTED_VALUE"""),196.88)</f>
        <v>196.88</v>
      </c>
    </row>
    <row r="606">
      <c r="A606" s="2">
        <f>IFERROR(__xludf.DUMMYFUNCTION("""COMPUTED_VALUE"""),44984.66666666667)</f>
        <v>44984.66667</v>
      </c>
      <c r="B606" s="1">
        <f>IFERROR(__xludf.DUMMYFUNCTION("""COMPUTED_VALUE"""),207.63)</f>
        <v>207.63</v>
      </c>
    </row>
    <row r="607">
      <c r="A607" s="2">
        <f>IFERROR(__xludf.DUMMYFUNCTION("""COMPUTED_VALUE"""),44985.66666666667)</f>
        <v>44985.66667</v>
      </c>
      <c r="B607" s="1">
        <f>IFERROR(__xludf.DUMMYFUNCTION("""COMPUTED_VALUE"""),205.71)</f>
        <v>205.71</v>
      </c>
    </row>
    <row r="608">
      <c r="A608" s="2">
        <f>IFERROR(__xludf.DUMMYFUNCTION("""COMPUTED_VALUE"""),44986.66666666667)</f>
        <v>44986.66667</v>
      </c>
      <c r="B608" s="1">
        <f>IFERROR(__xludf.DUMMYFUNCTION("""COMPUTED_VALUE"""),202.77)</f>
        <v>202.77</v>
      </c>
    </row>
    <row r="609">
      <c r="A609" s="2">
        <f>IFERROR(__xludf.DUMMYFUNCTION("""COMPUTED_VALUE"""),44987.66666666667)</f>
        <v>44987.66667</v>
      </c>
      <c r="B609" s="1">
        <f>IFERROR(__xludf.DUMMYFUNCTION("""COMPUTED_VALUE"""),190.9)</f>
        <v>190.9</v>
      </c>
    </row>
    <row r="610">
      <c r="A610" s="2">
        <f>IFERROR(__xludf.DUMMYFUNCTION("""COMPUTED_VALUE"""),44988.66666666667)</f>
        <v>44988.66667</v>
      </c>
      <c r="B610" s="1">
        <f>IFERROR(__xludf.DUMMYFUNCTION("""COMPUTED_VALUE"""),197.79)</f>
        <v>197.79</v>
      </c>
    </row>
    <row r="611">
      <c r="A611" s="2">
        <f>IFERROR(__xludf.DUMMYFUNCTION("""COMPUTED_VALUE"""),44991.66666666667)</f>
        <v>44991.66667</v>
      </c>
      <c r="B611" s="1">
        <f>IFERROR(__xludf.DUMMYFUNCTION("""COMPUTED_VALUE"""),193.81)</f>
        <v>193.81</v>
      </c>
    </row>
    <row r="612">
      <c r="A612" s="2">
        <f>IFERROR(__xludf.DUMMYFUNCTION("""COMPUTED_VALUE"""),44992.66666666667)</f>
        <v>44992.66667</v>
      </c>
      <c r="B612" s="1">
        <f>IFERROR(__xludf.DUMMYFUNCTION("""COMPUTED_VALUE"""),187.71)</f>
        <v>187.71</v>
      </c>
    </row>
    <row r="613">
      <c r="A613" s="2">
        <f>IFERROR(__xludf.DUMMYFUNCTION("""COMPUTED_VALUE"""),44993.66666666667)</f>
        <v>44993.66667</v>
      </c>
      <c r="B613" s="1">
        <f>IFERROR(__xludf.DUMMYFUNCTION("""COMPUTED_VALUE"""),182.0)</f>
        <v>182</v>
      </c>
    </row>
    <row r="614">
      <c r="A614" s="2">
        <f>IFERROR(__xludf.DUMMYFUNCTION("""COMPUTED_VALUE"""),44994.66666666667)</f>
        <v>44994.66667</v>
      </c>
      <c r="B614" s="1">
        <f>IFERROR(__xludf.DUMMYFUNCTION("""COMPUTED_VALUE"""),172.92)</f>
        <v>172.92</v>
      </c>
    </row>
    <row r="615">
      <c r="A615" s="2">
        <f>IFERROR(__xludf.DUMMYFUNCTION("""COMPUTED_VALUE"""),44995.66666666667)</f>
        <v>44995.66667</v>
      </c>
      <c r="B615" s="1">
        <f>IFERROR(__xludf.DUMMYFUNCTION("""COMPUTED_VALUE"""),173.44)</f>
        <v>173.44</v>
      </c>
    </row>
    <row r="616">
      <c r="A616" s="2">
        <f>IFERROR(__xludf.DUMMYFUNCTION("""COMPUTED_VALUE"""),44998.66666666667)</f>
        <v>44998.66667</v>
      </c>
      <c r="B616" s="1">
        <f>IFERROR(__xludf.DUMMYFUNCTION("""COMPUTED_VALUE"""),174.48)</f>
        <v>174.48</v>
      </c>
    </row>
    <row r="617">
      <c r="A617" s="2">
        <f>IFERROR(__xludf.DUMMYFUNCTION("""COMPUTED_VALUE"""),44999.66666666667)</f>
        <v>44999.66667</v>
      </c>
      <c r="B617" s="1">
        <f>IFERROR(__xludf.DUMMYFUNCTION("""COMPUTED_VALUE"""),183.26)</f>
        <v>183.26</v>
      </c>
    </row>
    <row r="618">
      <c r="A618" s="2">
        <f>IFERROR(__xludf.DUMMYFUNCTION("""COMPUTED_VALUE"""),45000.66666666667)</f>
        <v>45000.66667</v>
      </c>
      <c r="B618" s="1">
        <f>IFERROR(__xludf.DUMMYFUNCTION("""COMPUTED_VALUE"""),180.45)</f>
        <v>180.45</v>
      </c>
    </row>
    <row r="619">
      <c r="A619" s="2">
        <f>IFERROR(__xludf.DUMMYFUNCTION("""COMPUTED_VALUE"""),45001.66666666667)</f>
        <v>45001.66667</v>
      </c>
      <c r="B619" s="1">
        <f>IFERROR(__xludf.DUMMYFUNCTION("""COMPUTED_VALUE"""),184.13)</f>
        <v>184.13</v>
      </c>
    </row>
    <row r="620">
      <c r="A620" s="2">
        <f>IFERROR(__xludf.DUMMYFUNCTION("""COMPUTED_VALUE"""),45002.66666666667)</f>
        <v>45002.66667</v>
      </c>
      <c r="B620" s="1">
        <f>IFERROR(__xludf.DUMMYFUNCTION("""COMPUTED_VALUE"""),180.13)</f>
        <v>180.13</v>
      </c>
    </row>
    <row r="621">
      <c r="A621" s="2">
        <f>IFERROR(__xludf.DUMMYFUNCTION("""COMPUTED_VALUE"""),45005.66666666667)</f>
        <v>45005.66667</v>
      </c>
      <c r="B621" s="1">
        <f>IFERROR(__xludf.DUMMYFUNCTION("""COMPUTED_VALUE"""),183.25)</f>
        <v>183.25</v>
      </c>
    </row>
    <row r="622">
      <c r="A622" s="2">
        <f>IFERROR(__xludf.DUMMYFUNCTION("""COMPUTED_VALUE"""),45006.66666666667)</f>
        <v>45006.66667</v>
      </c>
      <c r="B622" s="1">
        <f>IFERROR(__xludf.DUMMYFUNCTION("""COMPUTED_VALUE"""),197.58)</f>
        <v>197.58</v>
      </c>
    </row>
    <row r="623">
      <c r="A623" s="2">
        <f>IFERROR(__xludf.DUMMYFUNCTION("""COMPUTED_VALUE"""),45007.66666666667)</f>
        <v>45007.66667</v>
      </c>
      <c r="B623" s="1">
        <f>IFERROR(__xludf.DUMMYFUNCTION("""COMPUTED_VALUE"""),191.15)</f>
        <v>191.15</v>
      </c>
    </row>
    <row r="624">
      <c r="A624" s="2">
        <f>IFERROR(__xludf.DUMMYFUNCTION("""COMPUTED_VALUE"""),45008.66666666667)</f>
        <v>45008.66667</v>
      </c>
      <c r="B624" s="1">
        <f>IFERROR(__xludf.DUMMYFUNCTION("""COMPUTED_VALUE"""),192.22)</f>
        <v>192.22</v>
      </c>
    </row>
    <row r="625">
      <c r="A625" s="2">
        <f>IFERROR(__xludf.DUMMYFUNCTION("""COMPUTED_VALUE"""),45009.66666666667)</f>
        <v>45009.66667</v>
      </c>
      <c r="B625" s="1">
        <f>IFERROR(__xludf.DUMMYFUNCTION("""COMPUTED_VALUE"""),190.41)</f>
        <v>190.41</v>
      </c>
    </row>
    <row r="626">
      <c r="A626" s="2">
        <f>IFERROR(__xludf.DUMMYFUNCTION("""COMPUTED_VALUE"""),45012.66666666667)</f>
        <v>45012.66667</v>
      </c>
      <c r="B626" s="1">
        <f>IFERROR(__xludf.DUMMYFUNCTION("""COMPUTED_VALUE"""),191.81)</f>
        <v>191.81</v>
      </c>
    </row>
    <row r="627">
      <c r="A627" s="2">
        <f>IFERROR(__xludf.DUMMYFUNCTION("""COMPUTED_VALUE"""),45013.66666666667)</f>
        <v>45013.66667</v>
      </c>
      <c r="B627" s="1">
        <f>IFERROR(__xludf.DUMMYFUNCTION("""COMPUTED_VALUE"""),189.19)</f>
        <v>189.19</v>
      </c>
    </row>
    <row r="628">
      <c r="A628" s="2">
        <f>IFERROR(__xludf.DUMMYFUNCTION("""COMPUTED_VALUE"""),45014.66666666667)</f>
        <v>45014.66667</v>
      </c>
      <c r="B628" s="1">
        <f>IFERROR(__xludf.DUMMYFUNCTION("""COMPUTED_VALUE"""),193.88)</f>
        <v>193.88</v>
      </c>
    </row>
    <row r="629">
      <c r="A629" s="2">
        <f>IFERROR(__xludf.DUMMYFUNCTION("""COMPUTED_VALUE"""),45015.66666666667)</f>
        <v>45015.66667</v>
      </c>
      <c r="B629" s="1">
        <f>IFERROR(__xludf.DUMMYFUNCTION("""COMPUTED_VALUE"""),195.28)</f>
        <v>195.28</v>
      </c>
    </row>
    <row r="630">
      <c r="A630" s="2">
        <f>IFERROR(__xludf.DUMMYFUNCTION("""COMPUTED_VALUE"""),45016.66666666667)</f>
        <v>45016.66667</v>
      </c>
      <c r="B630" s="1">
        <f>IFERROR(__xludf.DUMMYFUNCTION("""COMPUTED_VALUE"""),207.46)</f>
        <v>207.46</v>
      </c>
    </row>
    <row r="631">
      <c r="A631" s="2">
        <f>IFERROR(__xludf.DUMMYFUNCTION("""COMPUTED_VALUE"""),45019.66666666667)</f>
        <v>45019.66667</v>
      </c>
      <c r="B631" s="1">
        <f>IFERROR(__xludf.DUMMYFUNCTION("""COMPUTED_VALUE"""),194.77)</f>
        <v>194.77</v>
      </c>
    </row>
    <row r="632">
      <c r="A632" s="2">
        <f>IFERROR(__xludf.DUMMYFUNCTION("""COMPUTED_VALUE"""),45020.66666666667)</f>
        <v>45020.66667</v>
      </c>
      <c r="B632" s="1">
        <f>IFERROR(__xludf.DUMMYFUNCTION("""COMPUTED_VALUE"""),192.58)</f>
        <v>192.58</v>
      </c>
    </row>
    <row r="633">
      <c r="A633" s="2">
        <f>IFERROR(__xludf.DUMMYFUNCTION("""COMPUTED_VALUE"""),45021.66666666667)</f>
        <v>45021.66667</v>
      </c>
      <c r="B633" s="1">
        <f>IFERROR(__xludf.DUMMYFUNCTION("""COMPUTED_VALUE"""),185.52)</f>
        <v>185.52</v>
      </c>
    </row>
    <row r="634">
      <c r="A634" s="2">
        <f>IFERROR(__xludf.DUMMYFUNCTION("""COMPUTED_VALUE"""),45022.66666666667)</f>
        <v>45022.66667</v>
      </c>
      <c r="B634" s="1">
        <f>IFERROR(__xludf.DUMMYFUNCTION("""COMPUTED_VALUE"""),185.06)</f>
        <v>185.06</v>
      </c>
    </row>
    <row r="635">
      <c r="A635" s="2">
        <f>IFERROR(__xludf.DUMMYFUNCTION("""COMPUTED_VALUE"""),45026.66666666667)</f>
        <v>45026.66667</v>
      </c>
      <c r="B635" s="1">
        <f>IFERROR(__xludf.DUMMYFUNCTION("""COMPUTED_VALUE"""),184.51)</f>
        <v>184.51</v>
      </c>
    </row>
    <row r="636">
      <c r="A636" s="2">
        <f>IFERROR(__xludf.DUMMYFUNCTION("""COMPUTED_VALUE"""),45027.66666666667)</f>
        <v>45027.66667</v>
      </c>
      <c r="B636" s="1">
        <f>IFERROR(__xludf.DUMMYFUNCTION("""COMPUTED_VALUE"""),186.79)</f>
        <v>186.79</v>
      </c>
    </row>
    <row r="637">
      <c r="A637" s="2">
        <f>IFERROR(__xludf.DUMMYFUNCTION("""COMPUTED_VALUE"""),45028.66666666667)</f>
        <v>45028.66667</v>
      </c>
      <c r="B637" s="1">
        <f>IFERROR(__xludf.DUMMYFUNCTION("""COMPUTED_VALUE"""),180.54)</f>
        <v>180.54</v>
      </c>
    </row>
    <row r="638">
      <c r="A638" s="2">
        <f>IFERROR(__xludf.DUMMYFUNCTION("""COMPUTED_VALUE"""),45029.66666666667)</f>
        <v>45029.66667</v>
      </c>
      <c r="B638" s="1">
        <f>IFERROR(__xludf.DUMMYFUNCTION("""COMPUTED_VALUE"""),185.9)</f>
        <v>185.9</v>
      </c>
    </row>
    <row r="639">
      <c r="A639" s="2">
        <f>IFERROR(__xludf.DUMMYFUNCTION("""COMPUTED_VALUE"""),45030.66666666667)</f>
        <v>45030.66667</v>
      </c>
      <c r="B639" s="1">
        <f>IFERROR(__xludf.DUMMYFUNCTION("""COMPUTED_VALUE"""),185.0)</f>
        <v>185</v>
      </c>
    </row>
    <row r="640">
      <c r="A640" s="2">
        <f>IFERROR(__xludf.DUMMYFUNCTION("""COMPUTED_VALUE"""),45033.66666666667)</f>
        <v>45033.66667</v>
      </c>
      <c r="B640" s="1">
        <f>IFERROR(__xludf.DUMMYFUNCTION("""COMPUTED_VALUE"""),187.04)</f>
        <v>187.04</v>
      </c>
    </row>
    <row r="641">
      <c r="A641" s="2">
        <f>IFERROR(__xludf.DUMMYFUNCTION("""COMPUTED_VALUE"""),45034.66666666667)</f>
        <v>45034.66667</v>
      </c>
      <c r="B641" s="1">
        <f>IFERROR(__xludf.DUMMYFUNCTION("""COMPUTED_VALUE"""),184.31)</f>
        <v>184.31</v>
      </c>
    </row>
    <row r="642">
      <c r="A642" s="2">
        <f>IFERROR(__xludf.DUMMYFUNCTION("""COMPUTED_VALUE"""),45035.66666666667)</f>
        <v>45035.66667</v>
      </c>
      <c r="B642" s="1">
        <f>IFERROR(__xludf.DUMMYFUNCTION("""COMPUTED_VALUE"""),180.59)</f>
        <v>180.59</v>
      </c>
    </row>
    <row r="643">
      <c r="A643" s="2">
        <f>IFERROR(__xludf.DUMMYFUNCTION("""COMPUTED_VALUE"""),45036.66666666667)</f>
        <v>45036.66667</v>
      </c>
      <c r="B643" s="1">
        <f>IFERROR(__xludf.DUMMYFUNCTION("""COMPUTED_VALUE"""),162.99)</f>
        <v>162.99</v>
      </c>
    </row>
    <row r="644">
      <c r="A644" s="2">
        <f>IFERROR(__xludf.DUMMYFUNCTION("""COMPUTED_VALUE"""),45037.66666666667)</f>
        <v>45037.66667</v>
      </c>
      <c r="B644" s="1">
        <f>IFERROR(__xludf.DUMMYFUNCTION("""COMPUTED_VALUE"""),165.08)</f>
        <v>165.08</v>
      </c>
    </row>
    <row r="645">
      <c r="A645" s="2">
        <f>IFERROR(__xludf.DUMMYFUNCTION("""COMPUTED_VALUE"""),45040.66666666667)</f>
        <v>45040.66667</v>
      </c>
      <c r="B645" s="1">
        <f>IFERROR(__xludf.DUMMYFUNCTION("""COMPUTED_VALUE"""),162.55)</f>
        <v>162.55</v>
      </c>
    </row>
    <row r="646">
      <c r="A646" s="2">
        <f>IFERROR(__xludf.DUMMYFUNCTION("""COMPUTED_VALUE"""),45041.66666666667)</f>
        <v>45041.66667</v>
      </c>
      <c r="B646" s="1">
        <f>IFERROR(__xludf.DUMMYFUNCTION("""COMPUTED_VALUE"""),160.67)</f>
        <v>160.67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IFERROR(__xludf.DUMMYFUNCTION("""COMPUTED_VALUE"""),153.75)</f>
        <v>153.75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IFERROR(__xludf.DUMMYFUNCTION("""COMPUTED_VALUE"""),160.19)</f>
        <v>160.19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IFERROR(__xludf.DUMMYFUNCTION("""COMPUTED_VALUE"""),164.31)</f>
        <v>164.31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IFERROR(__xludf.DUMMYFUNCTION("""COMPUTED_VALUE"""),161.83)</f>
        <v>161.83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IFERROR(__xludf.DUMMYFUNCTION("""COMPUTED_VALUE"""),160.31)</f>
        <v>160.31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IFERROR(__xludf.DUMMYFUNCTION("""COMPUTED_VALUE"""),160.61)</f>
        <v>160.61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IFERROR(__xludf.DUMMYFUNCTION("""COMPUTED_VALUE"""),161.2)</f>
        <v>161.2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IFERROR(__xludf.DUMMYFUNCTION("""COMPUTED_VALUE"""),170.06)</f>
        <v>170.06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IFERROR(__xludf.DUMMYFUNCTION("""COMPUTED_VALUE"""),171.79)</f>
        <v>171.79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IFERROR(__xludf.DUMMYFUNCTION("""COMPUTED_VALUE"""),169.15)</f>
        <v>169.15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IFERROR(__xludf.DUMMYFUNCTION("""COMPUTED_VALUE"""),168.54)</f>
        <v>168.54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IFERROR(__xludf.DUMMYFUNCTION("""COMPUTED_VALUE"""),172.08)</f>
        <v>172.08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IFERROR(__xludf.DUMMYFUNCTION("""COMPUTED_VALUE"""),167.98)</f>
        <v>167.98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IFERROR(__xludf.DUMMYFUNCTION("""COMPUTED_VALUE"""),166.35)</f>
        <v>166.35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IFERROR(__xludf.DUMMYFUNCTION("""COMPUTED_VALUE"""),166.52)</f>
        <v>166.52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IFERROR(__xludf.DUMMYFUNCTION("""COMPUTED_VALUE"""),173.86)</f>
        <v>173.86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IFERROR(__xludf.DUMMYFUNCTION("""COMPUTED_VALUE"""),176.89)</f>
        <v>176.89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IFERROR(__xludf.DUMMYFUNCTION("""COMPUTED_VALUE"""),180.14)</f>
        <v>180.14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IFERROR(__xludf.DUMMYFUNCTION("""COMPUTED_VALUE"""),188.87)</f>
        <v>188.87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IFERROR(__xludf.DUMMYFUNCTION("""COMPUTED_VALUE"""),185.77)</f>
        <v>185.77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IFERROR(__xludf.DUMMYFUNCTION("""COMPUTED_VALUE"""),182.9)</f>
        <v>182.9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IFERROR(__xludf.DUMMYFUNCTION("""COMPUTED_VALUE"""),184.47)</f>
        <v>184.47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IFERROR(__xludf.DUMMYFUNCTION("""COMPUTED_VALUE"""),193.17)</f>
        <v>193.17</v>
      </c>
    </row>
    <row r="670">
      <c r="A670" s="2">
        <f>IFERROR(__xludf.DUMMYFUNCTION("""COMPUTED_VALUE"""),45076.66666666667)</f>
        <v>45076.66667</v>
      </c>
      <c r="B670" s="1">
        <f>IFERROR(__xludf.DUMMYFUNCTION("""COMPUTED_VALUE"""),201.16)</f>
        <v>201.16</v>
      </c>
    </row>
    <row r="671">
      <c r="A671" s="2">
        <f>IFERROR(__xludf.DUMMYFUNCTION("""COMPUTED_VALUE"""),45077.66666666667)</f>
        <v>45077.66667</v>
      </c>
      <c r="B671" s="1">
        <f>IFERROR(__xludf.DUMMYFUNCTION("""COMPUTED_VALUE"""),203.93)</f>
        <v>203.93</v>
      </c>
    </row>
    <row r="672">
      <c r="A672" s="2">
        <f>IFERROR(__xludf.DUMMYFUNCTION("""COMPUTED_VALUE"""),45078.66666666667)</f>
        <v>45078.66667</v>
      </c>
      <c r="B672" s="1">
        <f>IFERROR(__xludf.DUMMYFUNCTION("""COMPUTED_VALUE"""),207.52)</f>
        <v>207.52</v>
      </c>
    </row>
    <row r="673">
      <c r="A673" s="2">
        <f>IFERROR(__xludf.DUMMYFUNCTION("""COMPUTED_VALUE"""),45079.66666666667)</f>
        <v>45079.66667</v>
      </c>
      <c r="B673" s="1">
        <f>IFERROR(__xludf.DUMMYFUNCTION("""COMPUTED_VALUE"""),213.97)</f>
        <v>213.97</v>
      </c>
    </row>
    <row r="674">
      <c r="A674" s="2">
        <f>IFERROR(__xludf.DUMMYFUNCTION("""COMPUTED_VALUE"""),45082.66666666667)</f>
        <v>45082.66667</v>
      </c>
      <c r="B674" s="1">
        <f>IFERROR(__xludf.DUMMYFUNCTION("""COMPUTED_VALUE"""),217.61)</f>
        <v>217.61</v>
      </c>
    </row>
    <row r="675">
      <c r="A675" s="2">
        <f>IFERROR(__xludf.DUMMYFUNCTION("""COMPUTED_VALUE"""),45083.66666666667)</f>
        <v>45083.66667</v>
      </c>
      <c r="B675" s="1">
        <f>IFERROR(__xludf.DUMMYFUNCTION("""COMPUTED_VALUE"""),221.31)</f>
        <v>221.31</v>
      </c>
    </row>
    <row r="676">
      <c r="A676" s="2">
        <f>IFERROR(__xludf.DUMMYFUNCTION("""COMPUTED_VALUE"""),45084.66666666667)</f>
        <v>45084.66667</v>
      </c>
      <c r="B676" s="1">
        <f>IFERROR(__xludf.DUMMYFUNCTION("""COMPUTED_VALUE"""),224.57)</f>
        <v>224.57</v>
      </c>
    </row>
    <row r="677">
      <c r="A677" s="2">
        <f>IFERROR(__xludf.DUMMYFUNCTION("""COMPUTED_VALUE"""),45085.66666666667)</f>
        <v>45085.66667</v>
      </c>
      <c r="B677" s="1">
        <f>IFERROR(__xludf.DUMMYFUNCTION("""COMPUTED_VALUE"""),234.86)</f>
        <v>234.86</v>
      </c>
    </row>
    <row r="678">
      <c r="A678" s="2">
        <f>IFERROR(__xludf.DUMMYFUNCTION("""COMPUTED_VALUE"""),45086.66666666667)</f>
        <v>45086.66667</v>
      </c>
      <c r="B678" s="1">
        <f>IFERROR(__xludf.DUMMYFUNCTION("""COMPUTED_VALUE"""),244.4)</f>
        <v>244.4</v>
      </c>
    </row>
    <row r="679">
      <c r="A679" s="2">
        <f>IFERROR(__xludf.DUMMYFUNCTION("""COMPUTED_VALUE"""),45089.66666666667)</f>
        <v>45089.66667</v>
      </c>
      <c r="B679" s="1">
        <f>IFERROR(__xludf.DUMMYFUNCTION("""COMPUTED_VALUE"""),249.83)</f>
        <v>249.83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IFERROR(__xludf.DUMMYFUNCTION("""COMPUTED_VALUE"""),258.71)</f>
        <v>258.71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IFERROR(__xludf.DUMMYFUNCTION("""COMPUTED_VALUE"""),256.79)</f>
        <v>256.79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IFERROR(__xludf.DUMMYFUNCTION("""COMPUTED_VALUE"""),255.9)</f>
        <v>255.9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IFERROR(__xludf.DUMMYFUNCTION("""COMPUTED_VALUE"""),260.54)</f>
        <v>260.54</v>
      </c>
    </row>
    <row r="684">
      <c r="A684" s="2">
        <f>IFERROR(__xludf.DUMMYFUNCTION("""COMPUTED_VALUE"""),45097.66666666667)</f>
        <v>45097.66667</v>
      </c>
      <c r="B684" s="1">
        <f>IFERROR(__xludf.DUMMYFUNCTION("""COMPUTED_VALUE"""),274.45)</f>
        <v>274.45</v>
      </c>
    </row>
    <row r="685">
      <c r="A685" s="2">
        <f>IFERROR(__xludf.DUMMYFUNCTION("""COMPUTED_VALUE"""),45098.66666666667)</f>
        <v>45098.66667</v>
      </c>
      <c r="B685" s="1">
        <f>IFERROR(__xludf.DUMMYFUNCTION("""COMPUTED_VALUE"""),259.46)</f>
        <v>259.46</v>
      </c>
    </row>
    <row r="686">
      <c r="A686" s="2">
        <f>IFERROR(__xludf.DUMMYFUNCTION("""COMPUTED_VALUE"""),45099.66666666667)</f>
        <v>45099.66667</v>
      </c>
      <c r="B686" s="1">
        <f>IFERROR(__xludf.DUMMYFUNCTION("""COMPUTED_VALUE"""),264.61)</f>
        <v>264.61</v>
      </c>
    </row>
    <row r="687">
      <c r="A687" s="2">
        <f>IFERROR(__xludf.DUMMYFUNCTION("""COMPUTED_VALUE"""),45100.66666666667)</f>
        <v>45100.66667</v>
      </c>
      <c r="B687" s="1">
        <f>IFERROR(__xludf.DUMMYFUNCTION("""COMPUTED_VALUE"""),256.6)</f>
        <v>256.6</v>
      </c>
    </row>
    <row r="688">
      <c r="A688" s="2">
        <f>IFERROR(__xludf.DUMMYFUNCTION("""COMPUTED_VALUE"""),45103.66666666667)</f>
        <v>45103.66667</v>
      </c>
      <c r="B688" s="1">
        <f>IFERROR(__xludf.DUMMYFUNCTION("""COMPUTED_VALUE"""),241.05)</f>
        <v>241.05</v>
      </c>
    </row>
    <row r="689">
      <c r="A689" s="2">
        <f>IFERROR(__xludf.DUMMYFUNCTION("""COMPUTED_VALUE"""),45104.66666666667)</f>
        <v>45104.66667</v>
      </c>
      <c r="B689" s="1">
        <f>IFERROR(__xludf.DUMMYFUNCTION("""COMPUTED_VALUE"""),250.21)</f>
        <v>250.21</v>
      </c>
    </row>
    <row r="690">
      <c r="A690" s="2">
        <f>IFERROR(__xludf.DUMMYFUNCTION("""COMPUTED_VALUE"""),45105.66666666667)</f>
        <v>45105.66667</v>
      </c>
      <c r="B690" s="1">
        <f>IFERROR(__xludf.DUMMYFUNCTION("""COMPUTED_VALUE"""),256.24)</f>
        <v>256.24</v>
      </c>
    </row>
    <row r="691">
      <c r="A691" s="2">
        <f>IFERROR(__xludf.DUMMYFUNCTION("""COMPUTED_VALUE"""),45106.66666666667)</f>
        <v>45106.66667</v>
      </c>
      <c r="B691" s="1">
        <f>IFERROR(__xludf.DUMMYFUNCTION("""COMPUTED_VALUE"""),257.5)</f>
        <v>257.5</v>
      </c>
    </row>
    <row r="692">
      <c r="A692" s="2">
        <f>IFERROR(__xludf.DUMMYFUNCTION("""COMPUTED_VALUE"""),45107.66666666667)</f>
        <v>45107.66667</v>
      </c>
      <c r="B692" s="1">
        <f>IFERROR(__xludf.DUMMYFUNCTION("""COMPUTED_VALUE"""),261.77)</f>
        <v>261.77</v>
      </c>
    </row>
    <row r="693">
      <c r="A693" s="2">
        <f>IFERROR(__xludf.DUMMYFUNCTION("""COMPUTED_VALUE"""),45110.54513888889)</f>
        <v>45110.54514</v>
      </c>
      <c r="B693" s="1">
        <f>IFERROR(__xludf.DUMMYFUNCTION("""COMPUTED_VALUE"""),279.82)</f>
        <v>279.82</v>
      </c>
    </row>
    <row r="694">
      <c r="A694" s="2">
        <f>IFERROR(__xludf.DUMMYFUNCTION("""COMPUTED_VALUE"""),45112.66666666667)</f>
        <v>45112.66667</v>
      </c>
      <c r="B694" s="1">
        <f>IFERROR(__xludf.DUMMYFUNCTION("""COMPUTED_VALUE"""),282.48)</f>
        <v>282.48</v>
      </c>
    </row>
    <row r="695">
      <c r="A695" s="2">
        <f>IFERROR(__xludf.DUMMYFUNCTION("""COMPUTED_VALUE"""),45113.66666666667)</f>
        <v>45113.66667</v>
      </c>
      <c r="B695" s="1">
        <f>IFERROR(__xludf.DUMMYFUNCTION("""COMPUTED_VALUE"""),276.54)</f>
        <v>276.54</v>
      </c>
    </row>
    <row r="696">
      <c r="A696" s="2">
        <f>IFERROR(__xludf.DUMMYFUNCTION("""COMPUTED_VALUE"""),45114.66666666667)</f>
        <v>45114.66667</v>
      </c>
      <c r="B696" s="1">
        <f>IFERROR(__xludf.DUMMYFUNCTION("""COMPUTED_VALUE"""),274.43)</f>
        <v>274.43</v>
      </c>
    </row>
    <row r="697">
      <c r="A697" s="2">
        <f>IFERROR(__xludf.DUMMYFUNCTION("""COMPUTED_VALUE"""),45117.66666666667)</f>
        <v>45117.66667</v>
      </c>
      <c r="B697" s="1">
        <f>IFERROR(__xludf.DUMMYFUNCTION("""COMPUTED_VALUE"""),269.61)</f>
        <v>269.61</v>
      </c>
    </row>
    <row r="698">
      <c r="A698" s="2">
        <f>IFERROR(__xludf.DUMMYFUNCTION("""COMPUTED_VALUE"""),45118.66666666667)</f>
        <v>45118.66667</v>
      </c>
      <c r="B698" s="1">
        <f>IFERROR(__xludf.DUMMYFUNCTION("""COMPUTED_VALUE"""),269.79)</f>
        <v>269.79</v>
      </c>
    </row>
    <row r="699">
      <c r="A699" s="2">
        <f>IFERROR(__xludf.DUMMYFUNCTION("""COMPUTED_VALUE"""),45119.66666666667)</f>
        <v>45119.66667</v>
      </c>
      <c r="B699" s="1">
        <f>IFERROR(__xludf.DUMMYFUNCTION("""COMPUTED_VALUE"""),271.99)</f>
        <v>271.99</v>
      </c>
    </row>
    <row r="700">
      <c r="A700" s="2">
        <f>IFERROR(__xludf.DUMMYFUNCTION("""COMPUTED_VALUE"""),45120.66666666667)</f>
        <v>45120.66667</v>
      </c>
      <c r="B700" s="1">
        <f>IFERROR(__xludf.DUMMYFUNCTION("""COMPUTED_VALUE"""),277.9)</f>
        <v>277.9</v>
      </c>
    </row>
    <row r="701">
      <c r="A701" s="2">
        <f>IFERROR(__xludf.DUMMYFUNCTION("""COMPUTED_VALUE"""),45121.66666666667)</f>
        <v>45121.66667</v>
      </c>
      <c r="B701" s="1">
        <f>IFERROR(__xludf.DUMMYFUNCTION("""COMPUTED_VALUE"""),281.38)</f>
        <v>281.38</v>
      </c>
    </row>
    <row r="702">
      <c r="A702" s="2">
        <f>IFERROR(__xludf.DUMMYFUNCTION("""COMPUTED_VALUE"""),45124.66666666667)</f>
        <v>45124.66667</v>
      </c>
      <c r="B702" s="1">
        <f>IFERROR(__xludf.DUMMYFUNCTION("""COMPUTED_VALUE"""),290.38)</f>
        <v>290.38</v>
      </c>
    </row>
    <row r="703">
      <c r="A703" s="2">
        <f>IFERROR(__xludf.DUMMYFUNCTION("""COMPUTED_VALUE"""),45125.66666666667)</f>
        <v>45125.66667</v>
      </c>
      <c r="B703" s="1">
        <f>IFERROR(__xludf.DUMMYFUNCTION("""COMPUTED_VALUE"""),293.34)</f>
        <v>293.34</v>
      </c>
    </row>
    <row r="704">
      <c r="A704" s="2">
        <f>IFERROR(__xludf.DUMMYFUNCTION("""COMPUTED_VALUE"""),45126.66666666667)</f>
        <v>45126.66667</v>
      </c>
      <c r="B704" s="1">
        <f>IFERROR(__xludf.DUMMYFUNCTION("""COMPUTED_VALUE"""),291.26)</f>
        <v>291.26</v>
      </c>
    </row>
    <row r="705">
      <c r="A705" s="2">
        <f>IFERROR(__xludf.DUMMYFUNCTION("""COMPUTED_VALUE"""),45127.66666666667)</f>
        <v>45127.66667</v>
      </c>
      <c r="B705" s="1">
        <f>IFERROR(__xludf.DUMMYFUNCTION("""COMPUTED_VALUE"""),262.9)</f>
        <v>262.9</v>
      </c>
    </row>
    <row r="706">
      <c r="A706" s="2">
        <f>IFERROR(__xludf.DUMMYFUNCTION("""COMPUTED_VALUE"""),45128.66666666667)</f>
        <v>45128.66667</v>
      </c>
      <c r="B706" s="1">
        <f>IFERROR(__xludf.DUMMYFUNCTION("""COMPUTED_VALUE"""),260.02)</f>
        <v>260.02</v>
      </c>
    </row>
    <row r="707">
      <c r="A707" s="2">
        <f>IFERROR(__xludf.DUMMYFUNCTION("""COMPUTED_VALUE"""),45131.66666666667)</f>
        <v>45131.66667</v>
      </c>
      <c r="B707" s="1">
        <f>IFERROR(__xludf.DUMMYFUNCTION("""COMPUTED_VALUE"""),269.06)</f>
        <v>269.06</v>
      </c>
    </row>
    <row r="708">
      <c r="A708" s="2">
        <f>IFERROR(__xludf.DUMMYFUNCTION("""COMPUTED_VALUE"""),45132.66666666667)</f>
        <v>45132.66667</v>
      </c>
      <c r="B708" s="1">
        <f>IFERROR(__xludf.DUMMYFUNCTION("""COMPUTED_VALUE"""),265.28)</f>
        <v>265.28</v>
      </c>
    </row>
    <row r="709">
      <c r="A709" s="2">
        <f>IFERROR(__xludf.DUMMYFUNCTION("""COMPUTED_VALUE"""),45133.66666666667)</f>
        <v>45133.66667</v>
      </c>
      <c r="B709" s="1">
        <f>IFERROR(__xludf.DUMMYFUNCTION("""COMPUTED_VALUE"""),264.35)</f>
        <v>264.35</v>
      </c>
    </row>
    <row r="710">
      <c r="A710" s="2">
        <f>IFERROR(__xludf.DUMMYFUNCTION("""COMPUTED_VALUE"""),45134.66666666667)</f>
        <v>45134.66667</v>
      </c>
      <c r="B710" s="1">
        <f>IFERROR(__xludf.DUMMYFUNCTION("""COMPUTED_VALUE"""),255.71)</f>
        <v>255.71</v>
      </c>
    </row>
    <row r="711">
      <c r="A711" s="2">
        <f>IFERROR(__xludf.DUMMYFUNCTION("""COMPUTED_VALUE"""),45135.66666666667)</f>
        <v>45135.66667</v>
      </c>
      <c r="B711" s="1">
        <f>IFERROR(__xludf.DUMMYFUNCTION("""COMPUTED_VALUE"""),266.44)</f>
        <v>266.44</v>
      </c>
    </row>
    <row r="712">
      <c r="A712" s="2">
        <f>IFERROR(__xludf.DUMMYFUNCTION("""COMPUTED_VALUE"""),45138.66666666667)</f>
        <v>45138.66667</v>
      </c>
      <c r="B712" s="1">
        <f>IFERROR(__xludf.DUMMYFUNCTION("""COMPUTED_VALUE"""),267.43)</f>
        <v>267.43</v>
      </c>
    </row>
    <row r="713">
      <c r="A713" s="2">
        <f>IFERROR(__xludf.DUMMYFUNCTION("""COMPUTED_VALUE"""),45139.66666666667)</f>
        <v>45139.66667</v>
      </c>
      <c r="B713" s="1">
        <f>IFERROR(__xludf.DUMMYFUNCTION("""COMPUTED_VALUE"""),261.07)</f>
        <v>261.07</v>
      </c>
    </row>
    <row r="714">
      <c r="A714" s="2">
        <f>IFERROR(__xludf.DUMMYFUNCTION("""COMPUTED_VALUE"""),45140.66666666667)</f>
        <v>45140.66667</v>
      </c>
      <c r="B714" s="1">
        <f>IFERROR(__xludf.DUMMYFUNCTION("""COMPUTED_VALUE"""),254.11)</f>
        <v>254.11</v>
      </c>
    </row>
    <row r="715">
      <c r="A715" s="2">
        <f>IFERROR(__xludf.DUMMYFUNCTION("""COMPUTED_VALUE"""),45141.66666666667)</f>
        <v>45141.66667</v>
      </c>
      <c r="B715" s="1">
        <f>IFERROR(__xludf.DUMMYFUNCTION("""COMPUTED_VALUE"""),259.32)</f>
        <v>259.32</v>
      </c>
    </row>
    <row r="716">
      <c r="A716" s="2">
        <f>IFERROR(__xludf.DUMMYFUNCTION("""COMPUTED_VALUE"""),45142.66666666667)</f>
        <v>45142.66667</v>
      </c>
      <c r="B716" s="1">
        <f>IFERROR(__xludf.DUMMYFUNCTION("""COMPUTED_VALUE"""),253.86)</f>
        <v>253.86</v>
      </c>
    </row>
    <row r="717">
      <c r="A717" s="2">
        <f>IFERROR(__xludf.DUMMYFUNCTION("""COMPUTED_VALUE"""),45145.66666666667)</f>
        <v>45145.66667</v>
      </c>
      <c r="B717" s="1">
        <f>IFERROR(__xludf.DUMMYFUNCTION("""COMPUTED_VALUE"""),251.45)</f>
        <v>251.45</v>
      </c>
    </row>
    <row r="718">
      <c r="A718" s="2">
        <f>IFERROR(__xludf.DUMMYFUNCTION("""COMPUTED_VALUE"""),45146.66666666667)</f>
        <v>45146.66667</v>
      </c>
      <c r="B718" s="1">
        <f>IFERROR(__xludf.DUMMYFUNCTION("""COMPUTED_VALUE"""),249.7)</f>
        <v>249.7</v>
      </c>
    </row>
    <row r="719">
      <c r="A719" s="2">
        <f>IFERROR(__xludf.DUMMYFUNCTION("""COMPUTED_VALUE"""),45147.66666666667)</f>
        <v>45147.66667</v>
      </c>
      <c r="B719" s="1">
        <f>IFERROR(__xludf.DUMMYFUNCTION("""COMPUTED_VALUE"""),242.19)</f>
        <v>242.19</v>
      </c>
    </row>
    <row r="720">
      <c r="A720" s="2">
        <f>IFERROR(__xludf.DUMMYFUNCTION("""COMPUTED_VALUE"""),45148.66666666667)</f>
        <v>45148.66667</v>
      </c>
      <c r="B720" s="1">
        <f>IFERROR(__xludf.DUMMYFUNCTION("""COMPUTED_VALUE"""),245.34)</f>
        <v>245.34</v>
      </c>
    </row>
    <row r="721">
      <c r="A721" s="2">
        <f>IFERROR(__xludf.DUMMYFUNCTION("""COMPUTED_VALUE"""),45149.66666666667)</f>
        <v>45149.66667</v>
      </c>
      <c r="B721" s="1">
        <f>IFERROR(__xludf.DUMMYFUNCTION("""COMPUTED_VALUE"""),242.65)</f>
        <v>242.65</v>
      </c>
    </row>
    <row r="722">
      <c r="A722" s="2">
        <f>IFERROR(__xludf.DUMMYFUNCTION("""COMPUTED_VALUE"""),45152.66666666667)</f>
        <v>45152.66667</v>
      </c>
      <c r="B722" s="1">
        <f>IFERROR(__xludf.DUMMYFUNCTION("""COMPUTED_VALUE"""),239.76)</f>
        <v>239.76</v>
      </c>
    </row>
    <row r="723">
      <c r="A723" s="2">
        <f>IFERROR(__xludf.DUMMYFUNCTION("""COMPUTED_VALUE"""),45153.66666666667)</f>
        <v>45153.66667</v>
      </c>
      <c r="B723" s="1">
        <f>IFERROR(__xludf.DUMMYFUNCTION("""COMPUTED_VALUE"""),232.96)</f>
        <v>232.96</v>
      </c>
    </row>
    <row r="724">
      <c r="A724" s="2">
        <f>IFERROR(__xludf.DUMMYFUNCTION("""COMPUTED_VALUE"""),45154.66666666667)</f>
        <v>45154.66667</v>
      </c>
      <c r="B724" s="1">
        <f>IFERROR(__xludf.DUMMYFUNCTION("""COMPUTED_VALUE"""),225.6)</f>
        <v>225.6</v>
      </c>
    </row>
    <row r="725">
      <c r="A725" s="2">
        <f>IFERROR(__xludf.DUMMYFUNCTION("""COMPUTED_VALUE"""),45155.66666666667)</f>
        <v>45155.66667</v>
      </c>
      <c r="B725" s="1">
        <f>IFERROR(__xludf.DUMMYFUNCTION("""COMPUTED_VALUE"""),219.22)</f>
        <v>219.22</v>
      </c>
    </row>
    <row r="726">
      <c r="A726" s="2">
        <f>IFERROR(__xludf.DUMMYFUNCTION("""COMPUTED_VALUE"""),45156.66666666667)</f>
        <v>45156.66667</v>
      </c>
      <c r="B726" s="1">
        <f>IFERROR(__xludf.DUMMYFUNCTION("""COMPUTED_VALUE"""),215.49)</f>
        <v>215.49</v>
      </c>
    </row>
    <row r="727">
      <c r="A727" s="2">
        <f>IFERROR(__xludf.DUMMYFUNCTION("""COMPUTED_VALUE"""),45159.66666666667)</f>
        <v>45159.66667</v>
      </c>
      <c r="B727" s="1">
        <f>IFERROR(__xludf.DUMMYFUNCTION("""COMPUTED_VALUE"""),231.28)</f>
        <v>231.28</v>
      </c>
    </row>
    <row r="728">
      <c r="A728" s="2">
        <f>IFERROR(__xludf.DUMMYFUNCTION("""COMPUTED_VALUE"""),45160.66666666667)</f>
        <v>45160.66667</v>
      </c>
      <c r="B728" s="1">
        <f>IFERROR(__xludf.DUMMYFUNCTION("""COMPUTED_VALUE"""),233.19)</f>
        <v>233.19</v>
      </c>
    </row>
    <row r="729">
      <c r="A729" s="2">
        <f>IFERROR(__xludf.DUMMYFUNCTION("""COMPUTED_VALUE"""),45161.66666666667)</f>
        <v>45161.66667</v>
      </c>
      <c r="B729" s="1">
        <f>IFERROR(__xludf.DUMMYFUNCTION("""COMPUTED_VALUE"""),236.86)</f>
        <v>236.86</v>
      </c>
    </row>
    <row r="730">
      <c r="A730" s="2">
        <f>IFERROR(__xludf.DUMMYFUNCTION("""COMPUTED_VALUE"""),45162.66666666667)</f>
        <v>45162.66667</v>
      </c>
      <c r="B730" s="1">
        <f>IFERROR(__xludf.DUMMYFUNCTION("""COMPUTED_VALUE"""),230.04)</f>
        <v>230.04</v>
      </c>
    </row>
    <row r="731">
      <c r="A731" s="2">
        <f>IFERROR(__xludf.DUMMYFUNCTION("""COMPUTED_VALUE"""),45163.66666666667)</f>
        <v>45163.66667</v>
      </c>
      <c r="B731" s="1">
        <f>IFERROR(__xludf.DUMMYFUNCTION("""COMPUTED_VALUE"""),238.59)</f>
        <v>238.59</v>
      </c>
    </row>
    <row r="732">
      <c r="A732" s="2">
        <f>IFERROR(__xludf.DUMMYFUNCTION("""COMPUTED_VALUE"""),45166.66666666667)</f>
        <v>45166.66667</v>
      </c>
      <c r="B732" s="1">
        <f>IFERROR(__xludf.DUMMYFUNCTION("""COMPUTED_VALUE"""),238.82)</f>
        <v>238.82</v>
      </c>
    </row>
    <row r="733">
      <c r="A733" s="2">
        <f>IFERROR(__xludf.DUMMYFUNCTION("""COMPUTED_VALUE"""),45167.66666666667)</f>
        <v>45167.66667</v>
      </c>
      <c r="B733" s="1">
        <f>IFERROR(__xludf.DUMMYFUNCTION("""COMPUTED_VALUE"""),257.18)</f>
        <v>257.18</v>
      </c>
    </row>
    <row r="734">
      <c r="A734" s="2">
        <f>IFERROR(__xludf.DUMMYFUNCTION("""COMPUTED_VALUE"""),45168.66666666667)</f>
        <v>45168.66667</v>
      </c>
      <c r="B734" s="1">
        <f>IFERROR(__xludf.DUMMYFUNCTION("""COMPUTED_VALUE"""),256.9)</f>
        <v>256.9</v>
      </c>
    </row>
    <row r="735">
      <c r="A735" s="2">
        <f>IFERROR(__xludf.DUMMYFUNCTION("""COMPUTED_VALUE"""),45169.66666666667)</f>
        <v>45169.66667</v>
      </c>
      <c r="B735" s="1">
        <f>IFERROR(__xludf.DUMMYFUNCTION("""COMPUTED_VALUE"""),258.08)</f>
        <v>258.08</v>
      </c>
    </row>
    <row r="736">
      <c r="A736" s="2">
        <f>IFERROR(__xludf.DUMMYFUNCTION("""COMPUTED_VALUE"""),45170.66666666667)</f>
        <v>45170.66667</v>
      </c>
      <c r="B736" s="1">
        <f>IFERROR(__xludf.DUMMYFUNCTION("""COMPUTED_VALUE"""),245.01)</f>
        <v>245.01</v>
      </c>
    </row>
    <row r="737">
      <c r="A737" s="2">
        <f>IFERROR(__xludf.DUMMYFUNCTION("""COMPUTED_VALUE"""),45174.66666666667)</f>
        <v>45174.66667</v>
      </c>
      <c r="B737" s="1">
        <f>IFERROR(__xludf.DUMMYFUNCTION("""COMPUTED_VALUE"""),256.49)</f>
        <v>256.49</v>
      </c>
    </row>
    <row r="738">
      <c r="A738" s="2">
        <f>IFERROR(__xludf.DUMMYFUNCTION("""COMPUTED_VALUE"""),45175.66666666667)</f>
        <v>45175.66667</v>
      </c>
      <c r="B738" s="1">
        <f>IFERROR(__xludf.DUMMYFUNCTION("""COMPUTED_VALUE"""),251.92)</f>
        <v>251.92</v>
      </c>
    </row>
    <row r="739">
      <c r="A739" s="2">
        <f>IFERROR(__xludf.DUMMYFUNCTION("""COMPUTED_VALUE"""),45176.66666666667)</f>
        <v>45176.66667</v>
      </c>
      <c r="B739" s="1">
        <f>IFERROR(__xludf.DUMMYFUNCTION("""COMPUTED_VALUE"""),251.49)</f>
        <v>251.49</v>
      </c>
    </row>
    <row r="740">
      <c r="A740" s="2">
        <f>IFERROR(__xludf.DUMMYFUNCTION("""COMPUTED_VALUE"""),45177.66666666667)</f>
        <v>45177.66667</v>
      </c>
      <c r="B740" s="1">
        <f>IFERROR(__xludf.DUMMYFUNCTION("""COMPUTED_VALUE"""),248.5)</f>
        <v>248.5</v>
      </c>
    </row>
    <row r="741">
      <c r="A741" s="2">
        <f>IFERROR(__xludf.DUMMYFUNCTION("""COMPUTED_VALUE"""),45180.66666666667)</f>
        <v>45180.66667</v>
      </c>
      <c r="B741" s="1">
        <f>IFERROR(__xludf.DUMMYFUNCTION("""COMPUTED_VALUE"""),273.58)</f>
        <v>273.58</v>
      </c>
    </row>
    <row r="742">
      <c r="A742" s="2">
        <f>IFERROR(__xludf.DUMMYFUNCTION("""COMPUTED_VALUE"""),45181.66666666667)</f>
        <v>45181.66667</v>
      </c>
      <c r="B742" s="1">
        <f>IFERROR(__xludf.DUMMYFUNCTION("""COMPUTED_VALUE"""),267.48)</f>
        <v>267.48</v>
      </c>
    </row>
    <row r="743">
      <c r="A743" s="2">
        <f>IFERROR(__xludf.DUMMYFUNCTION("""COMPUTED_VALUE"""),45182.66666666667)</f>
        <v>45182.66667</v>
      </c>
      <c r="B743" s="1">
        <f>IFERROR(__xludf.DUMMYFUNCTION("""COMPUTED_VALUE"""),271.3)</f>
        <v>271.3</v>
      </c>
    </row>
    <row r="744">
      <c r="A744" s="2">
        <f>IFERROR(__xludf.DUMMYFUNCTION("""COMPUTED_VALUE"""),45183.66666666667)</f>
        <v>45183.66667</v>
      </c>
      <c r="B744" s="1">
        <f>IFERROR(__xludf.DUMMYFUNCTION("""COMPUTED_VALUE"""),276.04)</f>
        <v>276.04</v>
      </c>
    </row>
    <row r="745">
      <c r="A745" s="2">
        <f>IFERROR(__xludf.DUMMYFUNCTION("""COMPUTED_VALUE"""),45184.66666666667)</f>
        <v>45184.66667</v>
      </c>
      <c r="B745" s="1">
        <f>IFERROR(__xludf.DUMMYFUNCTION("""COMPUTED_VALUE"""),274.39)</f>
        <v>274.39</v>
      </c>
    </row>
    <row r="746">
      <c r="A746" s="2">
        <f>IFERROR(__xludf.DUMMYFUNCTION("""COMPUTED_VALUE"""),45187.66666666667)</f>
        <v>45187.66667</v>
      </c>
      <c r="B746" s="1">
        <f>IFERROR(__xludf.DUMMYFUNCTION("""COMPUTED_VALUE"""),265.28)</f>
        <v>265.28</v>
      </c>
    </row>
    <row r="747">
      <c r="A747" s="2">
        <f>IFERROR(__xludf.DUMMYFUNCTION("""COMPUTED_VALUE"""),45188.66666666667)</f>
        <v>45188.66667</v>
      </c>
      <c r="B747" s="1">
        <f>IFERROR(__xludf.DUMMYFUNCTION("""COMPUTED_VALUE"""),266.5)</f>
        <v>266.5</v>
      </c>
    </row>
    <row r="748">
      <c r="A748" s="2">
        <f>IFERROR(__xludf.DUMMYFUNCTION("""COMPUTED_VALUE"""),45189.66666666667)</f>
        <v>45189.66667</v>
      </c>
      <c r="B748" s="1">
        <f>IFERROR(__xludf.DUMMYFUNCTION("""COMPUTED_VALUE"""),262.59)</f>
        <v>262.59</v>
      </c>
    </row>
    <row r="749">
      <c r="A749" s="2">
        <f>IFERROR(__xludf.DUMMYFUNCTION("""COMPUTED_VALUE"""),45190.66666666667)</f>
        <v>45190.66667</v>
      </c>
      <c r="B749" s="1">
        <f>IFERROR(__xludf.DUMMYFUNCTION("""COMPUTED_VALUE"""),255.7)</f>
        <v>255.7</v>
      </c>
    </row>
    <row r="750">
      <c r="A750" s="2">
        <f>IFERROR(__xludf.DUMMYFUNCTION("""COMPUTED_VALUE"""),45191.66666666667)</f>
        <v>45191.66667</v>
      </c>
      <c r="B750" s="1">
        <f>IFERROR(__xludf.DUMMYFUNCTION("""COMPUTED_VALUE"""),244.88)</f>
        <v>244.88</v>
      </c>
    </row>
    <row r="751">
      <c r="A751" s="2">
        <f>IFERROR(__xludf.DUMMYFUNCTION("""COMPUTED_VALUE"""),45194.66666666667)</f>
        <v>45194.66667</v>
      </c>
      <c r="B751" s="1">
        <f>IFERROR(__xludf.DUMMYFUNCTION("""COMPUTED_VALUE"""),246.99)</f>
        <v>246.99</v>
      </c>
    </row>
    <row r="752">
      <c r="A752" s="2">
        <f>IFERROR(__xludf.DUMMYFUNCTION("""COMPUTED_VALUE"""),45195.66666666667)</f>
        <v>45195.66667</v>
      </c>
      <c r="B752" s="1">
        <f>IFERROR(__xludf.DUMMYFUNCTION("""COMPUTED_VALUE"""),244.12)</f>
        <v>244.12</v>
      </c>
    </row>
    <row r="753">
      <c r="A753" s="2">
        <f>IFERROR(__xludf.DUMMYFUNCTION("""COMPUTED_VALUE"""),45196.66666666667)</f>
        <v>45196.66667</v>
      </c>
      <c r="B753" s="1">
        <f>IFERROR(__xludf.DUMMYFUNCTION("""COMPUTED_VALUE"""),240.5)</f>
        <v>240.5</v>
      </c>
    </row>
    <row r="754">
      <c r="A754" s="2">
        <f>IFERROR(__xludf.DUMMYFUNCTION("""COMPUTED_VALUE"""),45197.66666666667)</f>
        <v>45197.66667</v>
      </c>
      <c r="B754" s="1">
        <f>IFERROR(__xludf.DUMMYFUNCTION("""COMPUTED_VALUE"""),246.38)</f>
        <v>246.38</v>
      </c>
    </row>
    <row r="755">
      <c r="A755" s="2">
        <f>IFERROR(__xludf.DUMMYFUNCTION("""COMPUTED_VALUE"""),45198.66666666667)</f>
        <v>45198.66667</v>
      </c>
      <c r="B755" s="1">
        <f>IFERROR(__xludf.DUMMYFUNCTION("""COMPUTED_VALUE"""),250.22)</f>
        <v>250.22</v>
      </c>
    </row>
    <row r="756">
      <c r="A756" s="2">
        <f>IFERROR(__xludf.DUMMYFUNCTION("""COMPUTED_VALUE"""),45201.66666666667)</f>
        <v>45201.66667</v>
      </c>
      <c r="B756" s="1">
        <f>IFERROR(__xludf.DUMMYFUNCTION("""COMPUTED_VALUE"""),251.6)</f>
        <v>251.6</v>
      </c>
    </row>
    <row r="757">
      <c r="A757" s="2">
        <f>IFERROR(__xludf.DUMMYFUNCTION("""COMPUTED_VALUE"""),45202.66666666667)</f>
        <v>45202.66667</v>
      </c>
      <c r="B757" s="1">
        <f>IFERROR(__xludf.DUMMYFUNCTION("""COMPUTED_VALUE"""),246.53)</f>
        <v>246.53</v>
      </c>
    </row>
    <row r="758">
      <c r="A758" s="2">
        <f>IFERROR(__xludf.DUMMYFUNCTION("""COMPUTED_VALUE"""),45203.66666666667)</f>
        <v>45203.66667</v>
      </c>
      <c r="B758" s="1">
        <f>IFERROR(__xludf.DUMMYFUNCTION("""COMPUTED_VALUE"""),261.16)</f>
        <v>261.16</v>
      </c>
    </row>
    <row r="759">
      <c r="A759" s="2">
        <f>IFERROR(__xludf.DUMMYFUNCTION("""COMPUTED_VALUE"""),45204.66666666667)</f>
        <v>45204.66667</v>
      </c>
      <c r="B759" s="1">
        <f>IFERROR(__xludf.DUMMYFUNCTION("""COMPUTED_VALUE"""),260.05)</f>
        <v>260.05</v>
      </c>
    </row>
    <row r="760">
      <c r="A760" s="2">
        <f>IFERROR(__xludf.DUMMYFUNCTION("""COMPUTED_VALUE"""),45205.66666666667)</f>
        <v>45205.66667</v>
      </c>
      <c r="B760" s="1">
        <f>IFERROR(__xludf.DUMMYFUNCTION("""COMPUTED_VALUE"""),260.53)</f>
        <v>260.53</v>
      </c>
    </row>
    <row r="761">
      <c r="A761" s="2">
        <f>IFERROR(__xludf.DUMMYFUNCTION("""COMPUTED_VALUE"""),45208.66666666667)</f>
        <v>45208.66667</v>
      </c>
      <c r="B761" s="1">
        <f>IFERROR(__xludf.DUMMYFUNCTION("""COMPUTED_VALUE"""),259.67)</f>
        <v>259.67</v>
      </c>
    </row>
    <row r="762">
      <c r="A762" s="2">
        <f>IFERROR(__xludf.DUMMYFUNCTION("""COMPUTED_VALUE"""),45209.66666666667)</f>
        <v>45209.66667</v>
      </c>
      <c r="B762" s="1">
        <f>IFERROR(__xludf.DUMMYFUNCTION("""COMPUTED_VALUE"""),263.62)</f>
        <v>263.62</v>
      </c>
    </row>
    <row r="763">
      <c r="A763" s="2">
        <f>IFERROR(__xludf.DUMMYFUNCTION("""COMPUTED_VALUE"""),45210.66666666667)</f>
        <v>45210.66667</v>
      </c>
      <c r="B763" s="1">
        <f>IFERROR(__xludf.DUMMYFUNCTION("""COMPUTED_VALUE"""),262.99)</f>
        <v>262.99</v>
      </c>
    </row>
    <row r="764">
      <c r="A764" s="2">
        <f>IFERROR(__xludf.DUMMYFUNCTION("""COMPUTED_VALUE"""),45211.66666666667)</f>
        <v>45211.66667</v>
      </c>
      <c r="B764" s="1">
        <f>IFERROR(__xludf.DUMMYFUNCTION("""COMPUTED_VALUE"""),258.87)</f>
        <v>258.87</v>
      </c>
    </row>
    <row r="765">
      <c r="A765" s="2">
        <f>IFERROR(__xludf.DUMMYFUNCTION("""COMPUTED_VALUE"""),45212.66666666667)</f>
        <v>45212.66667</v>
      </c>
      <c r="B765" s="1">
        <f>IFERROR(__xludf.DUMMYFUNCTION("""COMPUTED_VALUE"""),251.12)</f>
        <v>251.12</v>
      </c>
    </row>
    <row r="766">
      <c r="A766" s="2">
        <f>IFERROR(__xludf.DUMMYFUNCTION("""COMPUTED_VALUE"""),45215.66666666667)</f>
        <v>45215.66667</v>
      </c>
      <c r="B766" s="1">
        <f>IFERROR(__xludf.DUMMYFUNCTION("""COMPUTED_VALUE"""),253.92)</f>
        <v>253.92</v>
      </c>
    </row>
    <row r="767">
      <c r="A767" s="2">
        <f>IFERROR(__xludf.DUMMYFUNCTION("""COMPUTED_VALUE"""),45216.66666666667)</f>
        <v>45216.66667</v>
      </c>
      <c r="B767" s="1">
        <f>IFERROR(__xludf.DUMMYFUNCTION("""COMPUTED_VALUE"""),254.85)</f>
        <v>254.85</v>
      </c>
    </row>
    <row r="768">
      <c r="A768" s="2">
        <f>IFERROR(__xludf.DUMMYFUNCTION("""COMPUTED_VALUE"""),45217.66666666667)</f>
        <v>45217.66667</v>
      </c>
      <c r="B768" s="1">
        <f>IFERROR(__xludf.DUMMYFUNCTION("""COMPUTED_VALUE"""),242.68)</f>
        <v>242.68</v>
      </c>
    </row>
    <row r="769">
      <c r="A769" s="2">
        <f>IFERROR(__xludf.DUMMYFUNCTION("""COMPUTED_VALUE"""),45218.66666666667)</f>
        <v>45218.66667</v>
      </c>
      <c r="B769" s="1">
        <f>IFERROR(__xludf.DUMMYFUNCTION("""COMPUTED_VALUE"""),220.11)</f>
        <v>220.11</v>
      </c>
    </row>
    <row r="770">
      <c r="A770" s="2">
        <f>IFERROR(__xludf.DUMMYFUNCTION("""COMPUTED_VALUE"""),45219.66666666667)</f>
        <v>45219.66667</v>
      </c>
      <c r="B770" s="1">
        <f>IFERROR(__xludf.DUMMYFUNCTION("""COMPUTED_VALUE"""),211.99)</f>
        <v>211.99</v>
      </c>
    </row>
    <row r="771">
      <c r="A771" s="2">
        <f>IFERROR(__xludf.DUMMYFUNCTION("""COMPUTED_VALUE"""),45222.66666666667)</f>
        <v>45222.66667</v>
      </c>
      <c r="B771" s="1">
        <f>IFERROR(__xludf.DUMMYFUNCTION("""COMPUTED_VALUE"""),212.08)</f>
        <v>212.08</v>
      </c>
    </row>
    <row r="772">
      <c r="A772" s="2">
        <f>IFERROR(__xludf.DUMMYFUNCTION("""COMPUTED_VALUE"""),45223.66666666667)</f>
        <v>45223.66667</v>
      </c>
      <c r="B772" s="1">
        <f>IFERROR(__xludf.DUMMYFUNCTION("""COMPUTED_VALUE"""),216.52)</f>
        <v>216.52</v>
      </c>
    </row>
    <row r="773">
      <c r="A773" s="2">
        <f>IFERROR(__xludf.DUMMYFUNCTION("""COMPUTED_VALUE"""),45224.66666666667)</f>
        <v>45224.66667</v>
      </c>
      <c r="B773" s="1">
        <f>IFERROR(__xludf.DUMMYFUNCTION("""COMPUTED_VALUE"""),212.42)</f>
        <v>212.42</v>
      </c>
    </row>
    <row r="774">
      <c r="A774" s="2">
        <f>IFERROR(__xludf.DUMMYFUNCTION("""COMPUTED_VALUE"""),45225.66666666667)</f>
        <v>45225.66667</v>
      </c>
      <c r="B774" s="1">
        <f>IFERROR(__xludf.DUMMYFUNCTION("""COMPUTED_VALUE"""),205.76)</f>
        <v>205.76</v>
      </c>
    </row>
    <row r="775">
      <c r="A775" s="2">
        <f>IFERROR(__xludf.DUMMYFUNCTION("""COMPUTED_VALUE"""),45226.66666666667)</f>
        <v>45226.66667</v>
      </c>
      <c r="B775" s="1">
        <f>IFERROR(__xludf.DUMMYFUNCTION("""COMPUTED_VALUE"""),207.3)</f>
        <v>207.3</v>
      </c>
    </row>
    <row r="776">
      <c r="A776" s="2">
        <f>IFERROR(__xludf.DUMMYFUNCTION("""COMPUTED_VALUE"""),45229.66666666667)</f>
        <v>45229.66667</v>
      </c>
      <c r="B776" s="1">
        <f>IFERROR(__xludf.DUMMYFUNCTION("""COMPUTED_VALUE"""),197.36)</f>
        <v>197.36</v>
      </c>
    </row>
    <row r="777">
      <c r="A777" s="2">
        <f>IFERROR(__xludf.DUMMYFUNCTION("""COMPUTED_VALUE"""),45230.66666666667)</f>
        <v>45230.66667</v>
      </c>
      <c r="B777" s="1">
        <f>IFERROR(__xludf.DUMMYFUNCTION("""COMPUTED_VALUE"""),200.84)</f>
        <v>200.84</v>
      </c>
    </row>
    <row r="778">
      <c r="A778" s="2">
        <f>IFERROR(__xludf.DUMMYFUNCTION("""COMPUTED_VALUE"""),45231.66666666667)</f>
        <v>45231.66667</v>
      </c>
      <c r="B778" s="1">
        <f>IFERROR(__xludf.DUMMYFUNCTION("""COMPUTED_VALUE"""),205.66)</f>
        <v>205.66</v>
      </c>
    </row>
    <row r="779">
      <c r="A779" s="2">
        <f>IFERROR(__xludf.DUMMYFUNCTION("""COMPUTED_VALUE"""),45232.66666666667)</f>
        <v>45232.66667</v>
      </c>
      <c r="B779" s="1">
        <f>IFERROR(__xludf.DUMMYFUNCTION("""COMPUTED_VALUE"""),218.51)</f>
        <v>218.51</v>
      </c>
    </row>
    <row r="780">
      <c r="A780" s="2">
        <f>IFERROR(__xludf.DUMMYFUNCTION("""COMPUTED_VALUE"""),45233.66666666667)</f>
        <v>45233.66667</v>
      </c>
      <c r="B780" s="1">
        <f>IFERROR(__xludf.DUMMYFUNCTION("""COMPUTED_VALUE"""),219.96)</f>
        <v>219.96</v>
      </c>
    </row>
    <row r="781">
      <c r="A781" s="2">
        <f>IFERROR(__xludf.DUMMYFUNCTION("""COMPUTED_VALUE"""),45236.66666666667)</f>
        <v>45236.66667</v>
      </c>
      <c r="B781" s="1">
        <f>IFERROR(__xludf.DUMMYFUNCTION("""COMPUTED_VALUE"""),219.27)</f>
        <v>219.27</v>
      </c>
    </row>
    <row r="782">
      <c r="A782" s="2">
        <f>IFERROR(__xludf.DUMMYFUNCTION("""COMPUTED_VALUE"""),45237.66666666667)</f>
        <v>45237.66667</v>
      </c>
      <c r="B782" s="1">
        <f>IFERROR(__xludf.DUMMYFUNCTION("""COMPUTED_VALUE"""),222.18)</f>
        <v>222.18</v>
      </c>
    </row>
    <row r="783">
      <c r="A783" s="2">
        <f>IFERROR(__xludf.DUMMYFUNCTION("""COMPUTED_VALUE"""),45238.66666666667)</f>
        <v>45238.66667</v>
      </c>
      <c r="B783" s="1">
        <f>IFERROR(__xludf.DUMMYFUNCTION("""COMPUTED_VALUE"""),222.11)</f>
        <v>222.11</v>
      </c>
    </row>
    <row r="784">
      <c r="A784" s="2">
        <f>IFERROR(__xludf.DUMMYFUNCTION("""COMPUTED_VALUE"""),45239.66666666667)</f>
        <v>45239.66667</v>
      </c>
      <c r="B784" s="1">
        <f>IFERROR(__xludf.DUMMYFUNCTION("""COMPUTED_VALUE"""),209.98)</f>
        <v>209.98</v>
      </c>
    </row>
    <row r="785">
      <c r="A785" s="2">
        <f>IFERROR(__xludf.DUMMYFUNCTION("""COMPUTED_VALUE"""),45240.66666666667)</f>
        <v>45240.66667</v>
      </c>
      <c r="B785" s="1">
        <f>IFERROR(__xludf.DUMMYFUNCTION("""COMPUTED_VALUE"""),214.65)</f>
        <v>214.65</v>
      </c>
    </row>
    <row r="786">
      <c r="A786" s="2">
        <f>IFERROR(__xludf.DUMMYFUNCTION("""COMPUTED_VALUE"""),45243.66666666667)</f>
        <v>45243.66667</v>
      </c>
      <c r="B786" s="1">
        <f>IFERROR(__xludf.DUMMYFUNCTION("""COMPUTED_VALUE"""),223.71)</f>
        <v>223.71</v>
      </c>
    </row>
    <row r="787">
      <c r="A787" s="2">
        <f>IFERROR(__xludf.DUMMYFUNCTION("""COMPUTED_VALUE"""),45244.66666666667)</f>
        <v>45244.66667</v>
      </c>
      <c r="B787" s="1">
        <f>IFERROR(__xludf.DUMMYFUNCTION("""COMPUTED_VALUE"""),237.41)</f>
        <v>237.41</v>
      </c>
    </row>
    <row r="788">
      <c r="A788" s="2">
        <f>IFERROR(__xludf.DUMMYFUNCTION("""COMPUTED_VALUE"""),45245.66666666667)</f>
        <v>45245.66667</v>
      </c>
      <c r="B788" s="1">
        <f>IFERROR(__xludf.DUMMYFUNCTION("""COMPUTED_VALUE"""),242.84)</f>
        <v>242.84</v>
      </c>
    </row>
    <row r="789">
      <c r="A789" s="2">
        <f>IFERROR(__xludf.DUMMYFUNCTION("""COMPUTED_VALUE"""),45246.66666666667)</f>
        <v>45246.66667</v>
      </c>
      <c r="B789" s="1">
        <f>IFERROR(__xludf.DUMMYFUNCTION("""COMPUTED_VALUE"""),233.59)</f>
        <v>233.59</v>
      </c>
    </row>
    <row r="790">
      <c r="A790" s="2">
        <f>IFERROR(__xludf.DUMMYFUNCTION("""COMPUTED_VALUE"""),45247.66666666667)</f>
        <v>45247.66667</v>
      </c>
      <c r="B790" s="1">
        <f>IFERROR(__xludf.DUMMYFUNCTION("""COMPUTED_VALUE"""),234.3)</f>
        <v>234.3</v>
      </c>
    </row>
    <row r="791">
      <c r="A791" s="2">
        <f>IFERROR(__xludf.DUMMYFUNCTION("""COMPUTED_VALUE"""),45250.66666666667)</f>
        <v>45250.66667</v>
      </c>
      <c r="B791" s="1">
        <f>IFERROR(__xludf.DUMMYFUNCTION("""COMPUTED_VALUE"""),235.6)</f>
        <v>235.6</v>
      </c>
    </row>
    <row r="792">
      <c r="A792" s="2">
        <f>IFERROR(__xludf.DUMMYFUNCTION("""COMPUTED_VALUE"""),45251.66666666667)</f>
        <v>45251.66667</v>
      </c>
      <c r="B792" s="1">
        <f>IFERROR(__xludf.DUMMYFUNCTION("""COMPUTED_VALUE"""),241.2)</f>
        <v>241.2</v>
      </c>
    </row>
    <row r="793">
      <c r="A793" s="2">
        <f>IFERROR(__xludf.DUMMYFUNCTION("""COMPUTED_VALUE"""),45252.66666666667)</f>
        <v>45252.66667</v>
      </c>
      <c r="B793" s="1">
        <f>IFERROR(__xludf.DUMMYFUNCTION("""COMPUTED_VALUE"""),234.21)</f>
        <v>234.21</v>
      </c>
    </row>
    <row r="794">
      <c r="A794" s="2">
        <f>IFERROR(__xludf.DUMMYFUNCTION("""COMPUTED_VALUE"""),45254.54513888889)</f>
        <v>45254.54514</v>
      </c>
      <c r="B794" s="1">
        <f>IFERROR(__xludf.DUMMYFUNCTION("""COMPUTED_VALUE"""),235.45)</f>
        <v>235.45</v>
      </c>
    </row>
    <row r="795">
      <c r="A795" s="2">
        <f>IFERROR(__xludf.DUMMYFUNCTION("""COMPUTED_VALUE"""),45257.66666666667)</f>
        <v>45257.66667</v>
      </c>
      <c r="B795" s="1">
        <f>IFERROR(__xludf.DUMMYFUNCTION("""COMPUTED_VALUE"""),236.08)</f>
        <v>236.08</v>
      </c>
    </row>
    <row r="796">
      <c r="A796" s="2">
        <f>IFERROR(__xludf.DUMMYFUNCTION("""COMPUTED_VALUE"""),45258.66666666667)</f>
        <v>45258.66667</v>
      </c>
      <c r="B796" s="1">
        <f>IFERROR(__xludf.DUMMYFUNCTION("""COMPUTED_VALUE"""),246.72)</f>
        <v>246.72</v>
      </c>
    </row>
    <row r="797">
      <c r="A797" s="2">
        <f>IFERROR(__xludf.DUMMYFUNCTION("""COMPUTED_VALUE"""),45259.66666666667)</f>
        <v>45259.66667</v>
      </c>
      <c r="B797" s="1">
        <f>IFERROR(__xludf.DUMMYFUNCTION("""COMPUTED_VALUE"""),244.14)</f>
        <v>244.14</v>
      </c>
    </row>
    <row r="798">
      <c r="A798" s="2">
        <f>IFERROR(__xludf.DUMMYFUNCTION("""COMPUTED_VALUE"""),45260.66666666667)</f>
        <v>45260.66667</v>
      </c>
      <c r="B798" s="1">
        <f>IFERROR(__xludf.DUMMYFUNCTION("""COMPUTED_VALUE"""),240.08)</f>
        <v>240.08</v>
      </c>
    </row>
    <row r="799">
      <c r="A799" s="2">
        <f>IFERROR(__xludf.DUMMYFUNCTION("""COMPUTED_VALUE"""),45261.66666666667)</f>
        <v>45261.66667</v>
      </c>
      <c r="B799" s="1">
        <f>IFERROR(__xludf.DUMMYFUNCTION("""COMPUTED_VALUE"""),238.83)</f>
        <v>238.83</v>
      </c>
    </row>
    <row r="800">
      <c r="A800" s="2">
        <f>IFERROR(__xludf.DUMMYFUNCTION("""COMPUTED_VALUE"""),45264.66666666667)</f>
        <v>45264.66667</v>
      </c>
      <c r="B800" s="1">
        <f>IFERROR(__xludf.DUMMYFUNCTION("""COMPUTED_VALUE"""),235.58)</f>
        <v>235.58</v>
      </c>
    </row>
    <row r="801">
      <c r="A801" s="2">
        <f>IFERROR(__xludf.DUMMYFUNCTION("""COMPUTED_VALUE"""),45265.66666666667)</f>
        <v>45265.66667</v>
      </c>
      <c r="B801" s="1">
        <f>IFERROR(__xludf.DUMMYFUNCTION("""COMPUTED_VALUE"""),238.72)</f>
        <v>238.72</v>
      </c>
    </row>
    <row r="802">
      <c r="A802" s="2">
        <f>IFERROR(__xludf.DUMMYFUNCTION("""COMPUTED_VALUE"""),45266.66666666667)</f>
        <v>45266.66667</v>
      </c>
      <c r="B802" s="1">
        <f>IFERROR(__xludf.DUMMYFUNCTION("""COMPUTED_VALUE"""),239.37)</f>
        <v>239.37</v>
      </c>
    </row>
    <row r="803">
      <c r="A803" s="2">
        <f>IFERROR(__xludf.DUMMYFUNCTION("""COMPUTED_VALUE"""),45267.66666666667)</f>
        <v>45267.66667</v>
      </c>
      <c r="B803" s="1">
        <f>IFERROR(__xludf.DUMMYFUNCTION("""COMPUTED_VALUE"""),242.64)</f>
        <v>242.64</v>
      </c>
    </row>
    <row r="804">
      <c r="A804" s="2">
        <f>IFERROR(__xludf.DUMMYFUNCTION("""COMPUTED_VALUE"""),45268.66666666667)</f>
        <v>45268.66667</v>
      </c>
      <c r="B804" s="1">
        <f>IFERROR(__xludf.DUMMYFUNCTION("""COMPUTED_VALUE"""),243.84)</f>
        <v>243.84</v>
      </c>
    </row>
    <row r="805">
      <c r="A805" s="2">
        <f>IFERROR(__xludf.DUMMYFUNCTION("""COMPUTED_VALUE"""),45271.66666666667)</f>
        <v>45271.66667</v>
      </c>
      <c r="B805" s="1">
        <f>IFERROR(__xludf.DUMMYFUNCTION("""COMPUTED_VALUE"""),239.74)</f>
        <v>239.74</v>
      </c>
    </row>
    <row r="806">
      <c r="A806" s="2">
        <f>IFERROR(__xludf.DUMMYFUNCTION("""COMPUTED_VALUE"""),45272.66666666667)</f>
        <v>45272.66667</v>
      </c>
      <c r="B806" s="1">
        <f>IFERROR(__xludf.DUMMYFUNCTION("""COMPUTED_VALUE"""),237.01)</f>
        <v>237.01</v>
      </c>
    </row>
    <row r="807">
      <c r="A807" s="2">
        <f>IFERROR(__xludf.DUMMYFUNCTION("""COMPUTED_VALUE"""),45273.66666666667)</f>
        <v>45273.66667</v>
      </c>
      <c r="B807" s="1">
        <f>IFERROR(__xludf.DUMMYFUNCTION("""COMPUTED_VALUE"""),239.29)</f>
        <v>239.29</v>
      </c>
    </row>
    <row r="808">
      <c r="A808" s="2">
        <f>IFERROR(__xludf.DUMMYFUNCTION("""COMPUTED_VALUE"""),45274.66666666667)</f>
        <v>45274.66667</v>
      </c>
      <c r="B808" s="1">
        <f>IFERROR(__xludf.DUMMYFUNCTION("""COMPUTED_VALUE"""),251.05)</f>
        <v>251.05</v>
      </c>
    </row>
    <row r="809">
      <c r="A809" s="2">
        <f>IFERROR(__xludf.DUMMYFUNCTION("""COMPUTED_VALUE"""),45275.66666666667)</f>
        <v>45275.66667</v>
      </c>
      <c r="B809" s="1">
        <f>IFERROR(__xludf.DUMMYFUNCTION("""COMPUTED_VALUE"""),253.5)</f>
        <v>253.5</v>
      </c>
    </row>
    <row r="810">
      <c r="A810" s="2">
        <f>IFERROR(__xludf.DUMMYFUNCTION("""COMPUTED_VALUE"""),45278.66666666667)</f>
        <v>45278.66667</v>
      </c>
      <c r="B810" s="1">
        <f>IFERROR(__xludf.DUMMYFUNCTION("""COMPUTED_VALUE"""),252.08)</f>
        <v>252.08</v>
      </c>
    </row>
    <row r="811">
      <c r="A811" s="2">
        <f>IFERROR(__xludf.DUMMYFUNCTION("""COMPUTED_VALUE"""),45279.66666666667)</f>
        <v>45279.66667</v>
      </c>
      <c r="B811" s="1">
        <f>IFERROR(__xludf.DUMMYFUNCTION("""COMPUTED_VALUE"""),257.22)</f>
        <v>257.22</v>
      </c>
    </row>
    <row r="812">
      <c r="A812" s="2">
        <f>IFERROR(__xludf.DUMMYFUNCTION("""COMPUTED_VALUE"""),45280.66666666667)</f>
        <v>45280.66667</v>
      </c>
      <c r="B812" s="1">
        <f>IFERROR(__xludf.DUMMYFUNCTION("""COMPUTED_VALUE"""),247.14)</f>
        <v>247.14</v>
      </c>
    </row>
    <row r="813">
      <c r="A813" s="2">
        <f>IFERROR(__xludf.DUMMYFUNCTION("""COMPUTED_VALUE"""),45281.66666666667)</f>
        <v>45281.66667</v>
      </c>
      <c r="B813" s="1">
        <f>IFERROR(__xludf.DUMMYFUNCTION("""COMPUTED_VALUE"""),254.5)</f>
        <v>254.5</v>
      </c>
    </row>
    <row r="814">
      <c r="A814" s="2">
        <f>IFERROR(__xludf.DUMMYFUNCTION("""COMPUTED_VALUE"""),45282.66666666667)</f>
        <v>45282.66667</v>
      </c>
      <c r="B814" s="1">
        <f>IFERROR(__xludf.DUMMYFUNCTION("""COMPUTED_VALUE"""),252.54)</f>
        <v>252.54</v>
      </c>
    </row>
    <row r="815">
      <c r="A815" s="2">
        <f>IFERROR(__xludf.DUMMYFUNCTION("""COMPUTED_VALUE"""),45286.66666666667)</f>
        <v>45286.66667</v>
      </c>
      <c r="B815" s="1">
        <f>IFERROR(__xludf.DUMMYFUNCTION("""COMPUTED_VALUE"""),256.61)</f>
        <v>256.61</v>
      </c>
    </row>
    <row r="816">
      <c r="A816" s="2">
        <f>IFERROR(__xludf.DUMMYFUNCTION("""COMPUTED_VALUE"""),45287.66666666667)</f>
        <v>45287.66667</v>
      </c>
      <c r="B816" s="1">
        <f>IFERROR(__xludf.DUMMYFUNCTION("""COMPUTED_VALUE"""),261.44)</f>
        <v>261.44</v>
      </c>
    </row>
    <row r="817">
      <c r="A817" s="2">
        <f>IFERROR(__xludf.DUMMYFUNCTION("""COMPUTED_VALUE"""),45288.66666666667)</f>
        <v>45288.66667</v>
      </c>
      <c r="B817" s="1">
        <f>IFERROR(__xludf.DUMMYFUNCTION("""COMPUTED_VALUE"""),253.18)</f>
        <v>253.18</v>
      </c>
    </row>
    <row r="818">
      <c r="A818" s="2">
        <f>IFERROR(__xludf.DUMMYFUNCTION("""COMPUTED_VALUE"""),45289.66666666667)</f>
        <v>45289.66667</v>
      </c>
      <c r="B818" s="1">
        <f>IFERROR(__xludf.DUMMYFUNCTION("""COMPUTED_VALUE"""),248.48)</f>
        <v>248.48</v>
      </c>
    </row>
    <row r="819">
      <c r="A819" s="2">
        <f>IFERROR(__xludf.DUMMYFUNCTION("""COMPUTED_VALUE"""),45293.66666666667)</f>
        <v>45293.66667</v>
      </c>
      <c r="B819" s="1">
        <f>IFERROR(__xludf.DUMMYFUNCTION("""COMPUTED_VALUE"""),248.42)</f>
        <v>248.42</v>
      </c>
    </row>
    <row r="820">
      <c r="A820" s="2">
        <f>IFERROR(__xludf.DUMMYFUNCTION("""COMPUTED_VALUE"""),45294.66666666667)</f>
        <v>45294.66667</v>
      </c>
      <c r="B820" s="1">
        <f>IFERROR(__xludf.DUMMYFUNCTION("""COMPUTED_VALUE"""),238.45)</f>
        <v>238.45</v>
      </c>
    </row>
    <row r="821">
      <c r="A821" s="2">
        <f>IFERROR(__xludf.DUMMYFUNCTION("""COMPUTED_VALUE"""),45295.66666666667)</f>
        <v>45295.66667</v>
      </c>
      <c r="B821" s="1">
        <f>IFERROR(__xludf.DUMMYFUNCTION("""COMPUTED_VALUE"""),237.93)</f>
        <v>237.93</v>
      </c>
    </row>
    <row r="822">
      <c r="A822" s="2">
        <f>IFERROR(__xludf.DUMMYFUNCTION("""COMPUTED_VALUE"""),45296.66666666667)</f>
        <v>45296.66667</v>
      </c>
      <c r="B822" s="1">
        <f>IFERROR(__xludf.DUMMYFUNCTION("""COMPUTED_VALUE"""),237.49)</f>
        <v>237.49</v>
      </c>
    </row>
    <row r="823">
      <c r="A823" s="2">
        <f>IFERROR(__xludf.DUMMYFUNCTION("""COMPUTED_VALUE"""),45299.66666666667)</f>
        <v>45299.66667</v>
      </c>
      <c r="B823" s="1">
        <f>IFERROR(__xludf.DUMMYFUNCTION("""COMPUTED_VALUE"""),240.45)</f>
        <v>240.45</v>
      </c>
    </row>
    <row r="824">
      <c r="A824" s="2">
        <f>IFERROR(__xludf.DUMMYFUNCTION("""COMPUTED_VALUE"""),45300.66666666667)</f>
        <v>45300.66667</v>
      </c>
      <c r="B824" s="1">
        <f>IFERROR(__xludf.DUMMYFUNCTION("""COMPUTED_VALUE"""),234.96)</f>
        <v>234.96</v>
      </c>
    </row>
    <row r="825">
      <c r="A825" s="2">
        <f>IFERROR(__xludf.DUMMYFUNCTION("""COMPUTED_VALUE"""),45301.66666666667)</f>
        <v>45301.66667</v>
      </c>
      <c r="B825" s="1">
        <f>IFERROR(__xludf.DUMMYFUNCTION("""COMPUTED_VALUE"""),233.94)</f>
        <v>233.94</v>
      </c>
    </row>
    <row r="826">
      <c r="A826" s="2">
        <f>IFERROR(__xludf.DUMMYFUNCTION("""COMPUTED_VALUE"""),45302.66666666667)</f>
        <v>45302.66667</v>
      </c>
      <c r="B826" s="1">
        <f>IFERROR(__xludf.DUMMYFUNCTION("""COMPUTED_VALUE"""),227.22)</f>
        <v>227.22</v>
      </c>
    </row>
    <row r="827">
      <c r="A827" s="2">
        <f>IFERROR(__xludf.DUMMYFUNCTION("""COMPUTED_VALUE"""),45303.66666666667)</f>
        <v>45303.66667</v>
      </c>
      <c r="B827" s="1">
        <f>IFERROR(__xludf.DUMMYFUNCTION("""COMPUTED_VALUE"""),218.89)</f>
        <v>218.89</v>
      </c>
    </row>
    <row r="828">
      <c r="A828" s="2">
        <f>IFERROR(__xludf.DUMMYFUNCTION("""COMPUTED_VALUE"""),45307.66666666667)</f>
        <v>45307.66667</v>
      </c>
      <c r="B828" s="1">
        <f>IFERROR(__xludf.DUMMYFUNCTION("""COMPUTED_VALUE"""),219.91)</f>
        <v>219.91</v>
      </c>
    </row>
    <row r="829">
      <c r="A829" s="2">
        <f>IFERROR(__xludf.DUMMYFUNCTION("""COMPUTED_VALUE"""),45308.66666666667)</f>
        <v>45308.66667</v>
      </c>
      <c r="B829" s="1">
        <f>IFERROR(__xludf.DUMMYFUNCTION("""COMPUTED_VALUE"""),215.55)</f>
        <v>215.55</v>
      </c>
    </row>
    <row r="830">
      <c r="A830" s="2">
        <f>IFERROR(__xludf.DUMMYFUNCTION("""COMPUTED_VALUE"""),45309.66666666667)</f>
        <v>45309.66667</v>
      </c>
      <c r="B830" s="1">
        <f>IFERROR(__xludf.DUMMYFUNCTION("""COMPUTED_VALUE"""),211.88)</f>
        <v>211.88</v>
      </c>
    </row>
    <row r="831">
      <c r="A831" s="2">
        <f>IFERROR(__xludf.DUMMYFUNCTION("""COMPUTED_VALUE"""),45310.66666666667)</f>
        <v>45310.66667</v>
      </c>
      <c r="B831" s="1">
        <f>IFERROR(__xludf.DUMMYFUNCTION("""COMPUTED_VALUE"""),212.19)</f>
        <v>212.19</v>
      </c>
    </row>
    <row r="832">
      <c r="A832" s="2">
        <f>IFERROR(__xludf.DUMMYFUNCTION("""COMPUTED_VALUE"""),45313.66666666667)</f>
        <v>45313.66667</v>
      </c>
      <c r="B832" s="1">
        <f>IFERROR(__xludf.DUMMYFUNCTION("""COMPUTED_VALUE"""),208.8)</f>
        <v>208.8</v>
      </c>
    </row>
    <row r="833">
      <c r="A833" s="2">
        <f>IFERROR(__xludf.DUMMYFUNCTION("""COMPUTED_VALUE"""),45314.66666666667)</f>
        <v>45314.66667</v>
      </c>
      <c r="B833" s="1">
        <f>IFERROR(__xludf.DUMMYFUNCTION("""COMPUTED_VALUE"""),209.14)</f>
        <v>209.14</v>
      </c>
    </row>
    <row r="834">
      <c r="A834" s="2">
        <f>IFERROR(__xludf.DUMMYFUNCTION("""COMPUTED_VALUE"""),45315.66666666667)</f>
        <v>45315.66667</v>
      </c>
      <c r="B834" s="1">
        <f>IFERROR(__xludf.DUMMYFUNCTION("""COMPUTED_VALUE"""),207.83)</f>
        <v>207.83</v>
      </c>
    </row>
    <row r="835">
      <c r="A835" s="2">
        <f>IFERROR(__xludf.DUMMYFUNCTION("""COMPUTED_VALUE"""),45316.66666666667)</f>
        <v>45316.66667</v>
      </c>
      <c r="B835" s="1">
        <f>IFERROR(__xludf.DUMMYFUNCTION("""COMPUTED_VALUE"""),182.63)</f>
        <v>182.63</v>
      </c>
    </row>
    <row r="836">
      <c r="A836" s="2">
        <f>IFERROR(__xludf.DUMMYFUNCTION("""COMPUTED_VALUE"""),45317.66666666667)</f>
        <v>45317.66667</v>
      </c>
      <c r="B836" s="1">
        <f>IFERROR(__xludf.DUMMYFUNCTION("""COMPUTED_VALUE"""),183.25)</f>
        <v>183.25</v>
      </c>
    </row>
    <row r="837">
      <c r="A837" s="2">
        <f>IFERROR(__xludf.DUMMYFUNCTION("""COMPUTED_VALUE"""),45320.66666666667)</f>
        <v>45320.66667</v>
      </c>
      <c r="B837" s="1">
        <f>IFERROR(__xludf.DUMMYFUNCTION("""COMPUTED_VALUE"""),190.93)</f>
        <v>190.93</v>
      </c>
    </row>
    <row r="838">
      <c r="A838" s="2">
        <f>IFERROR(__xludf.DUMMYFUNCTION("""COMPUTED_VALUE"""),45321.66666666667)</f>
        <v>45321.66667</v>
      </c>
      <c r="B838" s="1">
        <f>IFERROR(__xludf.DUMMYFUNCTION("""COMPUTED_VALUE"""),191.59)</f>
        <v>191.59</v>
      </c>
    </row>
    <row r="839">
      <c r="A839" s="2">
        <f>IFERROR(__xludf.DUMMYFUNCTION("""COMPUTED_VALUE"""),45322.66666666667)</f>
        <v>45322.66667</v>
      </c>
      <c r="B839" s="1">
        <f>IFERROR(__xludf.DUMMYFUNCTION("""COMPUTED_VALUE"""),187.29)</f>
        <v>187.29</v>
      </c>
    </row>
    <row r="840">
      <c r="A840" s="2">
        <f>IFERROR(__xludf.DUMMYFUNCTION("""COMPUTED_VALUE"""),45323.66666666667)</f>
        <v>45323.66667</v>
      </c>
      <c r="B840" s="1">
        <f>IFERROR(__xludf.DUMMYFUNCTION("""COMPUTED_VALUE"""),188.86)</f>
        <v>188.86</v>
      </c>
    </row>
    <row r="841">
      <c r="A841" s="2">
        <f>IFERROR(__xludf.DUMMYFUNCTION("""COMPUTED_VALUE"""),45324.66666666667)</f>
        <v>45324.66667</v>
      </c>
      <c r="B841" s="1">
        <f>IFERROR(__xludf.DUMMYFUNCTION("""COMPUTED_VALUE"""),187.91)</f>
        <v>187.91</v>
      </c>
    </row>
    <row r="842">
      <c r="A842" s="2">
        <f>IFERROR(__xludf.DUMMYFUNCTION("""COMPUTED_VALUE"""),45327.66666666667)</f>
        <v>45327.66667</v>
      </c>
      <c r="B842" s="1">
        <f>IFERROR(__xludf.DUMMYFUNCTION("""COMPUTED_VALUE"""),181.06)</f>
        <v>181.06</v>
      </c>
    </row>
    <row r="843">
      <c r="A843" s="2">
        <f>IFERROR(__xludf.DUMMYFUNCTION("""COMPUTED_VALUE"""),45328.66666666667)</f>
        <v>45328.66667</v>
      </c>
      <c r="B843" s="1">
        <f>IFERROR(__xludf.DUMMYFUNCTION("""COMPUTED_VALUE"""),185.1)</f>
        <v>185.1</v>
      </c>
    </row>
    <row r="844">
      <c r="A844" s="2">
        <f>IFERROR(__xludf.DUMMYFUNCTION("""COMPUTED_VALUE"""),45329.66666666667)</f>
        <v>45329.66667</v>
      </c>
      <c r="B844" s="1">
        <f>IFERROR(__xludf.DUMMYFUNCTION("""COMPUTED_VALUE"""),187.58)</f>
        <v>187.58</v>
      </c>
    </row>
    <row r="845">
      <c r="A845" s="2">
        <f>IFERROR(__xludf.DUMMYFUNCTION("""COMPUTED_VALUE"""),45330.66666666667)</f>
        <v>45330.66667</v>
      </c>
      <c r="B845" s="1">
        <f>IFERROR(__xludf.DUMMYFUNCTION("""COMPUTED_VALUE"""),189.56)</f>
        <v>189.56</v>
      </c>
    </row>
    <row r="846">
      <c r="A846" s="2">
        <f>IFERROR(__xludf.DUMMYFUNCTION("""COMPUTED_VALUE"""),45331.66666666667)</f>
        <v>45331.66667</v>
      </c>
      <c r="B846" s="1">
        <f>IFERROR(__xludf.DUMMYFUNCTION("""COMPUTED_VALUE"""),193.57)</f>
        <v>193.57</v>
      </c>
    </row>
    <row r="847">
      <c r="A847" s="2">
        <f>IFERROR(__xludf.DUMMYFUNCTION("""COMPUTED_VALUE"""),45334.66666666667)</f>
        <v>45334.66667</v>
      </c>
      <c r="B847" s="1">
        <f>IFERROR(__xludf.DUMMYFUNCTION("""COMPUTED_VALUE"""),188.13)</f>
        <v>188.13</v>
      </c>
    </row>
    <row r="848">
      <c r="A848" s="2">
        <f>IFERROR(__xludf.DUMMYFUNCTION("""COMPUTED_VALUE"""),45335.66666666667)</f>
        <v>45335.66667</v>
      </c>
      <c r="B848" s="1">
        <f>IFERROR(__xludf.DUMMYFUNCTION("""COMPUTED_VALUE"""),184.02)</f>
        <v>184.02</v>
      </c>
    </row>
    <row r="849">
      <c r="A849" s="2">
        <f>IFERROR(__xludf.DUMMYFUNCTION("""COMPUTED_VALUE"""),45336.66666666667)</f>
        <v>45336.66667</v>
      </c>
      <c r="B849" s="1">
        <f>IFERROR(__xludf.DUMMYFUNCTION("""COMPUTED_VALUE"""),188.71)</f>
        <v>188.71</v>
      </c>
    </row>
    <row r="850">
      <c r="A850" s="2">
        <f>IFERROR(__xludf.DUMMYFUNCTION("""COMPUTED_VALUE"""),45337.66666666667)</f>
        <v>45337.66667</v>
      </c>
      <c r="B850" s="1">
        <f>IFERROR(__xludf.DUMMYFUNCTION("""COMPUTED_VALUE"""),200.45)</f>
        <v>200.45</v>
      </c>
    </row>
    <row r="851">
      <c r="A851" s="2">
        <f>IFERROR(__xludf.DUMMYFUNCTION("""COMPUTED_VALUE"""),45338.66666666667)</f>
        <v>45338.66667</v>
      </c>
      <c r="B851" s="1">
        <f>IFERROR(__xludf.DUMMYFUNCTION("""COMPUTED_VALUE"""),199.95)</f>
        <v>199.95</v>
      </c>
    </row>
    <row r="852">
      <c r="A852" s="2">
        <f>IFERROR(__xludf.DUMMYFUNCTION("""COMPUTED_VALUE"""),45342.66666666667)</f>
        <v>45342.66667</v>
      </c>
      <c r="B852" s="1">
        <f>IFERROR(__xludf.DUMMYFUNCTION("""COMPUTED_VALUE"""),193.76)</f>
        <v>193.76</v>
      </c>
    </row>
    <row r="853">
      <c r="A853" s="2">
        <f>IFERROR(__xludf.DUMMYFUNCTION("""COMPUTED_VALUE"""),45343.66666666667)</f>
        <v>45343.66667</v>
      </c>
      <c r="B853" s="1">
        <f>IFERROR(__xludf.DUMMYFUNCTION("""COMPUTED_VALUE"""),194.77)</f>
        <v>194.77</v>
      </c>
    </row>
    <row r="854">
      <c r="A854" s="2">
        <f>IFERROR(__xludf.DUMMYFUNCTION("""COMPUTED_VALUE"""),45344.66666666667)</f>
        <v>45344.66667</v>
      </c>
      <c r="B854" s="1">
        <f>IFERROR(__xludf.DUMMYFUNCTION("""COMPUTED_VALUE"""),197.41)</f>
        <v>197.41</v>
      </c>
    </row>
    <row r="855">
      <c r="A855" s="2">
        <f>IFERROR(__xludf.DUMMYFUNCTION("""COMPUTED_VALUE"""),45345.66666666667)</f>
        <v>45345.66667</v>
      </c>
      <c r="B855" s="1">
        <f>IFERROR(__xludf.DUMMYFUNCTION("""COMPUTED_VALUE"""),191.97)</f>
        <v>191.97</v>
      </c>
    </row>
    <row r="856">
      <c r="A856" s="2">
        <f>IFERROR(__xludf.DUMMYFUNCTION("""COMPUTED_VALUE"""),45348.66666666667)</f>
        <v>45348.66667</v>
      </c>
      <c r="B856" s="1">
        <f>IFERROR(__xludf.DUMMYFUNCTION("""COMPUTED_VALUE"""),199.4)</f>
        <v>199.4</v>
      </c>
    </row>
    <row r="857">
      <c r="A857" s="2">
        <f>IFERROR(__xludf.DUMMYFUNCTION("""COMPUTED_VALUE"""),45349.66666666667)</f>
        <v>45349.66667</v>
      </c>
      <c r="B857" s="1">
        <f>IFERROR(__xludf.DUMMYFUNCTION("""COMPUTED_VALUE"""),199.73)</f>
        <v>199.73</v>
      </c>
    </row>
    <row r="858">
      <c r="A858" s="2">
        <f>IFERROR(__xludf.DUMMYFUNCTION("""COMPUTED_VALUE"""),45350.66666666667)</f>
        <v>45350.66667</v>
      </c>
      <c r="B858" s="1">
        <f>IFERROR(__xludf.DUMMYFUNCTION("""COMPUTED_VALUE"""),202.04)</f>
        <v>202.04</v>
      </c>
    </row>
    <row r="859">
      <c r="A859" s="2">
        <f>IFERROR(__xludf.DUMMYFUNCTION("""COMPUTED_VALUE"""),45351.66666666667)</f>
        <v>45351.66667</v>
      </c>
      <c r="B859" s="1">
        <f>IFERROR(__xludf.DUMMYFUNCTION("""COMPUTED_VALUE"""),201.88)</f>
        <v>201.88</v>
      </c>
    </row>
    <row r="860">
      <c r="A860" s="2">
        <f>IFERROR(__xludf.DUMMYFUNCTION("""COMPUTED_VALUE"""),45352.66666666667)</f>
        <v>45352.66667</v>
      </c>
      <c r="B860" s="1">
        <f>IFERROR(__xludf.DUMMYFUNCTION("""COMPUTED_VALUE"""),202.64)</f>
        <v>202.64</v>
      </c>
    </row>
    <row r="861">
      <c r="A861" s="2">
        <f>IFERROR(__xludf.DUMMYFUNCTION("""COMPUTED_VALUE"""),45355.66666666667)</f>
        <v>45355.66667</v>
      </c>
      <c r="B861" s="1">
        <f>IFERROR(__xludf.DUMMYFUNCTION("""COMPUTED_VALUE"""),188.14)</f>
        <v>188.14</v>
      </c>
    </row>
    <row r="862">
      <c r="A862" s="2">
        <f>IFERROR(__xludf.DUMMYFUNCTION("""COMPUTED_VALUE"""),45356.66666666667)</f>
        <v>45356.66667</v>
      </c>
      <c r="B862" s="1">
        <f>IFERROR(__xludf.DUMMYFUNCTION("""COMPUTED_VALUE"""),180.74)</f>
        <v>180.74</v>
      </c>
    </row>
    <row r="863">
      <c r="A863" s="2">
        <f>IFERROR(__xludf.DUMMYFUNCTION("""COMPUTED_VALUE"""),45357.66666666667)</f>
        <v>45357.66667</v>
      </c>
      <c r="B863" s="1">
        <f>IFERROR(__xludf.DUMMYFUNCTION("""COMPUTED_VALUE"""),176.54)</f>
        <v>176.54</v>
      </c>
    </row>
    <row r="864">
      <c r="A864" s="2">
        <f>IFERROR(__xludf.DUMMYFUNCTION("""COMPUTED_VALUE"""),45358.66666666667)</f>
        <v>45358.66667</v>
      </c>
      <c r="B864" s="1">
        <f>IFERROR(__xludf.DUMMYFUNCTION("""COMPUTED_VALUE"""),178.65)</f>
        <v>178.65</v>
      </c>
    </row>
    <row r="865">
      <c r="A865" s="2">
        <f>IFERROR(__xludf.DUMMYFUNCTION("""COMPUTED_VALUE"""),45359.66666666667)</f>
        <v>45359.66667</v>
      </c>
      <c r="B865" s="1">
        <f>IFERROR(__xludf.DUMMYFUNCTION("""COMPUTED_VALUE"""),175.34)</f>
        <v>175.34</v>
      </c>
    </row>
    <row r="866">
      <c r="A866" s="2">
        <f>IFERROR(__xludf.DUMMYFUNCTION("""COMPUTED_VALUE"""),45362.66666666667)</f>
        <v>45362.66667</v>
      </c>
      <c r="B866" s="1">
        <f>IFERROR(__xludf.DUMMYFUNCTION("""COMPUTED_VALUE"""),177.77)</f>
        <v>177.77</v>
      </c>
    </row>
    <row r="867">
      <c r="A867" s="2">
        <f>IFERROR(__xludf.DUMMYFUNCTION("""COMPUTED_VALUE"""),45363.66666666667)</f>
        <v>45363.66667</v>
      </c>
      <c r="B867" s="1">
        <f>IFERROR(__xludf.DUMMYFUNCTION("""COMPUTED_VALUE"""),177.54)</f>
        <v>177.54</v>
      </c>
    </row>
    <row r="868">
      <c r="A868" s="2">
        <f>IFERROR(__xludf.DUMMYFUNCTION("""COMPUTED_VALUE"""),45364.66666666667)</f>
        <v>45364.66667</v>
      </c>
      <c r="B868" s="1">
        <f>IFERROR(__xludf.DUMMYFUNCTION("""COMPUTED_VALUE"""),169.48)</f>
        <v>169.48</v>
      </c>
    </row>
    <row r="869">
      <c r="A869" s="2">
        <f>IFERROR(__xludf.DUMMYFUNCTION("""COMPUTED_VALUE"""),45365.66666666667)</f>
        <v>45365.66667</v>
      </c>
      <c r="B869" s="1">
        <f>IFERROR(__xludf.DUMMYFUNCTION("""COMPUTED_VALUE"""),162.5)</f>
        <v>162.5</v>
      </c>
    </row>
    <row r="870">
      <c r="A870" s="2">
        <f>IFERROR(__xludf.DUMMYFUNCTION("""COMPUTED_VALUE"""),45366.66666666667)</f>
        <v>45366.66667</v>
      </c>
      <c r="B870" s="1">
        <f>IFERROR(__xludf.DUMMYFUNCTION("""COMPUTED_VALUE"""),163.57)</f>
        <v>163.57</v>
      </c>
    </row>
    <row r="871">
      <c r="A871" s="2">
        <f>IFERROR(__xludf.DUMMYFUNCTION("""COMPUTED_VALUE"""),45369.66666666667)</f>
        <v>45369.66667</v>
      </c>
      <c r="B871" s="1">
        <f>IFERROR(__xludf.DUMMYFUNCTION("""COMPUTED_VALUE"""),173.8)</f>
        <v>173.8</v>
      </c>
    </row>
    <row r="872">
      <c r="A872" s="2">
        <f>IFERROR(__xludf.DUMMYFUNCTION("""COMPUTED_VALUE"""),45370.66666666667)</f>
        <v>45370.66667</v>
      </c>
      <c r="B872" s="1">
        <f>IFERROR(__xludf.DUMMYFUNCTION("""COMPUTED_VALUE"""),171.32)</f>
        <v>171.32</v>
      </c>
    </row>
    <row r="873">
      <c r="A873" s="2">
        <f>IFERROR(__xludf.DUMMYFUNCTION("""COMPUTED_VALUE"""),45371.66666666667)</f>
        <v>45371.66667</v>
      </c>
      <c r="B873" s="1">
        <f>IFERROR(__xludf.DUMMYFUNCTION("""COMPUTED_VALUE"""),175.66)</f>
        <v>175.66</v>
      </c>
    </row>
    <row r="874">
      <c r="A874" s="2">
        <f>IFERROR(__xludf.DUMMYFUNCTION("""COMPUTED_VALUE"""),45372.66666666667)</f>
        <v>45372.66667</v>
      </c>
      <c r="B874" s="1">
        <f>IFERROR(__xludf.DUMMYFUNCTION("""COMPUTED_VALUE"""),172.82)</f>
        <v>172.82</v>
      </c>
    </row>
    <row r="875">
      <c r="A875" s="2">
        <f>IFERROR(__xludf.DUMMYFUNCTION("""COMPUTED_VALUE"""),45373.66666666667)</f>
        <v>45373.66667</v>
      </c>
      <c r="B875" s="1">
        <f>IFERROR(__xludf.DUMMYFUNCTION("""COMPUTED_VALUE"""),170.83)</f>
        <v>170.83</v>
      </c>
    </row>
    <row r="876">
      <c r="A876" s="2">
        <f>IFERROR(__xludf.DUMMYFUNCTION("""COMPUTED_VALUE"""),45376.66666666667)</f>
        <v>45376.66667</v>
      </c>
      <c r="B876" s="1">
        <f>IFERROR(__xludf.DUMMYFUNCTION("""COMPUTED_VALUE"""),172.63)</f>
        <v>172.63</v>
      </c>
    </row>
    <row r="877">
      <c r="A877" s="2">
        <f>IFERROR(__xludf.DUMMYFUNCTION("""COMPUTED_VALUE"""),45377.66666666667)</f>
        <v>45377.66667</v>
      </c>
      <c r="B877" s="1">
        <f>IFERROR(__xludf.DUMMYFUNCTION("""COMPUTED_VALUE"""),177.67)</f>
        <v>177.67</v>
      </c>
    </row>
    <row r="878">
      <c r="A878" s="2">
        <f>IFERROR(__xludf.DUMMYFUNCTION("""COMPUTED_VALUE"""),45378.66666666667)</f>
        <v>45378.66667</v>
      </c>
      <c r="B878" s="1">
        <f>IFERROR(__xludf.DUMMYFUNCTION("""COMPUTED_VALUE"""),179.83)</f>
        <v>179.83</v>
      </c>
    </row>
    <row r="879">
      <c r="A879" s="2">
        <f>IFERROR(__xludf.DUMMYFUNCTION("""COMPUTED_VALUE"""),45379.66666666667)</f>
        <v>45379.66667</v>
      </c>
      <c r="B879" s="1">
        <f>IFERROR(__xludf.DUMMYFUNCTION("""COMPUTED_VALUE"""),175.79)</f>
        <v>175.79</v>
      </c>
    </row>
    <row r="880">
      <c r="A880" s="2">
        <f>IFERROR(__xludf.DUMMYFUNCTION("""COMPUTED_VALUE"""),45383.66666666667)</f>
        <v>45383.66667</v>
      </c>
      <c r="B880" s="1">
        <f>IFERROR(__xludf.DUMMYFUNCTION("""COMPUTED_VALUE"""),175.22)</f>
        <v>175.22</v>
      </c>
    </row>
    <row r="881">
      <c r="A881" s="2">
        <f>IFERROR(__xludf.DUMMYFUNCTION("""COMPUTED_VALUE"""),45384.66666666667)</f>
        <v>45384.66667</v>
      </c>
      <c r="B881" s="1">
        <f>IFERROR(__xludf.DUMMYFUNCTION("""COMPUTED_VALUE"""),166.63)</f>
        <v>166.63</v>
      </c>
    </row>
    <row r="882">
      <c r="A882" s="2">
        <f>IFERROR(__xludf.DUMMYFUNCTION("""COMPUTED_VALUE"""),45385.66666666667)</f>
        <v>45385.66667</v>
      </c>
      <c r="B882" s="1">
        <f>IFERROR(__xludf.DUMMYFUNCTION("""COMPUTED_VALUE"""),168.38)</f>
        <v>168.38</v>
      </c>
    </row>
    <row r="883">
      <c r="A883" s="2">
        <f>IFERROR(__xludf.DUMMYFUNCTION("""COMPUTED_VALUE"""),45386.66666666667)</f>
        <v>45386.66667</v>
      </c>
      <c r="B883" s="1">
        <f>IFERROR(__xludf.DUMMYFUNCTION("""COMPUTED_VALUE"""),171.11)</f>
        <v>171.11</v>
      </c>
    </row>
    <row r="884">
      <c r="A884" s="2">
        <f>IFERROR(__xludf.DUMMYFUNCTION("""COMPUTED_VALUE"""),45387.66666666667)</f>
        <v>45387.66667</v>
      </c>
      <c r="B884" s="1">
        <f>IFERROR(__xludf.DUMMYFUNCTION("""COMPUTED_VALUE"""),164.9)</f>
        <v>164.9</v>
      </c>
    </row>
    <row r="885">
      <c r="A885" s="2">
        <f>IFERROR(__xludf.DUMMYFUNCTION("""COMPUTED_VALUE"""),45390.66666666667)</f>
        <v>45390.66667</v>
      </c>
      <c r="B885" s="1">
        <f>IFERROR(__xludf.DUMMYFUNCTION("""COMPUTED_VALUE"""),172.98)</f>
        <v>172.98</v>
      </c>
    </row>
    <row r="886">
      <c r="A886" s="2">
        <f>IFERROR(__xludf.DUMMYFUNCTION("""COMPUTED_VALUE"""),45391.66666666667)</f>
        <v>45391.66667</v>
      </c>
      <c r="B886" s="1">
        <f>IFERROR(__xludf.DUMMYFUNCTION("""COMPUTED_VALUE"""),176.88)</f>
        <v>176.88</v>
      </c>
    </row>
    <row r="887">
      <c r="A887" s="2">
        <f>IFERROR(__xludf.DUMMYFUNCTION("""COMPUTED_VALUE"""),45392.66666666667)</f>
        <v>45392.66667</v>
      </c>
      <c r="B887" s="1">
        <f>IFERROR(__xludf.DUMMYFUNCTION("""COMPUTED_VALUE"""),171.76)</f>
        <v>171.76</v>
      </c>
    </row>
    <row r="888">
      <c r="A888" s="2">
        <f>IFERROR(__xludf.DUMMYFUNCTION("""COMPUTED_VALUE"""),45393.66666666667)</f>
        <v>45393.66667</v>
      </c>
      <c r="B888" s="1">
        <f>IFERROR(__xludf.DUMMYFUNCTION("""COMPUTED_VALUE"""),174.6)</f>
        <v>174.6</v>
      </c>
    </row>
    <row r="889">
      <c r="A889" s="2">
        <f>IFERROR(__xludf.DUMMYFUNCTION("""COMPUTED_VALUE"""),45394.66666666667)</f>
        <v>45394.66667</v>
      </c>
      <c r="B889" s="1">
        <f>IFERROR(__xludf.DUMMYFUNCTION("""COMPUTED_VALUE"""),171.05)</f>
        <v>171.05</v>
      </c>
    </row>
    <row r="890">
      <c r="A890" s="2">
        <f>IFERROR(__xludf.DUMMYFUNCTION("""COMPUTED_VALUE"""),45397.66666666667)</f>
        <v>45397.66667</v>
      </c>
      <c r="B890" s="1">
        <f>IFERROR(__xludf.DUMMYFUNCTION("""COMPUTED_VALUE"""),161.48)</f>
        <v>161.48</v>
      </c>
    </row>
    <row r="891">
      <c r="A891" s="2">
        <f>IFERROR(__xludf.DUMMYFUNCTION("""COMPUTED_VALUE"""),45398.66666666667)</f>
        <v>45398.66667</v>
      </c>
      <c r="B891" s="1">
        <f>IFERROR(__xludf.DUMMYFUNCTION("""COMPUTED_VALUE"""),157.11)</f>
        <v>157.11</v>
      </c>
    </row>
    <row r="892">
      <c r="A892" s="2">
        <f>IFERROR(__xludf.DUMMYFUNCTION("""COMPUTED_VALUE"""),45399.66666666667)</f>
        <v>45399.66667</v>
      </c>
      <c r="B892" s="1">
        <f>IFERROR(__xludf.DUMMYFUNCTION("""COMPUTED_VALUE"""),155.45)</f>
        <v>155.45</v>
      </c>
    </row>
    <row r="893">
      <c r="A893" s="2">
        <f>IFERROR(__xludf.DUMMYFUNCTION("""COMPUTED_VALUE"""),45400.66666666667)</f>
        <v>45400.66667</v>
      </c>
      <c r="B893" s="1">
        <f>IFERROR(__xludf.DUMMYFUNCTION("""COMPUTED_VALUE"""),149.93)</f>
        <v>149.93</v>
      </c>
    </row>
    <row r="894">
      <c r="A894" s="2">
        <f>IFERROR(__xludf.DUMMYFUNCTION("""COMPUTED_VALUE"""),45401.66666666667)</f>
        <v>45401.66667</v>
      </c>
      <c r="B894" s="1">
        <f>IFERROR(__xludf.DUMMYFUNCTION("""COMPUTED_VALUE"""),147.05)</f>
        <v>147.05</v>
      </c>
    </row>
    <row r="895">
      <c r="A895" s="2">
        <f>IFERROR(__xludf.DUMMYFUNCTION("""COMPUTED_VALUE"""),45404.66666666667)</f>
        <v>45404.66667</v>
      </c>
      <c r="B895" s="1">
        <f>IFERROR(__xludf.DUMMYFUNCTION("""COMPUTED_VALUE"""),142.05)</f>
        <v>142.05</v>
      </c>
    </row>
    <row r="896">
      <c r="A896" s="2">
        <f>IFERROR(__xludf.DUMMYFUNCTION("""COMPUTED_VALUE"""),45405.66666666667)</f>
        <v>45405.66667</v>
      </c>
      <c r="B896" s="1">
        <f>IFERROR(__xludf.DUMMYFUNCTION("""COMPUTED_VALUE"""),144.68)</f>
        <v>144.68</v>
      </c>
    </row>
    <row r="897">
      <c r="A897" s="2">
        <f>IFERROR(__xludf.DUMMYFUNCTION("""COMPUTED_VALUE"""),45406.66666666667)</f>
        <v>45406.66667</v>
      </c>
      <c r="B897" s="1">
        <f>IFERROR(__xludf.DUMMYFUNCTION("""COMPUTED_VALUE"""),162.13)</f>
        <v>162.13</v>
      </c>
    </row>
    <row r="898">
      <c r="A898" s="2">
        <f>IFERROR(__xludf.DUMMYFUNCTION("""COMPUTED_VALUE"""),45407.66666666667)</f>
        <v>45407.66667</v>
      </c>
      <c r="B898" s="1">
        <f>IFERROR(__xludf.DUMMYFUNCTION("""COMPUTED_VALUE"""),170.18)</f>
        <v>170.18</v>
      </c>
    </row>
    <row r="899">
      <c r="A899" s="2">
        <f>IFERROR(__xludf.DUMMYFUNCTION("""COMPUTED_VALUE"""),45408.66666666667)</f>
        <v>45408.66667</v>
      </c>
      <c r="B899" s="1">
        <f>IFERROR(__xludf.DUMMYFUNCTION("""COMPUTED_VALUE"""),168.29)</f>
        <v>168.29</v>
      </c>
    </row>
    <row r="900">
      <c r="A900" s="2">
        <f>IFERROR(__xludf.DUMMYFUNCTION("""COMPUTED_VALUE"""),45411.66666666667)</f>
        <v>45411.66667</v>
      </c>
      <c r="B900" s="1">
        <f>IFERROR(__xludf.DUMMYFUNCTION("""COMPUTED_VALUE"""),194.05)</f>
        <v>194.05</v>
      </c>
    </row>
    <row r="901">
      <c r="A901" s="2">
        <f>IFERROR(__xludf.DUMMYFUNCTION("""COMPUTED_VALUE"""),45412.66666666667)</f>
        <v>45412.66667</v>
      </c>
      <c r="B901" s="1">
        <f>IFERROR(__xludf.DUMMYFUNCTION("""COMPUTED_VALUE"""),183.28)</f>
        <v>183.28</v>
      </c>
    </row>
    <row r="902">
      <c r="A902" s="2">
        <f>IFERROR(__xludf.DUMMYFUNCTION("""COMPUTED_VALUE"""),45413.66666666667)</f>
        <v>45413.66667</v>
      </c>
      <c r="B902" s="1">
        <f>IFERROR(__xludf.DUMMYFUNCTION("""COMPUTED_VALUE"""),179.99)</f>
        <v>179.99</v>
      </c>
    </row>
    <row r="903">
      <c r="A903" s="2">
        <f>IFERROR(__xludf.DUMMYFUNCTION("""COMPUTED_VALUE"""),45414.66666666667)</f>
        <v>45414.66667</v>
      </c>
      <c r="B903" s="1">
        <f>IFERROR(__xludf.DUMMYFUNCTION("""COMPUTED_VALUE"""),180.01)</f>
        <v>180.01</v>
      </c>
    </row>
    <row r="904">
      <c r="A904" s="2">
        <f>IFERROR(__xludf.DUMMYFUNCTION("""COMPUTED_VALUE"""),45415.66666666667)</f>
        <v>45415.66667</v>
      </c>
      <c r="B904" s="1">
        <f>IFERROR(__xludf.DUMMYFUNCTION("""COMPUTED_VALUE"""),181.19)</f>
        <v>181.19</v>
      </c>
    </row>
    <row r="905">
      <c r="A905" s="2">
        <f>IFERROR(__xludf.DUMMYFUNCTION("""COMPUTED_VALUE"""),45418.66666666667)</f>
        <v>45418.66667</v>
      </c>
      <c r="B905" s="1">
        <f>IFERROR(__xludf.DUMMYFUNCTION("""COMPUTED_VALUE"""),184.76)</f>
        <v>184.76</v>
      </c>
    </row>
    <row r="906">
      <c r="A906" s="2">
        <f>IFERROR(__xludf.DUMMYFUNCTION("""COMPUTED_VALUE"""),45419.66666666667)</f>
        <v>45419.66667</v>
      </c>
      <c r="B906" s="1">
        <f>IFERROR(__xludf.DUMMYFUNCTION("""COMPUTED_VALUE"""),177.81)</f>
        <v>177.81</v>
      </c>
    </row>
    <row r="907">
      <c r="A907" s="2">
        <f>IFERROR(__xludf.DUMMYFUNCTION("""COMPUTED_VALUE"""),45420.66666666667)</f>
        <v>45420.66667</v>
      </c>
      <c r="B907" s="1">
        <f>IFERROR(__xludf.DUMMYFUNCTION("""COMPUTED_VALUE"""),174.72)</f>
        <v>174.72</v>
      </c>
    </row>
    <row r="908">
      <c r="A908" s="2">
        <f>IFERROR(__xludf.DUMMYFUNCTION("""COMPUTED_VALUE"""),45421.66666666667)</f>
        <v>45421.66667</v>
      </c>
      <c r="B908" s="1">
        <f>IFERROR(__xludf.DUMMYFUNCTION("""COMPUTED_VALUE"""),171.97)</f>
        <v>171.97</v>
      </c>
    </row>
    <row r="909">
      <c r="A909" s="2">
        <f>IFERROR(__xludf.DUMMYFUNCTION("""COMPUTED_VALUE"""),45422.66666666667)</f>
        <v>45422.66667</v>
      </c>
      <c r="B909" s="1">
        <f>IFERROR(__xludf.DUMMYFUNCTION("""COMPUTED_VALUE"""),168.47)</f>
        <v>168.47</v>
      </c>
    </row>
    <row r="910">
      <c r="A910" s="2">
        <f>IFERROR(__xludf.DUMMYFUNCTION("""COMPUTED_VALUE"""),45425.66666666667)</f>
        <v>45425.66667</v>
      </c>
      <c r="B910" s="1">
        <f>IFERROR(__xludf.DUMMYFUNCTION("""COMPUTED_VALUE"""),171.89)</f>
        <v>171.89</v>
      </c>
    </row>
    <row r="911">
      <c r="A911" s="2">
        <f>IFERROR(__xludf.DUMMYFUNCTION("""COMPUTED_VALUE"""),45426.66666666667)</f>
        <v>45426.66667</v>
      </c>
      <c r="B911" s="1">
        <f>IFERROR(__xludf.DUMMYFUNCTION("""COMPUTED_VALUE"""),177.55)</f>
        <v>177.55</v>
      </c>
    </row>
    <row r="912">
      <c r="A912" s="2">
        <f>IFERROR(__xludf.DUMMYFUNCTION("""COMPUTED_VALUE"""),45427.66666666667)</f>
        <v>45427.66667</v>
      </c>
      <c r="B912" s="1">
        <f>IFERROR(__xludf.DUMMYFUNCTION("""COMPUTED_VALUE"""),173.99)</f>
        <v>173.99</v>
      </c>
    </row>
    <row r="913">
      <c r="A913" s="2">
        <f>IFERROR(__xludf.DUMMYFUNCTION("""COMPUTED_VALUE"""),45428.66666666667)</f>
        <v>45428.66667</v>
      </c>
      <c r="B913" s="1">
        <f>IFERROR(__xludf.DUMMYFUNCTION("""COMPUTED_VALUE"""),174.84)</f>
        <v>174.84</v>
      </c>
    </row>
    <row r="914">
      <c r="A914" s="2">
        <f>IFERROR(__xludf.DUMMYFUNCTION("""COMPUTED_VALUE"""),45429.66666666667)</f>
        <v>45429.66667</v>
      </c>
      <c r="B914" s="1">
        <f>IFERROR(__xludf.DUMMYFUNCTION("""COMPUTED_VALUE"""),177.46)</f>
        <v>177.46</v>
      </c>
    </row>
    <row r="915">
      <c r="A915" s="2">
        <f>IFERROR(__xludf.DUMMYFUNCTION("""COMPUTED_VALUE"""),45432.66666666667)</f>
        <v>45432.66667</v>
      </c>
      <c r="B915" s="1">
        <f>IFERROR(__xludf.DUMMYFUNCTION("""COMPUTED_VALUE"""),174.95)</f>
        <v>174.95</v>
      </c>
    </row>
    <row r="916">
      <c r="A916" s="2">
        <f>IFERROR(__xludf.DUMMYFUNCTION("""COMPUTED_VALUE"""),45433.66666666667)</f>
        <v>45433.66667</v>
      </c>
      <c r="B916" s="1">
        <f>IFERROR(__xludf.DUMMYFUNCTION("""COMPUTED_VALUE"""),186.6)</f>
        <v>186.6</v>
      </c>
    </row>
    <row r="917">
      <c r="A917" s="2">
        <f>IFERROR(__xludf.DUMMYFUNCTION("""COMPUTED_VALUE"""),45434.66666666667)</f>
        <v>45434.66667</v>
      </c>
      <c r="B917" s="1">
        <f>IFERROR(__xludf.DUMMYFUNCTION("""COMPUTED_VALUE"""),180.11)</f>
        <v>180.11</v>
      </c>
    </row>
    <row r="918">
      <c r="A918" s="2">
        <f>IFERROR(__xludf.DUMMYFUNCTION("""COMPUTED_VALUE"""),45435.66666666667)</f>
        <v>45435.66667</v>
      </c>
      <c r="B918" s="1">
        <f>IFERROR(__xludf.DUMMYFUNCTION("""COMPUTED_VALUE"""),173.74)</f>
        <v>173.74</v>
      </c>
    </row>
    <row r="919">
      <c r="A919" s="2">
        <f>IFERROR(__xludf.DUMMYFUNCTION("""COMPUTED_VALUE"""),45436.66666666667)</f>
        <v>45436.66667</v>
      </c>
      <c r="B919" s="1">
        <f>IFERROR(__xludf.DUMMYFUNCTION("""COMPUTED_VALUE"""),179.24)</f>
        <v>179.24</v>
      </c>
    </row>
    <row r="920">
      <c r="A920" s="2">
        <f>IFERROR(__xludf.DUMMYFUNCTION("""COMPUTED_VALUE"""),45440.66666666667)</f>
        <v>45440.66667</v>
      </c>
      <c r="B920" s="1">
        <f>IFERROR(__xludf.DUMMYFUNCTION("""COMPUTED_VALUE"""),176.75)</f>
        <v>176.75</v>
      </c>
    </row>
    <row r="921">
      <c r="A921" s="2">
        <f>IFERROR(__xludf.DUMMYFUNCTION("""COMPUTED_VALUE"""),45441.66666666667)</f>
        <v>45441.66667</v>
      </c>
      <c r="B921" s="1">
        <f>IFERROR(__xludf.DUMMYFUNCTION("""COMPUTED_VALUE"""),176.19)</f>
        <v>176.19</v>
      </c>
    </row>
    <row r="922">
      <c r="A922" s="2">
        <f>IFERROR(__xludf.DUMMYFUNCTION("""COMPUTED_VALUE"""),45442.66666666667)</f>
        <v>45442.66667</v>
      </c>
      <c r="B922" s="1">
        <f>IFERROR(__xludf.DUMMYFUNCTION("""COMPUTED_VALUE"""),178.79)</f>
        <v>178.79</v>
      </c>
    </row>
    <row r="923">
      <c r="A923" s="2">
        <f>IFERROR(__xludf.DUMMYFUNCTION("""COMPUTED_VALUE"""),45443.66666666667)</f>
        <v>45443.66667</v>
      </c>
      <c r="B923" s="1">
        <f>IFERROR(__xludf.DUMMYFUNCTION("""COMPUTED_VALUE"""),178.08)</f>
        <v>178.08</v>
      </c>
    </row>
    <row r="924">
      <c r="A924" s="2">
        <f>IFERROR(__xludf.DUMMYFUNCTION("""COMPUTED_VALUE"""),45446.66666666667)</f>
        <v>45446.66667</v>
      </c>
      <c r="B924" s="1">
        <f>IFERROR(__xludf.DUMMYFUNCTION("""COMPUTED_VALUE"""),176.29)</f>
        <v>176.29</v>
      </c>
    </row>
    <row r="925">
      <c r="A925" s="2">
        <f>IFERROR(__xludf.DUMMYFUNCTION("""COMPUTED_VALUE"""),45447.66666666667)</f>
        <v>45447.66667</v>
      </c>
      <c r="B925" s="1">
        <f>IFERROR(__xludf.DUMMYFUNCTION("""COMPUTED_VALUE"""),174.77)</f>
        <v>174.77</v>
      </c>
    </row>
    <row r="926">
      <c r="A926" s="2">
        <f>IFERROR(__xludf.DUMMYFUNCTION("""COMPUTED_VALUE"""),45448.66666666667)</f>
        <v>45448.66667</v>
      </c>
      <c r="B926" s="1">
        <f>IFERROR(__xludf.DUMMYFUNCTION("""COMPUTED_VALUE"""),175.0)</f>
        <v>175</v>
      </c>
    </row>
    <row r="927">
      <c r="A927" s="2">
        <f>IFERROR(__xludf.DUMMYFUNCTION("""COMPUTED_VALUE"""),45449.66666666667)</f>
        <v>45449.66667</v>
      </c>
      <c r="B927" s="1">
        <f>IFERROR(__xludf.DUMMYFUNCTION("""COMPUTED_VALUE"""),177.94)</f>
        <v>177.94</v>
      </c>
    </row>
    <row r="928">
      <c r="A928" s="2">
        <f>IFERROR(__xludf.DUMMYFUNCTION("""COMPUTED_VALUE"""),45450.66666666667)</f>
        <v>45450.66667</v>
      </c>
      <c r="B928" s="1">
        <f>IFERROR(__xludf.DUMMYFUNCTION("""COMPUTED_VALUE"""),177.48)</f>
        <v>177.48</v>
      </c>
    </row>
    <row r="929">
      <c r="A929" s="2">
        <f>IFERROR(__xludf.DUMMYFUNCTION("""COMPUTED_VALUE"""),45453.66666666667)</f>
        <v>45453.66667</v>
      </c>
      <c r="B929" s="1">
        <f>IFERROR(__xludf.DUMMYFUNCTION("""COMPUTED_VALUE"""),173.79)</f>
        <v>173.79</v>
      </c>
    </row>
    <row r="930">
      <c r="A930" s="2">
        <f>IFERROR(__xludf.DUMMYFUNCTION("""COMPUTED_VALUE"""),45454.66666666667)</f>
        <v>45454.66667</v>
      </c>
      <c r="B930" s="1">
        <f>IFERROR(__xludf.DUMMYFUNCTION("""COMPUTED_VALUE"""),170.66)</f>
        <v>170.66</v>
      </c>
    </row>
    <row r="931">
      <c r="A931" s="2">
        <f>IFERROR(__xludf.DUMMYFUNCTION("""COMPUTED_VALUE"""),45455.66666666667)</f>
        <v>45455.66667</v>
      </c>
      <c r="B931" s="1">
        <f>IFERROR(__xludf.DUMMYFUNCTION("""COMPUTED_VALUE"""),177.29)</f>
        <v>177.29</v>
      </c>
    </row>
    <row r="932">
      <c r="A932" s="2">
        <f>IFERROR(__xludf.DUMMYFUNCTION("""COMPUTED_VALUE"""),45456.66666666667)</f>
        <v>45456.66667</v>
      </c>
      <c r="B932" s="1">
        <f>IFERROR(__xludf.DUMMYFUNCTION("""COMPUTED_VALUE"""),182.47)</f>
        <v>182.47</v>
      </c>
    </row>
    <row r="933">
      <c r="A933" s="2">
        <f>IFERROR(__xludf.DUMMYFUNCTION("""COMPUTED_VALUE"""),45457.66666666667)</f>
        <v>45457.66667</v>
      </c>
      <c r="B933" s="1">
        <f>IFERROR(__xludf.DUMMYFUNCTION("""COMPUTED_VALUE"""),178.01)</f>
        <v>178.01</v>
      </c>
    </row>
    <row r="934">
      <c r="A934" s="2">
        <f>IFERROR(__xludf.DUMMYFUNCTION("""COMPUTED_VALUE"""),45460.66666666667)</f>
        <v>45460.66667</v>
      </c>
      <c r="B934" s="1">
        <f>IFERROR(__xludf.DUMMYFUNCTION("""COMPUTED_VALUE"""),187.44)</f>
        <v>187.44</v>
      </c>
    </row>
    <row r="935">
      <c r="A935" s="2">
        <f>IFERROR(__xludf.DUMMYFUNCTION("""COMPUTED_VALUE"""),45461.66666666667)</f>
        <v>45461.66667</v>
      </c>
      <c r="B935" s="1">
        <f>IFERROR(__xludf.DUMMYFUNCTION("""COMPUTED_VALUE"""),184.86)</f>
        <v>184.86</v>
      </c>
    </row>
    <row r="936">
      <c r="A936" s="2">
        <f>IFERROR(__xludf.DUMMYFUNCTION("""COMPUTED_VALUE"""),45463.66666666667)</f>
        <v>45463.66667</v>
      </c>
      <c r="B936" s="1">
        <f>IFERROR(__xludf.DUMMYFUNCTION("""COMPUTED_VALUE"""),181.57)</f>
        <v>181.57</v>
      </c>
    </row>
    <row r="937">
      <c r="A937" s="2">
        <f>IFERROR(__xludf.DUMMYFUNCTION("""COMPUTED_VALUE"""),45464.66666666667)</f>
        <v>45464.66667</v>
      </c>
      <c r="B937" s="1">
        <f>IFERROR(__xludf.DUMMYFUNCTION("""COMPUTED_VALUE"""),183.01)</f>
        <v>183.01</v>
      </c>
    </row>
    <row r="938">
      <c r="A938" s="2">
        <f>IFERROR(__xludf.DUMMYFUNCTION("""COMPUTED_VALUE"""),45467.66666666667)</f>
        <v>45467.66667</v>
      </c>
      <c r="B938" s="1">
        <f>IFERROR(__xludf.DUMMYFUNCTION("""COMPUTED_VALUE"""),182.58)</f>
        <v>182.58</v>
      </c>
    </row>
    <row r="939">
      <c r="A939" s="2">
        <f>IFERROR(__xludf.DUMMYFUNCTION("""COMPUTED_VALUE"""),45468.66666666667)</f>
        <v>45468.66667</v>
      </c>
      <c r="B939" s="1">
        <f>IFERROR(__xludf.DUMMYFUNCTION("""COMPUTED_VALUE"""),187.35)</f>
        <v>187.35</v>
      </c>
    </row>
    <row r="940">
      <c r="A940" s="2">
        <f>IFERROR(__xludf.DUMMYFUNCTION("""COMPUTED_VALUE"""),45469.66666666667)</f>
        <v>45469.66667</v>
      </c>
      <c r="B940" s="1">
        <f>IFERROR(__xludf.DUMMYFUNCTION("""COMPUTED_VALUE"""),196.37)</f>
        <v>196.37</v>
      </c>
    </row>
    <row r="941">
      <c r="A941" s="2">
        <f>IFERROR(__xludf.DUMMYFUNCTION("""COMPUTED_VALUE"""),45470.66666666667)</f>
        <v>45470.66667</v>
      </c>
      <c r="B941" s="1">
        <f>IFERROR(__xludf.DUMMYFUNCTION("""COMPUTED_VALUE"""),197.42)</f>
        <v>197.42</v>
      </c>
    </row>
    <row r="942">
      <c r="A942" s="2">
        <f>IFERROR(__xludf.DUMMYFUNCTION("""COMPUTED_VALUE"""),45471.66666666667)</f>
        <v>45471.66667</v>
      </c>
      <c r="B942" s="1">
        <f>IFERROR(__xludf.DUMMYFUNCTION("""COMPUTED_VALUE"""),197.88)</f>
        <v>197.88</v>
      </c>
    </row>
    <row r="943">
      <c r="A943" s="2">
        <f>IFERROR(__xludf.DUMMYFUNCTION("""COMPUTED_VALUE"""),45474.66666666667)</f>
        <v>45474.66667</v>
      </c>
      <c r="B943" s="1">
        <f>IFERROR(__xludf.DUMMYFUNCTION("""COMPUTED_VALUE"""),209.86)</f>
        <v>209.86</v>
      </c>
    </row>
    <row r="944">
      <c r="A944" s="2">
        <f>IFERROR(__xludf.DUMMYFUNCTION("""COMPUTED_VALUE"""),45475.66666666667)</f>
        <v>45475.66667</v>
      </c>
      <c r="B944" s="1">
        <f>IFERROR(__xludf.DUMMYFUNCTION("""COMPUTED_VALUE"""),231.26)</f>
        <v>231.26</v>
      </c>
    </row>
    <row r="945">
      <c r="A945" s="2">
        <f>IFERROR(__xludf.DUMMYFUNCTION("""COMPUTED_VALUE"""),45476.54513888889)</f>
        <v>45476.54514</v>
      </c>
      <c r="B945" s="1">
        <f>IFERROR(__xludf.DUMMYFUNCTION("""COMPUTED_VALUE"""),246.39)</f>
        <v>246.39</v>
      </c>
    </row>
    <row r="946">
      <c r="A946" s="2">
        <f>IFERROR(__xludf.DUMMYFUNCTION("""COMPUTED_VALUE"""),45478.66666666667)</f>
        <v>45478.66667</v>
      </c>
      <c r="B946" s="1">
        <f>IFERROR(__xludf.DUMMYFUNCTION("""COMPUTED_VALUE"""),251.52)</f>
        <v>251.52</v>
      </c>
    </row>
    <row r="947">
      <c r="A947" s="2">
        <f>IFERROR(__xludf.DUMMYFUNCTION("""COMPUTED_VALUE"""),45481.66666666667)</f>
        <v>45481.66667</v>
      </c>
      <c r="B947" s="1">
        <f>IFERROR(__xludf.DUMMYFUNCTION("""COMPUTED_VALUE"""),252.94)</f>
        <v>252.94</v>
      </c>
    </row>
    <row r="948">
      <c r="A948" s="2">
        <f>IFERROR(__xludf.DUMMYFUNCTION("""COMPUTED_VALUE"""),45482.66666666667)</f>
        <v>45482.66667</v>
      </c>
      <c r="B948" s="1">
        <f>IFERROR(__xludf.DUMMYFUNCTION("""COMPUTED_VALUE"""),262.33)</f>
        <v>262.33</v>
      </c>
    </row>
    <row r="949">
      <c r="A949" s="2">
        <f>IFERROR(__xludf.DUMMYFUNCTION("""COMPUTED_VALUE"""),45483.66666666667)</f>
        <v>45483.66667</v>
      </c>
      <c r="B949" s="1">
        <f>IFERROR(__xludf.DUMMYFUNCTION("""COMPUTED_VALUE"""),263.26)</f>
        <v>263.26</v>
      </c>
    </row>
    <row r="950">
      <c r="A950" s="2">
        <f>IFERROR(__xludf.DUMMYFUNCTION("""COMPUTED_VALUE"""),45484.66666666667)</f>
        <v>45484.66667</v>
      </c>
      <c r="B950" s="1">
        <f>IFERROR(__xludf.DUMMYFUNCTION("""COMPUTED_VALUE"""),241.03)</f>
        <v>241.03</v>
      </c>
    </row>
    <row r="951">
      <c r="A951" s="2">
        <f>IFERROR(__xludf.DUMMYFUNCTION("""COMPUTED_VALUE"""),45485.66666666667)</f>
        <v>45485.66667</v>
      </c>
      <c r="B951" s="1">
        <f>IFERROR(__xludf.DUMMYFUNCTION("""COMPUTED_VALUE"""),248.23)</f>
        <v>248.23</v>
      </c>
    </row>
    <row r="952">
      <c r="A952" s="2">
        <f>IFERROR(__xludf.DUMMYFUNCTION("""COMPUTED_VALUE"""),45488.66666666667)</f>
        <v>45488.66667</v>
      </c>
      <c r="B952" s="1">
        <f>IFERROR(__xludf.DUMMYFUNCTION("""COMPUTED_VALUE"""),252.64)</f>
        <v>252.64</v>
      </c>
    </row>
    <row r="953">
      <c r="A953" s="2">
        <f>IFERROR(__xludf.DUMMYFUNCTION("""COMPUTED_VALUE"""),45489.66666666667)</f>
        <v>45489.66667</v>
      </c>
      <c r="B953" s="1">
        <f>IFERROR(__xludf.DUMMYFUNCTION("""COMPUTED_VALUE"""),256.56)</f>
        <v>256.56</v>
      </c>
    </row>
    <row r="954">
      <c r="A954" s="2">
        <f>IFERROR(__xludf.DUMMYFUNCTION("""COMPUTED_VALUE"""),45490.66666666667)</f>
        <v>45490.66667</v>
      </c>
      <c r="B954" s="1">
        <f>IFERROR(__xludf.DUMMYFUNCTION("""COMPUTED_VALUE"""),248.5)</f>
        <v>248.5</v>
      </c>
    </row>
    <row r="955">
      <c r="A955" s="2">
        <f>IFERROR(__xludf.DUMMYFUNCTION("""COMPUTED_VALUE"""),45491.66666666667)</f>
        <v>45491.66667</v>
      </c>
      <c r="B955" s="1">
        <f>IFERROR(__xludf.DUMMYFUNCTION("""COMPUTED_VALUE"""),249.23)</f>
        <v>249.23</v>
      </c>
    </row>
    <row r="956">
      <c r="A956" s="2">
        <f>IFERROR(__xludf.DUMMYFUNCTION("""COMPUTED_VALUE"""),45492.66666666667)</f>
        <v>45492.66667</v>
      </c>
      <c r="B956" s="1">
        <f>IFERROR(__xludf.DUMMYFUNCTION("""COMPUTED_VALUE"""),239.2)</f>
        <v>239.2</v>
      </c>
    </row>
    <row r="957">
      <c r="A957" s="2">
        <f>IFERROR(__xludf.DUMMYFUNCTION("""COMPUTED_VALUE"""),45495.66666666667)</f>
        <v>45495.66667</v>
      </c>
      <c r="B957" s="1">
        <f>IFERROR(__xludf.DUMMYFUNCTION("""COMPUTED_VALUE"""),251.51)</f>
        <v>251.51</v>
      </c>
    </row>
    <row r="958">
      <c r="A958" s="2">
        <f>IFERROR(__xludf.DUMMYFUNCTION("""COMPUTED_VALUE"""),45496.66666666667)</f>
        <v>45496.66667</v>
      </c>
      <c r="B958" s="1">
        <f>IFERROR(__xludf.DUMMYFUNCTION("""COMPUTED_VALUE"""),246.38)</f>
        <v>246.38</v>
      </c>
    </row>
    <row r="959">
      <c r="A959" s="2">
        <f>IFERROR(__xludf.DUMMYFUNCTION("""COMPUTED_VALUE"""),45497.66666666667)</f>
        <v>45497.66667</v>
      </c>
      <c r="B959" s="1">
        <f>IFERROR(__xludf.DUMMYFUNCTION("""COMPUTED_VALUE"""),215.99)</f>
        <v>215.99</v>
      </c>
    </row>
    <row r="960">
      <c r="A960" s="2">
        <f>IFERROR(__xludf.DUMMYFUNCTION("""COMPUTED_VALUE"""),45498.66666666667)</f>
        <v>45498.66667</v>
      </c>
      <c r="B960" s="1">
        <f>IFERROR(__xludf.DUMMYFUNCTION("""COMPUTED_VALUE"""),220.25)</f>
        <v>220.25</v>
      </c>
    </row>
    <row r="961">
      <c r="A961" s="2">
        <f>IFERROR(__xludf.DUMMYFUNCTION("""COMPUTED_VALUE"""),45499.66666666667)</f>
        <v>45499.66667</v>
      </c>
      <c r="B961" s="1">
        <f>IFERROR(__xludf.DUMMYFUNCTION("""COMPUTED_VALUE"""),219.8)</f>
        <v>219.8</v>
      </c>
    </row>
    <row r="962">
      <c r="A962" s="2">
        <f>IFERROR(__xludf.DUMMYFUNCTION("""COMPUTED_VALUE"""),45502.66666666667)</f>
        <v>45502.66667</v>
      </c>
      <c r="B962" s="1">
        <f>IFERROR(__xludf.DUMMYFUNCTION("""COMPUTED_VALUE"""),232.1)</f>
        <v>232.1</v>
      </c>
    </row>
    <row r="963">
      <c r="A963" s="2">
        <f>IFERROR(__xludf.DUMMYFUNCTION("""COMPUTED_VALUE"""),45503.66666666667)</f>
        <v>45503.66667</v>
      </c>
      <c r="B963" s="1">
        <f>IFERROR(__xludf.DUMMYFUNCTION("""COMPUTED_VALUE"""),222.62)</f>
        <v>222.62</v>
      </c>
    </row>
    <row r="964">
      <c r="A964" s="2">
        <f>IFERROR(__xludf.DUMMYFUNCTION("""COMPUTED_VALUE"""),45504.66666666667)</f>
        <v>45504.66667</v>
      </c>
      <c r="B964" s="1">
        <f>IFERROR(__xludf.DUMMYFUNCTION("""COMPUTED_VALUE"""),232.07)</f>
        <v>232.07</v>
      </c>
    </row>
    <row r="965">
      <c r="A965" s="2">
        <f>IFERROR(__xludf.DUMMYFUNCTION("""COMPUTED_VALUE"""),45505.66666666667)</f>
        <v>45505.66667</v>
      </c>
      <c r="B965" s="1">
        <f>IFERROR(__xludf.DUMMYFUNCTION("""COMPUTED_VALUE"""),216.86)</f>
        <v>216.86</v>
      </c>
    </row>
    <row r="966">
      <c r="A966" s="2">
        <f>IFERROR(__xludf.DUMMYFUNCTION("""COMPUTED_VALUE"""),45506.66666666667)</f>
        <v>45506.66667</v>
      </c>
      <c r="B966" s="1">
        <f>IFERROR(__xludf.DUMMYFUNCTION("""COMPUTED_VALUE"""),207.67)</f>
        <v>207.67</v>
      </c>
    </row>
    <row r="967">
      <c r="A967" s="2">
        <f>IFERROR(__xludf.DUMMYFUNCTION("""COMPUTED_VALUE"""),45509.66666666667)</f>
        <v>45509.66667</v>
      </c>
      <c r="B967" s="1">
        <f>IFERROR(__xludf.DUMMYFUNCTION("""COMPUTED_VALUE"""),198.88)</f>
        <v>198.88</v>
      </c>
    </row>
    <row r="968">
      <c r="A968" s="2">
        <f>IFERROR(__xludf.DUMMYFUNCTION("""COMPUTED_VALUE"""),45510.66666666667)</f>
        <v>45510.66667</v>
      </c>
      <c r="B968" s="1">
        <f>IFERROR(__xludf.DUMMYFUNCTION("""COMPUTED_VALUE"""),200.64)</f>
        <v>200.64</v>
      </c>
    </row>
    <row r="969">
      <c r="A969" s="2">
        <f>IFERROR(__xludf.DUMMYFUNCTION("""COMPUTED_VALUE"""),45511.66666666667)</f>
        <v>45511.66667</v>
      </c>
      <c r="B969" s="1">
        <f>IFERROR(__xludf.DUMMYFUNCTION("""COMPUTED_VALUE"""),191.76)</f>
        <v>191.76</v>
      </c>
    </row>
    <row r="970">
      <c r="A970" s="2">
        <f>IFERROR(__xludf.DUMMYFUNCTION("""COMPUTED_VALUE"""),45512.66666666667)</f>
        <v>45512.66667</v>
      </c>
      <c r="B970" s="1">
        <f>IFERROR(__xludf.DUMMYFUNCTION("""COMPUTED_VALUE"""),198.84)</f>
        <v>198.84</v>
      </c>
    </row>
    <row r="971">
      <c r="A971" s="2">
        <f>IFERROR(__xludf.DUMMYFUNCTION("""COMPUTED_VALUE"""),45513.66666666667)</f>
        <v>45513.66667</v>
      </c>
      <c r="B971" s="1">
        <f>IFERROR(__xludf.DUMMYFUNCTION("""COMPUTED_VALUE"""),200.0)</f>
        <v>200</v>
      </c>
    </row>
    <row r="972">
      <c r="A972" s="2">
        <f>IFERROR(__xludf.DUMMYFUNCTION("""COMPUTED_VALUE"""),45516.66666666667)</f>
        <v>45516.66667</v>
      </c>
      <c r="B972" s="1">
        <f>IFERROR(__xludf.DUMMYFUNCTION("""COMPUTED_VALUE"""),197.49)</f>
        <v>197.49</v>
      </c>
    </row>
    <row r="973">
      <c r="A973" s="2">
        <f>IFERROR(__xludf.DUMMYFUNCTION("""COMPUTED_VALUE"""),45517.66666666667)</f>
        <v>45517.66667</v>
      </c>
      <c r="B973" s="1">
        <f>IFERROR(__xludf.DUMMYFUNCTION("""COMPUTED_VALUE"""),207.83)</f>
        <v>207.83</v>
      </c>
    </row>
    <row r="974">
      <c r="A974" s="2">
        <f>IFERROR(__xludf.DUMMYFUNCTION("""COMPUTED_VALUE"""),45518.66666666667)</f>
        <v>45518.66667</v>
      </c>
      <c r="B974" s="1">
        <f>IFERROR(__xludf.DUMMYFUNCTION("""COMPUTED_VALUE"""),201.38)</f>
        <v>201.38</v>
      </c>
    </row>
    <row r="975">
      <c r="A975" s="2">
        <f>IFERROR(__xludf.DUMMYFUNCTION("""COMPUTED_VALUE"""),45519.66666666667)</f>
        <v>45519.66667</v>
      </c>
      <c r="B975" s="1">
        <f>IFERROR(__xludf.DUMMYFUNCTION("""COMPUTED_VALUE"""),214.14)</f>
        <v>214.14</v>
      </c>
    </row>
    <row r="976">
      <c r="A976" s="2">
        <f>IFERROR(__xludf.DUMMYFUNCTION("""COMPUTED_VALUE"""),45520.66666666667)</f>
        <v>45520.66667</v>
      </c>
      <c r="B976" s="1">
        <f>IFERROR(__xludf.DUMMYFUNCTION("""COMPUTED_VALUE"""),216.12)</f>
        <v>216.12</v>
      </c>
    </row>
    <row r="977">
      <c r="A977" s="2">
        <f>IFERROR(__xludf.DUMMYFUNCTION("""COMPUTED_VALUE"""),45523.66666666667)</f>
        <v>45523.66667</v>
      </c>
      <c r="B977" s="1">
        <f>IFERROR(__xludf.DUMMYFUNCTION("""COMPUTED_VALUE"""),222.72)</f>
        <v>222.72</v>
      </c>
    </row>
    <row r="978">
      <c r="A978" s="2">
        <f>IFERROR(__xludf.DUMMYFUNCTION("""COMPUTED_VALUE"""),45524.66666666667)</f>
        <v>45524.66667</v>
      </c>
      <c r="B978" s="1">
        <f>IFERROR(__xludf.DUMMYFUNCTION("""COMPUTED_VALUE"""),221.1)</f>
        <v>221.1</v>
      </c>
    </row>
    <row r="979">
      <c r="A979" s="2">
        <f>IFERROR(__xludf.DUMMYFUNCTION("""COMPUTED_VALUE"""),45525.66666666667)</f>
        <v>45525.66667</v>
      </c>
      <c r="B979" s="1">
        <f>IFERROR(__xludf.DUMMYFUNCTION("""COMPUTED_VALUE"""),223.27)</f>
        <v>223.27</v>
      </c>
    </row>
    <row r="980">
      <c r="A980" s="2">
        <f>IFERROR(__xludf.DUMMYFUNCTION("""COMPUTED_VALUE"""),45526.66666666667)</f>
        <v>45526.66667</v>
      </c>
      <c r="B980" s="1">
        <f>IFERROR(__xludf.DUMMYFUNCTION("""COMPUTED_VALUE"""),210.66)</f>
        <v>210.66</v>
      </c>
    </row>
    <row r="981">
      <c r="A981" s="2">
        <f>IFERROR(__xludf.DUMMYFUNCTION("""COMPUTED_VALUE"""),45527.66666666667)</f>
        <v>45527.66667</v>
      </c>
      <c r="B981" s="1">
        <f>IFERROR(__xludf.DUMMYFUNCTION("""COMPUTED_VALUE"""),220.32)</f>
        <v>220.32</v>
      </c>
    </row>
    <row r="982">
      <c r="A982" s="2">
        <f>IFERROR(__xludf.DUMMYFUNCTION("""COMPUTED_VALUE"""),45530.66666666667)</f>
        <v>45530.66667</v>
      </c>
      <c r="B982" s="1">
        <f>IFERROR(__xludf.DUMMYFUNCTION("""COMPUTED_VALUE"""),213.21)</f>
        <v>213.21</v>
      </c>
    </row>
    <row r="983">
      <c r="A983" s="2">
        <f>IFERROR(__xludf.DUMMYFUNCTION("""COMPUTED_VALUE"""),45531.66666666667)</f>
        <v>45531.66667</v>
      </c>
      <c r="B983" s="1">
        <f>IFERROR(__xludf.DUMMYFUNCTION("""COMPUTED_VALUE"""),209.21)</f>
        <v>209.21</v>
      </c>
    </row>
    <row r="984">
      <c r="A984" s="2">
        <f>IFERROR(__xludf.DUMMYFUNCTION("""COMPUTED_VALUE"""),45532.66666666667)</f>
        <v>45532.66667</v>
      </c>
      <c r="B984" s="1">
        <f>IFERROR(__xludf.DUMMYFUNCTION("""COMPUTED_VALUE"""),205.75)</f>
        <v>205.75</v>
      </c>
    </row>
    <row r="985">
      <c r="A985" s="2">
        <f>IFERROR(__xludf.DUMMYFUNCTION("""COMPUTED_VALUE"""),45533.66666666667)</f>
        <v>45533.66667</v>
      </c>
      <c r="B985" s="1">
        <f>IFERROR(__xludf.DUMMYFUNCTION("""COMPUTED_VALUE"""),206.28)</f>
        <v>206.28</v>
      </c>
    </row>
    <row r="986">
      <c r="A986" s="2">
        <f>IFERROR(__xludf.DUMMYFUNCTION("""COMPUTED_VALUE"""),45534.66666666667)</f>
        <v>45534.66667</v>
      </c>
      <c r="B986" s="1">
        <f>IFERROR(__xludf.DUMMYFUNCTION("""COMPUTED_VALUE"""),214.11)</f>
        <v>214.11</v>
      </c>
    </row>
    <row r="987">
      <c r="A987" s="2">
        <f>IFERROR(__xludf.DUMMYFUNCTION("""COMPUTED_VALUE"""),45538.66666666667)</f>
        <v>45538.66667</v>
      </c>
      <c r="B987" s="1">
        <f>IFERROR(__xludf.DUMMYFUNCTION("""COMPUTED_VALUE"""),210.6)</f>
        <v>210.6</v>
      </c>
    </row>
    <row r="988">
      <c r="A988" s="2">
        <f>IFERROR(__xludf.DUMMYFUNCTION("""COMPUTED_VALUE"""),45539.66666666667)</f>
        <v>45539.66667</v>
      </c>
      <c r="B988" s="1">
        <f>IFERROR(__xludf.DUMMYFUNCTION("""COMPUTED_VALUE"""),219.41)</f>
        <v>219.41</v>
      </c>
    </row>
    <row r="989">
      <c r="A989" s="2">
        <f>IFERROR(__xludf.DUMMYFUNCTION("""COMPUTED_VALUE"""),45540.66666666667)</f>
        <v>45540.66667</v>
      </c>
      <c r="B989" s="1">
        <f>IFERROR(__xludf.DUMMYFUNCTION("""COMPUTED_VALUE"""),230.17)</f>
        <v>230.17</v>
      </c>
    </row>
    <row r="990">
      <c r="A990" s="2">
        <f>IFERROR(__xludf.DUMMYFUNCTION("""COMPUTED_VALUE"""),45541.66666666667)</f>
        <v>45541.66667</v>
      </c>
      <c r="B990" s="1">
        <f>IFERROR(__xludf.DUMMYFUNCTION("""COMPUTED_VALUE"""),210.73)</f>
        <v>210.73</v>
      </c>
    </row>
    <row r="991">
      <c r="A991" s="2">
        <f>IFERROR(__xludf.DUMMYFUNCTION("""COMPUTED_VALUE"""),45544.66666666667)</f>
        <v>45544.66667</v>
      </c>
      <c r="B991" s="1">
        <f>IFERROR(__xludf.DUMMYFUNCTION("""COMPUTED_VALUE"""),216.27)</f>
        <v>216.27</v>
      </c>
    </row>
    <row r="992">
      <c r="A992" s="2">
        <f>IFERROR(__xludf.DUMMYFUNCTION("""COMPUTED_VALUE"""),45545.66666666667)</f>
        <v>45545.66667</v>
      </c>
      <c r="B992" s="1">
        <f>IFERROR(__xludf.DUMMYFUNCTION("""COMPUTED_VALUE"""),226.17)</f>
        <v>226.17</v>
      </c>
    </row>
    <row r="993">
      <c r="A993" s="2">
        <f>IFERROR(__xludf.DUMMYFUNCTION("""COMPUTED_VALUE"""),45546.66666666667)</f>
        <v>45546.66667</v>
      </c>
      <c r="B993" s="1">
        <f>IFERROR(__xludf.DUMMYFUNCTION("""COMPUTED_VALUE"""),228.13)</f>
        <v>228.13</v>
      </c>
    </row>
    <row r="994">
      <c r="A994" s="2">
        <f>IFERROR(__xludf.DUMMYFUNCTION("""COMPUTED_VALUE"""),45547.66666666667)</f>
        <v>45547.66667</v>
      </c>
      <c r="B994" s="1">
        <f>IFERROR(__xludf.DUMMYFUNCTION("""COMPUTED_VALUE"""),229.81)</f>
        <v>229.81</v>
      </c>
    </row>
    <row r="995">
      <c r="A995" s="2">
        <f>IFERROR(__xludf.DUMMYFUNCTION("""COMPUTED_VALUE"""),45548.66666666667)</f>
        <v>45548.66667</v>
      </c>
      <c r="B995" s="1">
        <f>IFERROR(__xludf.DUMMYFUNCTION("""COMPUTED_VALUE"""),230.29)</f>
        <v>230.29</v>
      </c>
    </row>
    <row r="996">
      <c r="A996" s="2">
        <f>IFERROR(__xludf.DUMMYFUNCTION("""COMPUTED_VALUE"""),45551.66666666667)</f>
        <v>45551.66667</v>
      </c>
      <c r="B996" s="1">
        <f>IFERROR(__xludf.DUMMYFUNCTION("""COMPUTED_VALUE"""),226.78)</f>
        <v>226.78</v>
      </c>
    </row>
    <row r="997">
      <c r="A997" s="2">
        <f>IFERROR(__xludf.DUMMYFUNCTION("""COMPUTED_VALUE"""),45552.66666666667)</f>
        <v>45552.66667</v>
      </c>
      <c r="B997" s="1">
        <f>IFERROR(__xludf.DUMMYFUNCTION("""COMPUTED_VALUE"""),227.87)</f>
        <v>227.87</v>
      </c>
    </row>
    <row r="998">
      <c r="A998" s="2">
        <f>IFERROR(__xludf.DUMMYFUNCTION("""COMPUTED_VALUE"""),45553.66666666667)</f>
        <v>45553.66667</v>
      </c>
      <c r="B998" s="1">
        <f>IFERROR(__xludf.DUMMYFUNCTION("""COMPUTED_VALUE"""),227.2)</f>
        <v>227.2</v>
      </c>
    </row>
    <row r="999">
      <c r="A999" s="2">
        <f>IFERROR(__xludf.DUMMYFUNCTION("""COMPUTED_VALUE"""),45554.66666666667)</f>
        <v>45554.66667</v>
      </c>
      <c r="B999" s="1">
        <f>IFERROR(__xludf.DUMMYFUNCTION("""COMPUTED_VALUE"""),243.92)</f>
        <v>243.92</v>
      </c>
    </row>
    <row r="1000">
      <c r="A1000" s="2">
        <f>IFERROR(__xludf.DUMMYFUNCTION("""COMPUTED_VALUE"""),45555.66666666667)</f>
        <v>45555.66667</v>
      </c>
      <c r="B1000" s="1">
        <f>IFERROR(__xludf.DUMMYFUNCTION("""COMPUTED_VALUE"""),238.25)</f>
        <v>238.25</v>
      </c>
    </row>
    <row r="1001">
      <c r="A1001" s="2">
        <f>IFERROR(__xludf.DUMMYFUNCTION("""COMPUTED_VALUE"""),45558.66666666667)</f>
        <v>45558.66667</v>
      </c>
      <c r="B1001" s="1">
        <f>IFERROR(__xludf.DUMMYFUNCTION("""COMPUTED_VALUE"""),250.0)</f>
        <v>250</v>
      </c>
    </row>
    <row r="1002">
      <c r="A1002" s="2">
        <f>IFERROR(__xludf.DUMMYFUNCTION("""COMPUTED_VALUE"""),45559.66666666667)</f>
        <v>45559.66667</v>
      </c>
      <c r="B1002" s="1">
        <f>IFERROR(__xludf.DUMMYFUNCTION("""COMPUTED_VALUE"""),254.27)</f>
        <v>254.27</v>
      </c>
    </row>
    <row r="1003">
      <c r="A1003" s="2">
        <f>IFERROR(__xludf.DUMMYFUNCTION("""COMPUTED_VALUE"""),45560.66666666667)</f>
        <v>45560.66667</v>
      </c>
      <c r="B1003" s="1">
        <f>IFERROR(__xludf.DUMMYFUNCTION("""COMPUTED_VALUE"""),257.02)</f>
        <v>257.02</v>
      </c>
    </row>
    <row r="1004">
      <c r="A1004" s="2">
        <f>IFERROR(__xludf.DUMMYFUNCTION("""COMPUTED_VALUE"""),45561.66666666667)</f>
        <v>45561.66667</v>
      </c>
      <c r="B1004" s="1">
        <f>IFERROR(__xludf.DUMMYFUNCTION("""COMPUTED_VALUE"""),254.22)</f>
        <v>254.22</v>
      </c>
    </row>
    <row r="1005">
      <c r="A1005" s="2">
        <f>IFERROR(__xludf.DUMMYFUNCTION("""COMPUTED_VALUE"""),45562.66666666667)</f>
        <v>45562.66667</v>
      </c>
      <c r="B1005" s="1">
        <f>IFERROR(__xludf.DUMMYFUNCTION("""COMPUTED_VALUE"""),260.46)</f>
        <v>260.46</v>
      </c>
    </row>
    <row r="1006">
      <c r="A1006" s="2">
        <f>IFERROR(__xludf.DUMMYFUNCTION("""COMPUTED_VALUE"""),45565.66666666667)</f>
        <v>45565.66667</v>
      </c>
      <c r="B1006" s="1">
        <f>IFERROR(__xludf.DUMMYFUNCTION("""COMPUTED_VALUE"""),261.63)</f>
        <v>261.63</v>
      </c>
    </row>
    <row r="1007">
      <c r="A1007" s="2">
        <f>IFERROR(__xludf.DUMMYFUNCTION("""COMPUTED_VALUE"""),45566.66666666667)</f>
        <v>45566.66667</v>
      </c>
      <c r="B1007" s="1">
        <f>IFERROR(__xludf.DUMMYFUNCTION("""COMPUTED_VALUE"""),258.02)</f>
        <v>258.02</v>
      </c>
    </row>
    <row r="1008">
      <c r="A1008" s="2">
        <f>IFERROR(__xludf.DUMMYFUNCTION("""COMPUTED_VALUE"""),45567.66666666667)</f>
        <v>45567.66667</v>
      </c>
      <c r="B1008" s="1">
        <f>IFERROR(__xludf.DUMMYFUNCTION("""COMPUTED_VALUE"""),249.02)</f>
        <v>249.02</v>
      </c>
    </row>
    <row r="1009">
      <c r="A1009" s="2">
        <f>IFERROR(__xludf.DUMMYFUNCTION("""COMPUTED_VALUE"""),45568.66666666667)</f>
        <v>45568.66667</v>
      </c>
      <c r="B1009" s="1">
        <f>IFERROR(__xludf.DUMMYFUNCTION("""COMPUTED_VALUE"""),240.66)</f>
        <v>240.66</v>
      </c>
    </row>
    <row r="1010">
      <c r="A1010" s="2">
        <f>IFERROR(__xludf.DUMMYFUNCTION("""COMPUTED_VALUE"""),45569.66666666667)</f>
        <v>45569.66667</v>
      </c>
      <c r="B1010" s="1">
        <f>IFERROR(__xludf.DUMMYFUNCTION("""COMPUTED_VALUE"""),250.08)</f>
        <v>250.08</v>
      </c>
    </row>
    <row r="1011">
      <c r="A1011" s="2">
        <f>IFERROR(__xludf.DUMMYFUNCTION("""COMPUTED_VALUE"""),45572.66666666667)</f>
        <v>45572.66667</v>
      </c>
      <c r="B1011" s="1">
        <f>IFERROR(__xludf.DUMMYFUNCTION("""COMPUTED_VALUE"""),240.83)</f>
        <v>240.83</v>
      </c>
    </row>
    <row r="1012">
      <c r="A1012" s="2">
        <f>IFERROR(__xludf.DUMMYFUNCTION("""COMPUTED_VALUE"""),45573.66666666667)</f>
        <v>45573.66667</v>
      </c>
      <c r="B1012" s="1">
        <f>IFERROR(__xludf.DUMMYFUNCTION("""COMPUTED_VALUE"""),244.5)</f>
        <v>244.5</v>
      </c>
    </row>
    <row r="1013">
      <c r="A1013" s="2">
        <f>IFERROR(__xludf.DUMMYFUNCTION("""COMPUTED_VALUE"""),45574.66666666667)</f>
        <v>45574.66667</v>
      </c>
      <c r="B1013" s="1">
        <f>IFERROR(__xludf.DUMMYFUNCTION("""COMPUTED_VALUE"""),241.05)</f>
        <v>241.05</v>
      </c>
    </row>
    <row r="1014">
      <c r="A1014" s="2">
        <f>IFERROR(__xludf.DUMMYFUNCTION("""COMPUTED_VALUE"""),45575.66666666667)</f>
        <v>45575.66667</v>
      </c>
      <c r="B1014" s="1">
        <f>IFERROR(__xludf.DUMMYFUNCTION("""COMPUTED_VALUE"""),238.77)</f>
        <v>238.77</v>
      </c>
    </row>
    <row r="1015">
      <c r="A1015" s="2">
        <f>IFERROR(__xludf.DUMMYFUNCTION("""COMPUTED_VALUE"""),45576.66666666667)</f>
        <v>45576.66667</v>
      </c>
      <c r="B1015" s="1">
        <f>IFERROR(__xludf.DUMMYFUNCTION("""COMPUTED_VALUE"""),217.8)</f>
        <v>217.8</v>
      </c>
    </row>
    <row r="1016">
      <c r="A1016" s="2">
        <f>IFERROR(__xludf.DUMMYFUNCTION("""COMPUTED_VALUE"""),45579.66666666667)</f>
        <v>45579.66667</v>
      </c>
      <c r="B1016" s="1">
        <f>IFERROR(__xludf.DUMMYFUNCTION("""COMPUTED_VALUE"""),219.16)</f>
        <v>219.16</v>
      </c>
    </row>
    <row r="1017">
      <c r="A1017" s="2">
        <f>IFERROR(__xludf.DUMMYFUNCTION("""COMPUTED_VALUE"""),45580.66666666667)</f>
        <v>45580.66667</v>
      </c>
      <c r="B1017" s="1">
        <f>IFERROR(__xludf.DUMMYFUNCTION("""COMPUTED_VALUE"""),219.57)</f>
        <v>219.57</v>
      </c>
    </row>
    <row r="1018">
      <c r="A1018" s="2">
        <f>IFERROR(__xludf.DUMMYFUNCTION("""COMPUTED_VALUE"""),45581.66666666667)</f>
        <v>45581.66667</v>
      </c>
      <c r="B1018" s="1">
        <f>IFERROR(__xludf.DUMMYFUNCTION("""COMPUTED_VALUE"""),221.33)</f>
        <v>221.33</v>
      </c>
    </row>
    <row r="1019">
      <c r="A1019" s="2">
        <f>IFERROR(__xludf.DUMMYFUNCTION("""COMPUTED_VALUE"""),45582.66666666667)</f>
        <v>45582.66667</v>
      </c>
      <c r="B1019" s="1">
        <f>IFERROR(__xludf.DUMMYFUNCTION("""COMPUTED_VALUE"""),220.89)</f>
        <v>220.89</v>
      </c>
    </row>
    <row r="1020">
      <c r="A1020" s="2">
        <f>IFERROR(__xludf.DUMMYFUNCTION("""COMPUTED_VALUE"""),45583.66666666667)</f>
        <v>45583.66667</v>
      </c>
      <c r="B1020" s="1">
        <f>IFERROR(__xludf.DUMMYFUNCTION("""COMPUTED_VALUE"""),220.7)</f>
        <v>220.7</v>
      </c>
    </row>
    <row r="1021">
      <c r="A1021" s="2">
        <f>IFERROR(__xludf.DUMMYFUNCTION("""COMPUTED_VALUE"""),45586.66666666667)</f>
        <v>45586.66667</v>
      </c>
      <c r="B1021" s="1">
        <f>IFERROR(__xludf.DUMMYFUNCTION("""COMPUTED_VALUE"""),218.85)</f>
        <v>218.85</v>
      </c>
    </row>
    <row r="1022">
      <c r="A1022" s="2">
        <f>IFERROR(__xludf.DUMMYFUNCTION("""COMPUTED_VALUE"""),45587.66666666667)</f>
        <v>45587.66667</v>
      </c>
      <c r="B1022" s="1">
        <f>IFERROR(__xludf.DUMMYFUNCTION("""COMPUTED_VALUE"""),217.97)</f>
        <v>217.97</v>
      </c>
    </row>
    <row r="1023">
      <c r="A1023" s="2">
        <f>IFERROR(__xludf.DUMMYFUNCTION("""COMPUTED_VALUE"""),45588.66666666667)</f>
        <v>45588.66667</v>
      </c>
      <c r="B1023" s="1">
        <f>IFERROR(__xludf.DUMMYFUNCTION("""COMPUTED_VALUE"""),213.65)</f>
        <v>213.65</v>
      </c>
    </row>
    <row r="1024">
      <c r="A1024" s="2">
        <f>IFERROR(__xludf.DUMMYFUNCTION("""COMPUTED_VALUE"""),45589.66666666667)</f>
        <v>45589.66667</v>
      </c>
      <c r="B1024" s="1">
        <f>IFERROR(__xludf.DUMMYFUNCTION("""COMPUTED_VALUE"""),260.48)</f>
        <v>260.48</v>
      </c>
    </row>
    <row r="1025">
      <c r="A1025" s="2">
        <f>IFERROR(__xludf.DUMMYFUNCTION("""COMPUTED_VALUE"""),45590.66666666667)</f>
        <v>45590.66667</v>
      </c>
      <c r="B1025" s="1">
        <f>IFERROR(__xludf.DUMMYFUNCTION("""COMPUTED_VALUE"""),269.19)</f>
        <v>269.19</v>
      </c>
    </row>
    <row r="1026">
      <c r="A1026" s="2">
        <f>IFERROR(__xludf.DUMMYFUNCTION("""COMPUTED_VALUE"""),45593.66666666667)</f>
        <v>45593.66667</v>
      </c>
      <c r="B1026" s="1">
        <f>IFERROR(__xludf.DUMMYFUNCTION("""COMPUTED_VALUE"""),262.51)</f>
        <v>262.51</v>
      </c>
    </row>
    <row r="1027">
      <c r="A1027" s="2">
        <f>IFERROR(__xludf.DUMMYFUNCTION("""COMPUTED_VALUE"""),45594.66666666667)</f>
        <v>45594.66667</v>
      </c>
      <c r="B1027" s="1">
        <f>IFERROR(__xludf.DUMMYFUNCTION("""COMPUTED_VALUE"""),259.52)</f>
        <v>259.52</v>
      </c>
    </row>
    <row r="1028">
      <c r="A1028" s="2">
        <f>IFERROR(__xludf.DUMMYFUNCTION("""COMPUTED_VALUE"""),45595.66666666667)</f>
        <v>45595.66667</v>
      </c>
      <c r="B1028" s="1">
        <f>IFERROR(__xludf.DUMMYFUNCTION("""COMPUTED_VALUE"""),257.55)</f>
        <v>257.55</v>
      </c>
    </row>
    <row r="1029">
      <c r="A1029" s="2">
        <f>IFERROR(__xludf.DUMMYFUNCTION("""COMPUTED_VALUE"""),45596.66666666667)</f>
        <v>45596.66667</v>
      </c>
      <c r="B1029" s="1">
        <f>IFERROR(__xludf.DUMMYFUNCTION("""COMPUTED_VALUE"""),249.85)</f>
        <v>249.85</v>
      </c>
    </row>
    <row r="1030">
      <c r="A1030" s="2">
        <f>IFERROR(__xludf.DUMMYFUNCTION("""COMPUTED_VALUE"""),45597.66666666667)</f>
        <v>45597.66667</v>
      </c>
      <c r="B1030" s="1">
        <f>IFERROR(__xludf.DUMMYFUNCTION("""COMPUTED_VALUE"""),248.98)</f>
        <v>248.98</v>
      </c>
    </row>
    <row r="1031">
      <c r="A1031" s="2">
        <f>IFERROR(__xludf.DUMMYFUNCTION("""COMPUTED_VALUE"""),45600.66666666667)</f>
        <v>45600.66667</v>
      </c>
      <c r="B1031" s="1">
        <f>IFERROR(__xludf.DUMMYFUNCTION("""COMPUTED_VALUE"""),242.84)</f>
        <v>242.84</v>
      </c>
    </row>
    <row r="1032">
      <c r="A1032" s="2">
        <f>IFERROR(__xludf.DUMMYFUNCTION("""COMPUTED_VALUE"""),45601.66666666667)</f>
        <v>45601.66667</v>
      </c>
      <c r="B1032" s="1">
        <f>IFERROR(__xludf.DUMMYFUNCTION("""COMPUTED_VALUE"""),251.44)</f>
        <v>251.44</v>
      </c>
    </row>
    <row r="1033">
      <c r="A1033" s="2">
        <f>IFERROR(__xludf.DUMMYFUNCTION("""COMPUTED_VALUE"""),45602.66666666667)</f>
        <v>45602.66667</v>
      </c>
      <c r="B1033" s="1">
        <f>IFERROR(__xludf.DUMMYFUNCTION("""COMPUTED_VALUE"""),288.53)</f>
        <v>288.53</v>
      </c>
    </row>
    <row r="1034">
      <c r="A1034" s="2">
        <f>IFERROR(__xludf.DUMMYFUNCTION("""COMPUTED_VALUE"""),45603.66666666667)</f>
        <v>45603.66667</v>
      </c>
      <c r="B1034" s="1">
        <f>IFERROR(__xludf.DUMMYFUNCTION("""COMPUTED_VALUE"""),296.91)</f>
        <v>296.91</v>
      </c>
    </row>
    <row r="1035">
      <c r="A1035" s="2">
        <f>IFERROR(__xludf.DUMMYFUNCTION("""COMPUTED_VALUE"""),45604.66666666667)</f>
        <v>45604.66667</v>
      </c>
      <c r="B1035" s="1">
        <f>IFERROR(__xludf.DUMMYFUNCTION("""COMPUTED_VALUE"""),321.22)</f>
        <v>321.22</v>
      </c>
    </row>
    <row r="1036">
      <c r="A1036" s="2">
        <f>IFERROR(__xludf.DUMMYFUNCTION("""COMPUTED_VALUE"""),45607.66666666667)</f>
        <v>45607.66667</v>
      </c>
      <c r="B1036" s="1">
        <f>IFERROR(__xludf.DUMMYFUNCTION("""COMPUTED_VALUE"""),350.0)</f>
        <v>350</v>
      </c>
    </row>
    <row r="1037">
      <c r="A1037" s="2">
        <f>IFERROR(__xludf.DUMMYFUNCTION("""COMPUTED_VALUE"""),45608.66666666667)</f>
        <v>45608.66667</v>
      </c>
      <c r="B1037" s="1">
        <f>IFERROR(__xludf.DUMMYFUNCTION("""COMPUTED_VALUE"""),328.49)</f>
        <v>328.49</v>
      </c>
    </row>
    <row r="1038">
      <c r="A1038" s="2">
        <f>IFERROR(__xludf.DUMMYFUNCTION("""COMPUTED_VALUE"""),45609.66666666667)</f>
        <v>45609.66667</v>
      </c>
      <c r="B1038" s="1">
        <f>IFERROR(__xludf.DUMMYFUNCTION("""COMPUTED_VALUE"""),330.24)</f>
        <v>330.24</v>
      </c>
    </row>
    <row r="1039">
      <c r="A1039" s="2">
        <f>IFERROR(__xludf.DUMMYFUNCTION("""COMPUTED_VALUE"""),45610.66666666667)</f>
        <v>45610.66667</v>
      </c>
      <c r="B1039" s="1">
        <f>IFERROR(__xludf.DUMMYFUNCTION("""COMPUTED_VALUE"""),311.18)</f>
        <v>311.18</v>
      </c>
    </row>
    <row r="1040">
      <c r="A1040" s="2">
        <f>IFERROR(__xludf.DUMMYFUNCTION("""COMPUTED_VALUE"""),45611.66666666667)</f>
        <v>45611.66667</v>
      </c>
      <c r="B1040" s="1">
        <f>IFERROR(__xludf.DUMMYFUNCTION("""COMPUTED_VALUE"""),320.72)</f>
        <v>320.72</v>
      </c>
    </row>
    <row r="1041">
      <c r="A1041" s="2">
        <f>IFERROR(__xludf.DUMMYFUNCTION("""COMPUTED_VALUE"""),45614.66666666667)</f>
        <v>45614.66667</v>
      </c>
      <c r="B1041" s="1">
        <f>IFERROR(__xludf.DUMMYFUNCTION("""COMPUTED_VALUE"""),338.74)</f>
        <v>338.74</v>
      </c>
    </row>
    <row r="1042">
      <c r="A1042" s="2">
        <f>IFERROR(__xludf.DUMMYFUNCTION("""COMPUTED_VALUE"""),45615.66666666667)</f>
        <v>45615.66667</v>
      </c>
      <c r="B1042" s="1">
        <f>IFERROR(__xludf.DUMMYFUNCTION("""COMPUTED_VALUE"""),346.0)</f>
        <v>346</v>
      </c>
    </row>
    <row r="1043">
      <c r="A1043" s="2">
        <f>IFERROR(__xludf.DUMMYFUNCTION("""COMPUTED_VALUE"""),45616.66666666667)</f>
        <v>45616.66667</v>
      </c>
      <c r="B1043" s="1">
        <f>IFERROR(__xludf.DUMMYFUNCTION("""COMPUTED_VALUE"""),342.03)</f>
        <v>342.03</v>
      </c>
    </row>
    <row r="1044">
      <c r="A1044" s="2">
        <f>IFERROR(__xludf.DUMMYFUNCTION("""COMPUTED_VALUE"""),45617.66666666667)</f>
        <v>45617.66667</v>
      </c>
      <c r="B1044" s="1">
        <f>IFERROR(__xludf.DUMMYFUNCTION("""COMPUTED_VALUE"""),339.64)</f>
        <v>339.64</v>
      </c>
    </row>
    <row r="1045">
      <c r="A1045" s="2">
        <f>IFERROR(__xludf.DUMMYFUNCTION("""COMPUTED_VALUE"""),45618.66666666667)</f>
        <v>45618.66667</v>
      </c>
      <c r="B1045" s="1">
        <f>IFERROR(__xludf.DUMMYFUNCTION("""COMPUTED_VALUE"""),352.56)</f>
        <v>352.56</v>
      </c>
    </row>
    <row r="1046">
      <c r="A1046" s="2">
        <f>IFERROR(__xludf.DUMMYFUNCTION("""COMPUTED_VALUE"""),45621.66666666667)</f>
        <v>45621.66667</v>
      </c>
      <c r="B1046" s="1">
        <f>IFERROR(__xludf.DUMMYFUNCTION("""COMPUTED_VALUE"""),338.59)</f>
        <v>338.59</v>
      </c>
    </row>
    <row r="1047">
      <c r="A1047" s="2">
        <f>IFERROR(__xludf.DUMMYFUNCTION("""COMPUTED_VALUE"""),45622.66666666667)</f>
        <v>45622.66667</v>
      </c>
      <c r="B1047" s="1">
        <f>IFERROR(__xludf.DUMMYFUNCTION("""COMPUTED_VALUE"""),338.23)</f>
        <v>338.23</v>
      </c>
    </row>
    <row r="1048">
      <c r="A1048" s="2">
        <f>IFERROR(__xludf.DUMMYFUNCTION("""COMPUTED_VALUE"""),45623.66666666667)</f>
        <v>45623.66667</v>
      </c>
      <c r="B1048" s="1">
        <f>IFERROR(__xludf.DUMMYFUNCTION("""COMPUTED_VALUE"""),332.89)</f>
        <v>332.89</v>
      </c>
    </row>
    <row r="1049">
      <c r="A1049" s="2">
        <f>IFERROR(__xludf.DUMMYFUNCTION("""COMPUTED_VALUE"""),45625.54513888889)</f>
        <v>45625.54514</v>
      </c>
      <c r="B1049" s="1">
        <f>IFERROR(__xludf.DUMMYFUNCTION("""COMPUTED_VALUE"""),345.16)</f>
        <v>345.16</v>
      </c>
    </row>
    <row r="1050">
      <c r="A1050" s="2">
        <f>IFERROR(__xludf.DUMMYFUNCTION("""COMPUTED_VALUE"""),45628.66666666667)</f>
        <v>45628.66667</v>
      </c>
      <c r="B1050" s="1">
        <f>IFERROR(__xludf.DUMMYFUNCTION("""COMPUTED_VALUE"""),357.09)</f>
        <v>357.09</v>
      </c>
    </row>
    <row r="1051">
      <c r="A1051" s="2">
        <f>IFERROR(__xludf.DUMMYFUNCTION("""COMPUTED_VALUE"""),45629.66666666667)</f>
        <v>45629.66667</v>
      </c>
      <c r="B1051" s="1">
        <f>IFERROR(__xludf.DUMMYFUNCTION("""COMPUTED_VALUE"""),351.42)</f>
        <v>351.42</v>
      </c>
    </row>
    <row r="1052">
      <c r="A1052" s="2">
        <f>IFERROR(__xludf.DUMMYFUNCTION("""COMPUTED_VALUE"""),45630.66666666667)</f>
        <v>45630.66667</v>
      </c>
      <c r="B1052" s="1">
        <f>IFERROR(__xludf.DUMMYFUNCTION("""COMPUTED_VALUE"""),357.93)</f>
        <v>357.93</v>
      </c>
    </row>
    <row r="1053">
      <c r="A1053" s="2">
        <f>IFERROR(__xludf.DUMMYFUNCTION("""COMPUTED_VALUE"""),45631.66666666667)</f>
        <v>45631.66667</v>
      </c>
      <c r="B1053" s="1">
        <f>IFERROR(__xludf.DUMMYFUNCTION("""COMPUTED_VALUE"""),369.49)</f>
        <v>369.49</v>
      </c>
    </row>
    <row r="1054">
      <c r="A1054" s="2">
        <f>IFERROR(__xludf.DUMMYFUNCTION("""COMPUTED_VALUE"""),45632.66666666667)</f>
        <v>45632.66667</v>
      </c>
      <c r="B1054" s="1">
        <f>IFERROR(__xludf.DUMMYFUNCTION("""COMPUTED_VALUE"""),389.22)</f>
        <v>389.22</v>
      </c>
    </row>
    <row r="1055">
      <c r="A1055" s="2">
        <f>IFERROR(__xludf.DUMMYFUNCTION("""COMPUTED_VALUE"""),45635.66666666667)</f>
        <v>45635.66667</v>
      </c>
      <c r="B1055" s="1">
        <f>IFERROR(__xludf.DUMMYFUNCTION("""COMPUTED_VALUE"""),389.79)</f>
        <v>389.79</v>
      </c>
    </row>
    <row r="1056">
      <c r="A1056" s="2">
        <f>IFERROR(__xludf.DUMMYFUNCTION("""COMPUTED_VALUE"""),45636.66666666667)</f>
        <v>45636.66667</v>
      </c>
      <c r="B1056" s="1">
        <f>IFERROR(__xludf.DUMMYFUNCTION("""COMPUTED_VALUE"""),400.99)</f>
        <v>400.99</v>
      </c>
    </row>
    <row r="1057">
      <c r="A1057" s="2">
        <f>IFERROR(__xludf.DUMMYFUNCTION("""COMPUTED_VALUE"""),45637.66666666667)</f>
        <v>45637.66667</v>
      </c>
      <c r="B1057" s="1">
        <f>IFERROR(__xludf.DUMMYFUNCTION("""COMPUTED_VALUE"""),424.77)</f>
        <v>424.77</v>
      </c>
    </row>
    <row r="1058">
      <c r="A1058" s="2">
        <f>IFERROR(__xludf.DUMMYFUNCTION("""COMPUTED_VALUE"""),45638.66666666667)</f>
        <v>45638.66667</v>
      </c>
      <c r="B1058" s="1">
        <f>IFERROR(__xludf.DUMMYFUNCTION("""COMPUTED_VALUE"""),418.1)</f>
        <v>418.1</v>
      </c>
    </row>
    <row r="1059">
      <c r="A1059" s="2">
        <f>IFERROR(__xludf.DUMMYFUNCTION("""COMPUTED_VALUE"""),45639.66666666667)</f>
        <v>45639.66667</v>
      </c>
      <c r="B1059" s="1">
        <f>IFERROR(__xludf.DUMMYFUNCTION("""COMPUTED_VALUE"""),436.23)</f>
        <v>436.23</v>
      </c>
    </row>
    <row r="1060">
      <c r="A1060" s="2">
        <f>IFERROR(__xludf.DUMMYFUNCTION("""COMPUTED_VALUE"""),45642.66666666667)</f>
        <v>45642.66667</v>
      </c>
      <c r="B1060" s="1">
        <f>IFERROR(__xludf.DUMMYFUNCTION("""COMPUTED_VALUE"""),463.02)</f>
        <v>463.02</v>
      </c>
    </row>
    <row r="1061">
      <c r="A1061" s="2">
        <f>IFERROR(__xludf.DUMMYFUNCTION("""COMPUTED_VALUE"""),45643.66666666667)</f>
        <v>45643.66667</v>
      </c>
      <c r="B1061" s="1">
        <f>IFERROR(__xludf.DUMMYFUNCTION("""COMPUTED_VALUE"""),479.86)</f>
        <v>479.86</v>
      </c>
    </row>
    <row r="1062">
      <c r="A1062" s="2">
        <f>IFERROR(__xludf.DUMMYFUNCTION("""COMPUTED_VALUE"""),45644.66666666667)</f>
        <v>45644.66667</v>
      </c>
      <c r="B1062" s="1">
        <f>IFERROR(__xludf.DUMMYFUNCTION("""COMPUTED_VALUE"""),440.13)</f>
        <v>440.13</v>
      </c>
    </row>
    <row r="1063">
      <c r="A1063" s="2">
        <f>IFERROR(__xludf.DUMMYFUNCTION("""COMPUTED_VALUE"""),45645.66666666667)</f>
        <v>45645.66667</v>
      </c>
      <c r="B1063" s="1">
        <f>IFERROR(__xludf.DUMMYFUNCTION("""COMPUTED_VALUE"""),436.17)</f>
        <v>436.17</v>
      </c>
    </row>
    <row r="1064">
      <c r="A1064" s="2">
        <f>IFERROR(__xludf.DUMMYFUNCTION("""COMPUTED_VALUE"""),45646.66666666667)</f>
        <v>45646.66667</v>
      </c>
      <c r="B1064" s="1">
        <f>IFERROR(__xludf.DUMMYFUNCTION("""COMPUTED_VALUE"""),421.06)</f>
        <v>421.06</v>
      </c>
    </row>
    <row r="1065">
      <c r="A1065" s="2">
        <f>IFERROR(__xludf.DUMMYFUNCTION("""COMPUTED_VALUE"""),45649.66666666667)</f>
        <v>45649.66667</v>
      </c>
      <c r="B1065" s="1">
        <f>IFERROR(__xludf.DUMMYFUNCTION("""COMPUTED_VALUE"""),430.6)</f>
        <v>430.6</v>
      </c>
    </row>
    <row r="1066">
      <c r="A1066" s="2">
        <f>IFERROR(__xludf.DUMMYFUNCTION("""COMPUTED_VALUE"""),45650.54513888889)</f>
        <v>45650.54514</v>
      </c>
      <c r="B1066" s="1">
        <f>IFERROR(__xludf.DUMMYFUNCTION("""COMPUTED_VALUE"""),462.28)</f>
        <v>462.28</v>
      </c>
    </row>
    <row r="1067">
      <c r="A1067" s="2">
        <f>IFERROR(__xludf.DUMMYFUNCTION("""COMPUTED_VALUE"""),45652.66666666667)</f>
        <v>45652.66667</v>
      </c>
      <c r="B1067" s="1">
        <f>IFERROR(__xludf.DUMMYFUNCTION("""COMPUTED_VALUE"""),454.13)</f>
        <v>454.13</v>
      </c>
    </row>
    <row r="1068">
      <c r="A1068" s="2">
        <f>IFERROR(__xludf.DUMMYFUNCTION("""COMPUTED_VALUE"""),45653.66666666667)</f>
        <v>45653.66667</v>
      </c>
      <c r="B1068" s="1">
        <f>IFERROR(__xludf.DUMMYFUNCTION("""COMPUTED_VALUE"""),431.66)</f>
        <v>431.66</v>
      </c>
    </row>
    <row r="1069">
      <c r="A1069" s="2">
        <f>IFERROR(__xludf.DUMMYFUNCTION("""COMPUTED_VALUE"""),45656.66666666667)</f>
        <v>45656.66667</v>
      </c>
      <c r="B1069" s="1">
        <f>IFERROR(__xludf.DUMMYFUNCTION("""COMPUTED_VALUE"""),417.41)</f>
        <v>417.41</v>
      </c>
    </row>
    <row r="1070">
      <c r="A1070" s="2">
        <f>IFERROR(__xludf.DUMMYFUNCTION("""COMPUTED_VALUE"""),45657.66666666667)</f>
        <v>45657.66667</v>
      </c>
      <c r="B1070" s="1">
        <f>IFERROR(__xludf.DUMMYFUNCTION("""COMPUTED_VALUE"""),403.84)</f>
        <v>403.84</v>
      </c>
    </row>
    <row r="1071">
      <c r="A1071" s="2">
        <f>IFERROR(__xludf.DUMMYFUNCTION("""COMPUTED_VALUE"""),45659.66666666667)</f>
        <v>45659.66667</v>
      </c>
      <c r="B1071" s="1">
        <f>IFERROR(__xludf.DUMMYFUNCTION("""COMPUTED_VALUE"""),379.28)</f>
        <v>379.28</v>
      </c>
    </row>
    <row r="1072">
      <c r="A1072" s="2">
        <f>IFERROR(__xludf.DUMMYFUNCTION("""COMPUTED_VALUE"""),45660.66666666667)</f>
        <v>45660.66667</v>
      </c>
      <c r="B1072" s="1">
        <f>IFERROR(__xludf.DUMMYFUNCTION("""COMPUTED_VALUE"""),410.44)</f>
        <v>410.44</v>
      </c>
    </row>
    <row r="1073">
      <c r="A1073" s="2">
        <f>IFERROR(__xludf.DUMMYFUNCTION("""COMPUTED_VALUE"""),45663.66666666667)</f>
        <v>45663.66667</v>
      </c>
      <c r="B1073" s="1">
        <f>IFERROR(__xludf.DUMMYFUNCTION("""COMPUTED_VALUE"""),411.05)</f>
        <v>411.05</v>
      </c>
    </row>
    <row r="1074">
      <c r="A1074" s="2">
        <f>IFERROR(__xludf.DUMMYFUNCTION("""COMPUTED_VALUE"""),45664.66666666667)</f>
        <v>45664.66667</v>
      </c>
      <c r="B1074" s="1">
        <f>IFERROR(__xludf.DUMMYFUNCTION("""COMPUTED_VALUE"""),394.36)</f>
        <v>394.36</v>
      </c>
    </row>
    <row r="1075">
      <c r="A1075" s="2">
        <f>IFERROR(__xludf.DUMMYFUNCTION("""COMPUTED_VALUE"""),45665.66666666667)</f>
        <v>45665.66667</v>
      </c>
      <c r="B1075" s="1">
        <f>IFERROR(__xludf.DUMMYFUNCTION("""COMPUTED_VALUE"""),394.94)</f>
        <v>394.94</v>
      </c>
    </row>
    <row r="1076">
      <c r="A1076" s="2">
        <f>IFERROR(__xludf.DUMMYFUNCTION("""COMPUTED_VALUE"""),45667.66666666667)</f>
        <v>45667.66667</v>
      </c>
      <c r="B1076" s="1">
        <f>IFERROR(__xludf.DUMMYFUNCTION("""COMPUTED_VALUE"""),394.74)</f>
        <v>394.74</v>
      </c>
    </row>
    <row r="1077">
      <c r="A1077" s="2">
        <f>IFERROR(__xludf.DUMMYFUNCTION("""COMPUTED_VALUE"""),45670.66666666667)</f>
        <v>45670.66667</v>
      </c>
      <c r="B1077" s="1">
        <f>IFERROR(__xludf.DUMMYFUNCTION("""COMPUTED_VALUE"""),403.31)</f>
        <v>403.31</v>
      </c>
    </row>
    <row r="1078">
      <c r="A1078" s="2">
        <f>IFERROR(__xludf.DUMMYFUNCTION("""COMPUTED_VALUE"""),45671.66666666667)</f>
        <v>45671.66667</v>
      </c>
      <c r="B1078" s="1">
        <f>IFERROR(__xludf.DUMMYFUNCTION("""COMPUTED_VALUE"""),396.36)</f>
        <v>396.36</v>
      </c>
    </row>
    <row r="1079">
      <c r="A1079" s="2">
        <f>IFERROR(__xludf.DUMMYFUNCTION("""COMPUTED_VALUE"""),45672.66666666667)</f>
        <v>45672.66667</v>
      </c>
      <c r="B1079" s="1">
        <f>IFERROR(__xludf.DUMMYFUNCTION("""COMPUTED_VALUE"""),428.22)</f>
        <v>428.22</v>
      </c>
    </row>
    <row r="1080">
      <c r="A1080" s="2">
        <f>IFERROR(__xludf.DUMMYFUNCTION("""COMPUTED_VALUE"""),45673.66666666667)</f>
        <v>45673.66667</v>
      </c>
      <c r="B1080" s="1">
        <f>IFERROR(__xludf.DUMMYFUNCTION("""COMPUTED_VALUE"""),413.82)</f>
        <v>413.82</v>
      </c>
    </row>
    <row r="1081">
      <c r="A1081" s="2">
        <f>IFERROR(__xludf.DUMMYFUNCTION("""COMPUTED_VALUE"""),45674.66666666667)</f>
        <v>45674.66667</v>
      </c>
      <c r="B1081" s="1">
        <f>IFERROR(__xludf.DUMMYFUNCTION("""COMPUTED_VALUE"""),426.5)</f>
        <v>426.5</v>
      </c>
    </row>
    <row r="1082">
      <c r="A1082" s="2">
        <f>IFERROR(__xludf.DUMMYFUNCTION("""COMPUTED_VALUE"""),45678.66666666667)</f>
        <v>45678.66667</v>
      </c>
      <c r="B1082" s="1">
        <f>IFERROR(__xludf.DUMMYFUNCTION("""COMPUTED_VALUE"""),424.07)</f>
        <v>424.07</v>
      </c>
    </row>
    <row r="1083">
      <c r="A1083" s="2">
        <f>IFERROR(__xludf.DUMMYFUNCTION("""COMPUTED_VALUE"""),45679.66666666667)</f>
        <v>45679.66667</v>
      </c>
      <c r="B1083" s="1">
        <f>IFERROR(__xludf.DUMMYFUNCTION("""COMPUTED_VALUE"""),415.11)</f>
        <v>415.11</v>
      </c>
    </row>
    <row r="1084">
      <c r="A1084" s="2">
        <f>IFERROR(__xludf.DUMMYFUNCTION("""COMPUTED_VALUE"""),45680.66666666667)</f>
        <v>45680.66667</v>
      </c>
      <c r="B1084" s="1">
        <f>IFERROR(__xludf.DUMMYFUNCTION("""COMPUTED_VALUE"""),412.38)</f>
        <v>412.38</v>
      </c>
    </row>
    <row r="1085">
      <c r="A1085" s="2">
        <f>IFERROR(__xludf.DUMMYFUNCTION("""COMPUTED_VALUE"""),45681.66666666667)</f>
        <v>45681.66667</v>
      </c>
      <c r="B1085" s="1">
        <f>IFERROR(__xludf.DUMMYFUNCTION("""COMPUTED_VALUE"""),406.58)</f>
        <v>406.58</v>
      </c>
    </row>
    <row r="1086">
      <c r="A1086" s="2">
        <f>IFERROR(__xludf.DUMMYFUNCTION("""COMPUTED_VALUE"""),45684.66666666667)</f>
        <v>45684.66667</v>
      </c>
      <c r="B1086" s="1">
        <f>IFERROR(__xludf.DUMMYFUNCTION("""COMPUTED_VALUE"""),397.15)</f>
        <v>397.15</v>
      </c>
    </row>
    <row r="1087">
      <c r="A1087" s="2">
        <f>IFERROR(__xludf.DUMMYFUNCTION("""COMPUTED_VALUE"""),45685.66666666667)</f>
        <v>45685.66667</v>
      </c>
      <c r="B1087" s="1">
        <f>IFERROR(__xludf.DUMMYFUNCTION("""COMPUTED_VALUE"""),398.09)</f>
        <v>398.09</v>
      </c>
    </row>
    <row r="1088">
      <c r="A1088" s="2">
        <f>IFERROR(__xludf.DUMMYFUNCTION("""COMPUTED_VALUE"""),45686.66666666667)</f>
        <v>45686.66667</v>
      </c>
      <c r="B1088" s="1">
        <f>IFERROR(__xludf.DUMMYFUNCTION("""COMPUTED_VALUE"""),389.1)</f>
        <v>389.1</v>
      </c>
    </row>
    <row r="1089">
      <c r="A1089" s="2">
        <f>IFERROR(__xludf.DUMMYFUNCTION("""COMPUTED_VALUE"""),45687.66666666667)</f>
        <v>45687.66667</v>
      </c>
      <c r="B1089" s="1">
        <f>IFERROR(__xludf.DUMMYFUNCTION("""COMPUTED_VALUE"""),400.28)</f>
        <v>400.28</v>
      </c>
    </row>
    <row r="1090">
      <c r="A1090" s="2">
        <f>IFERROR(__xludf.DUMMYFUNCTION("""COMPUTED_VALUE"""),45688.66666666667)</f>
        <v>45688.66667</v>
      </c>
      <c r="B1090" s="1">
        <f>IFERROR(__xludf.DUMMYFUNCTION("""COMPUTED_VALUE"""),404.6)</f>
        <v>404.6</v>
      </c>
    </row>
    <row r="1091">
      <c r="A1091" s="2">
        <f>IFERROR(__xludf.DUMMYFUNCTION("""COMPUTED_VALUE"""),45691.66666666667)</f>
        <v>45691.66667</v>
      </c>
      <c r="B1091" s="1">
        <f>IFERROR(__xludf.DUMMYFUNCTION("""COMPUTED_VALUE"""),383.68)</f>
        <v>383.68</v>
      </c>
    </row>
    <row r="1092">
      <c r="A1092" s="2">
        <f>IFERROR(__xludf.DUMMYFUNCTION("""COMPUTED_VALUE"""),45692.66666666667)</f>
        <v>45692.66667</v>
      </c>
      <c r="B1092" s="1">
        <f>IFERROR(__xludf.DUMMYFUNCTION("""COMPUTED_VALUE"""),392.21)</f>
        <v>392.21</v>
      </c>
    </row>
    <row r="1093">
      <c r="A1093" s="2">
        <f>IFERROR(__xludf.DUMMYFUNCTION("""COMPUTED_VALUE"""),45693.66666666667)</f>
        <v>45693.66667</v>
      </c>
      <c r="B1093" s="1">
        <f>IFERROR(__xludf.DUMMYFUNCTION("""COMPUTED_VALUE"""),378.17)</f>
        <v>378.17</v>
      </c>
    </row>
    <row r="1094">
      <c r="A1094" s="2">
        <f>IFERROR(__xludf.DUMMYFUNCTION("""COMPUTED_VALUE"""),45694.66666666667)</f>
        <v>45694.66667</v>
      </c>
      <c r="B1094" s="1">
        <f>IFERROR(__xludf.DUMMYFUNCTION("""COMPUTED_VALUE"""),374.32)</f>
        <v>374.32</v>
      </c>
    </row>
    <row r="1095">
      <c r="A1095" s="2">
        <f>IFERROR(__xludf.DUMMYFUNCTION("""COMPUTED_VALUE"""),45695.66666666667)</f>
        <v>45695.66667</v>
      </c>
      <c r="B1095" s="1">
        <f>IFERROR(__xludf.DUMMYFUNCTION("""COMPUTED_VALUE"""),361.62)</f>
        <v>361.62</v>
      </c>
    </row>
    <row r="1096">
      <c r="A1096" s="2">
        <f>IFERROR(__xludf.DUMMYFUNCTION("""COMPUTED_VALUE"""),45698.66666666667)</f>
        <v>45698.66667</v>
      </c>
      <c r="B1096" s="1">
        <f>IFERROR(__xludf.DUMMYFUNCTION("""COMPUTED_VALUE"""),350.73)</f>
        <v>350.73</v>
      </c>
    </row>
    <row r="1097">
      <c r="A1097" s="2">
        <f>IFERROR(__xludf.DUMMYFUNCTION("""COMPUTED_VALUE"""),45699.66666666667)</f>
        <v>45699.66667</v>
      </c>
      <c r="B1097" s="1">
        <f>IFERROR(__xludf.DUMMYFUNCTION("""COMPUTED_VALUE"""),328.5)</f>
        <v>328.5</v>
      </c>
    </row>
    <row r="1098">
      <c r="A1098" s="2">
        <f>IFERROR(__xludf.DUMMYFUNCTION("""COMPUTED_VALUE"""),45700.66666666667)</f>
        <v>45700.66667</v>
      </c>
      <c r="B1098" s="1">
        <f>IFERROR(__xludf.DUMMYFUNCTION("""COMPUTED_VALUE"""),336.51)</f>
        <v>336.51</v>
      </c>
    </row>
    <row r="1099">
      <c r="A1099" s="2">
        <f>IFERROR(__xludf.DUMMYFUNCTION("""COMPUTED_VALUE"""),45701.66666666667)</f>
        <v>45701.66667</v>
      </c>
      <c r="B1099" s="1">
        <f>IFERROR(__xludf.DUMMYFUNCTION("""COMPUTED_VALUE"""),355.94)</f>
        <v>355.94</v>
      </c>
    </row>
    <row r="1100">
      <c r="A1100" s="2">
        <f>IFERROR(__xludf.DUMMYFUNCTION("""COMPUTED_VALUE"""),45702.66666666667)</f>
        <v>45702.66667</v>
      </c>
      <c r="B1100" s="1">
        <f>IFERROR(__xludf.DUMMYFUNCTION("""COMPUTED_VALUE"""),355.84)</f>
        <v>355.84</v>
      </c>
    </row>
    <row r="1101">
      <c r="A1101" s="2">
        <f>IFERROR(__xludf.DUMMYFUNCTION("""COMPUTED_VALUE"""),45706.66666666667)</f>
        <v>45706.66667</v>
      </c>
      <c r="B1101" s="1">
        <f>IFERROR(__xludf.DUMMYFUNCTION("""COMPUTED_VALUE"""),354.11)</f>
        <v>354.11</v>
      </c>
    </row>
    <row r="1102">
      <c r="A1102" s="2">
        <f>IFERROR(__xludf.DUMMYFUNCTION("""COMPUTED_VALUE"""),45707.66666666667)</f>
        <v>45707.66667</v>
      </c>
      <c r="B1102" s="1">
        <f>IFERROR(__xludf.DUMMYFUNCTION("""COMPUTED_VALUE"""),360.56)</f>
        <v>360.56</v>
      </c>
    </row>
    <row r="1103">
      <c r="A1103" s="2">
        <f>IFERROR(__xludf.DUMMYFUNCTION("""COMPUTED_VALUE"""),45708.66666666667)</f>
        <v>45708.66667</v>
      </c>
      <c r="B1103" s="1">
        <f>IFERROR(__xludf.DUMMYFUNCTION("""COMPUTED_VALUE"""),354.4)</f>
        <v>354.4</v>
      </c>
    </row>
    <row r="1104">
      <c r="A1104" s="2">
        <f>IFERROR(__xludf.DUMMYFUNCTION("""COMPUTED_VALUE"""),45709.66666666667)</f>
        <v>45709.66667</v>
      </c>
      <c r="B1104" s="1">
        <f>IFERROR(__xludf.DUMMYFUNCTION("""COMPUTED_VALUE"""),337.8)</f>
        <v>337.8</v>
      </c>
    </row>
    <row r="1105">
      <c r="A1105" s="2">
        <f>IFERROR(__xludf.DUMMYFUNCTION("""COMPUTED_VALUE"""),45712.66666666667)</f>
        <v>45712.66667</v>
      </c>
      <c r="B1105" s="1">
        <f>IFERROR(__xludf.DUMMYFUNCTION("""COMPUTED_VALUE"""),330.53)</f>
        <v>330.53</v>
      </c>
    </row>
    <row r="1106">
      <c r="A1106" s="2">
        <f>IFERROR(__xludf.DUMMYFUNCTION("""COMPUTED_VALUE"""),45713.66666666667)</f>
        <v>45713.66667</v>
      </c>
      <c r="B1106" s="1">
        <f>IFERROR(__xludf.DUMMYFUNCTION("""COMPUTED_VALUE"""),302.8)</f>
        <v>302.8</v>
      </c>
    </row>
    <row r="1107">
      <c r="A1107" s="2">
        <f>IFERROR(__xludf.DUMMYFUNCTION("""COMPUTED_VALUE"""),45714.66666666667)</f>
        <v>45714.66667</v>
      </c>
      <c r="B1107" s="1">
        <f>IFERROR(__xludf.DUMMYFUNCTION("""COMPUTED_VALUE"""),290.8)</f>
        <v>290.8</v>
      </c>
    </row>
    <row r="1108">
      <c r="A1108" s="2">
        <f>IFERROR(__xludf.DUMMYFUNCTION("""COMPUTED_VALUE"""),45715.66666666667)</f>
        <v>45715.66667</v>
      </c>
      <c r="B1108" s="1">
        <f>IFERROR(__xludf.DUMMYFUNCTION("""COMPUTED_VALUE"""),281.95)</f>
        <v>281.95</v>
      </c>
    </row>
    <row r="1109">
      <c r="A1109" s="2">
        <f>IFERROR(__xludf.DUMMYFUNCTION("""COMPUTED_VALUE"""),45716.66666666667)</f>
        <v>45716.66667</v>
      </c>
      <c r="B1109" s="1">
        <f>IFERROR(__xludf.DUMMYFUNCTION("""COMPUTED_VALUE"""),292.98)</f>
        <v>292.98</v>
      </c>
    </row>
    <row r="1110">
      <c r="A1110" s="2">
        <f>IFERROR(__xludf.DUMMYFUNCTION("""COMPUTED_VALUE"""),45719.66666666667)</f>
        <v>45719.66667</v>
      </c>
      <c r="B1110" s="1">
        <f>IFERROR(__xludf.DUMMYFUNCTION("""COMPUTED_VALUE"""),284.65)</f>
        <v>284.65</v>
      </c>
    </row>
    <row r="1111">
      <c r="A1111" s="2">
        <f>IFERROR(__xludf.DUMMYFUNCTION("""COMPUTED_VALUE"""),45720.66666666667)</f>
        <v>45720.66667</v>
      </c>
      <c r="B1111" s="1">
        <f>IFERROR(__xludf.DUMMYFUNCTION("""COMPUTED_VALUE"""),272.04)</f>
        <v>272.04</v>
      </c>
    </row>
    <row r="1112">
      <c r="A1112" s="2">
        <f>IFERROR(__xludf.DUMMYFUNCTION("""COMPUTED_VALUE"""),45721.66666666667)</f>
        <v>45721.66667</v>
      </c>
      <c r="B1112" s="1">
        <f>IFERROR(__xludf.DUMMYFUNCTION("""COMPUTED_VALUE"""),279.1)</f>
        <v>279.1</v>
      </c>
    </row>
    <row r="1113">
      <c r="A1113" s="2">
        <f>IFERROR(__xludf.DUMMYFUNCTION("""COMPUTED_VALUE"""),45722.66666666667)</f>
        <v>45722.66667</v>
      </c>
      <c r="B1113" s="1">
        <f>IFERROR(__xludf.DUMMYFUNCTION("""COMPUTED_VALUE"""),263.45)</f>
        <v>263.45</v>
      </c>
    </row>
    <row r="1114">
      <c r="A1114" s="2">
        <f>IFERROR(__xludf.DUMMYFUNCTION("""COMPUTED_VALUE"""),45723.66666666667)</f>
        <v>45723.66667</v>
      </c>
      <c r="B1114" s="1">
        <f>IFERROR(__xludf.DUMMYFUNCTION("""COMPUTED_VALUE"""),262.67)</f>
        <v>262.67</v>
      </c>
    </row>
    <row r="1115">
      <c r="A1115" s="2">
        <f>IFERROR(__xludf.DUMMYFUNCTION("""COMPUTED_VALUE"""),45726.66666666667)</f>
        <v>45726.66667</v>
      </c>
      <c r="B1115" s="1">
        <f>IFERROR(__xludf.DUMMYFUNCTION("""COMPUTED_VALUE"""),222.15)</f>
        <v>222.15</v>
      </c>
    </row>
    <row r="1116">
      <c r="A1116" s="2">
        <f>IFERROR(__xludf.DUMMYFUNCTION("""COMPUTED_VALUE"""),45727.66666666667)</f>
        <v>45727.66667</v>
      </c>
      <c r="B1116" s="1">
        <f>IFERROR(__xludf.DUMMYFUNCTION("""COMPUTED_VALUE"""),230.58)</f>
        <v>230.58</v>
      </c>
    </row>
    <row r="1117">
      <c r="A1117" s="2">
        <f>IFERROR(__xludf.DUMMYFUNCTION("""COMPUTED_VALUE"""),45728.66666666667)</f>
        <v>45728.66667</v>
      </c>
      <c r="B1117" s="1">
        <f>IFERROR(__xludf.DUMMYFUNCTION("""COMPUTED_VALUE"""),248.09)</f>
        <v>248.09</v>
      </c>
    </row>
    <row r="1118">
      <c r="A1118" s="2">
        <f>IFERROR(__xludf.DUMMYFUNCTION("""COMPUTED_VALUE"""),45729.66666666667)</f>
        <v>45729.66667</v>
      </c>
      <c r="B1118" s="1">
        <f>IFERROR(__xludf.DUMMYFUNCTION("""COMPUTED_VALUE"""),240.68)</f>
        <v>240.68</v>
      </c>
    </row>
    <row r="1119">
      <c r="A1119" s="2">
        <f>IFERROR(__xludf.DUMMYFUNCTION("""COMPUTED_VALUE"""),45730.66666666667)</f>
        <v>45730.66667</v>
      </c>
      <c r="B1119" s="1">
        <f>IFERROR(__xludf.DUMMYFUNCTION("""COMPUTED_VALUE"""),249.98)</f>
        <v>249.98</v>
      </c>
    </row>
    <row r="1120">
      <c r="A1120" s="2">
        <f>IFERROR(__xludf.DUMMYFUNCTION("""COMPUTED_VALUE"""),45733.66666666667)</f>
        <v>45733.66667</v>
      </c>
      <c r="B1120" s="1">
        <f>IFERROR(__xludf.DUMMYFUNCTION("""COMPUTED_VALUE"""),238.01)</f>
        <v>238.01</v>
      </c>
    </row>
    <row r="1121">
      <c r="A1121" s="2">
        <f>IFERROR(__xludf.DUMMYFUNCTION("""COMPUTED_VALUE"""),45734.66666666667)</f>
        <v>45734.66667</v>
      </c>
      <c r="B1121" s="1">
        <f>IFERROR(__xludf.DUMMYFUNCTION("""COMPUTED_VALUE"""),225.31)</f>
        <v>225.31</v>
      </c>
    </row>
    <row r="1122">
      <c r="A1122" s="2">
        <f>IFERROR(__xludf.DUMMYFUNCTION("""COMPUTED_VALUE"""),45735.66666666667)</f>
        <v>45735.66667</v>
      </c>
      <c r="B1122" s="1">
        <f>IFERROR(__xludf.DUMMYFUNCTION("""COMPUTED_VALUE"""),235.86)</f>
        <v>235.86</v>
      </c>
    </row>
    <row r="1123">
      <c r="A1123" s="2">
        <f>IFERROR(__xludf.DUMMYFUNCTION("""COMPUTED_VALUE"""),45736.66666666667)</f>
        <v>45736.66667</v>
      </c>
      <c r="B1123" s="1">
        <f>IFERROR(__xludf.DUMMYFUNCTION("""COMPUTED_VALUE"""),236.26)</f>
        <v>236.26</v>
      </c>
    </row>
    <row r="1124">
      <c r="A1124" s="2">
        <f>IFERROR(__xludf.DUMMYFUNCTION("""COMPUTED_VALUE"""),45737.66666666667)</f>
        <v>45737.66667</v>
      </c>
      <c r="B1124" s="1">
        <f>IFERROR(__xludf.DUMMYFUNCTION("""COMPUTED_VALUE"""),248.71)</f>
        <v>248.71</v>
      </c>
    </row>
    <row r="1125">
      <c r="A1125" s="2">
        <f>IFERROR(__xludf.DUMMYFUNCTION("""COMPUTED_VALUE"""),45740.66666666667)</f>
        <v>45740.66667</v>
      </c>
      <c r="B1125" s="1">
        <f>IFERROR(__xludf.DUMMYFUNCTION("""COMPUTED_VALUE"""),278.39)</f>
        <v>278.39</v>
      </c>
    </row>
    <row r="1126">
      <c r="A1126" s="2">
        <f>IFERROR(__xludf.DUMMYFUNCTION("""COMPUTED_VALUE"""),45741.66666666667)</f>
        <v>45741.66667</v>
      </c>
      <c r="B1126" s="1">
        <f>IFERROR(__xludf.DUMMYFUNCTION("""COMPUTED_VALUE"""),288.14)</f>
        <v>288.14</v>
      </c>
    </row>
    <row r="1127">
      <c r="A1127" s="2">
        <f>IFERROR(__xludf.DUMMYFUNCTION("""COMPUTED_VALUE"""),45742.66666666667)</f>
        <v>45742.66667</v>
      </c>
      <c r="B1127" s="1">
        <f>IFERROR(__xludf.DUMMYFUNCTION("""COMPUTED_VALUE"""),272.06)</f>
        <v>272.06</v>
      </c>
    </row>
    <row r="1128">
      <c r="A1128" s="2">
        <f>IFERROR(__xludf.DUMMYFUNCTION("""COMPUTED_VALUE"""),45743.66666666667)</f>
        <v>45743.66667</v>
      </c>
      <c r="B1128" s="1">
        <f>IFERROR(__xludf.DUMMYFUNCTION("""COMPUTED_VALUE"""),273.13)</f>
        <v>273.13</v>
      </c>
    </row>
    <row r="1129">
      <c r="A1129" s="2">
        <f>IFERROR(__xludf.DUMMYFUNCTION("""COMPUTED_VALUE"""),45744.66666666667)</f>
        <v>45744.66667</v>
      </c>
      <c r="B1129" s="1">
        <f>IFERROR(__xludf.DUMMYFUNCTION("""COMPUTED_VALUE"""),263.55)</f>
        <v>263.55</v>
      </c>
    </row>
    <row r="1130">
      <c r="A1130" s="2">
        <f>IFERROR(__xludf.DUMMYFUNCTION("""COMPUTED_VALUE"""),45747.66666666667)</f>
        <v>45747.66667</v>
      </c>
      <c r="B1130" s="1">
        <f>IFERROR(__xludf.DUMMYFUNCTION("""COMPUTED_VALUE"""),259.16)</f>
        <v>259.16</v>
      </c>
    </row>
    <row r="1131">
      <c r="A1131" s="2">
        <f>IFERROR(__xludf.DUMMYFUNCTION("""COMPUTED_VALUE"""),45748.66666666667)</f>
        <v>45748.66667</v>
      </c>
      <c r="B1131" s="1">
        <f>IFERROR(__xludf.DUMMYFUNCTION("""COMPUTED_VALUE"""),268.46)</f>
        <v>268.46</v>
      </c>
    </row>
    <row r="1132">
      <c r="A1132" s="2">
        <f>IFERROR(__xludf.DUMMYFUNCTION("""COMPUTED_VALUE"""),45749.66666666667)</f>
        <v>45749.66667</v>
      </c>
      <c r="B1132" s="1">
        <f>IFERROR(__xludf.DUMMYFUNCTION("""COMPUTED_VALUE"""),282.76)</f>
        <v>282.76</v>
      </c>
    </row>
    <row r="1133">
      <c r="A1133" s="2">
        <f>IFERROR(__xludf.DUMMYFUNCTION("""COMPUTED_VALUE"""),45750.66666666667)</f>
        <v>45750.66667</v>
      </c>
      <c r="B1133" s="1">
        <f>IFERROR(__xludf.DUMMYFUNCTION("""COMPUTED_VALUE"""),267.28)</f>
        <v>267.28</v>
      </c>
    </row>
    <row r="1134">
      <c r="A1134" s="2">
        <f>IFERROR(__xludf.DUMMYFUNCTION("""COMPUTED_VALUE"""),45751.66666666667)</f>
        <v>45751.66667</v>
      </c>
      <c r="B1134" s="1">
        <f>IFERROR(__xludf.DUMMYFUNCTION("""COMPUTED_VALUE"""),239.43)</f>
        <v>239.43</v>
      </c>
    </row>
    <row r="1135">
      <c r="A1135" s="2">
        <f>IFERROR(__xludf.DUMMYFUNCTION("""COMPUTED_VALUE"""),45754.66666666667)</f>
        <v>45754.66667</v>
      </c>
      <c r="B1135" s="1">
        <f>IFERROR(__xludf.DUMMYFUNCTION("""COMPUTED_VALUE"""),233.29)</f>
        <v>233.29</v>
      </c>
    </row>
    <row r="1136">
      <c r="A1136" s="2">
        <f>IFERROR(__xludf.DUMMYFUNCTION("""COMPUTED_VALUE"""),45755.66666666667)</f>
        <v>45755.66667</v>
      </c>
      <c r="B1136" s="1">
        <f>IFERROR(__xludf.DUMMYFUNCTION("""COMPUTED_VALUE"""),221.86)</f>
        <v>221.86</v>
      </c>
    </row>
    <row r="1137">
      <c r="A1137" s="2">
        <f>IFERROR(__xludf.DUMMYFUNCTION("""COMPUTED_VALUE"""),45756.66666666667)</f>
        <v>45756.66667</v>
      </c>
      <c r="B1137" s="1">
        <f>IFERROR(__xludf.DUMMYFUNCTION("""COMPUTED_VALUE"""),272.2)</f>
        <v>272.2</v>
      </c>
    </row>
    <row r="1138">
      <c r="A1138" s="2">
        <f>IFERROR(__xludf.DUMMYFUNCTION("""COMPUTED_VALUE"""),45757.66666666667)</f>
        <v>45757.66667</v>
      </c>
      <c r="B1138" s="1">
        <f>IFERROR(__xludf.DUMMYFUNCTION("""COMPUTED_VALUE"""),252.4)</f>
        <v>252.4</v>
      </c>
    </row>
    <row r="1139">
      <c r="A1139" s="2">
        <f>IFERROR(__xludf.DUMMYFUNCTION("""COMPUTED_VALUE"""),45758.66666666667)</f>
        <v>45758.66667</v>
      </c>
      <c r="B1139" s="1">
        <f>IFERROR(__xludf.DUMMYFUNCTION("""COMPUTED_VALUE"""),252.31)</f>
        <v>252.31</v>
      </c>
    </row>
    <row r="1140">
      <c r="A1140" s="2">
        <f>IFERROR(__xludf.DUMMYFUNCTION("""COMPUTED_VALUE"""),45761.66666666667)</f>
        <v>45761.66667</v>
      </c>
      <c r="B1140" s="1">
        <f>IFERROR(__xludf.DUMMYFUNCTION("""COMPUTED_VALUE"""),252.35)</f>
        <v>252.35</v>
      </c>
    </row>
    <row r="1141">
      <c r="A1141" s="2">
        <f>IFERROR(__xludf.DUMMYFUNCTION("""COMPUTED_VALUE"""),45762.66666666667)</f>
        <v>45762.66667</v>
      </c>
      <c r="B1141" s="1">
        <f>IFERROR(__xludf.DUMMYFUNCTION("""COMPUTED_VALUE"""),254.11)</f>
        <v>254.11</v>
      </c>
    </row>
    <row r="1142">
      <c r="A1142" s="2">
        <f>IFERROR(__xludf.DUMMYFUNCTION("""COMPUTED_VALUE"""),45763.66666666667)</f>
        <v>45763.66667</v>
      </c>
      <c r="B1142" s="1">
        <f>IFERROR(__xludf.DUMMYFUNCTION("""COMPUTED_VALUE"""),241.55)</f>
        <v>241.55</v>
      </c>
    </row>
    <row r="1143">
      <c r="A1143" s="2">
        <f>IFERROR(__xludf.DUMMYFUNCTION("""COMPUTED_VALUE"""),45764.66666666667)</f>
        <v>45764.66667</v>
      </c>
      <c r="B1143" s="1">
        <f>IFERROR(__xludf.DUMMYFUNCTION("""COMPUTED_VALUE"""),241.37)</f>
        <v>241.37</v>
      </c>
    </row>
    <row r="1144">
      <c r="A1144" s="2">
        <f>IFERROR(__xludf.DUMMYFUNCTION("""COMPUTED_VALUE"""),45768.66666666667)</f>
        <v>45768.66667</v>
      </c>
      <c r="B1144" s="1">
        <f>IFERROR(__xludf.DUMMYFUNCTION("""COMPUTED_VALUE"""),227.5)</f>
        <v>227.5</v>
      </c>
    </row>
    <row r="1145">
      <c r="A1145" s="2">
        <f>IFERROR(__xludf.DUMMYFUNCTION("""COMPUTED_VALUE"""),45769.66666666667)</f>
        <v>45769.66667</v>
      </c>
      <c r="B1145" s="1">
        <f>IFERROR(__xludf.DUMMYFUNCTION("""COMPUTED_VALUE"""),237.97)</f>
        <v>237.97</v>
      </c>
    </row>
    <row r="1146">
      <c r="A1146" s="2">
        <f>IFERROR(__xludf.DUMMYFUNCTION("""COMPUTED_VALUE"""),45770.66666666667)</f>
        <v>45770.66667</v>
      </c>
      <c r="B1146" s="1">
        <f>IFERROR(__xludf.DUMMYFUNCTION("""COMPUTED_VALUE"""),250.74)</f>
        <v>250.74</v>
      </c>
    </row>
    <row r="1147">
      <c r="A1147" s="2">
        <f>IFERROR(__xludf.DUMMYFUNCTION("""COMPUTED_VALUE"""),45771.66666666667)</f>
        <v>45771.66667</v>
      </c>
      <c r="B1147" s="1">
        <f>IFERROR(__xludf.DUMMYFUNCTION("""COMPUTED_VALUE"""),259.51)</f>
        <v>259.51</v>
      </c>
    </row>
    <row r="1148">
      <c r="A1148" s="2">
        <f>IFERROR(__xludf.DUMMYFUNCTION("""COMPUTED_VALUE"""),45772.66666666667)</f>
        <v>45772.66667</v>
      </c>
      <c r="B1148" s="1">
        <f>IFERROR(__xludf.DUMMYFUNCTION("""COMPUTED_VALUE"""),284.95)</f>
        <v>284.95</v>
      </c>
    </row>
    <row r="1149">
      <c r="A1149" s="2">
        <f>IFERROR(__xludf.DUMMYFUNCTION("""COMPUTED_VALUE"""),45775.66666666667)</f>
        <v>45775.66667</v>
      </c>
      <c r="B1149" s="1">
        <f>IFERROR(__xludf.DUMMYFUNCTION("""COMPUTED_VALUE"""),285.88)</f>
        <v>285.88</v>
      </c>
    </row>
    <row r="1150">
      <c r="A1150" s="2">
        <f>IFERROR(__xludf.DUMMYFUNCTION("""COMPUTED_VALUE"""),45776.66666666667)</f>
        <v>45776.66667</v>
      </c>
      <c r="B1150" s="1">
        <f>IFERROR(__xludf.DUMMYFUNCTION("""COMPUTED_VALUE"""),292.03)</f>
        <v>292.03</v>
      </c>
    </row>
    <row r="1151">
      <c r="A1151" s="2">
        <f>IFERROR(__xludf.DUMMYFUNCTION("""COMPUTED_VALUE"""),45777.66666666667)</f>
        <v>45777.66667</v>
      </c>
      <c r="B1151" s="1">
        <f>IFERROR(__xludf.DUMMYFUNCTION("""COMPUTED_VALUE"""),282.16)</f>
        <v>282.16</v>
      </c>
    </row>
    <row r="1152">
      <c r="A1152" s="2">
        <f>IFERROR(__xludf.DUMMYFUNCTION("""COMPUTED_VALUE"""),45778.66666666667)</f>
        <v>45778.66667</v>
      </c>
      <c r="B1152" s="1">
        <f>IFERROR(__xludf.DUMMYFUNCTION("""COMPUTED_VALUE"""),280.52)</f>
        <v>280.52</v>
      </c>
    </row>
    <row r="1153">
      <c r="A1153" s="2">
        <f>IFERROR(__xludf.DUMMYFUNCTION("""COMPUTED_VALUE"""),45779.66666666667)</f>
        <v>45779.66667</v>
      </c>
      <c r="B1153" s="1">
        <f>IFERROR(__xludf.DUMMYFUNCTION("""COMPUTED_VALUE"""),287.21)</f>
        <v>287.21</v>
      </c>
    </row>
    <row r="1154">
      <c r="A1154" s="2">
        <f>IFERROR(__xludf.DUMMYFUNCTION("""COMPUTED_VALUE"""),45782.66666666667)</f>
        <v>45782.66667</v>
      </c>
      <c r="B1154" s="1">
        <f>IFERROR(__xludf.DUMMYFUNCTION("""COMPUTED_VALUE"""),280.26)</f>
        <v>280.26</v>
      </c>
    </row>
    <row r="1155">
      <c r="A1155" s="2">
        <f>IFERROR(__xludf.DUMMYFUNCTION("""COMPUTED_VALUE"""),45783.66666666667)</f>
        <v>45783.66667</v>
      </c>
      <c r="B1155" s="1">
        <f>IFERROR(__xludf.DUMMYFUNCTION("""COMPUTED_VALUE"""),275.35)</f>
        <v>275.35</v>
      </c>
    </row>
    <row r="1156">
      <c r="A1156" s="2">
        <f>IFERROR(__xludf.DUMMYFUNCTION("""COMPUTED_VALUE"""),45784.66666666667)</f>
        <v>45784.66667</v>
      </c>
      <c r="B1156" s="1">
        <f>IFERROR(__xludf.DUMMYFUNCTION("""COMPUTED_VALUE"""),276.22)</f>
        <v>276.22</v>
      </c>
    </row>
    <row r="1157">
      <c r="A1157" s="2">
        <f>IFERROR(__xludf.DUMMYFUNCTION("""COMPUTED_VALUE"""),45785.66666666667)</f>
        <v>45785.66667</v>
      </c>
      <c r="B1157" s="1">
        <f>IFERROR(__xludf.DUMMYFUNCTION("""COMPUTED_VALUE"""),284.82)</f>
        <v>284.82</v>
      </c>
    </row>
    <row r="1158">
      <c r="A1158" s="2">
        <f>IFERROR(__xludf.DUMMYFUNCTION("""COMPUTED_VALUE"""),45786.66666666667)</f>
        <v>45786.66667</v>
      </c>
      <c r="B1158" s="1">
        <f>IFERROR(__xludf.DUMMYFUNCTION("""COMPUTED_VALUE"""),298.26)</f>
        <v>298.26</v>
      </c>
    </row>
    <row r="1159">
      <c r="A1159" s="2">
        <f>IFERROR(__xludf.DUMMYFUNCTION("""COMPUTED_VALUE"""),45789.66666666667)</f>
        <v>45789.66667</v>
      </c>
      <c r="B1159" s="1">
        <f>IFERROR(__xludf.DUMMYFUNCTION("""COMPUTED_VALUE"""),318.38)</f>
        <v>318.38</v>
      </c>
    </row>
    <row r="1160">
      <c r="A1160" s="2">
        <f>IFERROR(__xludf.DUMMYFUNCTION("""COMPUTED_VALUE"""),45790.66666666667)</f>
        <v>45790.66667</v>
      </c>
      <c r="B1160" s="1">
        <f>IFERROR(__xludf.DUMMYFUNCTION("""COMPUTED_VALUE"""),334.07)</f>
        <v>334.07</v>
      </c>
    </row>
    <row r="1161">
      <c r="A1161" s="2">
        <f>IFERROR(__xludf.DUMMYFUNCTION("""COMPUTED_VALUE"""),45791.66666666667)</f>
        <v>45791.66667</v>
      </c>
      <c r="B1161" s="1">
        <f>IFERROR(__xludf.DUMMYFUNCTION("""COMPUTED_VALUE"""),347.68)</f>
        <v>347.68</v>
      </c>
    </row>
    <row r="1162">
      <c r="A1162" s="2">
        <f>IFERROR(__xludf.DUMMYFUNCTION("""COMPUTED_VALUE"""),45792.66666666667)</f>
        <v>45792.66667</v>
      </c>
      <c r="B1162" s="1">
        <f>IFERROR(__xludf.DUMMYFUNCTION("""COMPUTED_VALUE"""),342.82)</f>
        <v>342.82</v>
      </c>
    </row>
    <row r="1163">
      <c r="A1163" s="2">
        <f>IFERROR(__xludf.DUMMYFUNCTION("""COMPUTED_VALUE"""),45793.66666666667)</f>
        <v>45793.66667</v>
      </c>
      <c r="B1163" s="1">
        <f>IFERROR(__xludf.DUMMYFUNCTION("""COMPUTED_VALUE"""),349.98)</f>
        <v>349.98</v>
      </c>
    </row>
    <row r="1164">
      <c r="A1164" s="2">
        <f>IFERROR(__xludf.DUMMYFUNCTION("""COMPUTED_VALUE"""),45796.66666666667)</f>
        <v>45796.66667</v>
      </c>
      <c r="B1164" s="1">
        <f>IFERROR(__xludf.DUMMYFUNCTION("""COMPUTED_VALUE"""),342.09)</f>
        <v>342.09</v>
      </c>
    </row>
    <row r="1165">
      <c r="A1165" s="2">
        <f>IFERROR(__xludf.DUMMYFUNCTION("""COMPUTED_VALUE"""),45797.66666666667)</f>
        <v>45797.66667</v>
      </c>
      <c r="B1165" s="1">
        <f>IFERROR(__xludf.DUMMYFUNCTION("""COMPUTED_VALUE"""),343.82)</f>
        <v>343.82</v>
      </c>
    </row>
    <row r="1166">
      <c r="A1166" s="2">
        <f>IFERROR(__xludf.DUMMYFUNCTION("""COMPUTED_VALUE"""),45798.66666666667)</f>
        <v>45798.66667</v>
      </c>
      <c r="B1166" s="1">
        <f>IFERROR(__xludf.DUMMYFUNCTION("""COMPUTED_VALUE"""),334.62)</f>
        <v>334.62</v>
      </c>
    </row>
    <row r="1167">
      <c r="A1167" s="2">
        <f>IFERROR(__xludf.DUMMYFUNCTION("""COMPUTED_VALUE"""),45799.66666666667)</f>
        <v>45799.66667</v>
      </c>
      <c r="B1167" s="1">
        <f>IFERROR(__xludf.DUMMYFUNCTION("""COMPUTED_VALUE"""),334.62)</f>
        <v>334.62</v>
      </c>
    </row>
    <row r="1168">
      <c r="A1168" s="2">
        <f>IFERROR(__xludf.DUMMYFUNCTION("""COMPUTED_VALUE"""),45800.66666666667)</f>
        <v>45800.66667</v>
      </c>
      <c r="B1168" s="1">
        <f>IFERROR(__xludf.DUMMYFUNCTION("""COMPUTED_VALUE"""),339.34)</f>
        <v>339.34</v>
      </c>
    </row>
    <row r="1169">
      <c r="A1169" s="2">
        <f>IFERROR(__xludf.DUMMYFUNCTION("""COMPUTED_VALUE"""),45804.66666666667)</f>
        <v>45804.66667</v>
      </c>
      <c r="B1169" s="1">
        <f>IFERROR(__xludf.DUMMYFUNCTION("""COMPUTED_VALUE"""),362.89)</f>
        <v>362.89</v>
      </c>
    </row>
    <row r="1170">
      <c r="A1170" s="2">
        <f>IFERROR(__xludf.DUMMYFUNCTION("""COMPUTED_VALUE"""),45805.66666666667)</f>
        <v>45805.66667</v>
      </c>
      <c r="B1170" s="1">
        <f>IFERROR(__xludf.DUMMYFUNCTION("""COMPUTED_VALUE"""),356.9)</f>
        <v>356.9</v>
      </c>
    </row>
    <row r="1171">
      <c r="A1171" s="2">
        <f>IFERROR(__xludf.DUMMYFUNCTION("""COMPUTED_VALUE"""),45806.66666666667)</f>
        <v>45806.66667</v>
      </c>
      <c r="B1171" s="1">
        <f>IFERROR(__xludf.DUMMYFUNCTION("""COMPUTED_VALUE"""),358.43)</f>
        <v>358.43</v>
      </c>
    </row>
    <row r="1172">
      <c r="A1172" s="2">
        <f>IFERROR(__xludf.DUMMYFUNCTION("""COMPUTED_VALUE"""),45807.66666666667)</f>
        <v>45807.66667</v>
      </c>
      <c r="B1172" s="1">
        <f>IFERROR(__xludf.DUMMYFUNCTION("""COMPUTED_VALUE"""),346.46)</f>
        <v>346.46</v>
      </c>
    </row>
    <row r="1173">
      <c r="A1173" s="2">
        <f>IFERROR(__xludf.DUMMYFUNCTION("""COMPUTED_VALUE"""),45810.66666666667)</f>
        <v>45810.66667</v>
      </c>
      <c r="B1173" s="1">
        <f>IFERROR(__xludf.DUMMYFUNCTION("""COMPUTED_VALUE"""),342.69)</f>
        <v>342.69</v>
      </c>
    </row>
    <row r="1174">
      <c r="A1174" s="2">
        <f>IFERROR(__xludf.DUMMYFUNCTION("""COMPUTED_VALUE"""),45811.66666666667)</f>
        <v>45811.66667</v>
      </c>
      <c r="B1174" s="1">
        <f>IFERROR(__xludf.DUMMYFUNCTION("""COMPUTED_VALUE"""),344.27)</f>
        <v>344.27</v>
      </c>
    </row>
    <row r="1175">
      <c r="A1175" s="2">
        <f>IFERROR(__xludf.DUMMYFUNCTION("""COMPUTED_VALUE"""),45812.66666666667)</f>
        <v>45812.66667</v>
      </c>
      <c r="B1175" s="1">
        <f>IFERROR(__xludf.DUMMYFUNCTION("""COMPUTED_VALUE"""),332.05)</f>
        <v>332.05</v>
      </c>
    </row>
    <row r="1176">
      <c r="A1176" s="2">
        <f>IFERROR(__xludf.DUMMYFUNCTION("""COMPUTED_VALUE"""),45813.66666666667)</f>
        <v>45813.66667</v>
      </c>
      <c r="B1176" s="1">
        <f>IFERROR(__xludf.DUMMYFUNCTION("""COMPUTED_VALUE"""),284.7)</f>
        <v>284.7</v>
      </c>
    </row>
    <row r="1177">
      <c r="A1177" s="2">
        <f>IFERROR(__xludf.DUMMYFUNCTION("""COMPUTED_VALUE"""),45814.66666666667)</f>
        <v>45814.66667</v>
      </c>
      <c r="B1177" s="1">
        <f>IFERROR(__xludf.DUMMYFUNCTION("""COMPUTED_VALUE"""),295.14)</f>
        <v>295.14</v>
      </c>
    </row>
    <row r="1178">
      <c r="A1178" s="2">
        <f>IFERROR(__xludf.DUMMYFUNCTION("""COMPUTED_VALUE"""),45817.66666666667)</f>
        <v>45817.66667</v>
      </c>
      <c r="B1178" s="1">
        <f>IFERROR(__xludf.DUMMYFUNCTION("""COMPUTED_VALUE"""),308.58)</f>
        <v>308.58</v>
      </c>
    </row>
    <row r="1179">
      <c r="A1179" s="2">
        <f>IFERROR(__xludf.DUMMYFUNCTION("""COMPUTED_VALUE"""),45818.66666666667)</f>
        <v>45818.66667</v>
      </c>
      <c r="B1179" s="1">
        <f>IFERROR(__xludf.DUMMYFUNCTION("""COMPUTED_VALUE"""),326.09)</f>
        <v>326.09</v>
      </c>
    </row>
    <row r="1180">
      <c r="A1180" s="2">
        <f>IFERROR(__xludf.DUMMYFUNCTION("""COMPUTED_VALUE"""),45819.66666666667)</f>
        <v>45819.66667</v>
      </c>
      <c r="B1180" s="1">
        <f>IFERROR(__xludf.DUMMYFUNCTION("""COMPUTED_VALUE"""),326.43)</f>
        <v>326.43</v>
      </c>
    </row>
    <row r="1181">
      <c r="A1181" s="2">
        <f>IFERROR(__xludf.DUMMYFUNCTION("""COMPUTED_VALUE"""),45820.66666666667)</f>
        <v>45820.66667</v>
      </c>
      <c r="B1181" s="1">
        <f>IFERROR(__xludf.DUMMYFUNCTION("""COMPUTED_VALUE"""),319.11)</f>
        <v>319.11</v>
      </c>
    </row>
    <row r="1182">
      <c r="A1182" s="2">
        <f>IFERROR(__xludf.DUMMYFUNCTION("""COMPUTED_VALUE"""),45821.66666666667)</f>
        <v>45821.66667</v>
      </c>
      <c r="B1182" s="1">
        <f>IFERROR(__xludf.DUMMYFUNCTION("""COMPUTED_VALUE"""),325.31)</f>
        <v>325.31</v>
      </c>
    </row>
    <row r="1183">
      <c r="A1183" s="2">
        <f>IFERROR(__xludf.DUMMYFUNCTION("""COMPUTED_VALUE"""),45824.66666666667)</f>
        <v>45824.66667</v>
      </c>
      <c r="B1183" s="1">
        <f>IFERROR(__xludf.DUMMYFUNCTION("""COMPUTED_VALUE"""),329.13)</f>
        <v>329.13</v>
      </c>
    </row>
    <row r="1184">
      <c r="A1184" s="2">
        <f>IFERROR(__xludf.DUMMYFUNCTION("""COMPUTED_VALUE"""),45825.66666666667)</f>
        <v>45825.66667</v>
      </c>
      <c r="B1184" s="1">
        <f>IFERROR(__xludf.DUMMYFUNCTION("""COMPUTED_VALUE"""),316.35)</f>
        <v>316.35</v>
      </c>
    </row>
    <row r="1185">
      <c r="A1185" s="2">
        <f>IFERROR(__xludf.DUMMYFUNCTION("""COMPUTED_VALUE"""),45826.66666666667)</f>
        <v>45826.66667</v>
      </c>
      <c r="B1185" s="1">
        <f>IFERROR(__xludf.DUMMYFUNCTION("""COMPUTED_VALUE"""),322.05)</f>
        <v>322.05</v>
      </c>
    </row>
    <row r="1186">
      <c r="A1186" s="2">
        <f>IFERROR(__xludf.DUMMYFUNCTION("""COMPUTED_VALUE"""),45828.66666666667)</f>
        <v>45828.66667</v>
      </c>
      <c r="B1186" s="1">
        <f>IFERROR(__xludf.DUMMYFUNCTION("""COMPUTED_VALUE"""),322.16)</f>
        <v>322.16</v>
      </c>
    </row>
    <row r="1187">
      <c r="A1187" s="2">
        <f>IFERROR(__xludf.DUMMYFUNCTION("""COMPUTED_VALUE"""),45831.66666666667)</f>
        <v>45831.66667</v>
      </c>
      <c r="B1187" s="1">
        <f>IFERROR(__xludf.DUMMYFUNCTION("""COMPUTED_VALUE"""),348.68)</f>
        <v>348.68</v>
      </c>
    </row>
    <row r="1188">
      <c r="A1188" s="2">
        <f>IFERROR(__xludf.DUMMYFUNCTION("""COMPUTED_VALUE"""),45832.66666666667)</f>
        <v>45832.66667</v>
      </c>
      <c r="B1188" s="1">
        <f>IFERROR(__xludf.DUMMYFUNCTION("""COMPUTED_VALUE"""),340.47)</f>
        <v>340.47</v>
      </c>
    </row>
    <row r="1189">
      <c r="A1189" s="2">
        <f>IFERROR(__xludf.DUMMYFUNCTION("""COMPUTED_VALUE"""),45833.66666666667)</f>
        <v>45833.66667</v>
      </c>
      <c r="B1189" s="1">
        <f>IFERROR(__xludf.DUMMYFUNCTION("""COMPUTED_VALUE"""),327.55)</f>
        <v>327.55</v>
      </c>
    </row>
    <row r="1190">
      <c r="A1190" s="2">
        <f>IFERROR(__xludf.DUMMYFUNCTION("""COMPUTED_VALUE"""),45834.66666666667)</f>
        <v>45834.66667</v>
      </c>
      <c r="B1190" s="1">
        <f>IFERROR(__xludf.DUMMYFUNCTION("""COMPUTED_VALUE"""),325.78)</f>
        <v>325.78</v>
      </c>
    </row>
    <row r="1191">
      <c r="A1191" s="2">
        <f>IFERROR(__xludf.DUMMYFUNCTION("""COMPUTED_VALUE"""),45835.66666666667)</f>
        <v>45835.66667</v>
      </c>
      <c r="B1191" s="1">
        <f>IFERROR(__xludf.DUMMYFUNCTION("""COMPUTED_VALUE"""),323.63)</f>
        <v>323.63</v>
      </c>
    </row>
    <row r="1192">
      <c r="A1192" s="2">
        <f>IFERROR(__xludf.DUMMYFUNCTION("""COMPUTED_VALUE"""),45838.66666666667)</f>
        <v>45838.66667</v>
      </c>
      <c r="B1192" s="1">
        <f>IFERROR(__xludf.DUMMYFUNCTION("""COMPUTED_VALUE"""),317.66)</f>
        <v>317.66</v>
      </c>
    </row>
    <row r="1193">
      <c r="A1193" s="2">
        <f>IFERROR(__xludf.DUMMYFUNCTION("""COMPUTED_VALUE"""),45839.66666666667)</f>
        <v>45839.66667</v>
      </c>
      <c r="B1193" s="1">
        <f>IFERROR(__xludf.DUMMYFUNCTION("""COMPUTED_VALUE"""),300.71)</f>
        <v>300.71</v>
      </c>
    </row>
    <row r="1194">
      <c r="A1194" s="2">
        <f>IFERROR(__xludf.DUMMYFUNCTION("""COMPUTED_VALUE"""),45840.66666666667)</f>
        <v>45840.66667</v>
      </c>
      <c r="B1194" s="1">
        <f>IFERROR(__xludf.DUMMYFUNCTION("""COMPUTED_VALUE"""),315.65)</f>
        <v>315.65</v>
      </c>
    </row>
    <row r="1195">
      <c r="A1195" s="2">
        <f>IFERROR(__xludf.DUMMYFUNCTION("""COMPUTED_VALUE"""),45841.54513888889)</f>
        <v>45841.54514</v>
      </c>
      <c r="B1195" s="1">
        <f>IFERROR(__xludf.DUMMYFUNCTION("""COMPUTED_VALUE"""),315.35)</f>
        <v>315.35</v>
      </c>
    </row>
    <row r="1196">
      <c r="A1196" s="2">
        <f>IFERROR(__xludf.DUMMYFUNCTION("""COMPUTED_VALUE"""),45845.66666666667)</f>
        <v>45845.66667</v>
      </c>
      <c r="B1196" s="1">
        <f>IFERROR(__xludf.DUMMYFUNCTION("""COMPUTED_VALUE"""),293.94)</f>
        <v>293.94</v>
      </c>
    </row>
    <row r="1197">
      <c r="A1197" s="2">
        <f>IFERROR(__xludf.DUMMYFUNCTION("""COMPUTED_VALUE"""),45846.66666666667)</f>
        <v>45846.66667</v>
      </c>
      <c r="B1197" s="1">
        <f>IFERROR(__xludf.DUMMYFUNCTION("""COMPUTED_VALUE"""),297.81)</f>
        <v>297.81</v>
      </c>
    </row>
    <row r="1198">
      <c r="A1198" s="2">
        <f>IFERROR(__xludf.DUMMYFUNCTION("""COMPUTED_VALUE"""),45847.66666666667)</f>
        <v>45847.66667</v>
      </c>
      <c r="B1198" s="1">
        <f>IFERROR(__xludf.DUMMYFUNCTION("""COMPUTED_VALUE"""),295.88)</f>
        <v>295.88</v>
      </c>
    </row>
    <row r="1199">
      <c r="A1199" s="2">
        <f>IFERROR(__xludf.DUMMYFUNCTION("""COMPUTED_VALUE"""),45848.66666666667)</f>
        <v>45848.66667</v>
      </c>
      <c r="B1199" s="1">
        <f>IFERROR(__xludf.DUMMYFUNCTION("""COMPUTED_VALUE"""),309.87)</f>
        <v>309.87</v>
      </c>
    </row>
    <row r="1200">
      <c r="A1200" s="2">
        <f>IFERROR(__xludf.DUMMYFUNCTION("""COMPUTED_VALUE"""),45849.66666666667)</f>
        <v>45849.66667</v>
      </c>
      <c r="B1200" s="1">
        <f>IFERROR(__xludf.DUMMYFUNCTION("""COMPUTED_VALUE"""),313.51)</f>
        <v>313.51</v>
      </c>
    </row>
    <row r="1201">
      <c r="A1201" s="2">
        <f>IFERROR(__xludf.DUMMYFUNCTION("""COMPUTED_VALUE"""),45852.66666666667)</f>
        <v>45852.66667</v>
      </c>
      <c r="B1201" s="1">
        <f>IFERROR(__xludf.DUMMYFUNCTION("""COMPUTED_VALUE"""),316.9)</f>
        <v>316.9</v>
      </c>
    </row>
    <row r="1202">
      <c r="A1202" s="2">
        <f>IFERROR(__xludf.DUMMYFUNCTION("""COMPUTED_VALUE"""),45853.66666666667)</f>
        <v>45853.66667</v>
      </c>
      <c r="B1202" s="1">
        <f>IFERROR(__xludf.DUMMYFUNCTION("""COMPUTED_VALUE"""),310.78)</f>
        <v>310.78</v>
      </c>
    </row>
    <row r="1203">
      <c r="A1203" s="2">
        <f>IFERROR(__xludf.DUMMYFUNCTION("""COMPUTED_VALUE"""),45854.66666666667)</f>
        <v>45854.66667</v>
      </c>
      <c r="B1203" s="1">
        <f>IFERROR(__xludf.DUMMYFUNCTION("""COMPUTED_VALUE"""),321.67)</f>
        <v>321.67</v>
      </c>
    </row>
    <row r="1204">
      <c r="A1204" s="2">
        <f>IFERROR(__xludf.DUMMYFUNCTION("""COMPUTED_VALUE"""),45855.66666666667)</f>
        <v>45855.66667</v>
      </c>
      <c r="B1204" s="1">
        <f>IFERROR(__xludf.DUMMYFUNCTION("""COMPUTED_VALUE"""),319.41)</f>
        <v>319.41</v>
      </c>
    </row>
    <row r="1205">
      <c r="A1205" s="2">
        <f>IFERROR(__xludf.DUMMYFUNCTION("""COMPUTED_VALUE"""),45856.66666666667)</f>
        <v>45856.66667</v>
      </c>
      <c r="B1205" s="1">
        <f>IFERROR(__xludf.DUMMYFUNCTION("""COMPUTED_VALUE"""),329.65)</f>
        <v>329.65</v>
      </c>
    </row>
    <row r="1206">
      <c r="A1206" s="2">
        <f>IFERROR(__xludf.DUMMYFUNCTION("""COMPUTED_VALUE"""),45859.66666666667)</f>
        <v>45859.66667</v>
      </c>
      <c r="B1206" s="1">
        <f>IFERROR(__xludf.DUMMYFUNCTION("""COMPUTED_VALUE"""),328.49)</f>
        <v>328.49</v>
      </c>
    </row>
    <row r="1207">
      <c r="A1207" s="2">
        <f>IFERROR(__xludf.DUMMYFUNCTION("""COMPUTED_VALUE"""),45860.66666666667)</f>
        <v>45860.66667</v>
      </c>
      <c r="B1207" s="1">
        <f>IFERROR(__xludf.DUMMYFUNCTION("""COMPUTED_VALUE"""),332.11)</f>
        <v>332.11</v>
      </c>
    </row>
    <row r="1208">
      <c r="A1208" s="2">
        <f>IFERROR(__xludf.DUMMYFUNCTION("""COMPUTED_VALUE"""),45861.66666666667)</f>
        <v>45861.66667</v>
      </c>
      <c r="B1208" s="1">
        <f>IFERROR(__xludf.DUMMYFUNCTION("""COMPUTED_VALUE"""),332.56)</f>
        <v>332.56</v>
      </c>
    </row>
    <row r="1209">
      <c r="A1209" s="2">
        <f>IFERROR(__xludf.DUMMYFUNCTION("""COMPUTED_VALUE"""),45862.66666666667)</f>
        <v>45862.66667</v>
      </c>
      <c r="B1209" s="1">
        <f>IFERROR(__xludf.DUMMYFUNCTION("""COMPUTED_VALUE"""),305.3)</f>
        <v>305.3</v>
      </c>
    </row>
    <row r="1210">
      <c r="A1210" s="2">
        <f>IFERROR(__xludf.DUMMYFUNCTION("""COMPUTED_VALUE"""),45863.66666666667)</f>
        <v>45863.66667</v>
      </c>
      <c r="B1210" s="1">
        <f>IFERROR(__xludf.DUMMYFUNCTION("""COMPUTED_VALUE"""),316.06)</f>
        <v>316.06</v>
      </c>
    </row>
    <row r="1211">
      <c r="A1211" s="2">
        <f>IFERROR(__xludf.DUMMYFUNCTION("""COMPUTED_VALUE"""),45866.66666666667)</f>
        <v>45866.66667</v>
      </c>
      <c r="B1211" s="1">
        <f>IFERROR(__xludf.DUMMYFUNCTION("""COMPUTED_VALUE"""),325.59)</f>
        <v>325.59</v>
      </c>
    </row>
    <row r="1212">
      <c r="A1212" s="2">
        <f>IFERROR(__xludf.DUMMYFUNCTION("""COMPUTED_VALUE"""),45867.66666666667)</f>
        <v>45867.66667</v>
      </c>
      <c r="B1212" s="1">
        <f>IFERROR(__xludf.DUMMYFUNCTION("""COMPUTED_VALUE"""),321.2)</f>
        <v>321.2</v>
      </c>
    </row>
    <row r="1213">
      <c r="A1213" s="2">
        <f>IFERROR(__xludf.DUMMYFUNCTION("""COMPUTED_VALUE"""),45868.66666666667)</f>
        <v>45868.66667</v>
      </c>
      <c r="B1213" s="1">
        <f>IFERROR(__xludf.DUMMYFUNCTION("""COMPUTED_VALUE"""),319.04)</f>
        <v>319.04</v>
      </c>
    </row>
    <row r="1214">
      <c r="A1214" s="2">
        <f>IFERROR(__xludf.DUMMYFUNCTION("""COMPUTED_VALUE"""),45869.66666666667)</f>
        <v>45869.66667</v>
      </c>
      <c r="B1214" s="1">
        <f>IFERROR(__xludf.DUMMYFUNCTION("""COMPUTED_VALUE"""),308.27)</f>
        <v>308.27</v>
      </c>
    </row>
    <row r="1215">
      <c r="A1215" s="2">
        <f>IFERROR(__xludf.DUMMYFUNCTION("""COMPUTED_VALUE"""),45870.66666666667)</f>
        <v>45870.66667</v>
      </c>
      <c r="B1215" s="1">
        <f>IFERROR(__xludf.DUMMYFUNCTION("""COMPUTED_VALUE"""),302.63)</f>
        <v>302.63</v>
      </c>
    </row>
    <row r="1216">
      <c r="A1216" s="2">
        <f>IFERROR(__xludf.DUMMYFUNCTION("""COMPUTED_VALUE"""),45873.66666666667)</f>
        <v>45873.66667</v>
      </c>
      <c r="B1216" s="1">
        <f>IFERROR(__xludf.DUMMYFUNCTION("""COMPUTED_VALUE"""),309.26)</f>
        <v>309.26</v>
      </c>
    </row>
    <row r="1217">
      <c r="A1217" s="2">
        <f>IFERROR(__xludf.DUMMYFUNCTION("""COMPUTED_VALUE"""),45874.66666666667)</f>
        <v>45874.66667</v>
      </c>
      <c r="B1217" s="1">
        <f>IFERROR(__xludf.DUMMYFUNCTION("""COMPUTED_VALUE"""),308.72)</f>
        <v>308.72</v>
      </c>
    </row>
    <row r="1218">
      <c r="A1218" s="2">
        <f>IFERROR(__xludf.DUMMYFUNCTION("""COMPUTED_VALUE"""),45875.66666666667)</f>
        <v>45875.66667</v>
      </c>
      <c r="B1218" s="1">
        <f>IFERROR(__xludf.DUMMYFUNCTION("""COMPUTED_VALUE"""),319.91)</f>
        <v>319.91</v>
      </c>
    </row>
    <row r="1219">
      <c r="A1219" s="2">
        <f>IFERROR(__xludf.DUMMYFUNCTION("""COMPUTED_VALUE"""),45876.66666666667)</f>
        <v>45876.66667</v>
      </c>
      <c r="B1219" s="1">
        <f>IFERROR(__xludf.DUMMYFUNCTION("""COMPUTED_VALUE"""),322.27)</f>
        <v>322.27</v>
      </c>
    </row>
    <row r="1220">
      <c r="A1220" s="2">
        <f>IFERROR(__xludf.DUMMYFUNCTION("""COMPUTED_VALUE"""),45877.66666666667)</f>
        <v>45877.66667</v>
      </c>
      <c r="B1220" s="1">
        <f>IFERROR(__xludf.DUMMYFUNCTION("""COMPUTED_VALUE"""),329.65)</f>
        <v>329.65</v>
      </c>
    </row>
    <row r="1221">
      <c r="A1221" s="2">
        <f>IFERROR(__xludf.DUMMYFUNCTION("""COMPUTED_VALUE"""),45880.66666666667)</f>
        <v>45880.66667</v>
      </c>
      <c r="B1221" s="1">
        <f>IFERROR(__xludf.DUMMYFUNCTION("""COMPUTED_VALUE"""),339.03)</f>
        <v>339.03</v>
      </c>
    </row>
    <row r="1222">
      <c r="A1222" s="2">
        <f>IFERROR(__xludf.DUMMYFUNCTION("""COMPUTED_VALUE"""),45881.66666666667)</f>
        <v>45881.66667</v>
      </c>
      <c r="B1222" s="1">
        <f>IFERROR(__xludf.DUMMYFUNCTION("""COMPUTED_VALUE"""),340.84)</f>
        <v>340.84</v>
      </c>
    </row>
    <row r="1223">
      <c r="A1223" s="2">
        <f>IFERROR(__xludf.DUMMYFUNCTION("""COMPUTED_VALUE"""),45882.66666666667)</f>
        <v>45882.66667</v>
      </c>
      <c r="B1223" s="1">
        <f>IFERROR(__xludf.DUMMYFUNCTION("""COMPUTED_VALUE"""),339.38)</f>
        <v>339.38</v>
      </c>
    </row>
    <row r="1224">
      <c r="A1224" s="2">
        <f>IFERROR(__xludf.DUMMYFUNCTION("""COMPUTED_VALUE"""),45883.66666666667)</f>
        <v>45883.66667</v>
      </c>
      <c r="B1224" s="1">
        <f>IFERROR(__xludf.DUMMYFUNCTION("""COMPUTED_VALUE"""),335.58)</f>
        <v>335.58</v>
      </c>
    </row>
    <row r="1225">
      <c r="A1225" s="2">
        <f>IFERROR(__xludf.DUMMYFUNCTION("""COMPUTED_VALUE"""),45884.66666666667)</f>
        <v>45884.66667</v>
      </c>
      <c r="B1225" s="1">
        <f>IFERROR(__xludf.DUMMYFUNCTION("""COMPUTED_VALUE"""),330.56)</f>
        <v>330.56</v>
      </c>
    </row>
    <row r="1226">
      <c r="A1226" s="2">
        <f>IFERROR(__xludf.DUMMYFUNCTION("""COMPUTED_VALUE"""),45887.66666666667)</f>
        <v>45887.66667</v>
      </c>
      <c r="B1226" s="1">
        <f>IFERROR(__xludf.DUMMYFUNCTION("""COMPUTED_VALUE"""),335.16)</f>
        <v>335.16</v>
      </c>
    </row>
    <row r="1227">
      <c r="A1227" s="2">
        <f>IFERROR(__xludf.DUMMYFUNCTION("""COMPUTED_VALUE"""),45888.66666666667)</f>
        <v>45888.66667</v>
      </c>
      <c r="B1227" s="1">
        <f>IFERROR(__xludf.DUMMYFUNCTION("""COMPUTED_VALUE"""),329.31)</f>
        <v>329.31</v>
      </c>
    </row>
    <row r="1228">
      <c r="A1228" s="2">
        <f>IFERROR(__xludf.DUMMYFUNCTION("""COMPUTED_VALUE"""),45889.66666666667)</f>
        <v>45889.66667</v>
      </c>
      <c r="B1228" s="1">
        <f>IFERROR(__xludf.DUMMYFUNCTION("""COMPUTED_VALUE"""),323.9)</f>
        <v>323.9</v>
      </c>
    </row>
    <row r="1229">
      <c r="A1229" s="2">
        <f>IFERROR(__xludf.DUMMYFUNCTION("""COMPUTED_VALUE"""),45890.66666666667)</f>
        <v>45890.66667</v>
      </c>
      <c r="B1229" s="1">
        <f>IFERROR(__xludf.DUMMYFUNCTION("""COMPUTED_VALUE"""),320.11)</f>
        <v>320.11</v>
      </c>
    </row>
    <row r="1230">
      <c r="A1230" s="2">
        <f>IFERROR(__xludf.DUMMYFUNCTION("""COMPUTED_VALUE"""),45891.66666666667)</f>
        <v>45891.66667</v>
      </c>
      <c r="B1230" s="1">
        <f>IFERROR(__xludf.DUMMYFUNCTION("""COMPUTED_VALUE"""),340.01)</f>
        <v>340.01</v>
      </c>
    </row>
    <row r="1231">
      <c r="A1231" s="2">
        <f>IFERROR(__xludf.DUMMYFUNCTION("""COMPUTED_VALUE"""),45894.66666666667)</f>
        <v>45894.66667</v>
      </c>
      <c r="B1231" s="1">
        <f>IFERROR(__xludf.DUMMYFUNCTION("""COMPUTED_VALUE"""),346.6)</f>
        <v>346.6</v>
      </c>
    </row>
    <row r="1232">
      <c r="A1232" s="2">
        <f>IFERROR(__xludf.DUMMYFUNCTION("""COMPUTED_VALUE"""),45895.66666666667)</f>
        <v>45895.66667</v>
      </c>
      <c r="B1232" s="1">
        <f>IFERROR(__xludf.DUMMYFUNCTION("""COMPUTED_VALUE"""),351.67)</f>
        <v>351.67</v>
      </c>
    </row>
    <row r="1233">
      <c r="A1233" s="2">
        <f>IFERROR(__xludf.DUMMYFUNCTION("""COMPUTED_VALUE"""),45896.66666666667)</f>
        <v>45896.66667</v>
      </c>
      <c r="B1233" s="1">
        <f>IFERROR(__xludf.DUMMYFUNCTION("""COMPUTED_VALUE"""),349.6)</f>
        <v>349.6</v>
      </c>
    </row>
    <row r="1234">
      <c r="A1234" s="2">
        <f>IFERROR(__xludf.DUMMYFUNCTION("""COMPUTED_VALUE"""),45897.66666666667)</f>
        <v>45897.66667</v>
      </c>
      <c r="B1234" s="1">
        <f>IFERROR(__xludf.DUMMYFUNCTION("""COMPUTED_VALUE"""),345.98)</f>
        <v>345.98</v>
      </c>
    </row>
    <row r="1235">
      <c r="A1235" s="2">
        <f>IFERROR(__xludf.DUMMYFUNCTION("""COMPUTED_VALUE"""),45898.66666666667)</f>
        <v>45898.66667</v>
      </c>
      <c r="B1235" s="1">
        <f>IFERROR(__xludf.DUMMYFUNCTION("""COMPUTED_VALUE"""),333.87)</f>
        <v>333.87</v>
      </c>
    </row>
    <row r="1236">
      <c r="A1236" s="2">
        <f>IFERROR(__xludf.DUMMYFUNCTION("""COMPUTED_VALUE"""),45902.66666666667)</f>
        <v>45902.66667</v>
      </c>
      <c r="B1236" s="1">
        <f>IFERROR(__xludf.DUMMYFUNCTION("""COMPUTED_VALUE"""),329.36)</f>
        <v>329.36</v>
      </c>
    </row>
    <row r="1237">
      <c r="A1237" s="2">
        <f>IFERROR(__xludf.DUMMYFUNCTION("""COMPUTED_VALUE"""),45903.66666666667)</f>
        <v>45903.66667</v>
      </c>
      <c r="B1237" s="1">
        <f>IFERROR(__xludf.DUMMYFUNCTION("""COMPUTED_VALUE"""),334.09)</f>
        <v>334.09</v>
      </c>
    </row>
    <row r="1238">
      <c r="A1238" s="2">
        <f>IFERROR(__xludf.DUMMYFUNCTION("""COMPUTED_VALUE"""),45904.66666666667)</f>
        <v>45904.66667</v>
      </c>
      <c r="B1238" s="1">
        <f>IFERROR(__xludf.DUMMYFUNCTION("""COMPUTED_VALUE"""),338.53)</f>
        <v>338.53</v>
      </c>
    </row>
    <row r="1239">
      <c r="A1239" s="2">
        <f>IFERROR(__xludf.DUMMYFUNCTION("""COMPUTED_VALUE"""),45905.66666666667)</f>
        <v>45905.66667</v>
      </c>
      <c r="B1239" s="1">
        <f>IFERROR(__xludf.DUMMYFUNCTION("""COMPUTED_VALUE"""),350.84)</f>
        <v>350.84</v>
      </c>
    </row>
    <row r="1240">
      <c r="A1240" s="2">
        <f>IFERROR(__xludf.DUMMYFUNCTION("""COMPUTED_VALUE"""),45908.66666666667)</f>
        <v>45908.66667</v>
      </c>
      <c r="B1240" s="1">
        <f>IFERROR(__xludf.DUMMYFUNCTION("""COMPUTED_VALUE"""),346.4)</f>
        <v>346.4</v>
      </c>
    </row>
    <row r="1241">
      <c r="A1241" s="2">
        <f>IFERROR(__xludf.DUMMYFUNCTION("""COMPUTED_VALUE"""),45909.66666666667)</f>
        <v>45909.66667</v>
      </c>
      <c r="B1241" s="1">
        <f>IFERROR(__xludf.DUMMYFUNCTION("""COMPUTED_VALUE"""),346.97)</f>
        <v>346.97</v>
      </c>
    </row>
    <row r="1242">
      <c r="A1242" s="2">
        <f>IFERROR(__xludf.DUMMYFUNCTION("""COMPUTED_VALUE"""),45910.66666666667)</f>
        <v>45910.66667</v>
      </c>
      <c r="B1242" s="1">
        <f>IFERROR(__xludf.DUMMYFUNCTION("""COMPUTED_VALUE"""),347.79)</f>
        <v>347.79</v>
      </c>
    </row>
    <row r="1243">
      <c r="A1243" s="2">
        <f>IFERROR(__xludf.DUMMYFUNCTION("""COMPUTED_VALUE"""),45911.66666666667)</f>
        <v>45911.66667</v>
      </c>
      <c r="B1243" s="1">
        <f>IFERROR(__xludf.DUMMYFUNCTION("""COMPUTED_VALUE"""),368.81)</f>
        <v>368.81</v>
      </c>
    </row>
    <row r="1244">
      <c r="A1244" s="2">
        <f>IFERROR(__xludf.DUMMYFUNCTION("""COMPUTED_VALUE"""),45912.66666666667)</f>
        <v>45912.66667</v>
      </c>
      <c r="B1244" s="1">
        <f>IFERROR(__xludf.DUMMYFUNCTION("""COMPUTED_VALUE"""),395.94)</f>
        <v>395.94</v>
      </c>
    </row>
    <row r="1245">
      <c r="A1245" s="2">
        <f>IFERROR(__xludf.DUMMYFUNCTION("""COMPUTED_VALUE"""),45915.66666666667)</f>
        <v>45915.66667</v>
      </c>
      <c r="B1245" s="1">
        <f>IFERROR(__xludf.DUMMYFUNCTION("""COMPUTED_VALUE"""),410.04)</f>
        <v>410.04</v>
      </c>
    </row>
    <row r="1246">
      <c r="A1246" s="2">
        <f>IFERROR(__xludf.DUMMYFUNCTION("""COMPUTED_VALUE"""),45916.66666666667)</f>
        <v>45916.66667</v>
      </c>
      <c r="B1246" s="1">
        <f>IFERROR(__xludf.DUMMYFUNCTION("""COMPUTED_VALUE"""),421.62)</f>
        <v>421.62</v>
      </c>
    </row>
    <row r="1247">
      <c r="A1247" s="2">
        <f>IFERROR(__xludf.DUMMYFUNCTION("""COMPUTED_VALUE"""),45917.66666666667)</f>
        <v>45917.66667</v>
      </c>
      <c r="B1247" s="1">
        <f>IFERROR(__xludf.DUMMYFUNCTION("""COMPUTED_VALUE"""),425.86)</f>
        <v>425.86</v>
      </c>
    </row>
    <row r="1248">
      <c r="A1248" s="2">
        <f>IFERROR(__xludf.DUMMYFUNCTION("""COMPUTED_VALUE"""),45918.66666666667)</f>
        <v>45918.66667</v>
      </c>
      <c r="B1248" s="1">
        <f>IFERROR(__xludf.DUMMYFUNCTION("""COMPUTED_VALUE"""),416.85)</f>
        <v>416.85</v>
      </c>
    </row>
    <row r="1249">
      <c r="A1249" s="2">
        <f>IFERROR(__xludf.DUMMYFUNCTION("""COMPUTED_VALUE"""),45919.66666666667)</f>
        <v>45919.66667</v>
      </c>
      <c r="B1249" s="1">
        <f>IFERROR(__xludf.DUMMYFUNCTION("""COMPUTED_VALUE"""),426.07)</f>
        <v>426.07</v>
      </c>
    </row>
    <row r="1250">
      <c r="A1250" s="2">
        <f>IFERROR(__xludf.DUMMYFUNCTION("""COMPUTED_VALUE"""),45922.66666666667)</f>
        <v>45922.66667</v>
      </c>
      <c r="B1250" s="1">
        <f>IFERROR(__xludf.DUMMYFUNCTION("""COMPUTED_VALUE"""),434.21)</f>
        <v>434.21</v>
      </c>
    </row>
    <row r="1251">
      <c r="A1251" s="2">
        <f>IFERROR(__xludf.DUMMYFUNCTION("""COMPUTED_VALUE"""),45923.66666666667)</f>
        <v>45923.66667</v>
      </c>
      <c r="B1251" s="1">
        <f>IFERROR(__xludf.DUMMYFUNCTION("""COMPUTED_VALUE"""),425.85)</f>
        <v>425.85</v>
      </c>
    </row>
    <row r="1252">
      <c r="A1252" s="2">
        <f>IFERROR(__xludf.DUMMYFUNCTION("""COMPUTED_VALUE"""),45924.66666666667)</f>
        <v>45924.66667</v>
      </c>
      <c r="B1252" s="1">
        <f>IFERROR(__xludf.DUMMYFUNCTION("""COMPUTED_VALUE"""),442.79)</f>
        <v>442.79</v>
      </c>
    </row>
    <row r="1253">
      <c r="A1253" s="2">
        <f>IFERROR(__xludf.DUMMYFUNCTION("""COMPUTED_VALUE"""),45925.66666666667)</f>
        <v>45925.66667</v>
      </c>
      <c r="B1253" s="1">
        <f>IFERROR(__xludf.DUMMYFUNCTION("""COMPUTED_VALUE"""),423.39)</f>
        <v>423.39</v>
      </c>
    </row>
    <row r="1254">
      <c r="A1254" s="2">
        <f>IFERROR(__xludf.DUMMYFUNCTION("""COMPUTED_VALUE"""),45926.66666666667)</f>
        <v>45926.66667</v>
      </c>
      <c r="B1254" s="1">
        <f>IFERROR(__xludf.DUMMYFUNCTION("""COMPUTED_VALUE"""),440.4)</f>
        <v>440.4</v>
      </c>
    </row>
    <row r="1255">
      <c r="A1255" s="2">
        <f>IFERROR(__xludf.DUMMYFUNCTION("""COMPUTED_VALUE"""),45929.66666666667)</f>
        <v>45929.66667</v>
      </c>
      <c r="B1255" s="1">
        <f>IFERROR(__xludf.DUMMYFUNCTION("""COMPUTED_VALUE"""),443.21)</f>
        <v>443.21</v>
      </c>
    </row>
    <row r="1256">
      <c r="A1256" s="2">
        <f>IFERROR(__xludf.DUMMYFUNCTION("""COMPUTED_VALUE"""),45930.66666666667)</f>
        <v>45930.66667</v>
      </c>
      <c r="B1256" s="1">
        <f>IFERROR(__xludf.DUMMYFUNCTION("""COMPUTED_VALUE"""),444.72)</f>
        <v>444.72</v>
      </c>
    </row>
    <row r="1257">
      <c r="A1257" s="2">
        <f>IFERROR(__xludf.DUMMYFUNCTION("""COMPUTED_VALUE"""),45931.66666666667)</f>
        <v>45931.66667</v>
      </c>
      <c r="B1257" s="1">
        <f>IFERROR(__xludf.DUMMYFUNCTION("""COMPUTED_VALUE"""),459.46)</f>
        <v>459.46</v>
      </c>
    </row>
    <row r="1258">
      <c r="A1258" s="2">
        <f>IFERROR(__xludf.DUMMYFUNCTION("""COMPUTED_VALUE"""),45932.66666666667)</f>
        <v>45932.66667</v>
      </c>
      <c r="B1258" s="1">
        <f>IFERROR(__xludf.DUMMYFUNCTION("""COMPUTED_VALUE"""),436.0)</f>
        <v>436</v>
      </c>
    </row>
    <row r="1259">
      <c r="A1259" s="2">
        <f>IFERROR(__xludf.DUMMYFUNCTION("""COMPUTED_VALUE"""),45933.66666666667)</f>
        <v>45933.66667</v>
      </c>
      <c r="B1259" s="1">
        <f>IFERROR(__xludf.DUMMYFUNCTION("""COMPUTED_VALUE"""),429.83)</f>
        <v>429.83</v>
      </c>
    </row>
    <row r="1260">
      <c r="A1260" s="2">
        <f>IFERROR(__xludf.DUMMYFUNCTION("""COMPUTED_VALUE"""),45936.66666666667)</f>
        <v>45936.66667</v>
      </c>
      <c r="B1260" s="1">
        <f>IFERROR(__xludf.DUMMYFUNCTION("""COMPUTED_VALUE"""),453.25)</f>
        <v>453.25</v>
      </c>
    </row>
    <row r="1261">
      <c r="A1261" s="2">
        <f>IFERROR(__xludf.DUMMYFUNCTION("""COMPUTED_VALUE"""),45937.66666666667)</f>
        <v>45937.66667</v>
      </c>
      <c r="B1261" s="1">
        <f>IFERROR(__xludf.DUMMYFUNCTION("""COMPUTED_VALUE"""),433.09)</f>
        <v>433.09</v>
      </c>
    </row>
    <row r="1262">
      <c r="A1262" s="2">
        <f>IFERROR(__xludf.DUMMYFUNCTION("""COMPUTED_VALUE"""),45938.66666666667)</f>
        <v>45938.66667</v>
      </c>
      <c r="B1262" s="1">
        <f>IFERROR(__xludf.DUMMYFUNCTION("""COMPUTED_VALUE"""),438.69)</f>
        <v>438.69</v>
      </c>
    </row>
    <row r="1263">
      <c r="A1263" s="2">
        <f>IFERROR(__xludf.DUMMYFUNCTION("""COMPUTED_VALUE"""),45939.66666666667)</f>
        <v>45939.66667</v>
      </c>
      <c r="B1263" s="1">
        <f>IFERROR(__xludf.DUMMYFUNCTION("""COMPUTED_VALUE"""),435.54)</f>
        <v>435.54</v>
      </c>
    </row>
    <row r="1264">
      <c r="A1264" s="2">
        <f>IFERROR(__xludf.DUMMYFUNCTION("""COMPUTED_VALUE"""),45940.66666666667)</f>
        <v>45940.66667</v>
      </c>
      <c r="B1264" s="1">
        <f>IFERROR(__xludf.DUMMYFUNCTION("""COMPUTED_VALUE"""),413.49)</f>
        <v>413.49</v>
      </c>
    </row>
    <row r="1265">
      <c r="A1265" s="2">
        <f>IFERROR(__xludf.DUMMYFUNCTION("""COMPUTED_VALUE"""),45943.66666666667)</f>
        <v>45943.66667</v>
      </c>
      <c r="B1265" s="1">
        <f>IFERROR(__xludf.DUMMYFUNCTION("""COMPUTED_VALUE"""),435.9)</f>
        <v>435.9</v>
      </c>
    </row>
    <row r="1266">
      <c r="A1266" s="2">
        <f>IFERROR(__xludf.DUMMYFUNCTION("""COMPUTED_VALUE"""),45944.66666666667)</f>
        <v>45944.66667</v>
      </c>
      <c r="B1266" s="1">
        <f>IFERROR(__xludf.DUMMYFUNCTION("""COMPUTED_VALUE"""),429.24)</f>
        <v>429.24</v>
      </c>
    </row>
    <row r="1267">
      <c r="A1267" s="2">
        <f>IFERROR(__xludf.DUMMYFUNCTION("""COMPUTED_VALUE"""),45945.66666666667)</f>
        <v>45945.66667</v>
      </c>
      <c r="B1267" s="1">
        <f>IFERROR(__xludf.DUMMYFUNCTION("""COMPUTED_VALUE"""),435.15)</f>
        <v>435.15</v>
      </c>
    </row>
    <row r="1268">
      <c r="A1268" s="2">
        <f>IFERROR(__xludf.DUMMYFUNCTION("""COMPUTED_VALUE"""),45946.66666666667)</f>
        <v>45946.66667</v>
      </c>
      <c r="B1268" s="1">
        <f>IFERROR(__xludf.DUMMYFUNCTION("""COMPUTED_VALUE"""),428.75)</f>
        <v>428.75</v>
      </c>
    </row>
    <row r="1269">
      <c r="A1269" s="2">
        <f>IFERROR(__xludf.DUMMYFUNCTION("""COMPUTED_VALUE"""),45947.66666666667)</f>
        <v>45947.66667</v>
      </c>
      <c r="B1269" s="1">
        <f>IFERROR(__xludf.DUMMYFUNCTION("""COMPUTED_VALUE"""),439.31)</f>
        <v>439.31</v>
      </c>
    </row>
    <row r="1270">
      <c r="A1270" s="2">
        <f>IFERROR(__xludf.DUMMYFUNCTION("""COMPUTED_VALUE"""),45950.66666666667)</f>
        <v>45950.66667</v>
      </c>
      <c r="B1270" s="1">
        <f>IFERROR(__xludf.DUMMYFUNCTION("""COMPUTED_VALUE"""),447.43)</f>
        <v>447.43</v>
      </c>
    </row>
    <row r="1271">
      <c r="A1271" s="2">
        <f>IFERROR(__xludf.DUMMYFUNCTION("""COMPUTED_VALUE"""),45951.66666666667)</f>
        <v>45951.66667</v>
      </c>
      <c r="B1271" s="1">
        <f>IFERROR(__xludf.DUMMYFUNCTION("""COMPUTED_VALUE"""),442.6)</f>
        <v>442.6</v>
      </c>
    </row>
    <row r="1272">
      <c r="A1272" s="2">
        <f>IFERROR(__xludf.DUMMYFUNCTION("""COMPUTED_VALUE"""),45952.66666666667)</f>
        <v>45952.66667</v>
      </c>
      <c r="B1272" s="1">
        <f>IFERROR(__xludf.DUMMYFUNCTION("""COMPUTED_VALUE"""),438.97)</f>
        <v>438.97</v>
      </c>
    </row>
    <row r="1273">
      <c r="A1273" s="2">
        <f>IFERROR(__xludf.DUMMYFUNCTION("""COMPUTED_VALUE"""),45953.66666666667)</f>
        <v>45953.66667</v>
      </c>
      <c r="B1273" s="1">
        <f>IFERROR(__xludf.DUMMYFUNCTION("""COMPUTED_VALUE"""),448.98)</f>
        <v>448.98</v>
      </c>
    </row>
    <row r="1274">
      <c r="A1274" s="2">
        <f>IFERROR(__xludf.DUMMYFUNCTION("""COMPUTED_VALUE"""),45954.66666666667)</f>
        <v>45954.66667</v>
      </c>
      <c r="B1274" s="1">
        <f>IFERROR(__xludf.DUMMYFUNCTION("""COMPUTED_VALUE"""),433.72)</f>
        <v>433.72</v>
      </c>
    </row>
    <row r="1275">
      <c r="A1275" s="2">
        <f>IFERROR(__xludf.DUMMYFUNCTION("""COMPUTED_VALUE"""),45957.66666666667)</f>
        <v>45957.66667</v>
      </c>
      <c r="B1275" s="1">
        <f>IFERROR(__xludf.DUMMYFUNCTION("""COMPUTED_VALUE"""),452.42)</f>
        <v>452.42</v>
      </c>
    </row>
    <row r="1276">
      <c r="A1276" s="2">
        <f>IFERROR(__xludf.DUMMYFUNCTION("""COMPUTED_VALUE"""),45958.66666666667)</f>
        <v>45958.66667</v>
      </c>
      <c r="B1276" s="1">
        <f>IFERROR(__xludf.DUMMYFUNCTION("""COMPUTED_VALUE"""),460.55)</f>
        <v>460.55</v>
      </c>
    </row>
    <row r="1277">
      <c r="A1277" s="2">
        <f>IFERROR(__xludf.DUMMYFUNCTION("""COMPUTED_VALUE"""),45959.66666666667)</f>
        <v>45959.66667</v>
      </c>
      <c r="B1277" s="1">
        <f>IFERROR(__xludf.DUMMYFUNCTION("""COMPUTED_VALUE"""),461.51)</f>
        <v>461.51</v>
      </c>
    </row>
    <row r="1278">
      <c r="A1278" s="2">
        <f>IFERROR(__xludf.DUMMYFUNCTION("""COMPUTED_VALUE"""),45960.66666666667)</f>
        <v>45960.66667</v>
      </c>
      <c r="B1278" s="1">
        <f>IFERROR(__xludf.DUMMYFUNCTION("""COMPUTED_VALUE"""),440.1)</f>
        <v>440.1</v>
      </c>
    </row>
    <row r="1279">
      <c r="A1279" s="2">
        <f>IFERROR(__xludf.DUMMYFUNCTION("""COMPUTED_VALUE"""),45961.66666666667)</f>
        <v>45961.66667</v>
      </c>
      <c r="B1279" s="1">
        <f>IFERROR(__xludf.DUMMYFUNCTION("""COMPUTED_VALUE"""),456.56)</f>
        <v>456.56</v>
      </c>
    </row>
    <row r="1280">
      <c r="A1280" s="2">
        <f>IFERROR(__xludf.DUMMYFUNCTION("""COMPUTED_VALUE"""),45964.66666666667)</f>
        <v>45964.66667</v>
      </c>
      <c r="B1280" s="1">
        <f>IFERROR(__xludf.DUMMYFUNCTION("""COMPUTED_VALUE"""),468.37)</f>
        <v>468.37</v>
      </c>
    </row>
    <row r="1281">
      <c r="A1281" s="2">
        <f>IFERROR(__xludf.DUMMYFUNCTION("""COMPUTED_VALUE"""),45965.66666666667)</f>
        <v>45965.66667</v>
      </c>
      <c r="B1281" s="1">
        <f>IFERROR(__xludf.DUMMYFUNCTION("""COMPUTED_VALUE"""),444.26)</f>
        <v>444.26</v>
      </c>
    </row>
    <row r="1282">
      <c r="A1282" s="2">
        <f>IFERROR(__xludf.DUMMYFUNCTION("""COMPUTED_VALUE"""),45966.66666666667)</f>
        <v>45966.66667</v>
      </c>
      <c r="B1282" s="1">
        <f>IFERROR(__xludf.DUMMYFUNCTION("""COMPUTED_VALUE"""),462.07)</f>
        <v>462.07</v>
      </c>
    </row>
    <row r="1283">
      <c r="A1283" s="2">
        <f>IFERROR(__xludf.DUMMYFUNCTION("""COMPUTED_VALUE"""),45967.66666666667)</f>
        <v>45967.66667</v>
      </c>
      <c r="B1283" s="1">
        <f>IFERROR(__xludf.DUMMYFUNCTION("""COMPUTED_VALUE"""),445.91)</f>
        <v>445.91</v>
      </c>
    </row>
    <row r="1284">
      <c r="A1284" s="2">
        <f>IFERROR(__xludf.DUMMYFUNCTION("""COMPUTED_VALUE"""),45968.66666666667)</f>
        <v>45968.66667</v>
      </c>
      <c r="B1284" s="1">
        <f>IFERROR(__xludf.DUMMYFUNCTION("""COMPUTED_VALUE"""),429.52)</f>
        <v>429.52</v>
      </c>
    </row>
    <row r="1285">
      <c r="A1285" s="2">
        <f>IFERROR(__xludf.DUMMYFUNCTION("""COMPUTED_VALUE"""),45971.66666666667)</f>
        <v>45971.66667</v>
      </c>
      <c r="B1285" s="1">
        <f>IFERROR(__xludf.DUMMYFUNCTION("""COMPUTED_VALUE"""),445.23)</f>
        <v>445.23</v>
      </c>
    </row>
    <row r="1286">
      <c r="A1286" s="2">
        <f>IFERROR(__xludf.DUMMYFUNCTION("""COMPUTED_VALUE"""),45972.66666666667)</f>
        <v>45972.66667</v>
      </c>
      <c r="B1286" s="1">
        <f>IFERROR(__xludf.DUMMYFUNCTION("""COMPUTED_VALUE"""),439.62)</f>
        <v>439.62</v>
      </c>
    </row>
    <row r="1287">
      <c r="A1287" s="2">
        <f>IFERROR(__xludf.DUMMYFUNCTION("""COMPUTED_VALUE"""),45973.66666666667)</f>
        <v>45973.66667</v>
      </c>
      <c r="B1287" s="1">
        <f>IFERROR(__xludf.DUMMYFUNCTION("""COMPUTED_VALUE"""),430.6)</f>
        <v>430.6</v>
      </c>
    </row>
    <row r="1288">
      <c r="A1288" s="2">
        <f>IFERROR(__xludf.DUMMYFUNCTION("""COMPUTED_VALUE"""),45974.66666666667)</f>
        <v>45974.66667</v>
      </c>
      <c r="B1288" s="1">
        <f>IFERROR(__xludf.DUMMYFUNCTION("""COMPUTED_VALUE"""),401.99)</f>
        <v>401.99</v>
      </c>
    </row>
    <row r="1289">
      <c r="A1289" s="2">
        <f>IFERROR(__xludf.DUMMYFUNCTION("""COMPUTED_VALUE"""),45975.66666666667)</f>
        <v>45975.66667</v>
      </c>
      <c r="B1289" s="1">
        <f>IFERROR(__xludf.DUMMYFUNCTION("""COMPUTED_VALUE"""),404.35)</f>
        <v>404.35</v>
      </c>
    </row>
    <row r="1290">
      <c r="A1290" s="2">
        <f>IFERROR(__xludf.DUMMYFUNCTION("""COMPUTED_VALUE"""),45978.66666666667)</f>
        <v>45978.66667</v>
      </c>
      <c r="B1290" s="1">
        <f>IFERROR(__xludf.DUMMYFUNCTION("""COMPUTED_VALUE"""),408.92)</f>
        <v>408.92</v>
      </c>
    </row>
    <row r="1291">
      <c r="A1291" s="2">
        <f>IFERROR(__xludf.DUMMYFUNCTION("""COMPUTED_VALUE"""),45979.66666666667)</f>
        <v>45979.66667</v>
      </c>
      <c r="B1291" s="1">
        <f>IFERROR(__xludf.DUMMYFUNCTION("""COMPUTED_VALUE"""),401.25)</f>
        <v>401.25</v>
      </c>
    </row>
    <row r="1292">
      <c r="A1292" s="2">
        <f>IFERROR(__xludf.DUMMYFUNCTION("""COMPUTED_VALUE"""),45980.66666666667)</f>
        <v>45980.66667</v>
      </c>
      <c r="B1292" s="1">
        <f>IFERROR(__xludf.DUMMYFUNCTION("""COMPUTED_VALUE"""),403.99)</f>
        <v>403.99</v>
      </c>
    </row>
    <row r="1293">
      <c r="A1293" s="2">
        <f>IFERROR(__xludf.DUMMYFUNCTION("""COMPUTED_VALUE"""),45981.66666666667)</f>
        <v>45981.66667</v>
      </c>
      <c r="B1293" s="1">
        <f>IFERROR(__xludf.DUMMYFUNCTION("""COMPUTED_VALUE"""),395.23)</f>
        <v>395.23</v>
      </c>
    </row>
    <row r="1294">
      <c r="A1294" s="2">
        <f>IFERROR(__xludf.DUMMYFUNCTION("""COMPUTED_VALUE"""),45982.66666666667)</f>
        <v>45982.66667</v>
      </c>
      <c r="B1294" s="1">
        <f>IFERROR(__xludf.DUMMYFUNCTION("""COMPUTED_VALUE"""),391.09)</f>
        <v>391.09</v>
      </c>
    </row>
    <row r="1295">
      <c r="A1295" s="2">
        <f>IFERROR(__xludf.DUMMYFUNCTION("""COMPUTED_VALUE"""),45985.66666666667)</f>
        <v>45985.66667</v>
      </c>
      <c r="B1295" s="1">
        <f>IFERROR(__xludf.DUMMYFUNCTION("""COMPUTED_VALUE"""),417.78)</f>
        <v>417.78</v>
      </c>
    </row>
    <row r="1296">
      <c r="A1296" s="2">
        <f>IFERROR(__xludf.DUMMYFUNCTION("""COMPUTED_VALUE"""),45986.66666666667)</f>
        <v>45986.66667</v>
      </c>
      <c r="B1296" s="1">
        <f>IFERROR(__xludf.DUMMYFUNCTION("""COMPUTED_VALUE"""),419.4)</f>
        <v>419.4</v>
      </c>
    </row>
    <row r="1297">
      <c r="A1297" s="2">
        <f>IFERROR(__xludf.DUMMYFUNCTION("""COMPUTED_VALUE"""),45987.66666666667)</f>
        <v>45987.66667</v>
      </c>
      <c r="B1297" s="1">
        <f>IFERROR(__xludf.DUMMYFUNCTION("""COMPUTED_VALUE"""),426.58)</f>
        <v>426.58</v>
      </c>
    </row>
    <row r="1298">
      <c r="A1298" s="2">
        <f>IFERROR(__xludf.DUMMYFUNCTION("""COMPUTED_VALUE"""),45989.54513888889)</f>
        <v>45989.54514</v>
      </c>
      <c r="B1298" s="1">
        <f>IFERROR(__xludf.DUMMYFUNCTION("""COMPUTED_VALUE"""),430.17)</f>
        <v>430.17</v>
      </c>
    </row>
    <row r="1299">
      <c r="A1299" s="2">
        <f>IFERROR(__xludf.DUMMYFUNCTION("""COMPUTED_VALUE"""),45992.66666666667)</f>
        <v>45992.66667</v>
      </c>
      <c r="B1299" s="1">
        <f>IFERROR(__xludf.DUMMYFUNCTION("""COMPUTED_VALUE"""),430.14)</f>
        <v>430.14</v>
      </c>
    </row>
    <row r="1300">
      <c r="A1300" s="2">
        <f>IFERROR(__xludf.DUMMYFUNCTION("""COMPUTED_VALUE"""),45993.66666666667)</f>
        <v>45993.66667</v>
      </c>
      <c r="B1300" s="1">
        <f>IFERROR(__xludf.DUMMYFUNCTION("""COMPUTED_VALUE"""),429.24)</f>
        <v>429.24</v>
      </c>
    </row>
    <row r="1301">
      <c r="A1301" s="2">
        <f>IFERROR(__xludf.DUMMYFUNCTION("""COMPUTED_VALUE"""),45994.66666666667)</f>
        <v>45994.66667</v>
      </c>
      <c r="B1301" s="1">
        <f>IFERROR(__xludf.DUMMYFUNCTION("""COMPUTED_VALUE"""),446.74)</f>
        <v>446.74</v>
      </c>
    </row>
    <row r="1302">
      <c r="A1302" s="2">
        <f>IFERROR(__xludf.DUMMYFUNCTION("""COMPUTED_VALUE"""),45995.66666666667)</f>
        <v>45995.66667</v>
      </c>
      <c r="B1302" s="1">
        <f>IFERROR(__xludf.DUMMYFUNCTION("""COMPUTED_VALUE"""),454.53)</f>
        <v>454.53</v>
      </c>
    </row>
    <row r="1303">
      <c r="A1303" s="2">
        <f>IFERROR(__xludf.DUMMYFUNCTION("""COMPUTED_VALUE"""),45996.66666666667)</f>
        <v>45996.66667</v>
      </c>
      <c r="B1303" s="1">
        <f>IFERROR(__xludf.DUMMYFUNCTION("""COMPUTED_VALUE"""),455.0)</f>
        <v>455</v>
      </c>
    </row>
    <row r="1304">
      <c r="A1304" s="2">
        <f>IFERROR(__xludf.DUMMYFUNCTION("""COMPUTED_VALUE"""),45999.66666666667)</f>
        <v>45999.66667</v>
      </c>
      <c r="B1304" s="1">
        <f>IFERROR(__xludf.DUMMYFUNCTION("""COMPUTED_VALUE"""),439.58)</f>
        <v>439.58</v>
      </c>
    </row>
    <row r="1305">
      <c r="A1305" s="2">
        <f>IFERROR(__xludf.DUMMYFUNCTION("""COMPUTED_VALUE"""),46000.66666666667)</f>
        <v>46000.66667</v>
      </c>
      <c r="B1305" s="1">
        <f>IFERROR(__xludf.DUMMYFUNCTION("""COMPUTED_VALUE"""),445.17)</f>
        <v>445.17</v>
      </c>
    </row>
    <row r="1306">
      <c r="A1306" s="2">
        <f>IFERROR(__xludf.DUMMYFUNCTION("""COMPUTED_VALUE"""),46001.66666666667)</f>
        <v>46001.66667</v>
      </c>
      <c r="B1306" s="1">
        <f>IFERROR(__xludf.DUMMYFUNCTION("""COMPUTED_VALUE"""),451.45)</f>
        <v>451.45</v>
      </c>
    </row>
    <row r="1307">
      <c r="A1307" s="2">
        <f>IFERROR(__xludf.DUMMYFUNCTION("""COMPUTED_VALUE"""),46002.66666666667)</f>
        <v>46002.66667</v>
      </c>
      <c r="B1307" s="1">
        <f>IFERROR(__xludf.DUMMYFUNCTION("""COMPUTED_VALUE"""),446.89)</f>
        <v>446.89</v>
      </c>
    </row>
    <row r="1308">
      <c r="A1308" s="2">
        <f>IFERROR(__xludf.DUMMYFUNCTION("""COMPUTED_VALUE"""),46003.66666666667)</f>
        <v>46003.66667</v>
      </c>
      <c r="B1308" s="1">
        <f>IFERROR(__xludf.DUMMYFUNCTION("""COMPUTED_VALUE"""),458.96)</f>
        <v>458.96</v>
      </c>
    </row>
    <row r="1309">
      <c r="A1309" s="2">
        <f>IFERROR(__xludf.DUMMYFUNCTION("""COMPUTED_VALUE"""),46006.66666666667)</f>
        <v>46006.66667</v>
      </c>
      <c r="B1309" s="1">
        <f>IFERROR(__xludf.DUMMYFUNCTION("""COMPUTED_VALUE"""),475.31)</f>
        <v>475.31</v>
      </c>
    </row>
    <row r="1310">
      <c r="A1310" s="2">
        <f>IFERROR(__xludf.DUMMYFUNCTION("""COMPUTED_VALUE"""),46007.66666666667)</f>
        <v>46007.66667</v>
      </c>
      <c r="B1310" s="1">
        <f>IFERROR(__xludf.DUMMYFUNCTION("""COMPUTED_VALUE"""),489.88)</f>
        <v>489.88</v>
      </c>
    </row>
    <row r="1311">
      <c r="A1311" s="2">
        <f>IFERROR(__xludf.DUMMYFUNCTION("""COMPUTED_VALUE"""),46008.66666666667)</f>
        <v>46008.66667</v>
      </c>
      <c r="B1311" s="1">
        <f>IFERROR(__xludf.DUMMYFUNCTION("""COMPUTED_VALUE"""),467.26)</f>
        <v>467.26</v>
      </c>
    </row>
    <row r="1312">
      <c r="A1312" s="2">
        <f>IFERROR(__xludf.DUMMYFUNCTION("""COMPUTED_VALUE"""),46009.66666666667)</f>
        <v>46009.66667</v>
      </c>
      <c r="B1312" s="1">
        <f>IFERROR(__xludf.DUMMYFUNCTION("""COMPUTED_VALUE"""),483.37)</f>
        <v>483.37</v>
      </c>
    </row>
    <row r="1313">
      <c r="A1313" s="2">
        <f>IFERROR(__xludf.DUMMYFUNCTION("""COMPUTED_VALUE"""),46010.66666666667)</f>
        <v>46010.66667</v>
      </c>
      <c r="B1313" s="1">
        <f>IFERROR(__xludf.DUMMYFUNCTION("""COMPUTED_VALUE"""),481.2)</f>
        <v>481.2</v>
      </c>
    </row>
    <row r="1314">
      <c r="A1314" s="2">
        <f>IFERROR(__xludf.DUMMYFUNCTION("""COMPUTED_VALUE"""),46013.66666666667)</f>
        <v>46013.66667</v>
      </c>
      <c r="B1314" s="1">
        <f>IFERROR(__xludf.DUMMYFUNCTION("""COMPUTED_VALUE"""),488.73)</f>
        <v>488.73</v>
      </c>
    </row>
    <row r="1315">
      <c r="A1315" s="2">
        <f>IFERROR(__xludf.DUMMYFUNCTION("""COMPUTED_VALUE"""),46014.66666666667)</f>
        <v>46014.66667</v>
      </c>
      <c r="B1315" s="1">
        <f>IFERROR(__xludf.DUMMYFUNCTION("""COMPUTED_VALUE"""),485.56)</f>
        <v>485.56</v>
      </c>
    </row>
    <row r="1316">
      <c r="A1316" s="2">
        <f>IFERROR(__xludf.DUMMYFUNCTION("""COMPUTED_VALUE"""),46015.54513888889)</f>
        <v>46015.54514</v>
      </c>
      <c r="B1316" s="1">
        <f>IFERROR(__xludf.DUMMYFUNCTION("""COMPUTED_VALUE"""),485.4)</f>
        <v>485.4</v>
      </c>
    </row>
    <row r="1317">
      <c r="A1317" s="2">
        <f>IFERROR(__xludf.DUMMYFUNCTION("""COMPUTED_VALUE"""),46017.66666666667)</f>
        <v>46017.66667</v>
      </c>
      <c r="B1317" s="1">
        <f>IFERROR(__xludf.DUMMYFUNCTION("""COMPUTED_VALUE"""),475.19)</f>
        <v>475.19</v>
      </c>
    </row>
    <row r="1318">
      <c r="A1318" s="2">
        <f>IFERROR(__xludf.DUMMYFUNCTION("""COMPUTED_VALUE"""),46020.66666666667)</f>
        <v>46020.66667</v>
      </c>
      <c r="B1318" s="1">
        <f>IFERROR(__xludf.DUMMYFUNCTION("""COMPUTED_VALUE"""),459.64)</f>
        <v>459.64</v>
      </c>
    </row>
    <row r="1319">
      <c r="A1319" s="2">
        <f>IFERROR(__xludf.DUMMYFUNCTION("""COMPUTED_VALUE"""),46021.66666666667)</f>
        <v>46021.66667</v>
      </c>
      <c r="B1319" s="1">
        <f>IFERROR(__xludf.DUMMYFUNCTION("""COMPUTED_VALUE"""),454.43)</f>
        <v>454.43</v>
      </c>
    </row>
    <row r="1320">
      <c r="A1320" s="2">
        <f>IFERROR(__xludf.DUMMYFUNCTION("""COMPUTED_VALUE"""),46022.66666666667)</f>
        <v>46022.66667</v>
      </c>
      <c r="B1320" s="1">
        <f>IFERROR(__xludf.DUMMYFUNCTION("""COMPUTED_VALUE"""),449.72)</f>
        <v>449.72</v>
      </c>
    </row>
    <row r="1321">
      <c r="A1321" s="2">
        <f>IFERROR(__xludf.DUMMYFUNCTION("""COMPUTED_VALUE"""),46024.66666666667)</f>
        <v>46024.66667</v>
      </c>
      <c r="B1321" s="1">
        <f>IFERROR(__xludf.DUMMYFUNCTION("""COMPUTED_VALUE"""),438.07)</f>
        <v>438.07</v>
      </c>
    </row>
    <row r="1322">
      <c r="A1322" s="2">
        <f>IFERROR(__xludf.DUMMYFUNCTION("""COMPUTED_VALUE"""),46027.66666666667)</f>
        <v>46027.66667</v>
      </c>
      <c r="B1322" s="1">
        <f>IFERROR(__xludf.DUMMYFUNCTION("""COMPUTED_VALUE"""),451.67)</f>
        <v>451.67</v>
      </c>
    </row>
    <row r="1323">
      <c r="A1323" s="2">
        <f>IFERROR(__xludf.DUMMYFUNCTION("""COMPUTED_VALUE"""),46028.66666666667)</f>
        <v>46028.66667</v>
      </c>
      <c r="B1323" s="1">
        <f>IFERROR(__xludf.DUMMYFUNCTION("""COMPUTED_VALUE"""),432.96)</f>
        <v>432.96</v>
      </c>
    </row>
    <row r="1324">
      <c r="A1324" s="2">
        <f>IFERROR(__xludf.DUMMYFUNCTION("""COMPUTED_VALUE"""),46029.66666666667)</f>
        <v>46029.66667</v>
      </c>
      <c r="B1324" s="1">
        <f>IFERROR(__xludf.DUMMYFUNCTION("""COMPUTED_VALUE"""),431.41)</f>
        <v>431.41</v>
      </c>
    </row>
    <row r="1325">
      <c r="A1325" s="2">
        <f>IFERROR(__xludf.DUMMYFUNCTION("""COMPUTED_VALUE"""),46030.66666666667)</f>
        <v>46030.66667</v>
      </c>
      <c r="B1325" s="1">
        <f>IFERROR(__xludf.DUMMYFUNCTION("""COMPUTED_VALUE"""),435.8)</f>
        <v>435.8</v>
      </c>
    </row>
    <row r="1326">
      <c r="A1326" s="2">
        <f>IFERROR(__xludf.DUMMYFUNCTION("""COMPUTED_VALUE"""),46031.66666666667)</f>
        <v>46031.66667</v>
      </c>
      <c r="B1326" s="1">
        <f>IFERROR(__xludf.DUMMYFUNCTION("""COMPUTED_VALUE"""),445.01)</f>
        <v>445.01</v>
      </c>
    </row>
    <row r="1327">
      <c r="A1327" s="2">
        <f>IFERROR(__xludf.DUMMYFUNCTION("""COMPUTED_VALUE"""),46034.66666666667)</f>
        <v>46034.66667</v>
      </c>
      <c r="B1327" s="1">
        <f>IFERROR(__xludf.DUMMYFUNCTION("""COMPUTED_VALUE"""),448.96)</f>
        <v>448.96</v>
      </c>
    </row>
    <row r="1328">
      <c r="A1328" s="2">
        <f>IFERROR(__xludf.DUMMYFUNCTION("""COMPUTED_VALUE"""),46035.66666666667)</f>
        <v>46035.66667</v>
      </c>
      <c r="B1328" s="1">
        <f>IFERROR(__xludf.DUMMYFUNCTION("""COMPUTED_VALUE"""),447.2)</f>
        <v>447.2</v>
      </c>
    </row>
    <row r="1329">
      <c r="A1329" s="2">
        <f>IFERROR(__xludf.DUMMYFUNCTION("""COMPUTED_VALUE"""),46036.66666666667)</f>
        <v>46036.66667</v>
      </c>
      <c r="B1329" s="1">
        <f>IFERROR(__xludf.DUMMYFUNCTION("""COMPUTED_VALUE"""),439.2)</f>
        <v>439.2</v>
      </c>
    </row>
    <row r="1330">
      <c r="A1330" s="2">
        <f>IFERROR(__xludf.DUMMYFUNCTION("""COMPUTED_VALUE"""),46037.66666666667)</f>
        <v>46037.66667</v>
      </c>
      <c r="B1330" s="1">
        <f>IFERROR(__xludf.DUMMYFUNCTION("""COMPUTED_VALUE"""),438.57)</f>
        <v>438.57</v>
      </c>
    </row>
    <row r="1331">
      <c r="A1331" s="2">
        <f>IFERROR(__xludf.DUMMYFUNCTION("""COMPUTED_VALUE"""),46038.66666666667)</f>
        <v>46038.66667</v>
      </c>
      <c r="B1331" s="1">
        <f>IFERROR(__xludf.DUMMYFUNCTION("""COMPUTED_VALUE"""),437.5)</f>
        <v>437.5</v>
      </c>
    </row>
    <row r="1332">
      <c r="A1332" s="2">
        <f>IFERROR(__xludf.DUMMYFUNCTION("""COMPUTED_VALUE"""),46042.66666666667)</f>
        <v>46042.66667</v>
      </c>
      <c r="B1332" s="1">
        <f>IFERROR(__xludf.DUMMYFUNCTION("""COMPUTED_VALUE"""),419.25)</f>
        <v>419.25</v>
      </c>
    </row>
    <row r="1333">
      <c r="A1333" s="2">
        <f>IFERROR(__xludf.DUMMYFUNCTION("""COMPUTED_VALUE"""),46043.66666666667)</f>
        <v>46043.66667</v>
      </c>
      <c r="B1333" s="1">
        <f>IFERROR(__xludf.DUMMYFUNCTION("""COMPUTED_VALUE"""),431.44)</f>
        <v>431.44</v>
      </c>
    </row>
    <row r="1334">
      <c r="A1334" s="2">
        <f>IFERROR(__xludf.DUMMYFUNCTION("""COMPUTED_VALUE"""),46044.66666666667)</f>
        <v>46044.66667</v>
      </c>
      <c r="B1334" s="1">
        <f>IFERROR(__xludf.DUMMYFUNCTION("""COMPUTED_VALUE"""),449.36)</f>
        <v>449.36</v>
      </c>
    </row>
    <row r="1335">
      <c r="A1335" s="2">
        <f>IFERROR(__xludf.DUMMYFUNCTION("""COMPUTED_VALUE"""),46045.66666666667)</f>
        <v>46045.66667</v>
      </c>
      <c r="B1335" s="1">
        <f>IFERROR(__xludf.DUMMYFUNCTION("""COMPUTED_VALUE"""),449.06)</f>
        <v>449.06</v>
      </c>
    </row>
    <row r="1336">
      <c r="A1336" s="2">
        <f>IFERROR(__xludf.DUMMYFUNCTION("""COMPUTED_VALUE"""),46048.66666666667)</f>
        <v>46048.66667</v>
      </c>
      <c r="B1336" s="1">
        <f>IFERROR(__xludf.DUMMYFUNCTION("""COMPUTED_VALUE"""),435.2)</f>
        <v>435.2</v>
      </c>
    </row>
    <row r="1337">
      <c r="A1337" s="2">
        <f>IFERROR(__xludf.DUMMYFUNCTION("""COMPUTED_VALUE"""),46049.66666666667)</f>
        <v>46049.66667</v>
      </c>
      <c r="B1337" s="1">
        <f>IFERROR(__xludf.DUMMYFUNCTION("""COMPUTED_VALUE"""),430.9)</f>
        <v>430.9</v>
      </c>
    </row>
    <row r="1338">
      <c r="A1338" s="2">
        <f>IFERROR(__xludf.DUMMYFUNCTION("""COMPUTED_VALUE"""),46050.66666666667)</f>
        <v>46050.66667</v>
      </c>
      <c r="B1338" s="1">
        <f>IFERROR(__xludf.DUMMYFUNCTION("""COMPUTED_VALUE"""),431.46)</f>
        <v>431.46</v>
      </c>
    </row>
    <row r="1339">
      <c r="A1339" s="2">
        <f>IFERROR(__xludf.DUMMYFUNCTION("""COMPUTED_VALUE"""),46051.66666666667)</f>
        <v>46051.66667</v>
      </c>
      <c r="B1339" s="1">
        <f>IFERROR(__xludf.DUMMYFUNCTION("""COMPUTED_VALUE"""),416.56)</f>
        <v>416.56</v>
      </c>
    </row>
    <row r="1340">
      <c r="A1340" s="2">
        <f>IFERROR(__xludf.DUMMYFUNCTION("""COMPUTED_VALUE"""),46052.66666666667)</f>
        <v>46052.66667</v>
      </c>
      <c r="B1340" s="1">
        <f>IFERROR(__xludf.DUMMYFUNCTION("""COMPUTED_VALUE"""),430.41)</f>
        <v>430.41</v>
      </c>
    </row>
    <row r="1341">
      <c r="A1341" s="2">
        <f>IFERROR(__xludf.DUMMYFUNCTION("""COMPUTED_VALUE"""),46055.66666666667)</f>
        <v>46055.66667</v>
      </c>
      <c r="B1341" s="1">
        <f>IFERROR(__xludf.DUMMYFUNCTION("""COMPUTED_VALUE"""),421.81)</f>
        <v>421.81</v>
      </c>
    </row>
    <row r="1342">
      <c r="A1342" s="2">
        <f>IFERROR(__xludf.DUMMYFUNCTION("""COMPUTED_VALUE"""),46056.66666666667)</f>
        <v>46056.66667</v>
      </c>
      <c r="B1342" s="1">
        <f>IFERROR(__xludf.DUMMYFUNCTION("""COMPUTED_VALUE"""),421.96)</f>
        <v>421.96</v>
      </c>
    </row>
    <row r="1343">
      <c r="A1343" s="2">
        <f>IFERROR(__xludf.DUMMYFUNCTION("""COMPUTED_VALUE"""),46057.66666666667)</f>
        <v>46057.66667</v>
      </c>
      <c r="B1343" s="1">
        <f>IFERROR(__xludf.DUMMYFUNCTION("""COMPUTED_VALUE"""),406.01)</f>
        <v>406.01</v>
      </c>
    </row>
    <row r="1344">
      <c r="A1344" s="2">
        <f>IFERROR(__xludf.DUMMYFUNCTION("""COMPUTED_VALUE"""),46058.66666666667)</f>
        <v>46058.66667</v>
      </c>
      <c r="B1344" s="1">
        <f>IFERROR(__xludf.DUMMYFUNCTION("""COMPUTED_VALUE"""),397.21)</f>
        <v>397.21</v>
      </c>
    </row>
    <row r="1345">
      <c r="A1345" s="2">
        <f>IFERROR(__xludf.DUMMYFUNCTION("""COMPUTED_VALUE"""),46059.66666666667)</f>
        <v>46059.66667</v>
      </c>
      <c r="B1345" s="1">
        <f>IFERROR(__xludf.DUMMYFUNCTION("""COMPUTED_VALUE"""),411.11)</f>
        <v>411.11</v>
      </c>
    </row>
    <row r="1346">
      <c r="A1346" s="2">
        <f>IFERROR(__xludf.DUMMYFUNCTION("""COMPUTED_VALUE"""),46062.66666666667)</f>
        <v>46062.66667</v>
      </c>
      <c r="B1346" s="1">
        <f>IFERROR(__xludf.DUMMYFUNCTION("""COMPUTED_VALUE"""),417.32)</f>
        <v>417.32</v>
      </c>
    </row>
    <row r="1347">
      <c r="A1347" s="2">
        <f>IFERROR(__xludf.DUMMYFUNCTION("""COMPUTED_VALUE"""),46063.66666666667)</f>
        <v>46063.66667</v>
      </c>
      <c r="B1347" s="1">
        <f>IFERROR(__xludf.DUMMYFUNCTION("""COMPUTED_VALUE"""),425.21)</f>
        <v>425.21</v>
      </c>
    </row>
    <row r="1348">
      <c r="A1348" s="2">
        <f>IFERROR(__xludf.DUMMYFUNCTION("""COMPUTED_VALUE"""),46064.66666666667)</f>
        <v>46064.66667</v>
      </c>
      <c r="B1348" s="1">
        <f>IFERROR(__xludf.DUMMYFUNCTION("""COMPUTED_VALUE"""),428.27)</f>
        <v>428.27</v>
      </c>
    </row>
    <row r="1349">
      <c r="A1349" s="2">
        <f>IFERROR(__xludf.DUMMYFUNCTION("""COMPUTED_VALUE"""),46065.66666666667)</f>
        <v>46065.66667</v>
      </c>
      <c r="B1349" s="1">
        <f>IFERROR(__xludf.DUMMYFUNCTION("""COMPUTED_VALUE"""),417.07)</f>
        <v>417.07</v>
      </c>
    </row>
    <row r="1350">
      <c r="A1350" s="2">
        <f>IFERROR(__xludf.DUMMYFUNCTION("""COMPUTED_VALUE"""),46066.66666666667)</f>
        <v>46066.66667</v>
      </c>
      <c r="B1350" s="1">
        <f>IFERROR(__xludf.DUMMYFUNCTION("""COMPUTED_VALUE"""),417.44)</f>
        <v>417.44</v>
      </c>
    </row>
    <row r="1351">
      <c r="A1351" s="2">
        <f>IFERROR(__xludf.DUMMYFUNCTION("""COMPUTED_VALUE"""),46070.66666666667)</f>
        <v>46070.66667</v>
      </c>
      <c r="B1351" s="1">
        <f>IFERROR(__xludf.DUMMYFUNCTION("""COMPUTED_VALUE"""),410.63)</f>
        <v>410.63</v>
      </c>
    </row>
    <row r="1352">
      <c r="A1352" s="2">
        <f>IFERROR(__xludf.DUMMYFUNCTION("""COMPUTED_VALUE"""),46071.66666666667)</f>
        <v>46071.66667</v>
      </c>
      <c r="B1352" s="1">
        <f>IFERROR(__xludf.DUMMYFUNCTION("""COMPUTED_VALUE"""),411.32)</f>
        <v>411.32</v>
      </c>
    </row>
    <row r="1353">
      <c r="A1353" s="2">
        <f>IFERROR(__xludf.DUMMYFUNCTION("""COMPUTED_VALUE"""),46072.66666666667)</f>
        <v>46072.66667</v>
      </c>
      <c r="B1353" s="1">
        <f>IFERROR(__xludf.DUMMYFUNCTION("""COMPUTED_VALUE"""),411.71)</f>
        <v>411.71</v>
      </c>
    </row>
    <row r="1354">
      <c r="A1354" s="2">
        <f>IFERROR(__xludf.DUMMYFUNCTION("""COMPUTED_VALUE"""),46073.66666666667)</f>
        <v>46073.66667</v>
      </c>
      <c r="B1354" s="1">
        <f>IFERROR(__xludf.DUMMYFUNCTION("""COMPUTED_VALUE"""),411.82)</f>
        <v>411.82</v>
      </c>
    </row>
    <row r="1355">
      <c r="A1355" s="2">
        <f>IFERROR(__xludf.DUMMYFUNCTION("""COMPUTED_VALUE"""),46076.66666666667)</f>
        <v>46076.66667</v>
      </c>
      <c r="B1355" s="1">
        <f>IFERROR(__xludf.DUMMYFUNCTION("""COMPUTED_VALUE"""),399.83)</f>
        <v>399.83</v>
      </c>
    </row>
    <row r="1356">
      <c r="A1356" s="2">
        <f>IFERROR(__xludf.DUMMYFUNCTION("""COMPUTED_VALUE"""),46077.66666666667)</f>
        <v>46077.66667</v>
      </c>
      <c r="B1356" s="1">
        <f>IFERROR(__xludf.DUMMYFUNCTION("""COMPUTED_VALUE"""),409.38)</f>
        <v>409.38</v>
      </c>
    </row>
    <row r="1357">
      <c r="A1357" s="2">
        <f>IFERROR(__xludf.DUMMYFUNCTION("""COMPUTED_VALUE"""),46078.66666666667)</f>
        <v>46078.66667</v>
      </c>
      <c r="B1357" s="1">
        <f>IFERROR(__xludf.DUMMYFUNCTION("""COMPUTED_VALUE"""),417.4)</f>
        <v>417.4</v>
      </c>
    </row>
    <row r="1358">
      <c r="A1358" s="2">
        <f>IFERROR(__xludf.DUMMYFUNCTION("""COMPUTED_VALUE"""),46079.66666666667)</f>
        <v>46079.66667</v>
      </c>
      <c r="B1358" s="1">
        <f>IFERROR(__xludf.DUMMYFUNCTION("""COMPUTED_VALUE"""),408.58)</f>
        <v>408.58</v>
      </c>
    </row>
    <row r="1359">
      <c r="A1359" s="2">
        <f>IFERROR(__xludf.DUMMYFUNCTION("""COMPUTED_VALUE"""),46080.66666666667)</f>
        <v>46080.66667</v>
      </c>
      <c r="B1359" s="1">
        <f>IFERROR(__xludf.DUMMYFUNCTION("""COMPUTED_VALUE"""),402.51)</f>
        <v>402.51</v>
      </c>
    </row>
    <row r="1360">
      <c r="A1360" s="2">
        <f>IFERROR(__xludf.DUMMYFUNCTION("""COMPUTED_VALUE"""),46083.66666666667)</f>
        <v>46083.66667</v>
      </c>
      <c r="B1360" s="1">
        <f>IFERROR(__xludf.DUMMYFUNCTION("""COMPUTED_VALUE"""),403.32)</f>
        <v>403.32</v>
      </c>
    </row>
    <row r="1361">
      <c r="A1361" s="2">
        <f>IFERROR(__xludf.DUMMYFUNCTION("""COMPUTED_VALUE"""),46084.66666666667)</f>
        <v>46084.66667</v>
      </c>
      <c r="B1361" s="1">
        <f>IFERROR(__xludf.DUMMYFUNCTION("""COMPUTED_VALUE"""),392.43)</f>
        <v>392.43</v>
      </c>
    </row>
    <row r="1362">
      <c r="A1362" s="2">
        <f>IFERROR(__xludf.DUMMYFUNCTION("""COMPUTED_VALUE"""),46085.66666666667)</f>
        <v>46085.66667</v>
      </c>
      <c r="B1362" s="1">
        <f>IFERROR(__xludf.DUMMYFUNCTION("""COMPUTED_VALUE"""),405.94)</f>
        <v>405.94</v>
      </c>
    </row>
    <row r="1363">
      <c r="A1363" s="2">
        <f>IFERROR(__xludf.DUMMYFUNCTION("""COMPUTED_VALUE"""),46086.66666666667)</f>
        <v>46086.66667</v>
      </c>
      <c r="B1363" s="1">
        <f>IFERROR(__xludf.DUMMYFUNCTION("""COMPUTED_VALUE"""),405.55)</f>
        <v>405.55</v>
      </c>
    </row>
    <row r="1364">
      <c r="A1364" s="2">
        <f>IFERROR(__xludf.DUMMYFUNCTION("""COMPUTED_VALUE"""),46087.66666666667)</f>
        <v>46087.66667</v>
      </c>
      <c r="B1364" s="1">
        <f>IFERROR(__xludf.DUMMYFUNCTION("""COMPUTED_VALUE"""),396.73)</f>
        <v>396.73</v>
      </c>
    </row>
    <row r="1365">
      <c r="A1365" s="2">
        <f>IFERROR(__xludf.DUMMYFUNCTION("""COMPUTED_VALUE"""),46090.66666666667)</f>
        <v>46090.66667</v>
      </c>
      <c r="B1365" s="1">
        <f>IFERROR(__xludf.DUMMYFUNCTION("""COMPUTED_VALUE"""),398.68)</f>
        <v>398.68</v>
      </c>
    </row>
    <row r="1366">
      <c r="A1366" s="2">
        <f>IFERROR(__xludf.DUMMYFUNCTION("""COMPUTED_VALUE"""),46091.66666666667)</f>
        <v>46091.66667</v>
      </c>
      <c r="B1366" s="1">
        <f>IFERROR(__xludf.DUMMYFUNCTION("""COMPUTED_VALUE"""),399.24)</f>
        <v>399.24</v>
      </c>
    </row>
    <row r="1367">
      <c r="A1367" s="2">
        <f>IFERROR(__xludf.DUMMYFUNCTION("""COMPUTED_VALUE"""),46092.66666666667)</f>
        <v>46092.66667</v>
      </c>
      <c r="B1367" s="1">
        <f>IFERROR(__xludf.DUMMYFUNCTION("""COMPUTED_VALUE"""),407.82)</f>
        <v>407.82</v>
      </c>
    </row>
    <row r="1368">
      <c r="A1368" s="2">
        <f>IFERROR(__xludf.DUMMYFUNCTION("""COMPUTED_VALUE"""),46093.66666666667)</f>
        <v>46093.66667</v>
      </c>
      <c r="B1368" s="1">
        <f>IFERROR(__xludf.DUMMYFUNCTION("""COMPUTED_VALUE"""),395.01)</f>
        <v>395.01</v>
      </c>
    </row>
    <row r="1369">
      <c r="A1369" s="2">
        <f>IFERROR(__xludf.DUMMYFUNCTION("""COMPUTED_VALUE"""),46094.66666666667)</f>
        <v>46094.66667</v>
      </c>
      <c r="B1369" s="1">
        <f>IFERROR(__xludf.DUMMYFUNCTION("""COMPUTED_VALUE"""),391.2)</f>
        <v>391.2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IFERROR(__xludf.DUMMYFUNCTION("GOOGLEFINANCE(""ASX:NDQ"",""close"",DATE(2020,10,1),TODAY(),""daily"")"),"Date")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IFERROR(__xludf.DUMMYFUNCTION("""COMPUTED_VALUE"""),26.47)</f>
        <v>26.47</v>
      </c>
    </row>
    <row r="3">
      <c r="A3" s="2">
        <f>IFERROR(__xludf.DUMMYFUNCTION("""COMPUTED_VALUE"""),44106.66666666667)</f>
        <v>44106.66667</v>
      </c>
      <c r="B3" s="1">
        <f>IFERROR(__xludf.DUMMYFUNCTION("""COMPUTED_VALUE"""),26.36)</f>
        <v>26.36</v>
      </c>
    </row>
    <row r="4">
      <c r="A4" s="2">
        <f>IFERROR(__xludf.DUMMYFUNCTION("""COMPUTED_VALUE"""),44109.66666666667)</f>
        <v>44109.66667</v>
      </c>
      <c r="B4" s="1">
        <f>IFERROR(__xludf.DUMMYFUNCTION("""COMPUTED_VALUE"""),26.18)</f>
        <v>26.18</v>
      </c>
    </row>
    <row r="5">
      <c r="A5" s="2">
        <f>IFERROR(__xludf.DUMMYFUNCTION("""COMPUTED_VALUE"""),44110.66666666667)</f>
        <v>44110.66667</v>
      </c>
      <c r="B5" s="1">
        <f>IFERROR(__xludf.DUMMYFUNCTION("""COMPUTED_VALUE"""),26.42)</f>
        <v>26.42</v>
      </c>
    </row>
    <row r="6">
      <c r="A6" s="2">
        <f>IFERROR(__xludf.DUMMYFUNCTION("""COMPUTED_VALUE"""),44111.66666666667)</f>
        <v>44111.66667</v>
      </c>
      <c r="B6" s="1">
        <f>IFERROR(__xludf.DUMMYFUNCTION("""COMPUTED_VALUE"""),26.29)</f>
        <v>26.29</v>
      </c>
    </row>
    <row r="7">
      <c r="A7" s="2">
        <f>IFERROR(__xludf.DUMMYFUNCTION("""COMPUTED_VALUE"""),44112.66666666667)</f>
        <v>44112.66667</v>
      </c>
      <c r="B7" s="1">
        <f>IFERROR(__xludf.DUMMYFUNCTION("""COMPUTED_VALUE"""),26.71)</f>
        <v>26.71</v>
      </c>
    </row>
    <row r="8">
      <c r="A8" s="2">
        <f>IFERROR(__xludf.DUMMYFUNCTION("""COMPUTED_VALUE"""),44113.66666666667)</f>
        <v>44113.66667</v>
      </c>
      <c r="B8" s="1">
        <f>IFERROR(__xludf.DUMMYFUNCTION("""COMPUTED_VALUE"""),26.77)</f>
        <v>26.77</v>
      </c>
    </row>
    <row r="9">
      <c r="A9" s="2">
        <f>IFERROR(__xludf.DUMMYFUNCTION("""COMPUTED_VALUE"""),44116.66666666667)</f>
        <v>44116.66667</v>
      </c>
      <c r="B9" s="1">
        <f>IFERROR(__xludf.DUMMYFUNCTION("""COMPUTED_VALUE"""),27.03)</f>
        <v>27.03</v>
      </c>
    </row>
    <row r="10">
      <c r="A10" s="2">
        <f>IFERROR(__xludf.DUMMYFUNCTION("""COMPUTED_VALUE"""),44117.66666666667)</f>
        <v>44117.66667</v>
      </c>
      <c r="B10" s="1">
        <f>IFERROR(__xludf.DUMMYFUNCTION("""COMPUTED_VALUE"""),27.81)</f>
        <v>27.81</v>
      </c>
    </row>
    <row r="11">
      <c r="A11" s="2">
        <f>IFERROR(__xludf.DUMMYFUNCTION("""COMPUTED_VALUE"""),44118.66666666667)</f>
        <v>44118.66667</v>
      </c>
      <c r="B11" s="1">
        <f>IFERROR(__xludf.DUMMYFUNCTION("""COMPUTED_VALUE"""),28.08)</f>
        <v>28.08</v>
      </c>
    </row>
    <row r="12">
      <c r="A12" s="2">
        <f>IFERROR(__xludf.DUMMYFUNCTION("""COMPUTED_VALUE"""),44119.66666666667)</f>
        <v>44119.66667</v>
      </c>
      <c r="B12" s="1">
        <f>IFERROR(__xludf.DUMMYFUNCTION("""COMPUTED_VALUE"""),27.64)</f>
        <v>27.64</v>
      </c>
    </row>
    <row r="13">
      <c r="A13" s="2">
        <f>IFERROR(__xludf.DUMMYFUNCTION("""COMPUTED_VALUE"""),44120.66666666667)</f>
        <v>44120.66667</v>
      </c>
      <c r="B13" s="1">
        <f>IFERROR(__xludf.DUMMYFUNCTION("""COMPUTED_VALUE"""),27.8)</f>
        <v>27.8</v>
      </c>
    </row>
    <row r="14">
      <c r="A14" s="2">
        <f>IFERROR(__xludf.DUMMYFUNCTION("""COMPUTED_VALUE"""),44123.66666666667)</f>
        <v>44123.66667</v>
      </c>
      <c r="B14" s="1">
        <f>IFERROR(__xludf.DUMMYFUNCTION("""COMPUTED_VALUE"""),27.83)</f>
        <v>27.83</v>
      </c>
    </row>
    <row r="15">
      <c r="A15" s="2">
        <f>IFERROR(__xludf.DUMMYFUNCTION("""COMPUTED_VALUE"""),44124.66666666667)</f>
        <v>44124.66667</v>
      </c>
      <c r="B15" s="1">
        <f>IFERROR(__xludf.DUMMYFUNCTION("""COMPUTED_VALUE"""),27.55)</f>
        <v>27.55</v>
      </c>
    </row>
    <row r="16">
      <c r="A16" s="2">
        <f>IFERROR(__xludf.DUMMYFUNCTION("""COMPUTED_VALUE"""),44125.66666666667)</f>
        <v>44125.66667</v>
      </c>
      <c r="B16" s="1">
        <f>IFERROR(__xludf.DUMMYFUNCTION("""COMPUTED_VALUE"""),27.47)</f>
        <v>27.47</v>
      </c>
    </row>
    <row r="17">
      <c r="A17" s="2">
        <f>IFERROR(__xludf.DUMMYFUNCTION("""COMPUTED_VALUE"""),44126.66666666667)</f>
        <v>44126.66667</v>
      </c>
      <c r="B17" s="1">
        <f>IFERROR(__xludf.DUMMYFUNCTION("""COMPUTED_VALUE"""),27.12)</f>
        <v>27.12</v>
      </c>
    </row>
    <row r="18">
      <c r="A18" s="2">
        <f>IFERROR(__xludf.DUMMYFUNCTION("""COMPUTED_VALUE"""),44127.66666666667)</f>
        <v>44127.66667</v>
      </c>
      <c r="B18" s="1">
        <f>IFERROR(__xludf.DUMMYFUNCTION("""COMPUTED_VALUE"""),27.19)</f>
        <v>27.19</v>
      </c>
    </row>
    <row r="19">
      <c r="A19" s="2">
        <f>IFERROR(__xludf.DUMMYFUNCTION("""COMPUTED_VALUE"""),44130.66666666667)</f>
        <v>44130.66667</v>
      </c>
      <c r="B19" s="1">
        <f>IFERROR(__xludf.DUMMYFUNCTION("""COMPUTED_VALUE"""),27.03)</f>
        <v>27.03</v>
      </c>
    </row>
    <row r="20">
      <c r="A20" s="2">
        <f>IFERROR(__xludf.DUMMYFUNCTION("""COMPUTED_VALUE"""),44131.66666666667)</f>
        <v>44131.66667</v>
      </c>
      <c r="B20" s="1">
        <f>IFERROR(__xludf.DUMMYFUNCTION("""COMPUTED_VALUE"""),26.74)</f>
        <v>26.74</v>
      </c>
    </row>
    <row r="21">
      <c r="A21" s="2">
        <f>IFERROR(__xludf.DUMMYFUNCTION("""COMPUTED_VALUE"""),44132.66666666667)</f>
        <v>44132.66667</v>
      </c>
      <c r="B21" s="1">
        <f>IFERROR(__xludf.DUMMYFUNCTION("""COMPUTED_VALUE"""),26.76)</f>
        <v>26.76</v>
      </c>
    </row>
    <row r="22">
      <c r="A22" s="2">
        <f>IFERROR(__xludf.DUMMYFUNCTION("""COMPUTED_VALUE"""),44133.66666666667)</f>
        <v>44133.66667</v>
      </c>
      <c r="B22" s="1">
        <f>IFERROR(__xludf.DUMMYFUNCTION("""COMPUTED_VALUE"""),26.4)</f>
        <v>26.4</v>
      </c>
    </row>
    <row r="23">
      <c r="A23" s="2">
        <f>IFERROR(__xludf.DUMMYFUNCTION("""COMPUTED_VALUE"""),44134.66666666667)</f>
        <v>44134.66667</v>
      </c>
      <c r="B23" s="1">
        <f>IFERROR(__xludf.DUMMYFUNCTION("""COMPUTED_VALUE"""),26.34)</f>
        <v>26.34</v>
      </c>
    </row>
    <row r="24">
      <c r="A24" s="2">
        <f>IFERROR(__xludf.DUMMYFUNCTION("""COMPUTED_VALUE"""),44137.66666666667)</f>
        <v>44137.66667</v>
      </c>
      <c r="B24" s="1">
        <f>IFERROR(__xludf.DUMMYFUNCTION("""COMPUTED_VALUE"""),26.18)</f>
        <v>26.18</v>
      </c>
    </row>
    <row r="25">
      <c r="A25" s="2">
        <f>IFERROR(__xludf.DUMMYFUNCTION("""COMPUTED_VALUE"""),44138.66666666667)</f>
        <v>44138.66667</v>
      </c>
      <c r="B25" s="1">
        <f>IFERROR(__xludf.DUMMYFUNCTION("""COMPUTED_VALUE"""),26.1)</f>
        <v>26.1</v>
      </c>
    </row>
    <row r="26">
      <c r="A26" s="2">
        <f>IFERROR(__xludf.DUMMYFUNCTION("""COMPUTED_VALUE"""),44139.66666666667)</f>
        <v>44139.66667</v>
      </c>
      <c r="B26" s="1">
        <f>IFERROR(__xludf.DUMMYFUNCTION("""COMPUTED_VALUE"""),26.93)</f>
        <v>26.93</v>
      </c>
    </row>
    <row r="27">
      <c r="A27" s="2">
        <f>IFERROR(__xludf.DUMMYFUNCTION("""COMPUTED_VALUE"""),44140.66666666667)</f>
        <v>44140.66667</v>
      </c>
      <c r="B27" s="1">
        <f>IFERROR(__xludf.DUMMYFUNCTION("""COMPUTED_VALUE"""),27.59)</f>
        <v>27.59</v>
      </c>
    </row>
    <row r="28">
      <c r="A28" s="2">
        <f>IFERROR(__xludf.DUMMYFUNCTION("""COMPUTED_VALUE"""),44141.66666666667)</f>
        <v>44141.66667</v>
      </c>
      <c r="B28" s="1">
        <f>IFERROR(__xludf.DUMMYFUNCTION("""COMPUTED_VALUE"""),27.21)</f>
        <v>27.21</v>
      </c>
    </row>
    <row r="29">
      <c r="A29" s="2">
        <f>IFERROR(__xludf.DUMMYFUNCTION("""COMPUTED_VALUE"""),44144.66666666667)</f>
        <v>44144.66667</v>
      </c>
      <c r="B29" s="1">
        <f>IFERROR(__xludf.DUMMYFUNCTION("""COMPUTED_VALUE"""),28.15)</f>
        <v>28.15</v>
      </c>
    </row>
    <row r="30">
      <c r="A30" s="2">
        <f>IFERROR(__xludf.DUMMYFUNCTION("""COMPUTED_VALUE"""),44145.66666666667)</f>
        <v>44145.66667</v>
      </c>
      <c r="B30" s="1">
        <f>IFERROR(__xludf.DUMMYFUNCTION("""COMPUTED_VALUE"""),26.73)</f>
        <v>26.73</v>
      </c>
    </row>
    <row r="31">
      <c r="A31" s="2">
        <f>IFERROR(__xludf.DUMMYFUNCTION("""COMPUTED_VALUE"""),44146.66666666667)</f>
        <v>44146.66667</v>
      </c>
      <c r="B31" s="1">
        <f>IFERROR(__xludf.DUMMYFUNCTION("""COMPUTED_VALUE"""),26.46)</f>
        <v>26.46</v>
      </c>
    </row>
    <row r="32">
      <c r="A32" s="2">
        <f>IFERROR(__xludf.DUMMYFUNCTION("""COMPUTED_VALUE"""),44147.66666666667)</f>
        <v>44147.66667</v>
      </c>
      <c r="B32" s="1">
        <f>IFERROR(__xludf.DUMMYFUNCTION("""COMPUTED_VALUE"""),26.91)</f>
        <v>26.91</v>
      </c>
    </row>
    <row r="33">
      <c r="A33" s="2">
        <f>IFERROR(__xludf.DUMMYFUNCTION("""COMPUTED_VALUE"""),44148.66666666667)</f>
        <v>44148.66667</v>
      </c>
      <c r="B33" s="1">
        <f>IFERROR(__xludf.DUMMYFUNCTION("""COMPUTED_VALUE"""),27.17)</f>
        <v>27.17</v>
      </c>
    </row>
    <row r="34">
      <c r="A34" s="2">
        <f>IFERROR(__xludf.DUMMYFUNCTION("""COMPUTED_VALUE"""),44151.66666666667)</f>
        <v>44151.66667</v>
      </c>
      <c r="B34" s="1">
        <f>IFERROR(__xludf.DUMMYFUNCTION("""COMPUTED_VALUE"""),27.41)</f>
        <v>27.41</v>
      </c>
    </row>
    <row r="35">
      <c r="A35" s="2">
        <f>IFERROR(__xludf.DUMMYFUNCTION("""COMPUTED_VALUE"""),44152.66666666667)</f>
        <v>44152.66667</v>
      </c>
      <c r="B35" s="1">
        <f>IFERROR(__xludf.DUMMYFUNCTION("""COMPUTED_VALUE"""),27.18)</f>
        <v>27.18</v>
      </c>
    </row>
    <row r="36">
      <c r="A36" s="2">
        <f>IFERROR(__xludf.DUMMYFUNCTION("""COMPUTED_VALUE"""),44153.66666666667)</f>
        <v>44153.66667</v>
      </c>
      <c r="B36" s="1">
        <f>IFERROR(__xludf.DUMMYFUNCTION("""COMPUTED_VALUE"""),27.19)</f>
        <v>27.19</v>
      </c>
    </row>
    <row r="37">
      <c r="A37" s="2">
        <f>IFERROR(__xludf.DUMMYFUNCTION("""COMPUTED_VALUE"""),44154.66666666667)</f>
        <v>44154.66667</v>
      </c>
      <c r="B37" s="1">
        <f>IFERROR(__xludf.DUMMYFUNCTION("""COMPUTED_VALUE"""),26.92)</f>
        <v>26.92</v>
      </c>
    </row>
    <row r="38">
      <c r="A38" s="2">
        <f>IFERROR(__xludf.DUMMYFUNCTION("""COMPUTED_VALUE"""),44155.66666666667)</f>
        <v>44155.66667</v>
      </c>
      <c r="B38" s="1">
        <f>IFERROR(__xludf.DUMMYFUNCTION("""COMPUTED_VALUE"""),27.26)</f>
        <v>27.26</v>
      </c>
    </row>
    <row r="39">
      <c r="A39" s="2">
        <f>IFERROR(__xludf.DUMMYFUNCTION("""COMPUTED_VALUE"""),44158.66666666667)</f>
        <v>44158.66667</v>
      </c>
      <c r="B39" s="1">
        <f>IFERROR(__xludf.DUMMYFUNCTION("""COMPUTED_VALUE"""),27.08)</f>
        <v>27.08</v>
      </c>
    </row>
    <row r="40">
      <c r="A40" s="2">
        <f>IFERROR(__xludf.DUMMYFUNCTION("""COMPUTED_VALUE"""),44159.66666666667)</f>
        <v>44159.66667</v>
      </c>
      <c r="B40" s="1">
        <f>IFERROR(__xludf.DUMMYFUNCTION("""COMPUTED_VALUE"""),27.12)</f>
        <v>27.12</v>
      </c>
    </row>
    <row r="41">
      <c r="A41" s="2">
        <f>IFERROR(__xludf.DUMMYFUNCTION("""COMPUTED_VALUE"""),44160.66666666667)</f>
        <v>44160.66667</v>
      </c>
      <c r="B41" s="1">
        <f>IFERROR(__xludf.DUMMYFUNCTION("""COMPUTED_VALUE"""),27.32)</f>
        <v>27.32</v>
      </c>
    </row>
    <row r="42">
      <c r="A42" s="2">
        <f>IFERROR(__xludf.DUMMYFUNCTION("""COMPUTED_VALUE"""),44161.66666666667)</f>
        <v>44161.66667</v>
      </c>
      <c r="B42" s="1">
        <f>IFERROR(__xludf.DUMMYFUNCTION("""COMPUTED_VALUE"""),27.44)</f>
        <v>27.44</v>
      </c>
    </row>
    <row r="43">
      <c r="A43" s="2">
        <f>IFERROR(__xludf.DUMMYFUNCTION("""COMPUTED_VALUE"""),44162.66666666667)</f>
        <v>44162.66667</v>
      </c>
      <c r="B43" s="1">
        <f>IFERROR(__xludf.DUMMYFUNCTION("""COMPUTED_VALUE"""),27.35)</f>
        <v>27.35</v>
      </c>
    </row>
    <row r="44">
      <c r="A44" s="2">
        <f>IFERROR(__xludf.DUMMYFUNCTION("""COMPUTED_VALUE"""),44165.66666666667)</f>
        <v>44165.66667</v>
      </c>
      <c r="B44" s="1">
        <f>IFERROR(__xludf.DUMMYFUNCTION("""COMPUTED_VALUE"""),27.43)</f>
        <v>27.43</v>
      </c>
    </row>
    <row r="45">
      <c r="A45" s="2">
        <f>IFERROR(__xludf.DUMMYFUNCTION("""COMPUTED_VALUE"""),44166.66666666667)</f>
        <v>44166.66667</v>
      </c>
      <c r="B45" s="1">
        <f>IFERROR(__xludf.DUMMYFUNCTION("""COMPUTED_VALUE"""),27.82)</f>
        <v>27.82</v>
      </c>
    </row>
    <row r="46">
      <c r="A46" s="2">
        <f>IFERROR(__xludf.DUMMYFUNCTION("""COMPUTED_VALUE"""),44167.66666666667)</f>
        <v>44167.66667</v>
      </c>
      <c r="B46" s="1">
        <f>IFERROR(__xludf.DUMMYFUNCTION("""COMPUTED_VALUE"""),27.93)</f>
        <v>27.93</v>
      </c>
    </row>
    <row r="47">
      <c r="A47" s="2">
        <f>IFERROR(__xludf.DUMMYFUNCTION("""COMPUTED_VALUE"""),44168.66666666667)</f>
        <v>44168.66667</v>
      </c>
      <c r="B47" s="1">
        <f>IFERROR(__xludf.DUMMYFUNCTION("""COMPUTED_VALUE"""),27.87)</f>
        <v>27.87</v>
      </c>
    </row>
    <row r="48">
      <c r="A48" s="2">
        <f>IFERROR(__xludf.DUMMYFUNCTION("""COMPUTED_VALUE"""),44169.66666666667)</f>
        <v>44169.66667</v>
      </c>
      <c r="B48" s="1">
        <f>IFERROR(__xludf.DUMMYFUNCTION("""COMPUTED_VALUE"""),27.87)</f>
        <v>27.87</v>
      </c>
    </row>
    <row r="49">
      <c r="A49" s="2">
        <f>IFERROR(__xludf.DUMMYFUNCTION("""COMPUTED_VALUE"""),44172.66666666667)</f>
        <v>44172.66667</v>
      </c>
      <c r="B49" s="1">
        <f>IFERROR(__xludf.DUMMYFUNCTION("""COMPUTED_VALUE"""),27.92)</f>
        <v>27.92</v>
      </c>
    </row>
    <row r="50">
      <c r="A50" s="2">
        <f>IFERROR(__xludf.DUMMYFUNCTION("""COMPUTED_VALUE"""),44173.66666666667)</f>
        <v>44173.66667</v>
      </c>
      <c r="B50" s="1">
        <f>IFERROR(__xludf.DUMMYFUNCTION("""COMPUTED_VALUE"""),28.05)</f>
        <v>28.05</v>
      </c>
    </row>
    <row r="51">
      <c r="A51" s="2">
        <f>IFERROR(__xludf.DUMMYFUNCTION("""COMPUTED_VALUE"""),44174.66666666667)</f>
        <v>44174.66667</v>
      </c>
      <c r="B51" s="1">
        <f>IFERROR(__xludf.DUMMYFUNCTION("""COMPUTED_VALUE"""),28.16)</f>
        <v>28.16</v>
      </c>
    </row>
    <row r="52">
      <c r="A52" s="2">
        <f>IFERROR(__xludf.DUMMYFUNCTION("""COMPUTED_VALUE"""),44175.66666666667)</f>
        <v>44175.66667</v>
      </c>
      <c r="B52" s="1">
        <f>IFERROR(__xludf.DUMMYFUNCTION("""COMPUTED_VALUE"""),27.39)</f>
        <v>27.39</v>
      </c>
    </row>
    <row r="53">
      <c r="A53" s="2">
        <f>IFERROR(__xludf.DUMMYFUNCTION("""COMPUTED_VALUE"""),44176.66666666667)</f>
        <v>44176.66667</v>
      </c>
      <c r="B53" s="1">
        <f>IFERROR(__xludf.DUMMYFUNCTION("""COMPUTED_VALUE"""),27.13)</f>
        <v>27.13</v>
      </c>
    </row>
    <row r="54">
      <c r="A54" s="2">
        <f>IFERROR(__xludf.DUMMYFUNCTION("""COMPUTED_VALUE"""),44179.66666666667)</f>
        <v>44179.66667</v>
      </c>
      <c r="B54" s="1">
        <f>IFERROR(__xludf.DUMMYFUNCTION("""COMPUTED_VALUE"""),27.28)</f>
        <v>27.28</v>
      </c>
    </row>
    <row r="55">
      <c r="A55" s="2">
        <f>IFERROR(__xludf.DUMMYFUNCTION("""COMPUTED_VALUE"""),44180.66666666667)</f>
        <v>44180.66667</v>
      </c>
      <c r="B55" s="1">
        <f>IFERROR(__xludf.DUMMYFUNCTION("""COMPUTED_VALUE"""),27.44)</f>
        <v>27.44</v>
      </c>
    </row>
    <row r="56">
      <c r="A56" s="2">
        <f>IFERROR(__xludf.DUMMYFUNCTION("""COMPUTED_VALUE"""),44181.66666666667)</f>
        <v>44181.66667</v>
      </c>
      <c r="B56" s="1">
        <f>IFERROR(__xludf.DUMMYFUNCTION("""COMPUTED_VALUE"""),27.62)</f>
        <v>27.62</v>
      </c>
    </row>
    <row r="57">
      <c r="A57" s="2">
        <f>IFERROR(__xludf.DUMMYFUNCTION("""COMPUTED_VALUE"""),44182.66666666667)</f>
        <v>44182.66667</v>
      </c>
      <c r="B57" s="1">
        <f>IFERROR(__xludf.DUMMYFUNCTION("""COMPUTED_VALUE"""),27.73)</f>
        <v>27.73</v>
      </c>
    </row>
    <row r="58">
      <c r="A58" s="2">
        <f>IFERROR(__xludf.DUMMYFUNCTION("""COMPUTED_VALUE"""),44183.66666666667)</f>
        <v>44183.66667</v>
      </c>
      <c r="B58" s="1">
        <f>IFERROR(__xludf.DUMMYFUNCTION("""COMPUTED_VALUE"""),27.76)</f>
        <v>27.76</v>
      </c>
    </row>
    <row r="59">
      <c r="A59" s="2">
        <f>IFERROR(__xludf.DUMMYFUNCTION("""COMPUTED_VALUE"""),44186.66666666667)</f>
        <v>44186.66667</v>
      </c>
      <c r="B59" s="1">
        <f>IFERROR(__xludf.DUMMYFUNCTION("""COMPUTED_VALUE"""),27.94)</f>
        <v>27.94</v>
      </c>
    </row>
    <row r="60">
      <c r="A60" s="2">
        <f>IFERROR(__xludf.DUMMYFUNCTION("""COMPUTED_VALUE"""),44187.66666666667)</f>
        <v>44187.66667</v>
      </c>
      <c r="B60" s="1">
        <f>IFERROR(__xludf.DUMMYFUNCTION("""COMPUTED_VALUE"""),27.81)</f>
        <v>27.81</v>
      </c>
    </row>
    <row r="61">
      <c r="A61" s="2">
        <f>IFERROR(__xludf.DUMMYFUNCTION("""COMPUTED_VALUE"""),44188.66666666667)</f>
        <v>44188.66667</v>
      </c>
      <c r="B61" s="1">
        <f>IFERROR(__xludf.DUMMYFUNCTION("""COMPUTED_VALUE"""),27.85)</f>
        <v>27.85</v>
      </c>
    </row>
    <row r="62">
      <c r="A62" s="2">
        <f>IFERROR(__xludf.DUMMYFUNCTION("""COMPUTED_VALUE"""),44189.66666666667)</f>
        <v>44189.66667</v>
      </c>
      <c r="B62" s="1">
        <f>IFERROR(__xludf.DUMMYFUNCTION("""COMPUTED_VALUE"""),27.65)</f>
        <v>27.65</v>
      </c>
    </row>
    <row r="63">
      <c r="A63" s="2">
        <f>IFERROR(__xludf.DUMMYFUNCTION("""COMPUTED_VALUE"""),44194.66666666667)</f>
        <v>44194.66667</v>
      </c>
      <c r="B63" s="1">
        <f>IFERROR(__xludf.DUMMYFUNCTION("""COMPUTED_VALUE"""),28.07)</f>
        <v>28.07</v>
      </c>
    </row>
    <row r="64">
      <c r="A64" s="2">
        <f>IFERROR(__xludf.DUMMYFUNCTION("""COMPUTED_VALUE"""),44195.66666666667)</f>
        <v>44195.66667</v>
      </c>
      <c r="B64" s="1">
        <f>IFERROR(__xludf.DUMMYFUNCTION("""COMPUTED_VALUE"""),27.87)</f>
        <v>27.87</v>
      </c>
    </row>
    <row r="65">
      <c r="A65" s="2">
        <f>IFERROR(__xludf.DUMMYFUNCTION("""COMPUTED_VALUE"""),44196.66666666667)</f>
        <v>44196.66667</v>
      </c>
      <c r="B65" s="1">
        <f>IFERROR(__xludf.DUMMYFUNCTION("""COMPUTED_VALUE"""),27.68)</f>
        <v>27.68</v>
      </c>
    </row>
    <row r="66">
      <c r="A66" s="2">
        <f>IFERROR(__xludf.DUMMYFUNCTION("""COMPUTED_VALUE"""),44200.66666666667)</f>
        <v>44200.66667</v>
      </c>
      <c r="B66" s="1">
        <f>IFERROR(__xludf.DUMMYFUNCTION("""COMPUTED_VALUE"""),27.67)</f>
        <v>27.67</v>
      </c>
    </row>
    <row r="67">
      <c r="A67" s="2">
        <f>IFERROR(__xludf.DUMMYFUNCTION("""COMPUTED_VALUE"""),44201.66666666667)</f>
        <v>44201.66667</v>
      </c>
      <c r="B67" s="1">
        <f>IFERROR(__xludf.DUMMYFUNCTION("""COMPUTED_VALUE"""),27.28)</f>
        <v>27.28</v>
      </c>
    </row>
    <row r="68">
      <c r="A68" s="2">
        <f>IFERROR(__xludf.DUMMYFUNCTION("""COMPUTED_VALUE"""),44202.66666666667)</f>
        <v>44202.66667</v>
      </c>
      <c r="B68" s="1">
        <f>IFERROR(__xludf.DUMMYFUNCTION("""COMPUTED_VALUE"""),26.91)</f>
        <v>26.91</v>
      </c>
    </row>
    <row r="69">
      <c r="A69" s="2">
        <f>IFERROR(__xludf.DUMMYFUNCTION("""COMPUTED_VALUE"""),44203.66666666667)</f>
        <v>44203.66667</v>
      </c>
      <c r="B69" s="1">
        <f>IFERROR(__xludf.DUMMYFUNCTION("""COMPUTED_VALUE"""),26.99)</f>
        <v>26.99</v>
      </c>
    </row>
    <row r="70">
      <c r="A70" s="2">
        <f>IFERROR(__xludf.DUMMYFUNCTION("""COMPUTED_VALUE"""),44204.66666666667)</f>
        <v>44204.66667</v>
      </c>
      <c r="B70" s="1">
        <f>IFERROR(__xludf.DUMMYFUNCTION("""COMPUTED_VALUE"""),27.64)</f>
        <v>27.64</v>
      </c>
    </row>
    <row r="71">
      <c r="A71" s="2">
        <f>IFERROR(__xludf.DUMMYFUNCTION("""COMPUTED_VALUE"""),44207.66666666667)</f>
        <v>44207.66667</v>
      </c>
      <c r="B71" s="1">
        <f>IFERROR(__xludf.DUMMYFUNCTION("""COMPUTED_VALUE"""),28.04)</f>
        <v>28.04</v>
      </c>
    </row>
    <row r="72">
      <c r="A72" s="2">
        <f>IFERROR(__xludf.DUMMYFUNCTION("""COMPUTED_VALUE"""),44208.66666666667)</f>
        <v>44208.66667</v>
      </c>
      <c r="B72" s="1">
        <f>IFERROR(__xludf.DUMMYFUNCTION("""COMPUTED_VALUE"""),27.8)</f>
        <v>27.8</v>
      </c>
    </row>
    <row r="73">
      <c r="A73" s="2">
        <f>IFERROR(__xludf.DUMMYFUNCTION("""COMPUTED_VALUE"""),44209.66666666667)</f>
        <v>44209.66667</v>
      </c>
      <c r="B73" s="1">
        <f>IFERROR(__xludf.DUMMYFUNCTION("""COMPUTED_VALUE"""),27.59)</f>
        <v>27.59</v>
      </c>
    </row>
    <row r="74">
      <c r="A74" s="2">
        <f>IFERROR(__xludf.DUMMYFUNCTION("""COMPUTED_VALUE"""),44210.66666666667)</f>
        <v>44210.66667</v>
      </c>
      <c r="B74" s="1">
        <f>IFERROR(__xludf.DUMMYFUNCTION("""COMPUTED_VALUE"""),27.66)</f>
        <v>27.66</v>
      </c>
    </row>
    <row r="75">
      <c r="A75" s="2">
        <f>IFERROR(__xludf.DUMMYFUNCTION("""COMPUTED_VALUE"""),44211.66666666667)</f>
        <v>44211.66667</v>
      </c>
      <c r="B75" s="1">
        <f>IFERROR(__xludf.DUMMYFUNCTION("""COMPUTED_VALUE"""),27.46)</f>
        <v>27.46</v>
      </c>
    </row>
    <row r="76">
      <c r="A76" s="2">
        <f>IFERROR(__xludf.DUMMYFUNCTION("""COMPUTED_VALUE"""),44214.66666666667)</f>
        <v>44214.66667</v>
      </c>
      <c r="B76" s="1">
        <f>IFERROR(__xludf.DUMMYFUNCTION("""COMPUTED_VALUE"""),27.5)</f>
        <v>27.5</v>
      </c>
    </row>
    <row r="77">
      <c r="A77" s="2">
        <f>IFERROR(__xludf.DUMMYFUNCTION("""COMPUTED_VALUE"""),44215.66666666667)</f>
        <v>44215.66667</v>
      </c>
      <c r="B77" s="1">
        <f>IFERROR(__xludf.DUMMYFUNCTION("""COMPUTED_VALUE"""),27.74)</f>
        <v>27.74</v>
      </c>
    </row>
    <row r="78">
      <c r="A78" s="2">
        <f>IFERROR(__xludf.DUMMYFUNCTION("""COMPUTED_VALUE"""),44216.66666666667)</f>
        <v>44216.66667</v>
      </c>
      <c r="B78" s="1">
        <f>IFERROR(__xludf.DUMMYFUNCTION("""COMPUTED_VALUE"""),27.94)</f>
        <v>27.94</v>
      </c>
    </row>
    <row r="79">
      <c r="A79" s="2">
        <f>IFERROR(__xludf.DUMMYFUNCTION("""COMPUTED_VALUE"""),44217.66666666667)</f>
        <v>44217.66667</v>
      </c>
      <c r="B79" s="1">
        <f>IFERROR(__xludf.DUMMYFUNCTION("""COMPUTED_VALUE"""),28.51)</f>
        <v>28.51</v>
      </c>
    </row>
    <row r="80">
      <c r="A80" s="2">
        <f>IFERROR(__xludf.DUMMYFUNCTION("""COMPUTED_VALUE"""),44218.66666666667)</f>
        <v>44218.66667</v>
      </c>
      <c r="B80" s="1">
        <f>IFERROR(__xludf.DUMMYFUNCTION("""COMPUTED_VALUE"""),28.54)</f>
        <v>28.54</v>
      </c>
    </row>
    <row r="81">
      <c r="A81" s="2">
        <f>IFERROR(__xludf.DUMMYFUNCTION("""COMPUTED_VALUE"""),44221.66666666667)</f>
        <v>44221.66667</v>
      </c>
      <c r="B81" s="1">
        <f>IFERROR(__xludf.DUMMYFUNCTION("""COMPUTED_VALUE"""),28.8)</f>
        <v>28.8</v>
      </c>
    </row>
    <row r="82">
      <c r="A82" s="2">
        <f>IFERROR(__xludf.DUMMYFUNCTION("""COMPUTED_VALUE"""),44223.66666666667)</f>
        <v>44223.66667</v>
      </c>
      <c r="B82" s="1">
        <f>IFERROR(__xludf.DUMMYFUNCTION("""COMPUTED_VALUE"""),29.0)</f>
        <v>29</v>
      </c>
    </row>
    <row r="83">
      <c r="A83" s="2">
        <f>IFERROR(__xludf.DUMMYFUNCTION("""COMPUTED_VALUE"""),44224.66666666667)</f>
        <v>44224.66667</v>
      </c>
      <c r="B83" s="1">
        <f>IFERROR(__xludf.DUMMYFUNCTION("""COMPUTED_VALUE"""),28.28)</f>
        <v>28.28</v>
      </c>
    </row>
    <row r="84">
      <c r="A84" s="2">
        <f>IFERROR(__xludf.DUMMYFUNCTION("""COMPUTED_VALUE"""),44225.66666666667)</f>
        <v>44225.66667</v>
      </c>
      <c r="B84" s="1">
        <f>IFERROR(__xludf.DUMMYFUNCTION("""COMPUTED_VALUE"""),28.14)</f>
        <v>28.14</v>
      </c>
    </row>
    <row r="85">
      <c r="A85" s="2">
        <f>IFERROR(__xludf.DUMMYFUNCTION("""COMPUTED_VALUE"""),44228.66666666667)</f>
        <v>44228.66667</v>
      </c>
      <c r="B85" s="1">
        <f>IFERROR(__xludf.DUMMYFUNCTION("""COMPUTED_VALUE"""),28.06)</f>
        <v>28.06</v>
      </c>
    </row>
    <row r="86">
      <c r="A86" s="2">
        <f>IFERROR(__xludf.DUMMYFUNCTION("""COMPUTED_VALUE"""),44229.66666666667)</f>
        <v>44229.66667</v>
      </c>
      <c r="B86" s="1">
        <f>IFERROR(__xludf.DUMMYFUNCTION("""COMPUTED_VALUE"""),28.94)</f>
        <v>28.94</v>
      </c>
    </row>
    <row r="87">
      <c r="A87" s="2">
        <f>IFERROR(__xludf.DUMMYFUNCTION("""COMPUTED_VALUE"""),44230.66666666667)</f>
        <v>44230.66667</v>
      </c>
      <c r="B87" s="1">
        <f>IFERROR(__xludf.DUMMYFUNCTION("""COMPUTED_VALUE"""),29.38)</f>
        <v>29.38</v>
      </c>
    </row>
    <row r="88">
      <c r="A88" s="2">
        <f>IFERROR(__xludf.DUMMYFUNCTION("""COMPUTED_VALUE"""),44231.66666666667)</f>
        <v>44231.66667</v>
      </c>
      <c r="B88" s="1">
        <f>IFERROR(__xludf.DUMMYFUNCTION("""COMPUTED_VALUE"""),29.01)</f>
        <v>29.01</v>
      </c>
    </row>
    <row r="89">
      <c r="A89" s="2">
        <f>IFERROR(__xludf.DUMMYFUNCTION("""COMPUTED_VALUE"""),44232.66666666667)</f>
        <v>44232.66667</v>
      </c>
      <c r="B89" s="1">
        <f>IFERROR(__xludf.DUMMYFUNCTION("""COMPUTED_VALUE"""),29.6)</f>
        <v>29.6</v>
      </c>
    </row>
    <row r="90">
      <c r="A90" s="2">
        <f>IFERROR(__xludf.DUMMYFUNCTION("""COMPUTED_VALUE"""),44235.66666666667)</f>
        <v>44235.66667</v>
      </c>
      <c r="B90" s="1">
        <f>IFERROR(__xludf.DUMMYFUNCTION("""COMPUTED_VALUE"""),29.5)</f>
        <v>29.5</v>
      </c>
    </row>
    <row r="91">
      <c r="A91" s="2">
        <f>IFERROR(__xludf.DUMMYFUNCTION("""COMPUTED_VALUE"""),44236.66666666667)</f>
        <v>44236.66667</v>
      </c>
      <c r="B91" s="1">
        <f>IFERROR(__xludf.DUMMYFUNCTION("""COMPUTED_VALUE"""),29.31)</f>
        <v>29.31</v>
      </c>
    </row>
    <row r="92">
      <c r="A92" s="2">
        <f>IFERROR(__xludf.DUMMYFUNCTION("""COMPUTED_VALUE"""),44237.66666666667)</f>
        <v>44237.66667</v>
      </c>
      <c r="B92" s="1">
        <f>IFERROR(__xludf.DUMMYFUNCTION("""COMPUTED_VALUE"""),29.39)</f>
        <v>29.39</v>
      </c>
    </row>
    <row r="93">
      <c r="A93" s="2">
        <f>IFERROR(__xludf.DUMMYFUNCTION("""COMPUTED_VALUE"""),44238.66666666667)</f>
        <v>44238.66667</v>
      </c>
      <c r="B93" s="1">
        <f>IFERROR(__xludf.DUMMYFUNCTION("""COMPUTED_VALUE"""),29.25)</f>
        <v>29.25</v>
      </c>
    </row>
    <row r="94">
      <c r="A94" s="2">
        <f>IFERROR(__xludf.DUMMYFUNCTION("""COMPUTED_VALUE"""),44239.66666666667)</f>
        <v>44239.66667</v>
      </c>
      <c r="B94" s="1">
        <f>IFERROR(__xludf.DUMMYFUNCTION("""COMPUTED_VALUE"""),29.29)</f>
        <v>29.29</v>
      </c>
    </row>
    <row r="95">
      <c r="A95" s="2">
        <f>IFERROR(__xludf.DUMMYFUNCTION("""COMPUTED_VALUE"""),44242.66666666667)</f>
        <v>44242.66667</v>
      </c>
      <c r="B95" s="1">
        <f>IFERROR(__xludf.DUMMYFUNCTION("""COMPUTED_VALUE"""),29.51)</f>
        <v>29.51</v>
      </c>
    </row>
    <row r="96">
      <c r="A96" s="2">
        <f>IFERROR(__xludf.DUMMYFUNCTION("""COMPUTED_VALUE"""),44243.66666666667)</f>
        <v>44243.66667</v>
      </c>
      <c r="B96" s="1">
        <f>IFERROR(__xludf.DUMMYFUNCTION("""COMPUTED_VALUE"""),29.5)</f>
        <v>29.5</v>
      </c>
    </row>
    <row r="97">
      <c r="A97" s="2">
        <f>IFERROR(__xludf.DUMMYFUNCTION("""COMPUTED_VALUE"""),44244.66666666667)</f>
        <v>44244.66667</v>
      </c>
      <c r="B97" s="1">
        <f>IFERROR(__xludf.DUMMYFUNCTION("""COMPUTED_VALUE"""),29.39)</f>
        <v>29.39</v>
      </c>
    </row>
    <row r="98">
      <c r="A98" s="2">
        <f>IFERROR(__xludf.DUMMYFUNCTION("""COMPUTED_VALUE"""),44245.66666666667)</f>
        <v>44245.66667</v>
      </c>
      <c r="B98" s="1">
        <f>IFERROR(__xludf.DUMMYFUNCTION("""COMPUTED_VALUE"""),29.13)</f>
        <v>29.13</v>
      </c>
    </row>
    <row r="99">
      <c r="A99" s="2">
        <f>IFERROR(__xludf.DUMMYFUNCTION("""COMPUTED_VALUE"""),44246.66666666667)</f>
        <v>44246.66667</v>
      </c>
      <c r="B99" s="1">
        <f>IFERROR(__xludf.DUMMYFUNCTION("""COMPUTED_VALUE"""),28.95)</f>
        <v>28.95</v>
      </c>
    </row>
    <row r="100">
      <c r="A100" s="2">
        <f>IFERROR(__xludf.DUMMYFUNCTION("""COMPUTED_VALUE"""),44249.66666666667)</f>
        <v>44249.66667</v>
      </c>
      <c r="B100" s="1">
        <f>IFERROR(__xludf.DUMMYFUNCTION("""COMPUTED_VALUE"""),28.45)</f>
        <v>28.45</v>
      </c>
    </row>
    <row r="101">
      <c r="A101" s="2">
        <f>IFERROR(__xludf.DUMMYFUNCTION("""COMPUTED_VALUE"""),44250.66666666667)</f>
        <v>44250.66667</v>
      </c>
      <c r="B101" s="1">
        <f>IFERROR(__xludf.DUMMYFUNCTION("""COMPUTED_VALUE"""),27.88)</f>
        <v>27.88</v>
      </c>
    </row>
    <row r="102">
      <c r="A102" s="2">
        <f>IFERROR(__xludf.DUMMYFUNCTION("""COMPUTED_VALUE"""),44251.66666666667)</f>
        <v>44251.66667</v>
      </c>
      <c r="B102" s="1">
        <f>IFERROR(__xludf.DUMMYFUNCTION("""COMPUTED_VALUE"""),27.49)</f>
        <v>27.49</v>
      </c>
    </row>
    <row r="103">
      <c r="A103" s="2">
        <f>IFERROR(__xludf.DUMMYFUNCTION("""COMPUTED_VALUE"""),44252.66666666667)</f>
        <v>44252.66667</v>
      </c>
      <c r="B103" s="1">
        <f>IFERROR(__xludf.DUMMYFUNCTION("""COMPUTED_VALUE"""),27.72)</f>
        <v>27.72</v>
      </c>
    </row>
    <row r="104">
      <c r="A104" s="2">
        <f>IFERROR(__xludf.DUMMYFUNCTION("""COMPUTED_VALUE"""),44253.66666666667)</f>
        <v>44253.66667</v>
      </c>
      <c r="B104" s="1">
        <f>IFERROR(__xludf.DUMMYFUNCTION("""COMPUTED_VALUE"""),26.94)</f>
        <v>26.94</v>
      </c>
    </row>
    <row r="105">
      <c r="A105" s="2">
        <f>IFERROR(__xludf.DUMMYFUNCTION("""COMPUTED_VALUE"""),44256.66666666667)</f>
        <v>44256.66667</v>
      </c>
      <c r="B105" s="1">
        <f>IFERROR(__xludf.DUMMYFUNCTION("""COMPUTED_VALUE"""),27.9)</f>
        <v>27.9</v>
      </c>
    </row>
    <row r="106">
      <c r="A106" s="2">
        <f>IFERROR(__xludf.DUMMYFUNCTION("""COMPUTED_VALUE"""),44257.66666666667)</f>
        <v>44257.66667</v>
      </c>
      <c r="B106" s="1">
        <f>IFERROR(__xludf.DUMMYFUNCTION("""COMPUTED_VALUE"""),28.25)</f>
        <v>28.25</v>
      </c>
    </row>
    <row r="107">
      <c r="A107" s="2">
        <f>IFERROR(__xludf.DUMMYFUNCTION("""COMPUTED_VALUE"""),44258.66666666667)</f>
        <v>44258.66667</v>
      </c>
      <c r="B107" s="1">
        <f>IFERROR(__xludf.DUMMYFUNCTION("""COMPUTED_VALUE"""),27.84)</f>
        <v>27.84</v>
      </c>
    </row>
    <row r="108">
      <c r="A108" s="2">
        <f>IFERROR(__xludf.DUMMYFUNCTION("""COMPUTED_VALUE"""),44259.66666666667)</f>
        <v>44259.66667</v>
      </c>
      <c r="B108" s="1">
        <f>IFERROR(__xludf.DUMMYFUNCTION("""COMPUTED_VALUE"""),26.72)</f>
        <v>26.72</v>
      </c>
    </row>
    <row r="109">
      <c r="A109" s="2">
        <f>IFERROR(__xludf.DUMMYFUNCTION("""COMPUTED_VALUE"""),44260.66666666667)</f>
        <v>44260.66667</v>
      </c>
      <c r="B109" s="1">
        <f>IFERROR(__xludf.DUMMYFUNCTION("""COMPUTED_VALUE"""),26.65)</f>
        <v>26.65</v>
      </c>
    </row>
    <row r="110">
      <c r="A110" s="2">
        <f>IFERROR(__xludf.DUMMYFUNCTION("""COMPUTED_VALUE"""),44263.66666666667)</f>
        <v>44263.66667</v>
      </c>
      <c r="B110" s="1">
        <f>IFERROR(__xludf.DUMMYFUNCTION("""COMPUTED_VALUE"""),26.95)</f>
        <v>26.95</v>
      </c>
    </row>
    <row r="111">
      <c r="A111" s="2">
        <f>IFERROR(__xludf.DUMMYFUNCTION("""COMPUTED_VALUE"""),44264.66666666667)</f>
        <v>44264.66667</v>
      </c>
      <c r="B111" s="1">
        <f>IFERROR(__xludf.DUMMYFUNCTION("""COMPUTED_VALUE"""),26.93)</f>
        <v>26.93</v>
      </c>
    </row>
    <row r="112">
      <c r="A112" s="2">
        <f>IFERROR(__xludf.DUMMYFUNCTION("""COMPUTED_VALUE"""),44265.66666666667)</f>
        <v>44265.66667</v>
      </c>
      <c r="B112" s="1">
        <f>IFERROR(__xludf.DUMMYFUNCTION("""COMPUTED_VALUE"""),27.44)</f>
        <v>27.44</v>
      </c>
    </row>
    <row r="113">
      <c r="A113" s="2">
        <f>IFERROR(__xludf.DUMMYFUNCTION("""COMPUTED_VALUE"""),44266.66666666667)</f>
        <v>44266.66667</v>
      </c>
      <c r="B113" s="1">
        <f>IFERROR(__xludf.DUMMYFUNCTION("""COMPUTED_VALUE"""),27.42)</f>
        <v>27.42</v>
      </c>
    </row>
    <row r="114">
      <c r="A114" s="2">
        <f>IFERROR(__xludf.DUMMYFUNCTION("""COMPUTED_VALUE"""),44267.66666666667)</f>
        <v>44267.66667</v>
      </c>
      <c r="B114" s="1">
        <f>IFERROR(__xludf.DUMMYFUNCTION("""COMPUTED_VALUE"""),27.75)</f>
        <v>27.75</v>
      </c>
    </row>
    <row r="115">
      <c r="A115" s="2">
        <f>IFERROR(__xludf.DUMMYFUNCTION("""COMPUTED_VALUE"""),44270.66666666667)</f>
        <v>44270.66667</v>
      </c>
      <c r="B115" s="1">
        <f>IFERROR(__xludf.DUMMYFUNCTION("""COMPUTED_VALUE"""),27.65)</f>
        <v>27.65</v>
      </c>
    </row>
    <row r="116">
      <c r="A116" s="2">
        <f>IFERROR(__xludf.DUMMYFUNCTION("""COMPUTED_VALUE"""),44271.66666666667)</f>
        <v>44271.66667</v>
      </c>
      <c r="B116" s="1">
        <f>IFERROR(__xludf.DUMMYFUNCTION("""COMPUTED_VALUE"""),28.04)</f>
        <v>28.04</v>
      </c>
    </row>
    <row r="117">
      <c r="A117" s="2">
        <f>IFERROR(__xludf.DUMMYFUNCTION("""COMPUTED_VALUE"""),44272.66666666667)</f>
        <v>44272.66667</v>
      </c>
      <c r="B117" s="1">
        <f>IFERROR(__xludf.DUMMYFUNCTION("""COMPUTED_VALUE"""),28.09)</f>
        <v>28.09</v>
      </c>
    </row>
    <row r="118">
      <c r="A118" s="2">
        <f>IFERROR(__xludf.DUMMYFUNCTION("""COMPUTED_VALUE"""),44273.66666666667)</f>
        <v>44273.66667</v>
      </c>
      <c r="B118" s="1">
        <f>IFERROR(__xludf.DUMMYFUNCTION("""COMPUTED_VALUE"""),27.92)</f>
        <v>27.92</v>
      </c>
    </row>
    <row r="119">
      <c r="A119" s="2">
        <f>IFERROR(__xludf.DUMMYFUNCTION("""COMPUTED_VALUE"""),44274.66666666667)</f>
        <v>44274.66667</v>
      </c>
      <c r="B119" s="1">
        <f>IFERROR(__xludf.DUMMYFUNCTION("""COMPUTED_VALUE"""),27.38)</f>
        <v>27.38</v>
      </c>
    </row>
    <row r="120">
      <c r="A120" s="2">
        <f>IFERROR(__xludf.DUMMYFUNCTION("""COMPUTED_VALUE"""),44277.66666666667)</f>
        <v>44277.66667</v>
      </c>
      <c r="B120" s="1">
        <f>IFERROR(__xludf.DUMMYFUNCTION("""COMPUTED_VALUE"""),27.7)</f>
        <v>27.7</v>
      </c>
    </row>
    <row r="121">
      <c r="A121" s="2">
        <f>IFERROR(__xludf.DUMMYFUNCTION("""COMPUTED_VALUE"""),44278.66666666667)</f>
        <v>44278.66667</v>
      </c>
      <c r="B121" s="1">
        <f>IFERROR(__xludf.DUMMYFUNCTION("""COMPUTED_VALUE"""),28.01)</f>
        <v>28.01</v>
      </c>
    </row>
    <row r="122">
      <c r="A122" s="2">
        <f>IFERROR(__xludf.DUMMYFUNCTION("""COMPUTED_VALUE"""),44279.66666666667)</f>
        <v>44279.66667</v>
      </c>
      <c r="B122" s="1">
        <f>IFERROR(__xludf.DUMMYFUNCTION("""COMPUTED_VALUE"""),28.45)</f>
        <v>28.45</v>
      </c>
    </row>
    <row r="123">
      <c r="A123" s="2">
        <f>IFERROR(__xludf.DUMMYFUNCTION("""COMPUTED_VALUE"""),44280.66666666667)</f>
        <v>44280.66667</v>
      </c>
      <c r="B123" s="1">
        <f>IFERROR(__xludf.DUMMYFUNCTION("""COMPUTED_VALUE"""),27.92)</f>
        <v>27.92</v>
      </c>
    </row>
    <row r="124">
      <c r="A124" s="2">
        <f>IFERROR(__xludf.DUMMYFUNCTION("""COMPUTED_VALUE"""),44281.66666666667)</f>
        <v>44281.66667</v>
      </c>
      <c r="B124" s="1">
        <f>IFERROR(__xludf.DUMMYFUNCTION("""COMPUTED_VALUE"""),27.92)</f>
        <v>27.92</v>
      </c>
    </row>
    <row r="125">
      <c r="A125" s="2">
        <f>IFERROR(__xludf.DUMMYFUNCTION("""COMPUTED_VALUE"""),44284.66666666667)</f>
        <v>44284.66667</v>
      </c>
      <c r="B125" s="1">
        <f>IFERROR(__xludf.DUMMYFUNCTION("""COMPUTED_VALUE"""),27.95)</f>
        <v>27.95</v>
      </c>
    </row>
    <row r="126">
      <c r="A126" s="2">
        <f>IFERROR(__xludf.DUMMYFUNCTION("""COMPUTED_VALUE"""),44285.66666666667)</f>
        <v>44285.66667</v>
      </c>
      <c r="B126" s="1">
        <f>IFERROR(__xludf.DUMMYFUNCTION("""COMPUTED_VALUE"""),28.0)</f>
        <v>28</v>
      </c>
    </row>
    <row r="127">
      <c r="A127" s="2">
        <f>IFERROR(__xludf.DUMMYFUNCTION("""COMPUTED_VALUE"""),44286.66666666667)</f>
        <v>44286.66667</v>
      </c>
      <c r="B127" s="1">
        <f>IFERROR(__xludf.DUMMYFUNCTION("""COMPUTED_VALUE"""),28.09)</f>
        <v>28.09</v>
      </c>
    </row>
    <row r="128">
      <c r="A128" s="2">
        <f>IFERROR(__xludf.DUMMYFUNCTION("""COMPUTED_VALUE"""),44287.66666666667)</f>
        <v>44287.66667</v>
      </c>
      <c r="B128" s="1">
        <f>IFERROR(__xludf.DUMMYFUNCTION("""COMPUTED_VALUE"""),28.82)</f>
        <v>28.82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IFERROR(__xludf.DUMMYFUNCTION("""COMPUTED_VALUE"""),29.41)</f>
        <v>29.41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IFERROR(__xludf.DUMMYFUNCTION("""COMPUTED_VALUE"""),29.38)</f>
        <v>29.38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IFERROR(__xludf.DUMMYFUNCTION("""COMPUTED_VALUE"""),29.78)</f>
        <v>29.78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IFERROR(__xludf.DUMMYFUNCTION("""COMPUTED_VALUE"""),29.9)</f>
        <v>29.9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IFERROR(__xludf.DUMMYFUNCTION("""COMPUTED_VALUE"""),30.05)</f>
        <v>30.05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IFERROR(__xludf.DUMMYFUNCTION("""COMPUTED_VALUE"""),30.04)</f>
        <v>30.04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IFERROR(__xludf.DUMMYFUNCTION("""COMPUTED_VALUE"""),30.19)</f>
        <v>30.19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IFERROR(__xludf.DUMMYFUNCTION("""COMPUTED_VALUE"""),29.68)</f>
        <v>29.68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IFERROR(__xludf.DUMMYFUNCTION("""COMPUTED_VALUE"""),29.9)</f>
        <v>29.9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IFERROR(__xludf.DUMMYFUNCTION("""COMPUTED_VALUE"""),30.07)</f>
        <v>30.07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IFERROR(__xludf.DUMMYFUNCTION("""COMPUTED_VALUE"""),29.59)</f>
        <v>29.59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IFERROR(__xludf.DUMMYFUNCTION("""COMPUTED_VALUE"""),29.53)</f>
        <v>29.53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IFERROR(__xludf.DUMMYFUNCTION("""COMPUTED_VALUE"""),29.8)</f>
        <v>29.8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IFERROR(__xludf.DUMMYFUNCTION("""COMPUTED_VALUE"""),29.5)</f>
        <v>29.5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IFERROR(__xludf.DUMMYFUNCTION("""COMPUTED_VALUE"""),29.66)</f>
        <v>29.66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IFERROR(__xludf.DUMMYFUNCTION("""COMPUTED_VALUE"""),29.84)</f>
        <v>29.84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IFERROR(__xludf.DUMMYFUNCTION("""COMPUTED_VALUE"""),29.88)</f>
        <v>29.88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IFERROR(__xludf.DUMMYFUNCTION("""COMPUTED_VALUE"""),29.77)</f>
        <v>29.77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IFERROR(__xludf.DUMMYFUNCTION("""COMPUTED_VALUE"""),29.59)</f>
        <v>29.59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IFERROR(__xludf.DUMMYFUNCTION("""COMPUTED_VALUE"""),29.77)</f>
        <v>29.77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IFERROR(__xludf.DUMMYFUNCTION("""COMPUTED_VALUE"""),29.45)</f>
        <v>29.45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IFERROR(__xludf.DUMMYFUNCTION("""COMPUTED_VALUE"""),29.1)</f>
        <v>29.1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IFERROR(__xludf.DUMMYFUNCTION("""COMPUTED_VALUE"""),28.91)</f>
        <v>28.91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IFERROR(__xludf.DUMMYFUNCTION("""COMPUTED_VALUE"""),29.03)</f>
        <v>29.03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IFERROR(__xludf.DUMMYFUNCTION("""COMPUTED_VALUE"""),28.92)</f>
        <v>28.92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IFERROR(__xludf.DUMMYFUNCTION("""COMPUTED_VALUE"""),28.07)</f>
        <v>28.07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IFERROR(__xludf.DUMMYFUNCTION("""COMPUTED_VALUE"""),28.18)</f>
        <v>28.18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IFERROR(__xludf.DUMMYFUNCTION("""COMPUTED_VALUE"""),28.0)</f>
        <v>28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IFERROR(__xludf.DUMMYFUNCTION("""COMPUTED_VALUE"""),28.24)</f>
        <v>28.24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IFERROR(__xludf.DUMMYFUNCTION("""COMPUTED_VALUE"""),28.57)</f>
        <v>28.57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IFERROR(__xludf.DUMMYFUNCTION("""COMPUTED_VALUE"""),28.45)</f>
        <v>28.45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IFERROR(__xludf.DUMMYFUNCTION("""COMPUTED_VALUE"""),27.96)</f>
        <v>27.96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IFERROR(__xludf.DUMMYFUNCTION("""COMPUTED_VALUE"""),28.27)</f>
        <v>28.27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IFERROR(__xludf.DUMMYFUNCTION("""COMPUTED_VALUE"""),28.84)</f>
        <v>28.84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IFERROR(__xludf.DUMMYFUNCTION("""COMPUTED_VALUE"""),28.72)</f>
        <v>28.72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IFERROR(__xludf.DUMMYFUNCTION("""COMPUTED_VALUE"""),29.27)</f>
        <v>29.27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IFERROR(__xludf.DUMMYFUNCTION("""COMPUTED_VALUE"""),29.14)</f>
        <v>29.14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IFERROR(__xludf.DUMMYFUNCTION("""COMPUTED_VALUE"""),29.25)</f>
        <v>29.25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IFERROR(__xludf.DUMMYFUNCTION("""COMPUTED_VALUE"""),29.3)</f>
        <v>29.3</v>
      </c>
    </row>
    <row r="168">
      <c r="A168" s="2">
        <f>IFERROR(__xludf.DUMMYFUNCTION("""COMPUTED_VALUE"""),44347.66666666667)</f>
        <v>44347.66667</v>
      </c>
      <c r="B168" s="1">
        <f>IFERROR(__xludf.DUMMYFUNCTION("""COMPUTED_VALUE"""),29.36)</f>
        <v>29.36</v>
      </c>
    </row>
    <row r="169">
      <c r="A169" s="2">
        <f>IFERROR(__xludf.DUMMYFUNCTION("""COMPUTED_VALUE"""),44348.66666666667)</f>
        <v>44348.66667</v>
      </c>
      <c r="B169" s="1">
        <f>IFERROR(__xludf.DUMMYFUNCTION("""COMPUTED_VALUE"""),29.28)</f>
        <v>29.28</v>
      </c>
    </row>
    <row r="170">
      <c r="A170" s="2">
        <f>IFERROR(__xludf.DUMMYFUNCTION("""COMPUTED_VALUE"""),44349.66666666667)</f>
        <v>44349.66667</v>
      </c>
      <c r="B170" s="1">
        <f>IFERROR(__xludf.DUMMYFUNCTION("""COMPUTED_VALUE"""),29.19)</f>
        <v>29.19</v>
      </c>
    </row>
    <row r="171">
      <c r="A171" s="2">
        <f>IFERROR(__xludf.DUMMYFUNCTION("""COMPUTED_VALUE"""),44350.66666666667)</f>
        <v>44350.66667</v>
      </c>
      <c r="B171" s="1">
        <f>IFERROR(__xludf.DUMMYFUNCTION("""COMPUTED_VALUE"""),29.33)</f>
        <v>29.33</v>
      </c>
    </row>
    <row r="172">
      <c r="A172" s="2">
        <f>IFERROR(__xludf.DUMMYFUNCTION("""COMPUTED_VALUE"""),44351.66666666667)</f>
        <v>44351.66667</v>
      </c>
      <c r="B172" s="1">
        <f>IFERROR(__xludf.DUMMYFUNCTION("""COMPUTED_VALUE"""),29.21)</f>
        <v>29.21</v>
      </c>
    </row>
    <row r="173">
      <c r="A173" s="2">
        <f>IFERROR(__xludf.DUMMYFUNCTION("""COMPUTED_VALUE"""),44354.66666666667)</f>
        <v>44354.66667</v>
      </c>
      <c r="B173" s="1">
        <f>IFERROR(__xludf.DUMMYFUNCTION("""COMPUTED_VALUE"""),29.4)</f>
        <v>29.4</v>
      </c>
    </row>
    <row r="174">
      <c r="A174" s="2">
        <f>IFERROR(__xludf.DUMMYFUNCTION("""COMPUTED_VALUE"""),44355.66666666667)</f>
        <v>44355.66667</v>
      </c>
      <c r="B174" s="1">
        <f>IFERROR(__xludf.DUMMYFUNCTION("""COMPUTED_VALUE"""),29.57)</f>
        <v>29.57</v>
      </c>
    </row>
    <row r="175">
      <c r="A175" s="2">
        <f>IFERROR(__xludf.DUMMYFUNCTION("""COMPUTED_VALUE"""),44356.66666666667)</f>
        <v>44356.66667</v>
      </c>
      <c r="B175" s="1">
        <f>IFERROR(__xludf.DUMMYFUNCTION("""COMPUTED_VALUE"""),29.54)</f>
        <v>29.54</v>
      </c>
    </row>
    <row r="176">
      <c r="A176" s="2">
        <f>IFERROR(__xludf.DUMMYFUNCTION("""COMPUTED_VALUE"""),44357.66666666667)</f>
        <v>44357.66667</v>
      </c>
      <c r="B176" s="1">
        <f>IFERROR(__xludf.DUMMYFUNCTION("""COMPUTED_VALUE"""),29.57)</f>
        <v>29.57</v>
      </c>
    </row>
    <row r="177">
      <c r="A177" s="2">
        <f>IFERROR(__xludf.DUMMYFUNCTION("""COMPUTED_VALUE"""),44358.66666666667)</f>
        <v>44358.66667</v>
      </c>
      <c r="B177" s="1">
        <f>IFERROR(__xludf.DUMMYFUNCTION("""COMPUTED_VALUE"""),29.81)</f>
        <v>29.81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IFERROR(__xludf.DUMMYFUNCTION("""COMPUTED_VALUE"""),30.34)</f>
        <v>30.34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IFERROR(__xludf.DUMMYFUNCTION("""COMPUTED_VALUE"""),30.22)</f>
        <v>30.22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IFERROR(__xludf.DUMMYFUNCTION("""COMPUTED_VALUE"""),30.21)</f>
        <v>30.21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IFERROR(__xludf.DUMMYFUNCTION("""COMPUTED_VALUE"""),31.2)</f>
        <v>31.2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IFERROR(__xludf.DUMMYFUNCTION("""COMPUTED_VALUE"""),30.96)</f>
        <v>30.96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IFERROR(__xludf.DUMMYFUNCTION("""COMPUTED_VALUE"""),31.17)</f>
        <v>31.17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IFERROR(__xludf.DUMMYFUNCTION("""COMPUTED_VALUE"""),31.4)</f>
        <v>31.4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IFERROR(__xludf.DUMMYFUNCTION("""COMPUTED_VALUE"""),31.3)</f>
        <v>31.3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IFERROR(__xludf.DUMMYFUNCTION("""COMPUTED_VALUE"""),31.35)</f>
        <v>31.35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IFERROR(__xludf.DUMMYFUNCTION("""COMPUTED_VALUE"""),31.34)</f>
        <v>31.34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IFERROR(__xludf.DUMMYFUNCTION("""COMPUTED_VALUE"""),31.74)</f>
        <v>31.74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IFERROR(__xludf.DUMMYFUNCTION("""COMPUTED_VALUE"""),32.11)</f>
        <v>32.11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IFERROR(__xludf.DUMMYFUNCTION("""COMPUTED_VALUE"""),31.06)</f>
        <v>31.06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IFERROR(__xludf.DUMMYFUNCTION("""COMPUTED_VALUE"""),31.05)</f>
        <v>31.05</v>
      </c>
    </row>
    <row r="192">
      <c r="A192" s="2">
        <f>IFERROR(__xludf.DUMMYFUNCTION("""COMPUTED_VALUE"""),44382.66666666667)</f>
        <v>44382.66667</v>
      </c>
      <c r="B192" s="1">
        <f>IFERROR(__xludf.DUMMYFUNCTION("""COMPUTED_VALUE"""),31.22)</f>
        <v>31.22</v>
      </c>
    </row>
    <row r="193">
      <c r="A193" s="2">
        <f>IFERROR(__xludf.DUMMYFUNCTION("""COMPUTED_VALUE"""),44383.66666666667)</f>
        <v>44383.66667</v>
      </c>
      <c r="B193" s="1">
        <f>IFERROR(__xludf.DUMMYFUNCTION("""COMPUTED_VALUE"""),30.87)</f>
        <v>30.87</v>
      </c>
    </row>
    <row r="194">
      <c r="A194" s="2">
        <f>IFERROR(__xludf.DUMMYFUNCTION("""COMPUTED_VALUE"""),44384.66666666667)</f>
        <v>44384.66667</v>
      </c>
      <c r="B194" s="1">
        <f>IFERROR(__xludf.DUMMYFUNCTION("""COMPUTED_VALUE"""),31.46)</f>
        <v>31.46</v>
      </c>
    </row>
    <row r="195">
      <c r="A195" s="2">
        <f>IFERROR(__xludf.DUMMYFUNCTION("""COMPUTED_VALUE"""),44385.66666666667)</f>
        <v>44385.66667</v>
      </c>
      <c r="B195" s="1">
        <f>IFERROR(__xludf.DUMMYFUNCTION("""COMPUTED_VALUE"""),31.64)</f>
        <v>31.64</v>
      </c>
    </row>
    <row r="196">
      <c r="A196" s="2">
        <f>IFERROR(__xludf.DUMMYFUNCTION("""COMPUTED_VALUE"""),44386.66666666667)</f>
        <v>44386.66667</v>
      </c>
      <c r="B196" s="1">
        <f>IFERROR(__xludf.DUMMYFUNCTION("""COMPUTED_VALUE"""),31.59)</f>
        <v>31.59</v>
      </c>
    </row>
    <row r="197">
      <c r="A197" s="2">
        <f>IFERROR(__xludf.DUMMYFUNCTION("""COMPUTED_VALUE"""),44389.66666666667)</f>
        <v>44389.66667</v>
      </c>
      <c r="B197" s="1">
        <f>IFERROR(__xludf.DUMMYFUNCTION("""COMPUTED_VALUE"""),31.63)</f>
        <v>31.63</v>
      </c>
    </row>
    <row r="198">
      <c r="A198" s="2">
        <f>IFERROR(__xludf.DUMMYFUNCTION("""COMPUTED_VALUE"""),44390.66666666667)</f>
        <v>44390.66667</v>
      </c>
      <c r="B198" s="1">
        <f>IFERROR(__xludf.DUMMYFUNCTION("""COMPUTED_VALUE"""),31.68)</f>
        <v>31.68</v>
      </c>
    </row>
    <row r="199">
      <c r="A199" s="2">
        <f>IFERROR(__xludf.DUMMYFUNCTION("""COMPUTED_VALUE"""),44391.66666666667)</f>
        <v>44391.66667</v>
      </c>
      <c r="B199" s="1">
        <f>IFERROR(__xludf.DUMMYFUNCTION("""COMPUTED_VALUE"""),31.78)</f>
        <v>31.78</v>
      </c>
    </row>
    <row r="200">
      <c r="A200" s="2">
        <f>IFERROR(__xludf.DUMMYFUNCTION("""COMPUTED_VALUE"""),44392.66666666667)</f>
        <v>44392.66667</v>
      </c>
      <c r="B200" s="1">
        <f>IFERROR(__xludf.DUMMYFUNCTION("""COMPUTED_VALUE"""),31.82)</f>
        <v>31.82</v>
      </c>
    </row>
    <row r="201">
      <c r="A201" s="2">
        <f>IFERROR(__xludf.DUMMYFUNCTION("""COMPUTED_VALUE"""),44393.66666666667)</f>
        <v>44393.66667</v>
      </c>
      <c r="B201" s="1">
        <f>IFERROR(__xludf.DUMMYFUNCTION("""COMPUTED_VALUE"""),31.71)</f>
        <v>31.71</v>
      </c>
    </row>
    <row r="202">
      <c r="A202" s="2">
        <f>IFERROR(__xludf.DUMMYFUNCTION("""COMPUTED_VALUE"""),44396.66666666667)</f>
        <v>44396.66667</v>
      </c>
      <c r="B202" s="1">
        <f>IFERROR(__xludf.DUMMYFUNCTION("""COMPUTED_VALUE"""),31.67)</f>
        <v>31.67</v>
      </c>
    </row>
    <row r="203">
      <c r="A203" s="2">
        <f>IFERROR(__xludf.DUMMYFUNCTION("""COMPUTED_VALUE"""),44397.66666666667)</f>
        <v>44397.66667</v>
      </c>
      <c r="B203" s="1">
        <f>IFERROR(__xludf.DUMMYFUNCTION("""COMPUTED_VALUE"""),31.85)</f>
        <v>31.85</v>
      </c>
    </row>
    <row r="204">
      <c r="A204" s="2">
        <f>IFERROR(__xludf.DUMMYFUNCTION("""COMPUTED_VALUE"""),44398.66666666667)</f>
        <v>44398.66667</v>
      </c>
      <c r="B204" s="1">
        <f>IFERROR(__xludf.DUMMYFUNCTION("""COMPUTED_VALUE"""),32.19)</f>
        <v>32.19</v>
      </c>
    </row>
    <row r="205">
      <c r="A205" s="2">
        <f>IFERROR(__xludf.DUMMYFUNCTION("""COMPUTED_VALUE"""),44399.66666666667)</f>
        <v>44399.66667</v>
      </c>
      <c r="B205" s="1">
        <f>IFERROR(__xludf.DUMMYFUNCTION("""COMPUTED_VALUE"""),32.17)</f>
        <v>32.17</v>
      </c>
    </row>
    <row r="206">
      <c r="A206" s="2">
        <f>IFERROR(__xludf.DUMMYFUNCTION("""COMPUTED_VALUE"""),44400.66666666667)</f>
        <v>44400.66667</v>
      </c>
      <c r="B206" s="1">
        <f>IFERROR(__xludf.DUMMYFUNCTION("""COMPUTED_VALUE"""),32.45)</f>
        <v>32.45</v>
      </c>
    </row>
    <row r="207">
      <c r="A207" s="2">
        <f>IFERROR(__xludf.DUMMYFUNCTION("""COMPUTED_VALUE"""),44403.66666666667)</f>
        <v>44403.66667</v>
      </c>
      <c r="B207" s="1">
        <f>IFERROR(__xludf.DUMMYFUNCTION("""COMPUTED_VALUE"""),32.74)</f>
        <v>32.74</v>
      </c>
    </row>
    <row r="208">
      <c r="A208" s="2">
        <f>IFERROR(__xludf.DUMMYFUNCTION("""COMPUTED_VALUE"""),44404.66666666667)</f>
        <v>44404.66667</v>
      </c>
      <c r="B208" s="1">
        <f>IFERROR(__xludf.DUMMYFUNCTION("""COMPUTED_VALUE"""),32.7)</f>
        <v>32.7</v>
      </c>
    </row>
    <row r="209">
      <c r="A209" s="2">
        <f>IFERROR(__xludf.DUMMYFUNCTION("""COMPUTED_VALUE"""),44405.66666666667)</f>
        <v>44405.66667</v>
      </c>
      <c r="B209" s="1">
        <f>IFERROR(__xludf.DUMMYFUNCTION("""COMPUTED_VALUE"""),32.4)</f>
        <v>32.4</v>
      </c>
    </row>
    <row r="210">
      <c r="A210" s="2">
        <f>IFERROR(__xludf.DUMMYFUNCTION("""COMPUTED_VALUE"""),44406.66666666667)</f>
        <v>44406.66667</v>
      </c>
      <c r="B210" s="1">
        <f>IFERROR(__xludf.DUMMYFUNCTION("""COMPUTED_VALUE"""),32.39)</f>
        <v>32.39</v>
      </c>
    </row>
    <row r="211">
      <c r="A211" s="2">
        <f>IFERROR(__xludf.DUMMYFUNCTION("""COMPUTED_VALUE"""),44407.66666666667)</f>
        <v>44407.66667</v>
      </c>
      <c r="B211" s="1">
        <f>IFERROR(__xludf.DUMMYFUNCTION("""COMPUTED_VALUE"""),32.09)</f>
        <v>32.09</v>
      </c>
    </row>
    <row r="212">
      <c r="A212" s="2">
        <f>IFERROR(__xludf.DUMMYFUNCTION("""COMPUTED_VALUE"""),44410.66666666667)</f>
        <v>44410.66667</v>
      </c>
      <c r="B212" s="1">
        <f>IFERROR(__xludf.DUMMYFUNCTION("""COMPUTED_VALUE"""),32.68)</f>
        <v>32.68</v>
      </c>
    </row>
    <row r="213">
      <c r="A213" s="2">
        <f>IFERROR(__xludf.DUMMYFUNCTION("""COMPUTED_VALUE"""),44411.66666666667)</f>
        <v>44411.66667</v>
      </c>
      <c r="B213" s="1">
        <f>IFERROR(__xludf.DUMMYFUNCTION("""COMPUTED_VALUE"""),32.34)</f>
        <v>32.34</v>
      </c>
    </row>
    <row r="214">
      <c r="A214" s="2">
        <f>IFERROR(__xludf.DUMMYFUNCTION("""COMPUTED_VALUE"""),44412.66666666667)</f>
        <v>44412.66667</v>
      </c>
      <c r="B214" s="1">
        <f>IFERROR(__xludf.DUMMYFUNCTION("""COMPUTED_VALUE"""),32.51)</f>
        <v>32.51</v>
      </c>
    </row>
    <row r="215">
      <c r="A215" s="2">
        <f>IFERROR(__xludf.DUMMYFUNCTION("""COMPUTED_VALUE"""),44413.66666666667)</f>
        <v>44413.66667</v>
      </c>
      <c r="B215" s="1">
        <f>IFERROR(__xludf.DUMMYFUNCTION("""COMPUTED_VALUE"""),32.58)</f>
        <v>32.58</v>
      </c>
    </row>
    <row r="216">
      <c r="A216" s="2">
        <f>IFERROR(__xludf.DUMMYFUNCTION("""COMPUTED_VALUE"""),44414.66666666667)</f>
        <v>44414.66667</v>
      </c>
      <c r="B216" s="1">
        <f>IFERROR(__xludf.DUMMYFUNCTION("""COMPUTED_VALUE"""),32.75)</f>
        <v>32.75</v>
      </c>
    </row>
    <row r="217">
      <c r="A217" s="2">
        <f>IFERROR(__xludf.DUMMYFUNCTION("""COMPUTED_VALUE"""),44417.66666666667)</f>
        <v>44417.66667</v>
      </c>
      <c r="B217" s="1">
        <f>IFERROR(__xludf.DUMMYFUNCTION("""COMPUTED_VALUE"""),32.66)</f>
        <v>32.66</v>
      </c>
    </row>
    <row r="218">
      <c r="A218" s="2">
        <f>IFERROR(__xludf.DUMMYFUNCTION("""COMPUTED_VALUE"""),44418.66666666667)</f>
        <v>44418.66667</v>
      </c>
      <c r="B218" s="1">
        <f>IFERROR(__xludf.DUMMYFUNCTION("""COMPUTED_VALUE"""),32.91)</f>
        <v>32.91</v>
      </c>
    </row>
    <row r="219">
      <c r="A219" s="2">
        <f>IFERROR(__xludf.DUMMYFUNCTION("""COMPUTED_VALUE"""),44419.66666666667)</f>
        <v>44419.66667</v>
      </c>
      <c r="B219" s="1">
        <f>IFERROR(__xludf.DUMMYFUNCTION("""COMPUTED_VALUE"""),32.71)</f>
        <v>32.71</v>
      </c>
    </row>
    <row r="220">
      <c r="A220" s="2">
        <f>IFERROR(__xludf.DUMMYFUNCTION("""COMPUTED_VALUE"""),44420.66666666667)</f>
        <v>44420.66667</v>
      </c>
      <c r="B220" s="1">
        <f>IFERROR(__xludf.DUMMYFUNCTION("""COMPUTED_VALUE"""),32.52)</f>
        <v>32.52</v>
      </c>
    </row>
    <row r="221">
      <c r="A221" s="2">
        <f>IFERROR(__xludf.DUMMYFUNCTION("""COMPUTED_VALUE"""),44421.66666666667)</f>
        <v>44421.66667</v>
      </c>
      <c r="B221" s="1">
        <f>IFERROR(__xludf.DUMMYFUNCTION("""COMPUTED_VALUE"""),32.77)</f>
        <v>32.77</v>
      </c>
    </row>
    <row r="222">
      <c r="A222" s="2">
        <f>IFERROR(__xludf.DUMMYFUNCTION("""COMPUTED_VALUE"""),44424.66666666667)</f>
        <v>44424.66667</v>
      </c>
      <c r="B222" s="1">
        <f>IFERROR(__xludf.DUMMYFUNCTION("""COMPUTED_VALUE"""),32.86)</f>
        <v>32.86</v>
      </c>
    </row>
    <row r="223">
      <c r="A223" s="2">
        <f>IFERROR(__xludf.DUMMYFUNCTION("""COMPUTED_VALUE"""),44425.66666666667)</f>
        <v>44425.66667</v>
      </c>
      <c r="B223" s="1">
        <f>IFERROR(__xludf.DUMMYFUNCTION("""COMPUTED_VALUE"""),33.0)</f>
        <v>33</v>
      </c>
    </row>
    <row r="224">
      <c r="A224" s="2">
        <f>IFERROR(__xludf.DUMMYFUNCTION("""COMPUTED_VALUE"""),44426.66666666667)</f>
        <v>44426.66667</v>
      </c>
      <c r="B224" s="1">
        <f>IFERROR(__xludf.DUMMYFUNCTION("""COMPUTED_VALUE"""),33.0)</f>
        <v>33</v>
      </c>
    </row>
    <row r="225">
      <c r="A225" s="2">
        <f>IFERROR(__xludf.DUMMYFUNCTION("""COMPUTED_VALUE"""),44427.66666666667)</f>
        <v>44427.66667</v>
      </c>
      <c r="B225" s="1">
        <f>IFERROR(__xludf.DUMMYFUNCTION("""COMPUTED_VALUE"""),32.89)</f>
        <v>32.89</v>
      </c>
    </row>
    <row r="226">
      <c r="A226" s="2">
        <f>IFERROR(__xludf.DUMMYFUNCTION("""COMPUTED_VALUE"""),44428.66666666667)</f>
        <v>44428.66667</v>
      </c>
      <c r="B226" s="1">
        <f>IFERROR(__xludf.DUMMYFUNCTION("""COMPUTED_VALUE"""),33.36)</f>
        <v>33.36</v>
      </c>
    </row>
    <row r="227">
      <c r="A227" s="2">
        <f>IFERROR(__xludf.DUMMYFUNCTION("""COMPUTED_VALUE"""),44431.66666666667)</f>
        <v>44431.66667</v>
      </c>
      <c r="B227" s="1">
        <f>IFERROR(__xludf.DUMMYFUNCTION("""COMPUTED_VALUE"""),33.74)</f>
        <v>33.74</v>
      </c>
    </row>
    <row r="228">
      <c r="A228" s="2">
        <f>IFERROR(__xludf.DUMMYFUNCTION("""COMPUTED_VALUE"""),44432.66666666667)</f>
        <v>44432.66667</v>
      </c>
      <c r="B228" s="1">
        <f>IFERROR(__xludf.DUMMYFUNCTION("""COMPUTED_VALUE"""),33.83)</f>
        <v>33.83</v>
      </c>
    </row>
    <row r="229">
      <c r="A229" s="2">
        <f>IFERROR(__xludf.DUMMYFUNCTION("""COMPUTED_VALUE"""),44433.66666666667)</f>
        <v>44433.66667</v>
      </c>
      <c r="B229" s="1">
        <f>IFERROR(__xludf.DUMMYFUNCTION("""COMPUTED_VALUE"""),33.84)</f>
        <v>33.84</v>
      </c>
    </row>
    <row r="230">
      <c r="A230" s="2">
        <f>IFERROR(__xludf.DUMMYFUNCTION("""COMPUTED_VALUE"""),44434.66666666667)</f>
        <v>44434.66667</v>
      </c>
      <c r="B230" s="1">
        <f>IFERROR(__xludf.DUMMYFUNCTION("""COMPUTED_VALUE"""),33.71)</f>
        <v>33.71</v>
      </c>
    </row>
    <row r="231">
      <c r="A231" s="2">
        <f>IFERROR(__xludf.DUMMYFUNCTION("""COMPUTED_VALUE"""),44435.66666666667)</f>
        <v>44435.66667</v>
      </c>
      <c r="B231" s="1">
        <f>IFERROR(__xludf.DUMMYFUNCTION("""COMPUTED_VALUE"""),33.75)</f>
        <v>33.75</v>
      </c>
    </row>
    <row r="232">
      <c r="A232" s="2">
        <f>IFERROR(__xludf.DUMMYFUNCTION("""COMPUTED_VALUE"""),44438.66666666667)</f>
        <v>44438.66667</v>
      </c>
      <c r="B232" s="1">
        <f>IFERROR(__xludf.DUMMYFUNCTION("""COMPUTED_VALUE"""),33.76)</f>
        <v>33.76</v>
      </c>
    </row>
    <row r="233">
      <c r="A233" s="2">
        <f>IFERROR(__xludf.DUMMYFUNCTION("""COMPUTED_VALUE"""),44439.66666666667)</f>
        <v>44439.66667</v>
      </c>
      <c r="B233" s="1">
        <f>IFERROR(__xludf.DUMMYFUNCTION("""COMPUTED_VALUE"""),34.08)</f>
        <v>34.08</v>
      </c>
    </row>
    <row r="234">
      <c r="A234" s="2">
        <f>IFERROR(__xludf.DUMMYFUNCTION("""COMPUTED_VALUE"""),44440.66666666667)</f>
        <v>44440.66667</v>
      </c>
      <c r="B234" s="1">
        <f>IFERROR(__xludf.DUMMYFUNCTION("""COMPUTED_VALUE"""),34.03)</f>
        <v>34.03</v>
      </c>
    </row>
    <row r="235">
      <c r="A235" s="2">
        <f>IFERROR(__xludf.DUMMYFUNCTION("""COMPUTED_VALUE"""),44441.66666666667)</f>
        <v>44441.66667</v>
      </c>
      <c r="B235" s="1">
        <f>IFERROR(__xludf.DUMMYFUNCTION("""COMPUTED_VALUE"""),33.76)</f>
        <v>33.76</v>
      </c>
    </row>
    <row r="236">
      <c r="A236" s="2">
        <f>IFERROR(__xludf.DUMMYFUNCTION("""COMPUTED_VALUE"""),44442.66666666667)</f>
        <v>44442.66667</v>
      </c>
      <c r="B236" s="1">
        <f>IFERROR(__xludf.DUMMYFUNCTION("""COMPUTED_VALUE"""),33.58)</f>
        <v>33.58</v>
      </c>
    </row>
    <row r="237">
      <c r="A237" s="2">
        <f>IFERROR(__xludf.DUMMYFUNCTION("""COMPUTED_VALUE"""),44445.66666666667)</f>
        <v>44445.66667</v>
      </c>
      <c r="B237" s="1">
        <f>IFERROR(__xludf.DUMMYFUNCTION("""COMPUTED_VALUE"""),33.65)</f>
        <v>33.65</v>
      </c>
    </row>
    <row r="238">
      <c r="A238" s="2">
        <f>IFERROR(__xludf.DUMMYFUNCTION("""COMPUTED_VALUE"""),44446.66666666667)</f>
        <v>44446.66667</v>
      </c>
      <c r="B238" s="1">
        <f>IFERROR(__xludf.DUMMYFUNCTION("""COMPUTED_VALUE"""),33.71)</f>
        <v>33.71</v>
      </c>
    </row>
    <row r="239">
      <c r="A239" s="2">
        <f>IFERROR(__xludf.DUMMYFUNCTION("""COMPUTED_VALUE"""),44447.66666666667)</f>
        <v>44447.66667</v>
      </c>
      <c r="B239" s="1">
        <f>IFERROR(__xludf.DUMMYFUNCTION("""COMPUTED_VALUE"""),33.9)</f>
        <v>33.9</v>
      </c>
    </row>
    <row r="240">
      <c r="A240" s="2">
        <f>IFERROR(__xludf.DUMMYFUNCTION("""COMPUTED_VALUE"""),44448.66666666667)</f>
        <v>44448.66667</v>
      </c>
      <c r="B240" s="1">
        <f>IFERROR(__xludf.DUMMYFUNCTION("""COMPUTED_VALUE"""),33.78)</f>
        <v>33.78</v>
      </c>
    </row>
    <row r="241">
      <c r="A241" s="2">
        <f>IFERROR(__xludf.DUMMYFUNCTION("""COMPUTED_VALUE"""),44449.66666666667)</f>
        <v>44449.66667</v>
      </c>
      <c r="B241" s="1">
        <f>IFERROR(__xludf.DUMMYFUNCTION("""COMPUTED_VALUE"""),33.71)</f>
        <v>33.71</v>
      </c>
    </row>
    <row r="242">
      <c r="A242" s="2">
        <f>IFERROR(__xludf.DUMMYFUNCTION("""COMPUTED_VALUE"""),44452.66666666667)</f>
        <v>44452.66667</v>
      </c>
      <c r="B242" s="1">
        <f>IFERROR(__xludf.DUMMYFUNCTION("""COMPUTED_VALUE"""),33.58)</f>
        <v>33.58</v>
      </c>
    </row>
    <row r="243">
      <c r="A243" s="2">
        <f>IFERROR(__xludf.DUMMYFUNCTION("""COMPUTED_VALUE"""),44453.66666666667)</f>
        <v>44453.66667</v>
      </c>
      <c r="B243" s="1">
        <f>IFERROR(__xludf.DUMMYFUNCTION("""COMPUTED_VALUE"""),33.59)</f>
        <v>33.59</v>
      </c>
    </row>
    <row r="244">
      <c r="A244" s="2">
        <f>IFERROR(__xludf.DUMMYFUNCTION("""COMPUTED_VALUE"""),44454.66666666667)</f>
        <v>44454.66667</v>
      </c>
      <c r="B244" s="1">
        <f>IFERROR(__xludf.DUMMYFUNCTION("""COMPUTED_VALUE"""),33.57)</f>
        <v>33.57</v>
      </c>
    </row>
    <row r="245">
      <c r="A245" s="2">
        <f>IFERROR(__xludf.DUMMYFUNCTION("""COMPUTED_VALUE"""),44455.66666666667)</f>
        <v>44455.66667</v>
      </c>
      <c r="B245" s="1">
        <f>IFERROR(__xludf.DUMMYFUNCTION("""COMPUTED_VALUE"""),33.78)</f>
        <v>33.78</v>
      </c>
    </row>
    <row r="246">
      <c r="A246" s="2">
        <f>IFERROR(__xludf.DUMMYFUNCTION("""COMPUTED_VALUE"""),44456.66666666667)</f>
        <v>44456.66667</v>
      </c>
      <c r="B246" s="1">
        <f>IFERROR(__xludf.DUMMYFUNCTION("""COMPUTED_VALUE"""),33.93)</f>
        <v>33.93</v>
      </c>
    </row>
    <row r="247">
      <c r="A247" s="2">
        <f>IFERROR(__xludf.DUMMYFUNCTION("""COMPUTED_VALUE"""),44459.66666666667)</f>
        <v>44459.66667</v>
      </c>
      <c r="B247" s="1">
        <f>IFERROR(__xludf.DUMMYFUNCTION("""COMPUTED_VALUE"""),33.6)</f>
        <v>33.6</v>
      </c>
    </row>
    <row r="248">
      <c r="A248" s="2">
        <f>IFERROR(__xludf.DUMMYFUNCTION("""COMPUTED_VALUE"""),44460.66666666667)</f>
        <v>44460.66667</v>
      </c>
      <c r="B248" s="1">
        <f>IFERROR(__xludf.DUMMYFUNCTION("""COMPUTED_VALUE"""),33.1)</f>
        <v>33.1</v>
      </c>
    </row>
    <row r="249">
      <c r="A249" s="2">
        <f>IFERROR(__xludf.DUMMYFUNCTION("""COMPUTED_VALUE"""),44461.66666666667)</f>
        <v>44461.66667</v>
      </c>
      <c r="B249" s="1">
        <f>IFERROR(__xludf.DUMMYFUNCTION("""COMPUTED_VALUE"""),33.17)</f>
        <v>33.17</v>
      </c>
    </row>
    <row r="250">
      <c r="A250" s="2">
        <f>IFERROR(__xludf.DUMMYFUNCTION("""COMPUTED_VALUE"""),44462.66666666667)</f>
        <v>44462.66667</v>
      </c>
      <c r="B250" s="1">
        <f>IFERROR(__xludf.DUMMYFUNCTION("""COMPUTED_VALUE"""),33.47)</f>
        <v>33.47</v>
      </c>
    </row>
    <row r="251">
      <c r="A251" s="2">
        <f>IFERROR(__xludf.DUMMYFUNCTION("""COMPUTED_VALUE"""),44463.66666666667)</f>
        <v>44463.66667</v>
      </c>
      <c r="B251" s="1">
        <f>IFERROR(__xludf.DUMMYFUNCTION("""COMPUTED_VALUE"""),33.44)</f>
        <v>33.44</v>
      </c>
    </row>
    <row r="252">
      <c r="A252" s="2">
        <f>IFERROR(__xludf.DUMMYFUNCTION("""COMPUTED_VALUE"""),44466.66666666667)</f>
        <v>44466.66667</v>
      </c>
      <c r="B252" s="1">
        <f>IFERROR(__xludf.DUMMYFUNCTION("""COMPUTED_VALUE"""),33.75)</f>
        <v>33.75</v>
      </c>
    </row>
    <row r="253">
      <c r="A253" s="2">
        <f>IFERROR(__xludf.DUMMYFUNCTION("""COMPUTED_VALUE"""),44467.66666666667)</f>
        <v>44467.66667</v>
      </c>
      <c r="B253" s="1">
        <f>IFERROR(__xludf.DUMMYFUNCTION("""COMPUTED_VALUE"""),33.16)</f>
        <v>33.16</v>
      </c>
    </row>
    <row r="254">
      <c r="A254" s="2">
        <f>IFERROR(__xludf.DUMMYFUNCTION("""COMPUTED_VALUE"""),44468.66666666667)</f>
        <v>44468.66667</v>
      </c>
      <c r="B254" s="1">
        <f>IFERROR(__xludf.DUMMYFUNCTION("""COMPUTED_VALUE"""),32.7)</f>
        <v>32.7</v>
      </c>
    </row>
    <row r="255">
      <c r="A255" s="2">
        <f>IFERROR(__xludf.DUMMYFUNCTION("""COMPUTED_VALUE"""),44469.66666666667)</f>
        <v>44469.66667</v>
      </c>
      <c r="B255" s="1">
        <f>IFERROR(__xludf.DUMMYFUNCTION("""COMPUTED_VALUE"""),32.94)</f>
        <v>32.94</v>
      </c>
    </row>
    <row r="256">
      <c r="A256" s="2">
        <f>IFERROR(__xludf.DUMMYFUNCTION("""COMPUTED_VALUE"""),44470.66666666667)</f>
        <v>44470.66667</v>
      </c>
      <c r="B256" s="1">
        <f>IFERROR(__xludf.DUMMYFUNCTION("""COMPUTED_VALUE"""),32.38)</f>
        <v>32.38</v>
      </c>
    </row>
    <row r="257">
      <c r="A257" s="2">
        <f>IFERROR(__xludf.DUMMYFUNCTION("""COMPUTED_VALUE"""),44473.66666666667)</f>
        <v>44473.66667</v>
      </c>
      <c r="B257" s="1">
        <f>IFERROR(__xludf.DUMMYFUNCTION("""COMPUTED_VALUE"""),32.35)</f>
        <v>32.35</v>
      </c>
    </row>
    <row r="258">
      <c r="A258" s="2">
        <f>IFERROR(__xludf.DUMMYFUNCTION("""COMPUTED_VALUE"""),44474.66666666667)</f>
        <v>44474.66667</v>
      </c>
      <c r="B258" s="1">
        <f>IFERROR(__xludf.DUMMYFUNCTION("""COMPUTED_VALUE"""),31.88)</f>
        <v>31.88</v>
      </c>
    </row>
    <row r="259">
      <c r="A259" s="2">
        <f>IFERROR(__xludf.DUMMYFUNCTION("""COMPUTED_VALUE"""),44475.66666666667)</f>
        <v>44475.66667</v>
      </c>
      <c r="B259" s="1">
        <f>IFERROR(__xludf.DUMMYFUNCTION("""COMPUTED_VALUE"""),32.08)</f>
        <v>32.08</v>
      </c>
    </row>
    <row r="260">
      <c r="A260" s="2">
        <f>IFERROR(__xludf.DUMMYFUNCTION("""COMPUTED_VALUE"""),44476.66666666667)</f>
        <v>44476.66667</v>
      </c>
      <c r="B260" s="1">
        <f>IFERROR(__xludf.DUMMYFUNCTION("""COMPUTED_VALUE"""),32.56)</f>
        <v>32.56</v>
      </c>
    </row>
    <row r="261">
      <c r="A261" s="2">
        <f>IFERROR(__xludf.DUMMYFUNCTION("""COMPUTED_VALUE"""),44477.66666666667)</f>
        <v>44477.66667</v>
      </c>
      <c r="B261" s="1">
        <f>IFERROR(__xludf.DUMMYFUNCTION("""COMPUTED_VALUE"""),32.54)</f>
        <v>32.54</v>
      </c>
    </row>
    <row r="262">
      <c r="A262" s="2">
        <f>IFERROR(__xludf.DUMMYFUNCTION("""COMPUTED_VALUE"""),44480.66666666667)</f>
        <v>44480.66667</v>
      </c>
      <c r="B262" s="1">
        <f>IFERROR(__xludf.DUMMYFUNCTION("""COMPUTED_VALUE"""),32.23)</f>
        <v>32.23</v>
      </c>
    </row>
    <row r="263">
      <c r="A263" s="2">
        <f>IFERROR(__xludf.DUMMYFUNCTION("""COMPUTED_VALUE"""),44481.66666666667)</f>
        <v>44481.66667</v>
      </c>
      <c r="B263" s="1">
        <f>IFERROR(__xludf.DUMMYFUNCTION("""COMPUTED_VALUE"""),31.82)</f>
        <v>31.82</v>
      </c>
    </row>
    <row r="264">
      <c r="A264" s="2">
        <f>IFERROR(__xludf.DUMMYFUNCTION("""COMPUTED_VALUE"""),44482.66666666667)</f>
        <v>44482.66667</v>
      </c>
      <c r="B264" s="1">
        <f>IFERROR(__xludf.DUMMYFUNCTION("""COMPUTED_VALUE"""),31.85)</f>
        <v>31.85</v>
      </c>
    </row>
    <row r="265">
      <c r="A265" s="2">
        <f>IFERROR(__xludf.DUMMYFUNCTION("""COMPUTED_VALUE"""),44483.66666666667)</f>
        <v>44483.66667</v>
      </c>
      <c r="B265" s="1">
        <f>IFERROR(__xludf.DUMMYFUNCTION("""COMPUTED_VALUE"""),32.05)</f>
        <v>32.05</v>
      </c>
    </row>
    <row r="266">
      <c r="A266" s="2">
        <f>IFERROR(__xludf.DUMMYFUNCTION("""COMPUTED_VALUE"""),44484.66666666667)</f>
        <v>44484.66667</v>
      </c>
      <c r="B266" s="1">
        <f>IFERROR(__xludf.DUMMYFUNCTION("""COMPUTED_VALUE"""),32.47)</f>
        <v>32.47</v>
      </c>
    </row>
    <row r="267">
      <c r="A267" s="2">
        <f>IFERROR(__xludf.DUMMYFUNCTION("""COMPUTED_VALUE"""),44487.66666666667)</f>
        <v>44487.66667</v>
      </c>
      <c r="B267" s="1">
        <f>IFERROR(__xludf.DUMMYFUNCTION("""COMPUTED_VALUE"""),32.55)</f>
        <v>32.55</v>
      </c>
    </row>
    <row r="268">
      <c r="A268" s="2">
        <f>IFERROR(__xludf.DUMMYFUNCTION("""COMPUTED_VALUE"""),44488.66666666667)</f>
        <v>44488.66667</v>
      </c>
      <c r="B268" s="1">
        <f>IFERROR(__xludf.DUMMYFUNCTION("""COMPUTED_VALUE"""),32.76)</f>
        <v>32.76</v>
      </c>
    </row>
    <row r="269">
      <c r="A269" s="2">
        <f>IFERROR(__xludf.DUMMYFUNCTION("""COMPUTED_VALUE"""),44489.66666666667)</f>
        <v>44489.66667</v>
      </c>
      <c r="B269" s="1">
        <f>IFERROR(__xludf.DUMMYFUNCTION("""COMPUTED_VALUE"""),32.76)</f>
        <v>32.76</v>
      </c>
    </row>
    <row r="270">
      <c r="A270" s="2">
        <f>IFERROR(__xludf.DUMMYFUNCTION("""COMPUTED_VALUE"""),44490.66666666667)</f>
        <v>44490.66667</v>
      </c>
      <c r="B270" s="1">
        <f>IFERROR(__xludf.DUMMYFUNCTION("""COMPUTED_VALUE"""),32.6)</f>
        <v>32.6</v>
      </c>
    </row>
    <row r="271">
      <c r="A271" s="2">
        <f>IFERROR(__xludf.DUMMYFUNCTION("""COMPUTED_VALUE"""),44491.66666666667)</f>
        <v>44491.66667</v>
      </c>
      <c r="B271" s="1">
        <f>IFERROR(__xludf.DUMMYFUNCTION("""COMPUTED_VALUE"""),32.89)</f>
        <v>32.89</v>
      </c>
    </row>
    <row r="272">
      <c r="A272" s="2">
        <f>IFERROR(__xludf.DUMMYFUNCTION("""COMPUTED_VALUE"""),44494.66666666667)</f>
        <v>44494.66667</v>
      </c>
      <c r="B272" s="1">
        <f>IFERROR(__xludf.DUMMYFUNCTION("""COMPUTED_VALUE"""),32.74)</f>
        <v>32.74</v>
      </c>
    </row>
    <row r="273">
      <c r="A273" s="2">
        <f>IFERROR(__xludf.DUMMYFUNCTION("""COMPUTED_VALUE"""),44495.66666666667)</f>
        <v>44495.66667</v>
      </c>
      <c r="B273" s="1">
        <f>IFERROR(__xludf.DUMMYFUNCTION("""COMPUTED_VALUE"""),33.1)</f>
        <v>33.1</v>
      </c>
    </row>
    <row r="274">
      <c r="A274" s="2">
        <f>IFERROR(__xludf.DUMMYFUNCTION("""COMPUTED_VALUE"""),44496.66666666667)</f>
        <v>44496.66667</v>
      </c>
      <c r="B274" s="1">
        <f>IFERROR(__xludf.DUMMYFUNCTION("""COMPUTED_VALUE"""),33.0)</f>
        <v>33</v>
      </c>
    </row>
    <row r="275">
      <c r="A275" s="2">
        <f>IFERROR(__xludf.DUMMYFUNCTION("""COMPUTED_VALUE"""),44497.66666666667)</f>
        <v>44497.66667</v>
      </c>
      <c r="B275" s="1">
        <f>IFERROR(__xludf.DUMMYFUNCTION("""COMPUTED_VALUE"""),33.23)</f>
        <v>33.23</v>
      </c>
    </row>
    <row r="276">
      <c r="A276" s="2">
        <f>IFERROR(__xludf.DUMMYFUNCTION("""COMPUTED_VALUE"""),44498.66666666667)</f>
        <v>44498.66667</v>
      </c>
      <c r="B276" s="1">
        <f>IFERROR(__xludf.DUMMYFUNCTION("""COMPUTED_VALUE"""),33.11)</f>
        <v>33.11</v>
      </c>
    </row>
    <row r="277">
      <c r="A277" s="2">
        <f>IFERROR(__xludf.DUMMYFUNCTION("""COMPUTED_VALUE"""),44501.66666666667)</f>
        <v>44501.66667</v>
      </c>
      <c r="B277" s="1">
        <f>IFERROR(__xludf.DUMMYFUNCTION("""COMPUTED_VALUE"""),33.78)</f>
        <v>33.78</v>
      </c>
    </row>
    <row r="278">
      <c r="A278" s="2">
        <f>IFERROR(__xludf.DUMMYFUNCTION("""COMPUTED_VALUE"""),44502.66666666667)</f>
        <v>44502.66667</v>
      </c>
      <c r="B278" s="1">
        <f>IFERROR(__xludf.DUMMYFUNCTION("""COMPUTED_VALUE"""),33.81)</f>
        <v>33.81</v>
      </c>
    </row>
    <row r="279">
      <c r="A279" s="2">
        <f>IFERROR(__xludf.DUMMYFUNCTION("""COMPUTED_VALUE"""),44503.66666666667)</f>
        <v>44503.66667</v>
      </c>
      <c r="B279" s="1">
        <f>IFERROR(__xludf.DUMMYFUNCTION("""COMPUTED_VALUE"""),34.25)</f>
        <v>34.25</v>
      </c>
    </row>
    <row r="280">
      <c r="A280" s="2">
        <f>IFERROR(__xludf.DUMMYFUNCTION("""COMPUTED_VALUE"""),44504.66666666667)</f>
        <v>44504.66667</v>
      </c>
      <c r="B280" s="1">
        <f>IFERROR(__xludf.DUMMYFUNCTION("""COMPUTED_VALUE"""),34.65)</f>
        <v>34.65</v>
      </c>
    </row>
    <row r="281">
      <c r="A281" s="2">
        <f>IFERROR(__xludf.DUMMYFUNCTION("""COMPUTED_VALUE"""),44505.66666666667)</f>
        <v>44505.66667</v>
      </c>
      <c r="B281" s="1">
        <f>IFERROR(__xludf.DUMMYFUNCTION("""COMPUTED_VALUE"""),35.28)</f>
        <v>35.28</v>
      </c>
    </row>
    <row r="282">
      <c r="A282" s="2">
        <f>IFERROR(__xludf.DUMMYFUNCTION("""COMPUTED_VALUE"""),44508.66666666667)</f>
        <v>44508.66667</v>
      </c>
      <c r="B282" s="1">
        <f>IFERROR(__xludf.DUMMYFUNCTION("""COMPUTED_VALUE"""),35.16)</f>
        <v>35.16</v>
      </c>
    </row>
    <row r="283">
      <c r="A283" s="2">
        <f>IFERROR(__xludf.DUMMYFUNCTION("""COMPUTED_VALUE"""),44509.66666666667)</f>
        <v>44509.66667</v>
      </c>
      <c r="B283" s="1">
        <f>IFERROR(__xludf.DUMMYFUNCTION("""COMPUTED_VALUE"""),35.11)</f>
        <v>35.11</v>
      </c>
    </row>
    <row r="284">
      <c r="A284" s="2">
        <f>IFERROR(__xludf.DUMMYFUNCTION("""COMPUTED_VALUE"""),44510.66666666667)</f>
        <v>44510.66667</v>
      </c>
      <c r="B284" s="1">
        <f>IFERROR(__xludf.DUMMYFUNCTION("""COMPUTED_VALUE"""),35.02)</f>
        <v>35.02</v>
      </c>
    </row>
    <row r="285">
      <c r="A285" s="2">
        <f>IFERROR(__xludf.DUMMYFUNCTION("""COMPUTED_VALUE"""),44511.66666666667)</f>
        <v>44511.66667</v>
      </c>
      <c r="B285" s="1">
        <f>IFERROR(__xludf.DUMMYFUNCTION("""COMPUTED_VALUE"""),34.97)</f>
        <v>34.97</v>
      </c>
    </row>
    <row r="286">
      <c r="A286" s="2">
        <f>IFERROR(__xludf.DUMMYFUNCTION("""COMPUTED_VALUE"""),44512.66666666667)</f>
        <v>44512.66667</v>
      </c>
      <c r="B286" s="1">
        <f>IFERROR(__xludf.DUMMYFUNCTION("""COMPUTED_VALUE"""),35.18)</f>
        <v>35.18</v>
      </c>
    </row>
    <row r="287">
      <c r="A287" s="2">
        <f>IFERROR(__xludf.DUMMYFUNCTION("""COMPUTED_VALUE"""),44515.66666666667)</f>
        <v>44515.66667</v>
      </c>
      <c r="B287" s="1">
        <f>IFERROR(__xludf.DUMMYFUNCTION("""COMPUTED_VALUE"""),35.26)</f>
        <v>35.26</v>
      </c>
    </row>
    <row r="288">
      <c r="A288" s="2">
        <f>IFERROR(__xludf.DUMMYFUNCTION("""COMPUTED_VALUE"""),44516.66666666667)</f>
        <v>44516.66667</v>
      </c>
      <c r="B288" s="1">
        <f>IFERROR(__xludf.DUMMYFUNCTION("""COMPUTED_VALUE"""),35.15)</f>
        <v>35.15</v>
      </c>
    </row>
    <row r="289">
      <c r="A289" s="2">
        <f>IFERROR(__xludf.DUMMYFUNCTION("""COMPUTED_VALUE"""),44517.66666666667)</f>
        <v>44517.66667</v>
      </c>
      <c r="B289" s="1">
        <f>IFERROR(__xludf.DUMMYFUNCTION("""COMPUTED_VALUE"""),35.71)</f>
        <v>35.71</v>
      </c>
    </row>
    <row r="290">
      <c r="A290" s="2">
        <f>IFERROR(__xludf.DUMMYFUNCTION("""COMPUTED_VALUE"""),44518.66666666667)</f>
        <v>44518.66667</v>
      </c>
      <c r="B290" s="1">
        <f>IFERROR(__xludf.DUMMYFUNCTION("""COMPUTED_VALUE"""),35.88)</f>
        <v>35.88</v>
      </c>
    </row>
    <row r="291">
      <c r="A291" s="2">
        <f>IFERROR(__xludf.DUMMYFUNCTION("""COMPUTED_VALUE"""),44519.66666666667)</f>
        <v>44519.66667</v>
      </c>
      <c r="B291" s="1">
        <f>IFERROR(__xludf.DUMMYFUNCTION("""COMPUTED_VALUE"""),36.36)</f>
        <v>36.36</v>
      </c>
    </row>
    <row r="292">
      <c r="A292" s="2">
        <f>IFERROR(__xludf.DUMMYFUNCTION("""COMPUTED_VALUE"""),44522.66666666667)</f>
        <v>44522.66667</v>
      </c>
      <c r="B292" s="1">
        <f>IFERROR(__xludf.DUMMYFUNCTION("""COMPUTED_VALUE"""),36.57)</f>
        <v>36.57</v>
      </c>
    </row>
    <row r="293">
      <c r="A293" s="2">
        <f>IFERROR(__xludf.DUMMYFUNCTION("""COMPUTED_VALUE"""),44523.66666666667)</f>
        <v>44523.66667</v>
      </c>
      <c r="B293" s="1">
        <f>IFERROR(__xludf.DUMMYFUNCTION("""COMPUTED_VALUE"""),36.16)</f>
        <v>36.16</v>
      </c>
    </row>
    <row r="294">
      <c r="A294" s="2">
        <f>IFERROR(__xludf.DUMMYFUNCTION("""COMPUTED_VALUE"""),44524.66666666667)</f>
        <v>44524.66667</v>
      </c>
      <c r="B294" s="1">
        <f>IFERROR(__xludf.DUMMYFUNCTION("""COMPUTED_VALUE"""),36.08)</f>
        <v>36.08</v>
      </c>
    </row>
    <row r="295">
      <c r="A295" s="2">
        <f>IFERROR(__xludf.DUMMYFUNCTION("""COMPUTED_VALUE"""),44525.66666666667)</f>
        <v>44525.66667</v>
      </c>
      <c r="B295" s="1">
        <f>IFERROR(__xludf.DUMMYFUNCTION("""COMPUTED_VALUE"""),36.32)</f>
        <v>36.32</v>
      </c>
    </row>
    <row r="296">
      <c r="A296" s="2">
        <f>IFERROR(__xludf.DUMMYFUNCTION("""COMPUTED_VALUE"""),44526.66666666667)</f>
        <v>44526.66667</v>
      </c>
      <c r="B296" s="1">
        <f>IFERROR(__xludf.DUMMYFUNCTION("""COMPUTED_VALUE"""),36.39)</f>
        <v>36.39</v>
      </c>
    </row>
    <row r="297">
      <c r="A297" s="2">
        <f>IFERROR(__xludf.DUMMYFUNCTION("""COMPUTED_VALUE"""),44529.66666666667)</f>
        <v>44529.66667</v>
      </c>
      <c r="B297" s="1">
        <f>IFERROR(__xludf.DUMMYFUNCTION("""COMPUTED_VALUE"""),36.27)</f>
        <v>36.27</v>
      </c>
    </row>
    <row r="298">
      <c r="A298" s="2">
        <f>IFERROR(__xludf.DUMMYFUNCTION("""COMPUTED_VALUE"""),44530.66666666667)</f>
        <v>44530.66667</v>
      </c>
      <c r="B298" s="1">
        <f>IFERROR(__xludf.DUMMYFUNCTION("""COMPUTED_VALUE"""),36.68)</f>
        <v>36.68</v>
      </c>
    </row>
    <row r="299">
      <c r="A299" s="2">
        <f>IFERROR(__xludf.DUMMYFUNCTION("""COMPUTED_VALUE"""),44531.66666666667)</f>
        <v>44531.66667</v>
      </c>
      <c r="B299" s="1">
        <f>IFERROR(__xludf.DUMMYFUNCTION("""COMPUTED_VALUE"""),36.45)</f>
        <v>36.45</v>
      </c>
    </row>
    <row r="300">
      <c r="A300" s="2">
        <f>IFERROR(__xludf.DUMMYFUNCTION("""COMPUTED_VALUE"""),44532.66666666667)</f>
        <v>44532.66667</v>
      </c>
      <c r="B300" s="1">
        <f>IFERROR(__xludf.DUMMYFUNCTION("""COMPUTED_VALUE"""),35.87)</f>
        <v>35.87</v>
      </c>
    </row>
    <row r="301">
      <c r="A301" s="2">
        <f>IFERROR(__xludf.DUMMYFUNCTION("""COMPUTED_VALUE"""),44533.66666666667)</f>
        <v>44533.66667</v>
      </c>
      <c r="B301" s="1">
        <f>IFERROR(__xludf.DUMMYFUNCTION("""COMPUTED_VALUE"""),36.01)</f>
        <v>36.01</v>
      </c>
    </row>
    <row r="302">
      <c r="A302" s="2">
        <f>IFERROR(__xludf.DUMMYFUNCTION("""COMPUTED_VALUE"""),44536.66666666667)</f>
        <v>44536.66667</v>
      </c>
      <c r="B302" s="1">
        <f>IFERROR(__xludf.DUMMYFUNCTION("""COMPUTED_VALUE"""),35.77)</f>
        <v>35.77</v>
      </c>
    </row>
    <row r="303">
      <c r="A303" s="2">
        <f>IFERROR(__xludf.DUMMYFUNCTION("""COMPUTED_VALUE"""),44537.66666666667)</f>
        <v>44537.66667</v>
      </c>
      <c r="B303" s="1">
        <f>IFERROR(__xludf.DUMMYFUNCTION("""COMPUTED_VALUE"""),35.86)</f>
        <v>35.86</v>
      </c>
    </row>
    <row r="304">
      <c r="A304" s="2">
        <f>IFERROR(__xludf.DUMMYFUNCTION("""COMPUTED_VALUE"""),44538.66666666667)</f>
        <v>44538.66667</v>
      </c>
      <c r="B304" s="1">
        <f>IFERROR(__xludf.DUMMYFUNCTION("""COMPUTED_VALUE"""),36.7)</f>
        <v>36.7</v>
      </c>
    </row>
    <row r="305">
      <c r="A305" s="2">
        <f>IFERROR(__xludf.DUMMYFUNCTION("""COMPUTED_VALUE"""),44539.66666666667)</f>
        <v>44539.66667</v>
      </c>
      <c r="B305" s="1">
        <f>IFERROR(__xludf.DUMMYFUNCTION("""COMPUTED_VALUE"""),36.42)</f>
        <v>36.42</v>
      </c>
    </row>
    <row r="306">
      <c r="A306" s="2">
        <f>IFERROR(__xludf.DUMMYFUNCTION("""COMPUTED_VALUE"""),44540.66666666667)</f>
        <v>44540.66667</v>
      </c>
      <c r="B306" s="1">
        <f>IFERROR(__xludf.DUMMYFUNCTION("""COMPUTED_VALUE"""),36.11)</f>
        <v>36.11</v>
      </c>
    </row>
    <row r="307">
      <c r="A307" s="2">
        <f>IFERROR(__xludf.DUMMYFUNCTION("""COMPUTED_VALUE"""),44543.66666666667)</f>
        <v>44543.66667</v>
      </c>
      <c r="B307" s="1">
        <f>IFERROR(__xludf.DUMMYFUNCTION("""COMPUTED_VALUE"""),36.47)</f>
        <v>36.47</v>
      </c>
    </row>
    <row r="308">
      <c r="A308" s="2">
        <f>IFERROR(__xludf.DUMMYFUNCTION("""COMPUTED_VALUE"""),44544.66666666667)</f>
        <v>44544.66667</v>
      </c>
      <c r="B308" s="1">
        <f>IFERROR(__xludf.DUMMYFUNCTION("""COMPUTED_VALUE"""),36.17)</f>
        <v>36.17</v>
      </c>
    </row>
    <row r="309">
      <c r="A309" s="2">
        <f>IFERROR(__xludf.DUMMYFUNCTION("""COMPUTED_VALUE"""),44545.66666666667)</f>
        <v>44545.66667</v>
      </c>
      <c r="B309" s="1">
        <f>IFERROR(__xludf.DUMMYFUNCTION("""COMPUTED_VALUE"""),35.73)</f>
        <v>35.73</v>
      </c>
    </row>
    <row r="310">
      <c r="A310" s="2">
        <f>IFERROR(__xludf.DUMMYFUNCTION("""COMPUTED_VALUE"""),44546.66666666667)</f>
        <v>44546.66667</v>
      </c>
      <c r="B310" s="1">
        <f>IFERROR(__xludf.DUMMYFUNCTION("""COMPUTED_VALUE"""),36.42)</f>
        <v>36.42</v>
      </c>
    </row>
    <row r="311">
      <c r="A311" s="2">
        <f>IFERROR(__xludf.DUMMYFUNCTION("""COMPUTED_VALUE"""),44547.66666666667)</f>
        <v>44547.66667</v>
      </c>
      <c r="B311" s="1">
        <f>IFERROR(__xludf.DUMMYFUNCTION("""COMPUTED_VALUE"""),35.25)</f>
        <v>35.25</v>
      </c>
    </row>
    <row r="312">
      <c r="A312" s="2">
        <f>IFERROR(__xludf.DUMMYFUNCTION("""COMPUTED_VALUE"""),44550.66666666667)</f>
        <v>44550.66667</v>
      </c>
      <c r="B312" s="1">
        <f>IFERROR(__xludf.DUMMYFUNCTION("""COMPUTED_VALUE"""),35.07)</f>
        <v>35.07</v>
      </c>
    </row>
    <row r="313">
      <c r="A313" s="2">
        <f>IFERROR(__xludf.DUMMYFUNCTION("""COMPUTED_VALUE"""),44551.66666666667)</f>
        <v>44551.66667</v>
      </c>
      <c r="B313" s="1">
        <f>IFERROR(__xludf.DUMMYFUNCTION("""COMPUTED_VALUE"""),35.4)</f>
        <v>35.4</v>
      </c>
    </row>
    <row r="314">
      <c r="A314" s="2">
        <f>IFERROR(__xludf.DUMMYFUNCTION("""COMPUTED_VALUE"""),44552.66666666667)</f>
        <v>44552.66667</v>
      </c>
      <c r="B314" s="1">
        <f>IFERROR(__xludf.DUMMYFUNCTION("""COMPUTED_VALUE"""),35.69)</f>
        <v>35.69</v>
      </c>
    </row>
    <row r="315">
      <c r="A315" s="2">
        <f>IFERROR(__xludf.DUMMYFUNCTION("""COMPUTED_VALUE"""),44553.66666666667)</f>
        <v>44553.66667</v>
      </c>
      <c r="B315" s="1">
        <f>IFERROR(__xludf.DUMMYFUNCTION("""COMPUTED_VALUE"""),35.8)</f>
        <v>35.8</v>
      </c>
    </row>
    <row r="316">
      <c r="A316" s="2">
        <f>IFERROR(__xludf.DUMMYFUNCTION("""COMPUTED_VALUE"""),44554.59027777778)</f>
        <v>44554.59028</v>
      </c>
      <c r="B316" s="1">
        <f>IFERROR(__xludf.DUMMYFUNCTION("""COMPUTED_VALUE"""),35.95)</f>
        <v>35.95</v>
      </c>
    </row>
    <row r="317">
      <c r="A317" s="2">
        <f>IFERROR(__xludf.DUMMYFUNCTION("""COMPUTED_VALUE"""),44559.66666666667)</f>
        <v>44559.66667</v>
      </c>
      <c r="B317" s="1">
        <f>IFERROR(__xludf.DUMMYFUNCTION("""COMPUTED_VALUE"""),36.5)</f>
        <v>36.5</v>
      </c>
    </row>
    <row r="318">
      <c r="A318" s="2">
        <f>IFERROR(__xludf.DUMMYFUNCTION("""COMPUTED_VALUE"""),44560.66666666667)</f>
        <v>44560.66667</v>
      </c>
      <c r="B318" s="1">
        <f>IFERROR(__xludf.DUMMYFUNCTION("""COMPUTED_VALUE"""),36.27)</f>
        <v>36.27</v>
      </c>
    </row>
    <row r="319">
      <c r="A319" s="2">
        <f>IFERROR(__xludf.DUMMYFUNCTION("""COMPUTED_VALUE"""),44561.59027777778)</f>
        <v>44561.59028</v>
      </c>
      <c r="B319" s="1">
        <f>IFERROR(__xludf.DUMMYFUNCTION("""COMPUTED_VALUE"""),36.09)</f>
        <v>36.09</v>
      </c>
    </row>
    <row r="320">
      <c r="A320" s="2">
        <f>IFERROR(__xludf.DUMMYFUNCTION("""COMPUTED_VALUE"""),44565.66666666667)</f>
        <v>44565.66667</v>
      </c>
      <c r="B320" s="1">
        <f>IFERROR(__xludf.DUMMYFUNCTION("""COMPUTED_VALUE"""),36.58)</f>
        <v>36.58</v>
      </c>
    </row>
    <row r="321">
      <c r="A321" s="2">
        <f>IFERROR(__xludf.DUMMYFUNCTION("""COMPUTED_VALUE"""),44566.66666666667)</f>
        <v>44566.66667</v>
      </c>
      <c r="B321" s="1">
        <f>IFERROR(__xludf.DUMMYFUNCTION("""COMPUTED_VALUE"""),35.74)</f>
        <v>35.74</v>
      </c>
    </row>
    <row r="322">
      <c r="A322" s="2">
        <f>IFERROR(__xludf.DUMMYFUNCTION("""COMPUTED_VALUE"""),44567.66666666667)</f>
        <v>44567.66667</v>
      </c>
      <c r="B322" s="1">
        <f>IFERROR(__xludf.DUMMYFUNCTION("""COMPUTED_VALUE"""),34.83)</f>
        <v>34.83</v>
      </c>
    </row>
    <row r="323">
      <c r="A323" s="2">
        <f>IFERROR(__xludf.DUMMYFUNCTION("""COMPUTED_VALUE"""),44568.66666666667)</f>
        <v>44568.66667</v>
      </c>
      <c r="B323" s="1">
        <f>IFERROR(__xludf.DUMMYFUNCTION("""COMPUTED_VALUE"""),35.18)</f>
        <v>35.18</v>
      </c>
    </row>
    <row r="324">
      <c r="A324" s="2">
        <f>IFERROR(__xludf.DUMMYFUNCTION("""COMPUTED_VALUE"""),44571.66666666667)</f>
        <v>44571.66667</v>
      </c>
      <c r="B324" s="1">
        <f>IFERROR(__xludf.DUMMYFUNCTION("""COMPUTED_VALUE"""),34.71)</f>
        <v>34.71</v>
      </c>
    </row>
    <row r="325">
      <c r="A325" s="2">
        <f>IFERROR(__xludf.DUMMYFUNCTION("""COMPUTED_VALUE"""),44572.66666666667)</f>
        <v>44572.66667</v>
      </c>
      <c r="B325" s="1">
        <f>IFERROR(__xludf.DUMMYFUNCTION("""COMPUTED_VALUE"""),34.68)</f>
        <v>34.68</v>
      </c>
    </row>
    <row r="326">
      <c r="A326" s="2">
        <f>IFERROR(__xludf.DUMMYFUNCTION("""COMPUTED_VALUE"""),44573.66666666667)</f>
        <v>44573.66667</v>
      </c>
      <c r="B326" s="1">
        <f>IFERROR(__xludf.DUMMYFUNCTION("""COMPUTED_VALUE"""),35.04)</f>
        <v>35.04</v>
      </c>
    </row>
    <row r="327">
      <c r="A327" s="2">
        <f>IFERROR(__xludf.DUMMYFUNCTION("""COMPUTED_VALUE"""),44574.66666666667)</f>
        <v>44574.66667</v>
      </c>
      <c r="B327" s="1">
        <f>IFERROR(__xludf.DUMMYFUNCTION("""COMPUTED_VALUE"""),34.7)</f>
        <v>34.7</v>
      </c>
    </row>
    <row r="328">
      <c r="A328" s="2">
        <f>IFERROR(__xludf.DUMMYFUNCTION("""COMPUTED_VALUE"""),44575.66666666667)</f>
        <v>44575.66667</v>
      </c>
      <c r="B328" s="1">
        <f>IFERROR(__xludf.DUMMYFUNCTION("""COMPUTED_VALUE"""),33.97)</f>
        <v>33.97</v>
      </c>
    </row>
    <row r="329">
      <c r="A329" s="2">
        <f>IFERROR(__xludf.DUMMYFUNCTION("""COMPUTED_VALUE"""),44578.66666666667)</f>
        <v>44578.66667</v>
      </c>
      <c r="B329" s="1">
        <f>IFERROR(__xludf.DUMMYFUNCTION("""COMPUTED_VALUE"""),34.42)</f>
        <v>34.42</v>
      </c>
    </row>
    <row r="330">
      <c r="A330" s="2">
        <f>IFERROR(__xludf.DUMMYFUNCTION("""COMPUTED_VALUE"""),44579.66666666667)</f>
        <v>44579.66667</v>
      </c>
      <c r="B330" s="1">
        <f>IFERROR(__xludf.DUMMYFUNCTION("""COMPUTED_VALUE"""),34.31)</f>
        <v>34.31</v>
      </c>
    </row>
    <row r="331">
      <c r="A331" s="2">
        <f>IFERROR(__xludf.DUMMYFUNCTION("""COMPUTED_VALUE"""),44580.66666666667)</f>
        <v>44580.66667</v>
      </c>
      <c r="B331" s="1">
        <f>IFERROR(__xludf.DUMMYFUNCTION("""COMPUTED_VALUE"""),33.47)</f>
        <v>33.47</v>
      </c>
    </row>
    <row r="332">
      <c r="A332" s="2">
        <f>IFERROR(__xludf.DUMMYFUNCTION("""COMPUTED_VALUE"""),44581.66666666667)</f>
        <v>44581.66667</v>
      </c>
      <c r="B332" s="1">
        <f>IFERROR(__xludf.DUMMYFUNCTION("""COMPUTED_VALUE"""),33.37)</f>
        <v>33.37</v>
      </c>
    </row>
    <row r="333">
      <c r="A333" s="2">
        <f>IFERROR(__xludf.DUMMYFUNCTION("""COMPUTED_VALUE"""),44582.66666666667)</f>
        <v>44582.66667</v>
      </c>
      <c r="B333" s="1">
        <f>IFERROR(__xludf.DUMMYFUNCTION("""COMPUTED_VALUE"""),32.55)</f>
        <v>32.55</v>
      </c>
    </row>
    <row r="334">
      <c r="A334" s="2">
        <f>IFERROR(__xludf.DUMMYFUNCTION("""COMPUTED_VALUE"""),44585.66666666667)</f>
        <v>44585.66667</v>
      </c>
      <c r="B334" s="1">
        <f>IFERROR(__xludf.DUMMYFUNCTION("""COMPUTED_VALUE"""),32.32)</f>
        <v>32.32</v>
      </c>
    </row>
    <row r="335">
      <c r="A335" s="2">
        <f>IFERROR(__xludf.DUMMYFUNCTION("""COMPUTED_VALUE"""),44586.66666666667)</f>
        <v>44586.66667</v>
      </c>
      <c r="B335" s="1">
        <f>IFERROR(__xludf.DUMMYFUNCTION("""COMPUTED_VALUE"""),31.87)</f>
        <v>31.87</v>
      </c>
    </row>
    <row r="336">
      <c r="A336" s="2">
        <f>IFERROR(__xludf.DUMMYFUNCTION("""COMPUTED_VALUE"""),44588.66666666667)</f>
        <v>44588.66667</v>
      </c>
      <c r="B336" s="1">
        <f>IFERROR(__xludf.DUMMYFUNCTION("""COMPUTED_VALUE"""),31.43)</f>
        <v>31.43</v>
      </c>
    </row>
    <row r="337">
      <c r="A337" s="2">
        <f>IFERROR(__xludf.DUMMYFUNCTION("""COMPUTED_VALUE"""),44589.66666666667)</f>
        <v>44589.66667</v>
      </c>
      <c r="B337" s="1">
        <f>IFERROR(__xludf.DUMMYFUNCTION("""COMPUTED_VALUE"""),32.03)</f>
        <v>32.03</v>
      </c>
    </row>
    <row r="338">
      <c r="A338" s="2">
        <f>IFERROR(__xludf.DUMMYFUNCTION("""COMPUTED_VALUE"""),44592.66666666667)</f>
        <v>44592.66667</v>
      </c>
      <c r="B338" s="1">
        <f>IFERROR(__xludf.DUMMYFUNCTION("""COMPUTED_VALUE"""),32.95)</f>
        <v>32.95</v>
      </c>
    </row>
    <row r="339">
      <c r="A339" s="2">
        <f>IFERROR(__xludf.DUMMYFUNCTION("""COMPUTED_VALUE"""),44593.66666666667)</f>
        <v>44593.66667</v>
      </c>
      <c r="B339" s="1">
        <f>IFERROR(__xludf.DUMMYFUNCTION("""COMPUTED_VALUE"""),33.6)</f>
        <v>33.6</v>
      </c>
    </row>
    <row r="340">
      <c r="A340" s="2">
        <f>IFERROR(__xludf.DUMMYFUNCTION("""COMPUTED_VALUE"""),44594.66666666667)</f>
        <v>44594.66667</v>
      </c>
      <c r="B340" s="1">
        <f>IFERROR(__xludf.DUMMYFUNCTION("""COMPUTED_VALUE"""),33.95)</f>
        <v>33.95</v>
      </c>
    </row>
    <row r="341">
      <c r="A341" s="2">
        <f>IFERROR(__xludf.DUMMYFUNCTION("""COMPUTED_VALUE"""),44595.66666666667)</f>
        <v>44595.66667</v>
      </c>
      <c r="B341" s="1">
        <f>IFERROR(__xludf.DUMMYFUNCTION("""COMPUTED_VALUE"""),33.17)</f>
        <v>33.17</v>
      </c>
    </row>
    <row r="342">
      <c r="A342" s="2">
        <f>IFERROR(__xludf.DUMMYFUNCTION("""COMPUTED_VALUE"""),44596.66666666667)</f>
        <v>44596.66667</v>
      </c>
      <c r="B342" s="1">
        <f>IFERROR(__xludf.DUMMYFUNCTION("""COMPUTED_VALUE"""),33.04)</f>
        <v>33.04</v>
      </c>
    </row>
    <row r="343">
      <c r="A343" s="2">
        <f>IFERROR(__xludf.DUMMYFUNCTION("""COMPUTED_VALUE"""),44599.66666666667)</f>
        <v>44599.66667</v>
      </c>
      <c r="B343" s="1">
        <f>IFERROR(__xludf.DUMMYFUNCTION("""COMPUTED_VALUE"""),33.14)</f>
        <v>33.14</v>
      </c>
    </row>
    <row r="344">
      <c r="A344" s="2">
        <f>IFERROR(__xludf.DUMMYFUNCTION("""COMPUTED_VALUE"""),44600.66666666667)</f>
        <v>44600.66667</v>
      </c>
      <c r="B344" s="1">
        <f>IFERROR(__xludf.DUMMYFUNCTION("""COMPUTED_VALUE"""),32.71)</f>
        <v>32.71</v>
      </c>
    </row>
    <row r="345">
      <c r="A345" s="2">
        <f>IFERROR(__xludf.DUMMYFUNCTION("""COMPUTED_VALUE"""),44601.66666666667)</f>
        <v>44601.66667</v>
      </c>
      <c r="B345" s="1">
        <f>IFERROR(__xludf.DUMMYFUNCTION("""COMPUTED_VALUE"""),32.99)</f>
        <v>32.99</v>
      </c>
    </row>
    <row r="346">
      <c r="A346" s="2">
        <f>IFERROR(__xludf.DUMMYFUNCTION("""COMPUTED_VALUE"""),44602.66666666667)</f>
        <v>44602.66667</v>
      </c>
      <c r="B346" s="1">
        <f>IFERROR(__xludf.DUMMYFUNCTION("""COMPUTED_VALUE"""),33.37)</f>
        <v>33.37</v>
      </c>
    </row>
    <row r="347">
      <c r="A347" s="2">
        <f>IFERROR(__xludf.DUMMYFUNCTION("""COMPUTED_VALUE"""),44603.66666666667)</f>
        <v>44603.66667</v>
      </c>
      <c r="B347" s="1">
        <f>IFERROR(__xludf.DUMMYFUNCTION("""COMPUTED_VALUE"""),32.68)</f>
        <v>32.68</v>
      </c>
    </row>
    <row r="348">
      <c r="A348" s="2">
        <f>IFERROR(__xludf.DUMMYFUNCTION("""COMPUTED_VALUE"""),44606.66666666667)</f>
        <v>44606.66667</v>
      </c>
      <c r="B348" s="1">
        <f>IFERROR(__xludf.DUMMYFUNCTION("""COMPUTED_VALUE"""),32.02)</f>
        <v>32.02</v>
      </c>
    </row>
    <row r="349">
      <c r="A349" s="2">
        <f>IFERROR(__xludf.DUMMYFUNCTION("""COMPUTED_VALUE"""),44607.66666666667)</f>
        <v>44607.66667</v>
      </c>
      <c r="B349" s="1">
        <f>IFERROR(__xludf.DUMMYFUNCTION("""COMPUTED_VALUE"""),31.94)</f>
        <v>31.94</v>
      </c>
    </row>
    <row r="350">
      <c r="A350" s="2">
        <f>IFERROR(__xludf.DUMMYFUNCTION("""COMPUTED_VALUE"""),44608.66666666667)</f>
        <v>44608.66667</v>
      </c>
      <c r="B350" s="1">
        <f>IFERROR(__xludf.DUMMYFUNCTION("""COMPUTED_VALUE"""),32.51)</f>
        <v>32.51</v>
      </c>
    </row>
    <row r="351">
      <c r="A351" s="2">
        <f>IFERROR(__xludf.DUMMYFUNCTION("""COMPUTED_VALUE"""),44609.66666666667)</f>
        <v>44609.66667</v>
      </c>
      <c r="B351" s="1">
        <f>IFERROR(__xludf.DUMMYFUNCTION("""COMPUTED_VALUE"""),32.29)</f>
        <v>32.29</v>
      </c>
    </row>
    <row r="352">
      <c r="A352" s="2">
        <f>IFERROR(__xludf.DUMMYFUNCTION("""COMPUTED_VALUE"""),44610.66666666667)</f>
        <v>44610.66667</v>
      </c>
      <c r="B352" s="1">
        <f>IFERROR(__xludf.DUMMYFUNCTION("""COMPUTED_VALUE"""),31.63)</f>
        <v>31.63</v>
      </c>
    </row>
    <row r="353">
      <c r="A353" s="2">
        <f>IFERROR(__xludf.DUMMYFUNCTION("""COMPUTED_VALUE"""),44613.66666666667)</f>
        <v>44613.66667</v>
      </c>
      <c r="B353" s="1">
        <f>IFERROR(__xludf.DUMMYFUNCTION("""COMPUTED_VALUE"""),31.1)</f>
        <v>31.1</v>
      </c>
    </row>
    <row r="354">
      <c r="A354" s="2">
        <f>IFERROR(__xludf.DUMMYFUNCTION("""COMPUTED_VALUE"""),44614.66666666667)</f>
        <v>44614.66667</v>
      </c>
      <c r="B354" s="1">
        <f>IFERROR(__xludf.DUMMYFUNCTION("""COMPUTED_VALUE"""),30.36)</f>
        <v>30.36</v>
      </c>
    </row>
    <row r="355">
      <c r="A355" s="2">
        <f>IFERROR(__xludf.DUMMYFUNCTION("""COMPUTED_VALUE"""),44615.66666666667)</f>
        <v>44615.66667</v>
      </c>
      <c r="B355" s="1">
        <f>IFERROR(__xludf.DUMMYFUNCTION("""COMPUTED_VALUE"""),30.85)</f>
        <v>30.85</v>
      </c>
    </row>
    <row r="356">
      <c r="A356" s="2">
        <f>IFERROR(__xludf.DUMMYFUNCTION("""COMPUTED_VALUE"""),44616.66666666667)</f>
        <v>44616.66667</v>
      </c>
      <c r="B356" s="1">
        <f>IFERROR(__xludf.DUMMYFUNCTION("""COMPUTED_VALUE"""),29.23)</f>
        <v>29.23</v>
      </c>
    </row>
    <row r="357">
      <c r="A357" s="2">
        <f>IFERROR(__xludf.DUMMYFUNCTION("""COMPUTED_VALUE"""),44617.66666666667)</f>
        <v>44617.66667</v>
      </c>
      <c r="B357" s="1">
        <f>IFERROR(__xludf.DUMMYFUNCTION("""COMPUTED_VALUE"""),30.7)</f>
        <v>30.7</v>
      </c>
    </row>
    <row r="358">
      <c r="A358" s="2">
        <f>IFERROR(__xludf.DUMMYFUNCTION("""COMPUTED_VALUE"""),44620.66666666667)</f>
        <v>44620.66667</v>
      </c>
      <c r="B358" s="1">
        <f>IFERROR(__xludf.DUMMYFUNCTION("""COMPUTED_VALUE"""),30.73)</f>
        <v>30.73</v>
      </c>
    </row>
    <row r="359">
      <c r="A359" s="2">
        <f>IFERROR(__xludf.DUMMYFUNCTION("""COMPUTED_VALUE"""),44621.66666666667)</f>
        <v>44621.66667</v>
      </c>
      <c r="B359" s="1">
        <f>IFERROR(__xludf.DUMMYFUNCTION("""COMPUTED_VALUE"""),31.26)</f>
        <v>31.26</v>
      </c>
    </row>
    <row r="360">
      <c r="A360" s="2">
        <f>IFERROR(__xludf.DUMMYFUNCTION("""COMPUTED_VALUE"""),44622.66666666667)</f>
        <v>44622.66667</v>
      </c>
      <c r="B360" s="1">
        <f>IFERROR(__xludf.DUMMYFUNCTION("""COMPUTED_VALUE"""),30.92)</f>
        <v>30.92</v>
      </c>
    </row>
    <row r="361">
      <c r="A361" s="2">
        <f>IFERROR(__xludf.DUMMYFUNCTION("""COMPUTED_VALUE"""),44623.66666666667)</f>
        <v>44623.66667</v>
      </c>
      <c r="B361" s="1">
        <f>IFERROR(__xludf.DUMMYFUNCTION("""COMPUTED_VALUE"""),31.18)</f>
        <v>31.18</v>
      </c>
    </row>
    <row r="362">
      <c r="A362" s="2">
        <f>IFERROR(__xludf.DUMMYFUNCTION("""COMPUTED_VALUE"""),44624.66666666667)</f>
        <v>44624.66667</v>
      </c>
      <c r="B362" s="1">
        <f>IFERROR(__xludf.DUMMYFUNCTION("""COMPUTED_VALUE"""),30.23)</f>
        <v>30.23</v>
      </c>
    </row>
    <row r="363">
      <c r="A363" s="2">
        <f>IFERROR(__xludf.DUMMYFUNCTION("""COMPUTED_VALUE"""),44627.66666666667)</f>
        <v>44627.66667</v>
      </c>
      <c r="B363" s="1">
        <f>IFERROR(__xludf.DUMMYFUNCTION("""COMPUTED_VALUE"""),29.32)</f>
        <v>29.32</v>
      </c>
    </row>
    <row r="364">
      <c r="A364" s="2">
        <f>IFERROR(__xludf.DUMMYFUNCTION("""COMPUTED_VALUE"""),44628.66666666667)</f>
        <v>44628.66667</v>
      </c>
      <c r="B364" s="1">
        <f>IFERROR(__xludf.DUMMYFUNCTION("""COMPUTED_VALUE"""),29.06)</f>
        <v>29.06</v>
      </c>
    </row>
    <row r="365">
      <c r="A365" s="2">
        <f>IFERROR(__xludf.DUMMYFUNCTION("""COMPUTED_VALUE"""),44629.66666666667)</f>
        <v>44629.66667</v>
      </c>
      <c r="B365" s="1">
        <f>IFERROR(__xludf.DUMMYFUNCTION("""COMPUTED_VALUE"""),29.2)</f>
        <v>29.2</v>
      </c>
    </row>
    <row r="366">
      <c r="A366" s="2">
        <f>IFERROR(__xludf.DUMMYFUNCTION("""COMPUTED_VALUE"""),44630.66666666667)</f>
        <v>44630.66667</v>
      </c>
      <c r="B366" s="1">
        <f>IFERROR(__xludf.DUMMYFUNCTION("""COMPUTED_VALUE"""),29.85)</f>
        <v>29.85</v>
      </c>
    </row>
    <row r="367">
      <c r="A367" s="2">
        <f>IFERROR(__xludf.DUMMYFUNCTION("""COMPUTED_VALUE"""),44631.66666666667)</f>
        <v>44631.66667</v>
      </c>
      <c r="B367" s="1">
        <f>IFERROR(__xludf.DUMMYFUNCTION("""COMPUTED_VALUE"""),29.37)</f>
        <v>29.37</v>
      </c>
    </row>
    <row r="368">
      <c r="A368" s="2">
        <f>IFERROR(__xludf.DUMMYFUNCTION("""COMPUTED_VALUE"""),44634.66666666667)</f>
        <v>44634.66667</v>
      </c>
      <c r="B368" s="1">
        <f>IFERROR(__xludf.DUMMYFUNCTION("""COMPUTED_VALUE"""),29.37)</f>
        <v>29.37</v>
      </c>
    </row>
    <row r="369">
      <c r="A369" s="2">
        <f>IFERROR(__xludf.DUMMYFUNCTION("""COMPUTED_VALUE"""),44635.66666666667)</f>
        <v>44635.66667</v>
      </c>
      <c r="B369" s="1">
        <f>IFERROR(__xludf.DUMMYFUNCTION("""COMPUTED_VALUE"""),29.1)</f>
        <v>29.1</v>
      </c>
    </row>
    <row r="370">
      <c r="A370" s="2">
        <f>IFERROR(__xludf.DUMMYFUNCTION("""COMPUTED_VALUE"""),44636.66666666667)</f>
        <v>44636.66667</v>
      </c>
      <c r="B370" s="1">
        <f>IFERROR(__xludf.DUMMYFUNCTION("""COMPUTED_VALUE"""),29.82)</f>
        <v>29.82</v>
      </c>
    </row>
    <row r="371">
      <c r="A371" s="2">
        <f>IFERROR(__xludf.DUMMYFUNCTION("""COMPUTED_VALUE"""),44637.66666666667)</f>
        <v>44637.66667</v>
      </c>
      <c r="B371" s="1">
        <f>IFERROR(__xludf.DUMMYFUNCTION("""COMPUTED_VALUE"""),30.46)</f>
        <v>30.46</v>
      </c>
    </row>
    <row r="372">
      <c r="A372" s="2">
        <f>IFERROR(__xludf.DUMMYFUNCTION("""COMPUTED_VALUE"""),44638.66666666667)</f>
        <v>44638.66667</v>
      </c>
      <c r="B372" s="1">
        <f>IFERROR(__xludf.DUMMYFUNCTION("""COMPUTED_VALUE"""),30.27)</f>
        <v>30.27</v>
      </c>
    </row>
    <row r="373">
      <c r="A373" s="2">
        <f>IFERROR(__xludf.DUMMYFUNCTION("""COMPUTED_VALUE"""),44641.66666666667)</f>
        <v>44641.66667</v>
      </c>
      <c r="B373" s="1">
        <f>IFERROR(__xludf.DUMMYFUNCTION("""COMPUTED_VALUE"""),30.96)</f>
        <v>30.96</v>
      </c>
    </row>
    <row r="374">
      <c r="A374" s="2">
        <f>IFERROR(__xludf.DUMMYFUNCTION("""COMPUTED_VALUE"""),44642.66666666667)</f>
        <v>44642.66667</v>
      </c>
      <c r="B374" s="1">
        <f>IFERROR(__xludf.DUMMYFUNCTION("""COMPUTED_VALUE"""),30.9)</f>
        <v>30.9</v>
      </c>
    </row>
    <row r="375">
      <c r="A375" s="2">
        <f>IFERROR(__xludf.DUMMYFUNCTION("""COMPUTED_VALUE"""),44643.66666666667)</f>
        <v>44643.66667</v>
      </c>
      <c r="B375" s="1">
        <f>IFERROR(__xludf.DUMMYFUNCTION("""COMPUTED_VALUE"""),31.37)</f>
        <v>31.37</v>
      </c>
    </row>
    <row r="376">
      <c r="A376" s="2">
        <f>IFERROR(__xludf.DUMMYFUNCTION("""COMPUTED_VALUE"""),44644.66666666667)</f>
        <v>44644.66667</v>
      </c>
      <c r="B376" s="1">
        <f>IFERROR(__xludf.DUMMYFUNCTION("""COMPUTED_VALUE"""),31.01)</f>
        <v>31.01</v>
      </c>
    </row>
    <row r="377">
      <c r="A377" s="2">
        <f>IFERROR(__xludf.DUMMYFUNCTION("""COMPUTED_VALUE"""),44645.66666666667)</f>
        <v>44645.66667</v>
      </c>
      <c r="B377" s="1">
        <f>IFERROR(__xludf.DUMMYFUNCTION("""COMPUTED_VALUE"""),31.39)</f>
        <v>31.39</v>
      </c>
    </row>
    <row r="378">
      <c r="A378" s="2">
        <f>IFERROR(__xludf.DUMMYFUNCTION("""COMPUTED_VALUE"""),44648.66666666667)</f>
        <v>44648.66667</v>
      </c>
      <c r="B378" s="1">
        <f>IFERROR(__xludf.DUMMYFUNCTION("""COMPUTED_VALUE"""),31.16)</f>
        <v>31.16</v>
      </c>
    </row>
    <row r="379">
      <c r="A379" s="2">
        <f>IFERROR(__xludf.DUMMYFUNCTION("""COMPUTED_VALUE"""),44649.66666666667)</f>
        <v>44649.66667</v>
      </c>
      <c r="B379" s="1">
        <f>IFERROR(__xludf.DUMMYFUNCTION("""COMPUTED_VALUE"""),31.91)</f>
        <v>31.91</v>
      </c>
    </row>
    <row r="380">
      <c r="A380" s="2">
        <f>IFERROR(__xludf.DUMMYFUNCTION("""COMPUTED_VALUE"""),44650.66666666667)</f>
        <v>44650.66667</v>
      </c>
      <c r="B380" s="1">
        <f>IFERROR(__xludf.DUMMYFUNCTION("""COMPUTED_VALUE"""),32.24)</f>
        <v>32.24</v>
      </c>
    </row>
    <row r="381">
      <c r="A381" s="2">
        <f>IFERROR(__xludf.DUMMYFUNCTION("""COMPUTED_VALUE"""),44651.66666666667)</f>
        <v>44651.66667</v>
      </c>
      <c r="B381" s="1">
        <f>IFERROR(__xludf.DUMMYFUNCTION("""COMPUTED_VALUE"""),32.31)</f>
        <v>32.31</v>
      </c>
    </row>
    <row r="382">
      <c r="A382" s="2">
        <f>IFERROR(__xludf.DUMMYFUNCTION("""COMPUTED_VALUE"""),44652.66666666667)</f>
        <v>44652.66667</v>
      </c>
      <c r="B382" s="1">
        <f>IFERROR(__xludf.DUMMYFUNCTION("""COMPUTED_VALUE"""),31.82)</f>
        <v>31.82</v>
      </c>
    </row>
    <row r="383">
      <c r="A383" s="2">
        <f>IFERROR(__xludf.DUMMYFUNCTION("""COMPUTED_VALUE"""),44655.66666666667)</f>
        <v>44655.66667</v>
      </c>
      <c r="B383" s="1">
        <f>IFERROR(__xludf.DUMMYFUNCTION("""COMPUTED_VALUE"""),31.61)</f>
        <v>31.61</v>
      </c>
    </row>
    <row r="384">
      <c r="A384" s="2">
        <f>IFERROR(__xludf.DUMMYFUNCTION("""COMPUTED_VALUE"""),44656.66666666667)</f>
        <v>44656.66667</v>
      </c>
      <c r="B384" s="1">
        <f>IFERROR(__xludf.DUMMYFUNCTION("""COMPUTED_VALUE"""),31.76)</f>
        <v>31.76</v>
      </c>
    </row>
    <row r="385">
      <c r="A385" s="2">
        <f>IFERROR(__xludf.DUMMYFUNCTION("""COMPUTED_VALUE"""),44657.66666666667)</f>
        <v>44657.66667</v>
      </c>
      <c r="B385" s="1">
        <f>IFERROR(__xludf.DUMMYFUNCTION("""COMPUTED_VALUE"""),31.22)</f>
        <v>31.22</v>
      </c>
    </row>
    <row r="386">
      <c r="A386" s="2">
        <f>IFERROR(__xludf.DUMMYFUNCTION("""COMPUTED_VALUE"""),44658.66666666667)</f>
        <v>44658.66667</v>
      </c>
      <c r="B386" s="1">
        <f>IFERROR(__xludf.DUMMYFUNCTION("""COMPUTED_VALUE"""),30.88)</f>
        <v>30.88</v>
      </c>
    </row>
    <row r="387">
      <c r="A387" s="2">
        <f>IFERROR(__xludf.DUMMYFUNCTION("""COMPUTED_VALUE"""),44659.66666666667)</f>
        <v>44659.66667</v>
      </c>
      <c r="B387" s="1">
        <f>IFERROR(__xludf.DUMMYFUNCTION("""COMPUTED_VALUE"""),31.1)</f>
        <v>31.1</v>
      </c>
    </row>
    <row r="388">
      <c r="A388" s="2">
        <f>IFERROR(__xludf.DUMMYFUNCTION("""COMPUTED_VALUE"""),44662.66666666667)</f>
        <v>44662.66667</v>
      </c>
      <c r="B388" s="1">
        <f>IFERROR(__xludf.DUMMYFUNCTION("""COMPUTED_VALUE"""),30.51)</f>
        <v>30.51</v>
      </c>
    </row>
    <row r="389">
      <c r="A389" s="2">
        <f>IFERROR(__xludf.DUMMYFUNCTION("""COMPUTED_VALUE"""),44663.66666666667)</f>
        <v>44663.66667</v>
      </c>
      <c r="B389" s="1">
        <f>IFERROR(__xludf.DUMMYFUNCTION("""COMPUTED_VALUE"""),29.99)</f>
        <v>29.99</v>
      </c>
    </row>
    <row r="390">
      <c r="A390" s="2">
        <f>IFERROR(__xludf.DUMMYFUNCTION("""COMPUTED_VALUE"""),44664.66666666667)</f>
        <v>44664.66667</v>
      </c>
      <c r="B390" s="1">
        <f>IFERROR(__xludf.DUMMYFUNCTION("""COMPUTED_VALUE"""),30.15)</f>
        <v>30.15</v>
      </c>
    </row>
    <row r="391">
      <c r="A391" s="2">
        <f>IFERROR(__xludf.DUMMYFUNCTION("""COMPUTED_VALUE"""),44665.66666666667)</f>
        <v>44665.66667</v>
      </c>
      <c r="B391" s="1">
        <f>IFERROR(__xludf.DUMMYFUNCTION("""COMPUTED_VALUE"""),30.53)</f>
        <v>30.53</v>
      </c>
    </row>
    <row r="392">
      <c r="A392" s="2">
        <f>IFERROR(__xludf.DUMMYFUNCTION("""COMPUTED_VALUE"""),44670.66666666667)</f>
        <v>44670.66667</v>
      </c>
      <c r="B392" s="1">
        <f>IFERROR(__xludf.DUMMYFUNCTION("""COMPUTED_VALUE"""),30.25)</f>
        <v>30.25</v>
      </c>
    </row>
    <row r="393">
      <c r="A393" s="2">
        <f>IFERROR(__xludf.DUMMYFUNCTION("""COMPUTED_VALUE"""),44671.66666666667)</f>
        <v>44671.66667</v>
      </c>
      <c r="B393" s="1">
        <f>IFERROR(__xludf.DUMMYFUNCTION("""COMPUTED_VALUE"""),30.33)</f>
        <v>30.33</v>
      </c>
    </row>
    <row r="394">
      <c r="A394" s="2">
        <f>IFERROR(__xludf.DUMMYFUNCTION("""COMPUTED_VALUE"""),44672.66666666667)</f>
        <v>44672.66667</v>
      </c>
      <c r="B394" s="1">
        <f>IFERROR(__xludf.DUMMYFUNCTION("""COMPUTED_VALUE"""),30.21)</f>
        <v>30.21</v>
      </c>
    </row>
    <row r="395">
      <c r="A395" s="2">
        <f>IFERROR(__xludf.DUMMYFUNCTION("""COMPUTED_VALUE"""),44673.66666666667)</f>
        <v>44673.66667</v>
      </c>
      <c r="B395" s="1">
        <f>IFERROR(__xludf.DUMMYFUNCTION("""COMPUTED_VALUE"""),29.79)</f>
        <v>29.79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IFERROR(__xludf.DUMMYFUNCTION("""COMPUTED_VALUE"""),29.95)</f>
        <v>29.95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IFERROR(__xludf.DUMMYFUNCTION("""COMPUTED_VALUE"""),29.08)</f>
        <v>29.08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IFERROR(__xludf.DUMMYFUNCTION("""COMPUTED_VALUE"""),29.63)</f>
        <v>29.63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IFERROR(__xludf.DUMMYFUNCTION("""COMPUTED_VALUE"""),29.88)</f>
        <v>29.88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IFERROR(__xludf.DUMMYFUNCTION("""COMPUTED_VALUE"""),29.3)</f>
        <v>29.3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IFERROR(__xludf.DUMMYFUNCTION("""COMPUTED_VALUE"""),29.34)</f>
        <v>29.34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IFERROR(__xludf.DUMMYFUNCTION("""COMPUTED_VALUE"""),29.45)</f>
        <v>29.45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IFERROR(__xludf.DUMMYFUNCTION("""COMPUTED_VALUE"""),29.85)</f>
        <v>29.85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IFERROR(__xludf.DUMMYFUNCTION("""COMPUTED_VALUE"""),28.99)</f>
        <v>28.99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IFERROR(__xludf.DUMMYFUNCTION("""COMPUTED_VALUE"""),28.69)</f>
        <v>28.69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IFERROR(__xludf.DUMMYFUNCTION("""COMPUTED_VALUE"""),28.3)</f>
        <v>28.3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IFERROR(__xludf.DUMMYFUNCTION("""COMPUTED_VALUE"""),28.53)</f>
        <v>28.53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IFERROR(__xludf.DUMMYFUNCTION("""COMPUTED_VALUE"""),27.72)</f>
        <v>27.72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IFERROR(__xludf.DUMMYFUNCTION("""COMPUTED_VALUE"""),28.05)</f>
        <v>28.05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IFERROR(__xludf.DUMMYFUNCTION("""COMPUTED_VALUE"""),28.5)</f>
        <v>28.5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IFERROR(__xludf.DUMMYFUNCTION("""COMPUTED_VALUE"""),28.11)</f>
        <v>28.11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IFERROR(__xludf.DUMMYFUNCTION("""COMPUTED_VALUE"""),28.41)</f>
        <v>28.41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IFERROR(__xludf.DUMMYFUNCTION("""COMPUTED_VALUE"""),27.19)</f>
        <v>27.19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IFERROR(__xludf.DUMMYFUNCTION("""COMPUTED_VALUE"""),27.21)</f>
        <v>27.21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IFERROR(__xludf.DUMMYFUNCTION("""COMPUTED_VALUE"""),26.97)</f>
        <v>26.97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IFERROR(__xludf.DUMMYFUNCTION("""COMPUTED_VALUE"""),26.62)</f>
        <v>26.62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IFERROR(__xludf.DUMMYFUNCTION("""COMPUTED_VALUE"""),26.62)</f>
        <v>26.62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IFERROR(__xludf.DUMMYFUNCTION("""COMPUTED_VALUE"""),26.77)</f>
        <v>26.77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IFERROR(__xludf.DUMMYFUNCTION("""COMPUTED_VALUE"""),27.4)</f>
        <v>27.4</v>
      </c>
    </row>
    <row r="420">
      <c r="A420" s="2">
        <f>IFERROR(__xludf.DUMMYFUNCTION("""COMPUTED_VALUE"""),44711.66666666667)</f>
        <v>44711.66667</v>
      </c>
      <c r="B420" s="1">
        <f>IFERROR(__xludf.DUMMYFUNCTION("""COMPUTED_VALUE"""),28.56)</f>
        <v>28.56</v>
      </c>
    </row>
    <row r="421">
      <c r="A421" s="2">
        <f>IFERROR(__xludf.DUMMYFUNCTION("""COMPUTED_VALUE"""),44712.66666666667)</f>
        <v>44712.66667</v>
      </c>
      <c r="B421" s="1">
        <f>IFERROR(__xludf.DUMMYFUNCTION("""COMPUTED_VALUE"""),28.23)</f>
        <v>28.23</v>
      </c>
    </row>
    <row r="422">
      <c r="A422" s="2">
        <f>IFERROR(__xludf.DUMMYFUNCTION("""COMPUTED_VALUE"""),44713.66666666667)</f>
        <v>44713.66667</v>
      </c>
      <c r="B422" s="1">
        <f>IFERROR(__xludf.DUMMYFUNCTION("""COMPUTED_VALUE"""),28.16)</f>
        <v>28.16</v>
      </c>
    </row>
    <row r="423">
      <c r="A423" s="2">
        <f>IFERROR(__xludf.DUMMYFUNCTION("""COMPUTED_VALUE"""),44714.66666666667)</f>
        <v>44714.66667</v>
      </c>
      <c r="B423" s="1">
        <f>IFERROR(__xludf.DUMMYFUNCTION("""COMPUTED_VALUE"""),28.01)</f>
        <v>28.01</v>
      </c>
    </row>
    <row r="424">
      <c r="A424" s="2">
        <f>IFERROR(__xludf.DUMMYFUNCTION("""COMPUTED_VALUE"""),44715.66666666667)</f>
        <v>44715.66667</v>
      </c>
      <c r="B424" s="1">
        <f>IFERROR(__xludf.DUMMYFUNCTION("""COMPUTED_VALUE"""),28.38)</f>
        <v>28.38</v>
      </c>
    </row>
    <row r="425">
      <c r="A425" s="2">
        <f>IFERROR(__xludf.DUMMYFUNCTION("""COMPUTED_VALUE"""),44718.66666666667)</f>
        <v>44718.66667</v>
      </c>
      <c r="B425" s="1">
        <f>IFERROR(__xludf.DUMMYFUNCTION("""COMPUTED_VALUE"""),28.0)</f>
        <v>28</v>
      </c>
    </row>
    <row r="426">
      <c r="A426" s="2">
        <f>IFERROR(__xludf.DUMMYFUNCTION("""COMPUTED_VALUE"""),44719.66666666667)</f>
        <v>44719.66667</v>
      </c>
      <c r="B426" s="1">
        <f>IFERROR(__xludf.DUMMYFUNCTION("""COMPUTED_VALUE"""),27.81)</f>
        <v>27.81</v>
      </c>
    </row>
    <row r="427">
      <c r="A427" s="2">
        <f>IFERROR(__xludf.DUMMYFUNCTION("""COMPUTED_VALUE"""),44720.66666666667)</f>
        <v>44720.66667</v>
      </c>
      <c r="B427" s="1">
        <f>IFERROR(__xludf.DUMMYFUNCTION("""COMPUTED_VALUE"""),28.07)</f>
        <v>28.07</v>
      </c>
    </row>
    <row r="428">
      <c r="A428" s="2">
        <f>IFERROR(__xludf.DUMMYFUNCTION("""COMPUTED_VALUE"""),44721.66666666667)</f>
        <v>44721.66667</v>
      </c>
      <c r="B428" s="1">
        <f>IFERROR(__xludf.DUMMYFUNCTION("""COMPUTED_VALUE"""),28.0)</f>
        <v>28</v>
      </c>
    </row>
    <row r="429">
      <c r="A429" s="2">
        <f>IFERROR(__xludf.DUMMYFUNCTION("""COMPUTED_VALUE"""),44722.66666666667)</f>
        <v>44722.66667</v>
      </c>
      <c r="B429" s="1">
        <f>IFERROR(__xludf.DUMMYFUNCTION("""COMPUTED_VALUE"""),27.64)</f>
        <v>27.64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IFERROR(__xludf.DUMMYFUNCTION("""COMPUTED_VALUE"""),26.35)</f>
        <v>26.35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IFERROR(__xludf.DUMMYFUNCTION("""COMPUTED_VALUE"""),26.32)</f>
        <v>26.32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IFERROR(__xludf.DUMMYFUNCTION("""COMPUTED_VALUE"""),26.31)</f>
        <v>26.31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IFERROR(__xludf.DUMMYFUNCTION("""COMPUTED_VALUE"""),25.51)</f>
        <v>25.51</v>
      </c>
    </row>
    <row r="434">
      <c r="A434" s="2">
        <f>IFERROR(__xludf.DUMMYFUNCTION("""COMPUTED_VALUE"""),44732.66666666667)</f>
        <v>44732.66667</v>
      </c>
      <c r="B434" s="1">
        <f>IFERROR(__xludf.DUMMYFUNCTION("""COMPUTED_VALUE"""),25.96)</f>
        <v>25.96</v>
      </c>
    </row>
    <row r="435">
      <c r="A435" s="2">
        <f>IFERROR(__xludf.DUMMYFUNCTION("""COMPUTED_VALUE"""),44733.66666666667)</f>
        <v>44733.66667</v>
      </c>
      <c r="B435" s="1">
        <f>IFERROR(__xludf.DUMMYFUNCTION("""COMPUTED_VALUE"""),26.23)</f>
        <v>26.23</v>
      </c>
    </row>
    <row r="436">
      <c r="A436" s="2">
        <f>IFERROR(__xludf.DUMMYFUNCTION("""COMPUTED_VALUE"""),44734.66666666667)</f>
        <v>44734.66667</v>
      </c>
      <c r="B436" s="1">
        <f>IFERROR(__xludf.DUMMYFUNCTION("""COMPUTED_VALUE"""),26.31)</f>
        <v>26.31</v>
      </c>
    </row>
    <row r="437">
      <c r="A437" s="2">
        <f>IFERROR(__xludf.DUMMYFUNCTION("""COMPUTED_VALUE"""),44735.66666666667)</f>
        <v>44735.66667</v>
      </c>
      <c r="B437" s="1">
        <f>IFERROR(__xludf.DUMMYFUNCTION("""COMPUTED_VALUE"""),26.68)</f>
        <v>26.68</v>
      </c>
    </row>
    <row r="438">
      <c r="A438" s="2">
        <f>IFERROR(__xludf.DUMMYFUNCTION("""COMPUTED_VALUE"""),44736.66666666667)</f>
        <v>44736.66667</v>
      </c>
      <c r="B438" s="1">
        <f>IFERROR(__xludf.DUMMYFUNCTION("""COMPUTED_VALUE"""),27.29)</f>
        <v>27.29</v>
      </c>
    </row>
    <row r="439">
      <c r="A439" s="2">
        <f>IFERROR(__xludf.DUMMYFUNCTION("""COMPUTED_VALUE"""),44739.66666666667)</f>
        <v>44739.66667</v>
      </c>
      <c r="B439" s="1">
        <f>IFERROR(__xludf.DUMMYFUNCTION("""COMPUTED_VALUE"""),27.92)</f>
        <v>27.92</v>
      </c>
    </row>
    <row r="440">
      <c r="A440" s="2">
        <f>IFERROR(__xludf.DUMMYFUNCTION("""COMPUTED_VALUE"""),44740.66666666667)</f>
        <v>44740.66667</v>
      </c>
      <c r="B440" s="1">
        <f>IFERROR(__xludf.DUMMYFUNCTION("""COMPUTED_VALUE"""),27.74)</f>
        <v>27.74</v>
      </c>
    </row>
    <row r="441">
      <c r="A441" s="2">
        <f>IFERROR(__xludf.DUMMYFUNCTION("""COMPUTED_VALUE"""),44741.66666666667)</f>
        <v>44741.66667</v>
      </c>
      <c r="B441" s="1">
        <f>IFERROR(__xludf.DUMMYFUNCTION("""COMPUTED_VALUE"""),27.0)</f>
        <v>27</v>
      </c>
    </row>
    <row r="442">
      <c r="A442" s="2">
        <f>IFERROR(__xludf.DUMMYFUNCTION("""COMPUTED_VALUE"""),44742.66666666667)</f>
        <v>44742.66667</v>
      </c>
      <c r="B442" s="1">
        <f>IFERROR(__xludf.DUMMYFUNCTION("""COMPUTED_VALUE"""),26.71)</f>
        <v>26.71</v>
      </c>
    </row>
    <row r="443">
      <c r="A443" s="2">
        <f>IFERROR(__xludf.DUMMYFUNCTION("""COMPUTED_VALUE"""),44743.66666666667)</f>
        <v>44743.66667</v>
      </c>
      <c r="B443" s="1">
        <f>IFERROR(__xludf.DUMMYFUNCTION("""COMPUTED_VALUE"""),25.76)</f>
        <v>25.76</v>
      </c>
    </row>
    <row r="444">
      <c r="A444" s="2">
        <f>IFERROR(__xludf.DUMMYFUNCTION("""COMPUTED_VALUE"""),44746.66666666667)</f>
        <v>44746.66667</v>
      </c>
      <c r="B444" s="1">
        <f>IFERROR(__xludf.DUMMYFUNCTION("""COMPUTED_VALUE"""),26.1)</f>
        <v>26.1</v>
      </c>
    </row>
    <row r="445">
      <c r="A445" s="2">
        <f>IFERROR(__xludf.DUMMYFUNCTION("""COMPUTED_VALUE"""),44747.66666666667)</f>
        <v>44747.66667</v>
      </c>
      <c r="B445" s="1">
        <f>IFERROR(__xludf.DUMMYFUNCTION("""COMPUTED_VALUE"""),26.29)</f>
        <v>26.29</v>
      </c>
    </row>
    <row r="446">
      <c r="A446" s="2">
        <f>IFERROR(__xludf.DUMMYFUNCTION("""COMPUTED_VALUE"""),44748.66666666667)</f>
        <v>44748.66667</v>
      </c>
      <c r="B446" s="1">
        <f>IFERROR(__xludf.DUMMYFUNCTION("""COMPUTED_VALUE"""),26.74)</f>
        <v>26.74</v>
      </c>
    </row>
    <row r="447">
      <c r="A447" s="2">
        <f>IFERROR(__xludf.DUMMYFUNCTION("""COMPUTED_VALUE"""),44749.66666666667)</f>
        <v>44749.66667</v>
      </c>
      <c r="B447" s="1">
        <f>IFERROR(__xludf.DUMMYFUNCTION("""COMPUTED_VALUE"""),27.02)</f>
        <v>27.02</v>
      </c>
    </row>
    <row r="448">
      <c r="A448" s="2">
        <f>IFERROR(__xludf.DUMMYFUNCTION("""COMPUTED_VALUE"""),44750.66666666667)</f>
        <v>44750.66667</v>
      </c>
      <c r="B448" s="1">
        <f>IFERROR(__xludf.DUMMYFUNCTION("""COMPUTED_VALUE"""),27.34)</f>
        <v>27.34</v>
      </c>
    </row>
    <row r="449">
      <c r="A449" s="2">
        <f>IFERROR(__xludf.DUMMYFUNCTION("""COMPUTED_VALUE"""),44753.66666666667)</f>
        <v>44753.66667</v>
      </c>
      <c r="B449" s="1">
        <f>IFERROR(__xludf.DUMMYFUNCTION("""COMPUTED_VALUE"""),27.21)</f>
        <v>27.21</v>
      </c>
    </row>
    <row r="450">
      <c r="A450" s="2">
        <f>IFERROR(__xludf.DUMMYFUNCTION("""COMPUTED_VALUE"""),44754.66666666667)</f>
        <v>44754.66667</v>
      </c>
      <c r="B450" s="1">
        <f>IFERROR(__xludf.DUMMYFUNCTION("""COMPUTED_VALUE"""),27.08)</f>
        <v>27.08</v>
      </c>
    </row>
    <row r="451">
      <c r="A451" s="2">
        <f>IFERROR(__xludf.DUMMYFUNCTION("""COMPUTED_VALUE"""),44755.66666666667)</f>
        <v>44755.66667</v>
      </c>
      <c r="B451" s="1">
        <f>IFERROR(__xludf.DUMMYFUNCTION("""COMPUTED_VALUE"""),26.93)</f>
        <v>26.93</v>
      </c>
    </row>
    <row r="452">
      <c r="A452" s="2">
        <f>IFERROR(__xludf.DUMMYFUNCTION("""COMPUTED_VALUE"""),44756.66666666667)</f>
        <v>44756.66667</v>
      </c>
      <c r="B452" s="1">
        <f>IFERROR(__xludf.DUMMYFUNCTION("""COMPUTED_VALUE"""),26.75)</f>
        <v>26.75</v>
      </c>
    </row>
    <row r="453">
      <c r="A453" s="2">
        <f>IFERROR(__xludf.DUMMYFUNCTION("""COMPUTED_VALUE"""),44757.66666666667)</f>
        <v>44757.66667</v>
      </c>
      <c r="B453" s="1">
        <f>IFERROR(__xludf.DUMMYFUNCTION("""COMPUTED_VALUE"""),27.11)</f>
        <v>27.11</v>
      </c>
    </row>
    <row r="454">
      <c r="A454" s="2">
        <f>IFERROR(__xludf.DUMMYFUNCTION("""COMPUTED_VALUE"""),44760.66666666667)</f>
        <v>44760.66667</v>
      </c>
      <c r="B454" s="1">
        <f>IFERROR(__xludf.DUMMYFUNCTION("""COMPUTED_VALUE"""),27.5)</f>
        <v>27.5</v>
      </c>
    </row>
    <row r="455">
      <c r="A455" s="2">
        <f>IFERROR(__xludf.DUMMYFUNCTION("""COMPUTED_VALUE"""),44761.66666666667)</f>
        <v>44761.66667</v>
      </c>
      <c r="B455" s="1">
        <f>IFERROR(__xludf.DUMMYFUNCTION("""COMPUTED_VALUE"""),26.89)</f>
        <v>26.89</v>
      </c>
    </row>
    <row r="456">
      <c r="A456" s="2">
        <f>IFERROR(__xludf.DUMMYFUNCTION("""COMPUTED_VALUE"""),44762.66666666667)</f>
        <v>44762.66667</v>
      </c>
      <c r="B456" s="1">
        <f>IFERROR(__xludf.DUMMYFUNCTION("""COMPUTED_VALUE"""),27.55)</f>
        <v>27.55</v>
      </c>
    </row>
    <row r="457">
      <c r="A457" s="2">
        <f>IFERROR(__xludf.DUMMYFUNCTION("""COMPUTED_VALUE"""),44763.66666666667)</f>
        <v>44763.66667</v>
      </c>
      <c r="B457" s="1">
        <f>IFERROR(__xludf.DUMMYFUNCTION("""COMPUTED_VALUE"""),27.88)</f>
        <v>27.88</v>
      </c>
    </row>
    <row r="458">
      <c r="A458" s="2">
        <f>IFERROR(__xludf.DUMMYFUNCTION("""COMPUTED_VALUE"""),44764.66666666667)</f>
        <v>44764.66667</v>
      </c>
      <c r="B458" s="1">
        <f>IFERROR(__xludf.DUMMYFUNCTION("""COMPUTED_VALUE"""),28.02)</f>
        <v>28.02</v>
      </c>
    </row>
    <row r="459">
      <c r="A459" s="2">
        <f>IFERROR(__xludf.DUMMYFUNCTION("""COMPUTED_VALUE"""),44767.66666666667)</f>
        <v>44767.66667</v>
      </c>
      <c r="B459" s="1">
        <f>IFERROR(__xludf.DUMMYFUNCTION("""COMPUTED_VALUE"""),27.73)</f>
        <v>27.73</v>
      </c>
    </row>
    <row r="460">
      <c r="A460" s="2">
        <f>IFERROR(__xludf.DUMMYFUNCTION("""COMPUTED_VALUE"""),44768.66666666667)</f>
        <v>44768.66667</v>
      </c>
      <c r="B460" s="1">
        <f>IFERROR(__xludf.DUMMYFUNCTION("""COMPUTED_VALUE"""),27.3)</f>
        <v>27.3</v>
      </c>
    </row>
    <row r="461">
      <c r="A461" s="2">
        <f>IFERROR(__xludf.DUMMYFUNCTION("""COMPUTED_VALUE"""),44769.66666666667)</f>
        <v>44769.66667</v>
      </c>
      <c r="B461" s="1">
        <f>IFERROR(__xludf.DUMMYFUNCTION("""COMPUTED_VALUE"""),27.34)</f>
        <v>27.34</v>
      </c>
    </row>
    <row r="462">
      <c r="A462" s="2">
        <f>IFERROR(__xludf.DUMMYFUNCTION("""COMPUTED_VALUE"""),44770.66666666667)</f>
        <v>44770.66667</v>
      </c>
      <c r="B462" s="1">
        <f>IFERROR(__xludf.DUMMYFUNCTION("""COMPUTED_VALUE"""),27.74)</f>
        <v>27.74</v>
      </c>
    </row>
    <row r="463">
      <c r="A463" s="2">
        <f>IFERROR(__xludf.DUMMYFUNCTION("""COMPUTED_VALUE"""),44771.66666666667)</f>
        <v>44771.66667</v>
      </c>
      <c r="B463" s="1">
        <f>IFERROR(__xludf.DUMMYFUNCTION("""COMPUTED_VALUE"""),28.45)</f>
        <v>28.45</v>
      </c>
    </row>
    <row r="464">
      <c r="A464" s="2">
        <f>IFERROR(__xludf.DUMMYFUNCTION("""COMPUTED_VALUE"""),44774.66666666667)</f>
        <v>44774.66667</v>
      </c>
      <c r="B464" s="1">
        <f>IFERROR(__xludf.DUMMYFUNCTION("""COMPUTED_VALUE"""),28.55)</f>
        <v>28.55</v>
      </c>
    </row>
    <row r="465">
      <c r="A465" s="2">
        <f>IFERROR(__xludf.DUMMYFUNCTION("""COMPUTED_VALUE"""),44775.66666666667)</f>
        <v>44775.66667</v>
      </c>
      <c r="B465" s="1">
        <f>IFERROR(__xludf.DUMMYFUNCTION("""COMPUTED_VALUE"""),28.66)</f>
        <v>28.66</v>
      </c>
    </row>
    <row r="466">
      <c r="A466" s="2">
        <f>IFERROR(__xludf.DUMMYFUNCTION("""COMPUTED_VALUE"""),44776.66666666667)</f>
        <v>44776.66667</v>
      </c>
      <c r="B466" s="1">
        <f>IFERROR(__xludf.DUMMYFUNCTION("""COMPUTED_VALUE"""),28.83)</f>
        <v>28.83</v>
      </c>
    </row>
    <row r="467">
      <c r="A467" s="2">
        <f>IFERROR(__xludf.DUMMYFUNCTION("""COMPUTED_VALUE"""),44777.66666666667)</f>
        <v>44777.66667</v>
      </c>
      <c r="B467" s="1">
        <f>IFERROR(__xludf.DUMMYFUNCTION("""COMPUTED_VALUE"""),29.37)</f>
        <v>29.37</v>
      </c>
    </row>
    <row r="468">
      <c r="A468" s="2">
        <f>IFERROR(__xludf.DUMMYFUNCTION("""COMPUTED_VALUE"""),44778.66666666667)</f>
        <v>44778.66667</v>
      </c>
      <c r="B468" s="1">
        <f>IFERROR(__xludf.DUMMYFUNCTION("""COMPUTED_VALUE"""),29.64)</f>
        <v>29.64</v>
      </c>
    </row>
    <row r="469">
      <c r="A469" s="2">
        <f>IFERROR(__xludf.DUMMYFUNCTION("""COMPUTED_VALUE"""),44781.66666666667)</f>
        <v>44781.66667</v>
      </c>
      <c r="B469" s="1">
        <f>IFERROR(__xludf.DUMMYFUNCTION("""COMPUTED_VALUE"""),29.5)</f>
        <v>29.5</v>
      </c>
    </row>
    <row r="470">
      <c r="A470" s="2">
        <f>IFERROR(__xludf.DUMMYFUNCTION("""COMPUTED_VALUE"""),44782.66666666667)</f>
        <v>44782.66667</v>
      </c>
      <c r="B470" s="1">
        <f>IFERROR(__xludf.DUMMYFUNCTION("""COMPUTED_VALUE"""),29.23)</f>
        <v>29.23</v>
      </c>
    </row>
    <row r="471">
      <c r="A471" s="2">
        <f>IFERROR(__xludf.DUMMYFUNCTION("""COMPUTED_VALUE"""),44783.66666666667)</f>
        <v>44783.66667</v>
      </c>
      <c r="B471" s="1">
        <f>IFERROR(__xludf.DUMMYFUNCTION("""COMPUTED_VALUE"""),28.88)</f>
        <v>28.88</v>
      </c>
    </row>
    <row r="472">
      <c r="A472" s="2">
        <f>IFERROR(__xludf.DUMMYFUNCTION("""COMPUTED_VALUE"""),44784.66666666667)</f>
        <v>44784.66667</v>
      </c>
      <c r="B472" s="1">
        <f>IFERROR(__xludf.DUMMYFUNCTION("""COMPUTED_VALUE"""),29.3)</f>
        <v>29.3</v>
      </c>
    </row>
    <row r="473">
      <c r="A473" s="2">
        <f>IFERROR(__xludf.DUMMYFUNCTION("""COMPUTED_VALUE"""),44785.66666666667)</f>
        <v>44785.66667</v>
      </c>
      <c r="B473" s="1">
        <f>IFERROR(__xludf.DUMMYFUNCTION("""COMPUTED_VALUE"""),28.97)</f>
        <v>28.97</v>
      </c>
    </row>
    <row r="474">
      <c r="A474" s="2">
        <f>IFERROR(__xludf.DUMMYFUNCTION("""COMPUTED_VALUE"""),44788.66666666667)</f>
        <v>44788.66667</v>
      </c>
      <c r="B474" s="1">
        <f>IFERROR(__xludf.DUMMYFUNCTION("""COMPUTED_VALUE"""),29.55)</f>
        <v>29.55</v>
      </c>
    </row>
    <row r="475">
      <c r="A475" s="2">
        <f>IFERROR(__xludf.DUMMYFUNCTION("""COMPUTED_VALUE"""),44789.66666666667)</f>
        <v>44789.66667</v>
      </c>
      <c r="B475" s="1">
        <f>IFERROR(__xludf.DUMMYFUNCTION("""COMPUTED_VALUE"""),30.03)</f>
        <v>30.03</v>
      </c>
    </row>
    <row r="476">
      <c r="A476" s="2">
        <f>IFERROR(__xludf.DUMMYFUNCTION("""COMPUTED_VALUE"""),44790.66666666667)</f>
        <v>44790.66667</v>
      </c>
      <c r="B476" s="1">
        <f>IFERROR(__xludf.DUMMYFUNCTION("""COMPUTED_VALUE"""),30.09)</f>
        <v>30.09</v>
      </c>
    </row>
    <row r="477">
      <c r="A477" s="2">
        <f>IFERROR(__xludf.DUMMYFUNCTION("""COMPUTED_VALUE"""),44791.66666666667)</f>
        <v>44791.66667</v>
      </c>
      <c r="B477" s="1">
        <f>IFERROR(__xludf.DUMMYFUNCTION("""COMPUTED_VALUE"""),30.03)</f>
        <v>30.03</v>
      </c>
    </row>
    <row r="478">
      <c r="A478" s="2">
        <f>IFERROR(__xludf.DUMMYFUNCTION("""COMPUTED_VALUE"""),44792.66666666667)</f>
        <v>44792.66667</v>
      </c>
      <c r="B478" s="1">
        <f>IFERROR(__xludf.DUMMYFUNCTION("""COMPUTED_VALUE"""),30.13)</f>
        <v>30.13</v>
      </c>
    </row>
    <row r="479">
      <c r="A479" s="2">
        <f>IFERROR(__xludf.DUMMYFUNCTION("""COMPUTED_VALUE"""),44795.66666666667)</f>
        <v>44795.66667</v>
      </c>
      <c r="B479" s="1">
        <f>IFERROR(__xludf.DUMMYFUNCTION("""COMPUTED_VALUE"""),29.53)</f>
        <v>29.53</v>
      </c>
    </row>
    <row r="480">
      <c r="A480" s="2">
        <f>IFERROR(__xludf.DUMMYFUNCTION("""COMPUTED_VALUE"""),44796.66666666667)</f>
        <v>44796.66667</v>
      </c>
      <c r="B480" s="1">
        <f>IFERROR(__xludf.DUMMYFUNCTION("""COMPUTED_VALUE"""),28.98)</f>
        <v>28.98</v>
      </c>
    </row>
    <row r="481">
      <c r="A481" s="2">
        <f>IFERROR(__xludf.DUMMYFUNCTION("""COMPUTED_VALUE"""),44797.66666666667)</f>
        <v>44797.66667</v>
      </c>
      <c r="B481" s="1">
        <f>IFERROR(__xludf.DUMMYFUNCTION("""COMPUTED_VALUE"""),28.86)</f>
        <v>28.86</v>
      </c>
    </row>
    <row r="482">
      <c r="A482" s="2">
        <f>IFERROR(__xludf.DUMMYFUNCTION("""COMPUTED_VALUE"""),44798.66666666667)</f>
        <v>44798.66667</v>
      </c>
      <c r="B482" s="1">
        <f>IFERROR(__xludf.DUMMYFUNCTION("""COMPUTED_VALUE"""),28.84)</f>
        <v>28.84</v>
      </c>
    </row>
    <row r="483">
      <c r="A483" s="2">
        <f>IFERROR(__xludf.DUMMYFUNCTION("""COMPUTED_VALUE"""),44799.66666666667)</f>
        <v>44799.66667</v>
      </c>
      <c r="B483" s="1">
        <f>IFERROR(__xludf.DUMMYFUNCTION("""COMPUTED_VALUE"""),29.14)</f>
        <v>29.14</v>
      </c>
    </row>
    <row r="484">
      <c r="A484" s="2">
        <f>IFERROR(__xludf.DUMMYFUNCTION("""COMPUTED_VALUE"""),44802.66666666667)</f>
        <v>44802.66667</v>
      </c>
      <c r="B484" s="1">
        <f>IFERROR(__xludf.DUMMYFUNCTION("""COMPUTED_VALUE"""),28.1)</f>
        <v>28.1</v>
      </c>
    </row>
    <row r="485">
      <c r="A485" s="2">
        <f>IFERROR(__xludf.DUMMYFUNCTION("""COMPUTED_VALUE"""),44803.66666666667)</f>
        <v>44803.66667</v>
      </c>
      <c r="B485" s="1">
        <f>IFERROR(__xludf.DUMMYFUNCTION("""COMPUTED_VALUE"""),28.09)</f>
        <v>28.09</v>
      </c>
    </row>
    <row r="486">
      <c r="A486" s="2">
        <f>IFERROR(__xludf.DUMMYFUNCTION("""COMPUTED_VALUE"""),44804.66666666667)</f>
        <v>44804.66667</v>
      </c>
      <c r="B486" s="1">
        <f>IFERROR(__xludf.DUMMYFUNCTION("""COMPUTED_VALUE"""),27.92)</f>
        <v>27.92</v>
      </c>
    </row>
    <row r="487">
      <c r="A487" s="2">
        <f>IFERROR(__xludf.DUMMYFUNCTION("""COMPUTED_VALUE"""),44805.66666666667)</f>
        <v>44805.66667</v>
      </c>
      <c r="B487" s="1">
        <f>IFERROR(__xludf.DUMMYFUNCTION("""COMPUTED_VALUE"""),27.47)</f>
        <v>27.47</v>
      </c>
    </row>
    <row r="488">
      <c r="A488" s="2">
        <f>IFERROR(__xludf.DUMMYFUNCTION("""COMPUTED_VALUE"""),44806.66666666667)</f>
        <v>44806.66667</v>
      </c>
      <c r="B488" s="1">
        <f>IFERROR(__xludf.DUMMYFUNCTION("""COMPUTED_VALUE"""),27.92)</f>
        <v>27.92</v>
      </c>
    </row>
    <row r="489">
      <c r="A489" s="2">
        <f>IFERROR(__xludf.DUMMYFUNCTION("""COMPUTED_VALUE"""),44809.66666666667)</f>
        <v>44809.66667</v>
      </c>
      <c r="B489" s="1">
        <f>IFERROR(__xludf.DUMMYFUNCTION("""COMPUTED_VALUE"""),27.59)</f>
        <v>27.59</v>
      </c>
    </row>
    <row r="490">
      <c r="A490" s="2">
        <f>IFERROR(__xludf.DUMMYFUNCTION("""COMPUTED_VALUE"""),44810.66666666667)</f>
        <v>44810.66667</v>
      </c>
      <c r="B490" s="1">
        <f>IFERROR(__xludf.DUMMYFUNCTION("""COMPUTED_VALUE"""),27.7)</f>
        <v>27.7</v>
      </c>
    </row>
    <row r="491">
      <c r="A491" s="2">
        <f>IFERROR(__xludf.DUMMYFUNCTION("""COMPUTED_VALUE"""),44811.66666666667)</f>
        <v>44811.66667</v>
      </c>
      <c r="B491" s="1">
        <f>IFERROR(__xludf.DUMMYFUNCTION("""COMPUTED_VALUE"""),27.6)</f>
        <v>27.6</v>
      </c>
    </row>
    <row r="492">
      <c r="A492" s="2">
        <f>IFERROR(__xludf.DUMMYFUNCTION("""COMPUTED_VALUE"""),44812.66666666667)</f>
        <v>44812.66667</v>
      </c>
      <c r="B492" s="1">
        <f>IFERROR(__xludf.DUMMYFUNCTION("""COMPUTED_VALUE"""),28.19)</f>
        <v>28.19</v>
      </c>
    </row>
    <row r="493">
      <c r="A493" s="2">
        <f>IFERROR(__xludf.DUMMYFUNCTION("""COMPUTED_VALUE"""),44813.66666666667)</f>
        <v>44813.66667</v>
      </c>
      <c r="B493" s="1">
        <f>IFERROR(__xludf.DUMMYFUNCTION("""COMPUTED_VALUE"""),28.05)</f>
        <v>28.05</v>
      </c>
    </row>
    <row r="494">
      <c r="A494" s="2">
        <f>IFERROR(__xludf.DUMMYFUNCTION("""COMPUTED_VALUE"""),44816.66666666667)</f>
        <v>44816.66667</v>
      </c>
      <c r="B494" s="1">
        <f>IFERROR(__xludf.DUMMYFUNCTION("""COMPUTED_VALUE"""),28.45)</f>
        <v>28.45</v>
      </c>
    </row>
    <row r="495">
      <c r="A495" s="2">
        <f>IFERROR(__xludf.DUMMYFUNCTION("""COMPUTED_VALUE"""),44817.66666666667)</f>
        <v>44817.66667</v>
      </c>
      <c r="B495" s="1">
        <f>IFERROR(__xludf.DUMMYFUNCTION("""COMPUTED_VALUE"""),28.75)</f>
        <v>28.75</v>
      </c>
    </row>
    <row r="496">
      <c r="A496" s="2">
        <f>IFERROR(__xludf.DUMMYFUNCTION("""COMPUTED_VALUE"""),44818.66666666667)</f>
        <v>44818.66667</v>
      </c>
      <c r="B496" s="1">
        <f>IFERROR(__xludf.DUMMYFUNCTION("""COMPUTED_VALUE"""),27.72)</f>
        <v>27.72</v>
      </c>
    </row>
    <row r="497">
      <c r="A497" s="2">
        <f>IFERROR(__xludf.DUMMYFUNCTION("""COMPUTED_VALUE"""),44819.66666666667)</f>
        <v>44819.66667</v>
      </c>
      <c r="B497" s="1">
        <f>IFERROR(__xludf.DUMMYFUNCTION("""COMPUTED_VALUE"""),27.83)</f>
        <v>27.83</v>
      </c>
    </row>
    <row r="498">
      <c r="A498" s="2">
        <f>IFERROR(__xludf.DUMMYFUNCTION("""COMPUTED_VALUE"""),44820.66666666667)</f>
        <v>44820.66667</v>
      </c>
      <c r="B498" s="1">
        <f>IFERROR(__xludf.DUMMYFUNCTION("""COMPUTED_VALUE"""),27.3)</f>
        <v>27.3</v>
      </c>
    </row>
    <row r="499">
      <c r="A499" s="2">
        <f>IFERROR(__xludf.DUMMYFUNCTION("""COMPUTED_VALUE"""),44823.66666666667)</f>
        <v>44823.66667</v>
      </c>
      <c r="B499" s="1">
        <f>IFERROR(__xludf.DUMMYFUNCTION("""COMPUTED_VALUE"""),27.21)</f>
        <v>27.21</v>
      </c>
    </row>
    <row r="500">
      <c r="A500" s="2">
        <f>IFERROR(__xludf.DUMMYFUNCTION("""COMPUTED_VALUE"""),44824.66666666667)</f>
        <v>44824.66667</v>
      </c>
      <c r="B500" s="1">
        <f>IFERROR(__xludf.DUMMYFUNCTION("""COMPUTED_VALUE"""),27.59)</f>
        <v>27.59</v>
      </c>
    </row>
    <row r="501">
      <c r="A501" s="2">
        <f>IFERROR(__xludf.DUMMYFUNCTION("""COMPUTED_VALUE"""),44825.66666666667)</f>
        <v>44825.66667</v>
      </c>
      <c r="B501" s="1">
        <f>IFERROR(__xludf.DUMMYFUNCTION("""COMPUTED_VALUE"""),27.52)</f>
        <v>27.52</v>
      </c>
    </row>
    <row r="502">
      <c r="A502" s="2">
        <f>IFERROR(__xludf.DUMMYFUNCTION("""COMPUTED_VALUE"""),44827.66666666667)</f>
        <v>44827.66667</v>
      </c>
      <c r="B502" s="1">
        <f>IFERROR(__xludf.DUMMYFUNCTION("""COMPUTED_VALUE"""),26.83)</f>
        <v>26.83</v>
      </c>
    </row>
    <row r="503">
      <c r="A503" s="2">
        <f>IFERROR(__xludf.DUMMYFUNCTION("""COMPUTED_VALUE"""),44830.66666666667)</f>
        <v>44830.66667</v>
      </c>
      <c r="B503" s="1">
        <f>IFERROR(__xludf.DUMMYFUNCTION("""COMPUTED_VALUE"""),26.73)</f>
        <v>26.73</v>
      </c>
    </row>
    <row r="504">
      <c r="A504" s="2">
        <f>IFERROR(__xludf.DUMMYFUNCTION("""COMPUTED_VALUE"""),44831.66666666667)</f>
        <v>44831.66667</v>
      </c>
      <c r="B504" s="1">
        <f>IFERROR(__xludf.DUMMYFUNCTION("""COMPUTED_VALUE"""),27.03)</f>
        <v>27.03</v>
      </c>
    </row>
    <row r="505">
      <c r="A505" s="2">
        <f>IFERROR(__xludf.DUMMYFUNCTION("""COMPUTED_VALUE"""),44832.66666666667)</f>
        <v>44832.66667</v>
      </c>
      <c r="B505" s="1">
        <f>IFERROR(__xludf.DUMMYFUNCTION("""COMPUTED_VALUE"""),27.09)</f>
        <v>27.09</v>
      </c>
    </row>
    <row r="506">
      <c r="A506" s="2">
        <f>IFERROR(__xludf.DUMMYFUNCTION("""COMPUTED_VALUE"""),44833.66666666667)</f>
        <v>44833.66667</v>
      </c>
      <c r="B506" s="1">
        <f>IFERROR(__xludf.DUMMYFUNCTION("""COMPUTED_VALUE"""),27.31)</f>
        <v>27.31</v>
      </c>
    </row>
    <row r="507">
      <c r="A507" s="2">
        <f>IFERROR(__xludf.DUMMYFUNCTION("""COMPUTED_VALUE"""),44834.66666666667)</f>
        <v>44834.66667</v>
      </c>
      <c r="B507" s="1">
        <f>IFERROR(__xludf.DUMMYFUNCTION("""COMPUTED_VALUE"""),26.67)</f>
        <v>26.67</v>
      </c>
    </row>
    <row r="508">
      <c r="A508" s="2">
        <f>IFERROR(__xludf.DUMMYFUNCTION("""COMPUTED_VALUE"""),44837.66666666667)</f>
        <v>44837.66667</v>
      </c>
      <c r="B508" s="1">
        <f>IFERROR(__xludf.DUMMYFUNCTION("""COMPUTED_VALUE"""),26.27)</f>
        <v>26.27</v>
      </c>
    </row>
    <row r="509">
      <c r="A509" s="2">
        <f>IFERROR(__xludf.DUMMYFUNCTION("""COMPUTED_VALUE"""),44838.66666666667)</f>
        <v>44838.66667</v>
      </c>
      <c r="B509" s="1">
        <f>IFERROR(__xludf.DUMMYFUNCTION("""COMPUTED_VALUE"""),27.11)</f>
        <v>27.11</v>
      </c>
    </row>
    <row r="510">
      <c r="A510" s="2">
        <f>IFERROR(__xludf.DUMMYFUNCTION("""COMPUTED_VALUE"""),44839.66666666667)</f>
        <v>44839.66667</v>
      </c>
      <c r="B510" s="1">
        <f>IFERROR(__xludf.DUMMYFUNCTION("""COMPUTED_VALUE"""),27.47)</f>
        <v>27.47</v>
      </c>
    </row>
    <row r="511">
      <c r="A511" s="2">
        <f>IFERROR(__xludf.DUMMYFUNCTION("""COMPUTED_VALUE"""),44840.66666666667)</f>
        <v>44840.66667</v>
      </c>
      <c r="B511" s="1">
        <f>IFERROR(__xludf.DUMMYFUNCTION("""COMPUTED_VALUE"""),27.6)</f>
        <v>27.6</v>
      </c>
    </row>
    <row r="512">
      <c r="A512" s="2">
        <f>IFERROR(__xludf.DUMMYFUNCTION("""COMPUTED_VALUE"""),44841.66666666667)</f>
        <v>44841.66667</v>
      </c>
      <c r="B512" s="1">
        <f>IFERROR(__xludf.DUMMYFUNCTION("""COMPUTED_VALUE"""),27.66)</f>
        <v>27.66</v>
      </c>
    </row>
    <row r="513">
      <c r="A513" s="2">
        <f>IFERROR(__xludf.DUMMYFUNCTION("""COMPUTED_VALUE"""),44844.66666666667)</f>
        <v>44844.66667</v>
      </c>
      <c r="B513" s="1">
        <f>IFERROR(__xludf.DUMMYFUNCTION("""COMPUTED_VALUE"""),26.89)</f>
        <v>26.89</v>
      </c>
    </row>
    <row r="514">
      <c r="A514" s="2">
        <f>IFERROR(__xludf.DUMMYFUNCTION("""COMPUTED_VALUE"""),44845.66666666667)</f>
        <v>44845.66667</v>
      </c>
      <c r="B514" s="1">
        <f>IFERROR(__xludf.DUMMYFUNCTION("""COMPUTED_VALUE"""),26.91)</f>
        <v>26.91</v>
      </c>
    </row>
    <row r="515">
      <c r="A515" s="2">
        <f>IFERROR(__xludf.DUMMYFUNCTION("""COMPUTED_VALUE"""),44846.66666666667)</f>
        <v>44846.66667</v>
      </c>
      <c r="B515" s="1">
        <f>IFERROR(__xludf.DUMMYFUNCTION("""COMPUTED_VALUE"""),26.78)</f>
        <v>26.78</v>
      </c>
    </row>
    <row r="516">
      <c r="A516" s="2">
        <f>IFERROR(__xludf.DUMMYFUNCTION("""COMPUTED_VALUE"""),44847.66666666667)</f>
        <v>44847.66667</v>
      </c>
      <c r="B516" s="1">
        <f>IFERROR(__xludf.DUMMYFUNCTION("""COMPUTED_VALUE"""),26.6)</f>
        <v>26.6</v>
      </c>
    </row>
    <row r="517">
      <c r="A517" s="2">
        <f>IFERROR(__xludf.DUMMYFUNCTION("""COMPUTED_VALUE"""),44848.66666666667)</f>
        <v>44848.66667</v>
      </c>
      <c r="B517" s="1">
        <f>IFERROR(__xludf.DUMMYFUNCTION("""COMPUTED_VALUE"""),27.14)</f>
        <v>27.14</v>
      </c>
    </row>
    <row r="518">
      <c r="A518" s="2">
        <f>IFERROR(__xludf.DUMMYFUNCTION("""COMPUTED_VALUE"""),44851.66666666667)</f>
        <v>44851.66667</v>
      </c>
      <c r="B518" s="1">
        <f>IFERROR(__xludf.DUMMYFUNCTION("""COMPUTED_VALUE"""),26.68)</f>
        <v>26.68</v>
      </c>
    </row>
    <row r="519">
      <c r="A519" s="2">
        <f>IFERROR(__xludf.DUMMYFUNCTION("""COMPUTED_VALUE"""),44852.66666666667)</f>
        <v>44852.66667</v>
      </c>
      <c r="B519" s="1">
        <f>IFERROR(__xludf.DUMMYFUNCTION("""COMPUTED_VALUE"""),27.59)</f>
        <v>27.59</v>
      </c>
    </row>
    <row r="520">
      <c r="A520" s="2">
        <f>IFERROR(__xludf.DUMMYFUNCTION("""COMPUTED_VALUE"""),44853.66666666667)</f>
        <v>44853.66667</v>
      </c>
      <c r="B520" s="1">
        <f>IFERROR(__xludf.DUMMYFUNCTION("""COMPUTED_VALUE"""),27.6)</f>
        <v>27.6</v>
      </c>
    </row>
    <row r="521">
      <c r="A521" s="2">
        <f>IFERROR(__xludf.DUMMYFUNCTION("""COMPUTED_VALUE"""),44854.66666666667)</f>
        <v>44854.66667</v>
      </c>
      <c r="B521" s="1">
        <f>IFERROR(__xludf.DUMMYFUNCTION("""COMPUTED_VALUE"""),27.31)</f>
        <v>27.31</v>
      </c>
    </row>
    <row r="522">
      <c r="A522" s="2">
        <f>IFERROR(__xludf.DUMMYFUNCTION("""COMPUTED_VALUE"""),44855.66666666667)</f>
        <v>44855.66667</v>
      </c>
      <c r="B522" s="1">
        <f>IFERROR(__xludf.DUMMYFUNCTION("""COMPUTED_VALUE"""),27.13)</f>
        <v>27.13</v>
      </c>
    </row>
    <row r="523">
      <c r="A523" s="2">
        <f>IFERROR(__xludf.DUMMYFUNCTION("""COMPUTED_VALUE"""),44858.66666666667)</f>
        <v>44858.66667</v>
      </c>
      <c r="B523" s="1">
        <f>IFERROR(__xludf.DUMMYFUNCTION("""COMPUTED_VALUE"""),27.69)</f>
        <v>27.69</v>
      </c>
    </row>
    <row r="524">
      <c r="A524" s="2">
        <f>IFERROR(__xludf.DUMMYFUNCTION("""COMPUTED_VALUE"""),44859.66666666667)</f>
        <v>44859.66667</v>
      </c>
      <c r="B524" s="1">
        <f>IFERROR(__xludf.DUMMYFUNCTION("""COMPUTED_VALUE"""),27.97)</f>
        <v>27.97</v>
      </c>
    </row>
    <row r="525">
      <c r="A525" s="2">
        <f>IFERROR(__xludf.DUMMYFUNCTION("""COMPUTED_VALUE"""),44860.66666666667)</f>
        <v>44860.66667</v>
      </c>
      <c r="B525" s="1">
        <f>IFERROR(__xludf.DUMMYFUNCTION("""COMPUTED_VALUE"""),27.68)</f>
        <v>27.68</v>
      </c>
    </row>
    <row r="526">
      <c r="A526" s="2">
        <f>IFERROR(__xludf.DUMMYFUNCTION("""COMPUTED_VALUE"""),44861.66666666667)</f>
        <v>44861.66667</v>
      </c>
      <c r="B526" s="1">
        <f>IFERROR(__xludf.DUMMYFUNCTION("""COMPUTED_VALUE"""),27.21)</f>
        <v>27.21</v>
      </c>
    </row>
    <row r="527">
      <c r="A527" s="2">
        <f>IFERROR(__xludf.DUMMYFUNCTION("""COMPUTED_VALUE"""),44862.66666666667)</f>
        <v>44862.66667</v>
      </c>
      <c r="B527" s="1">
        <f>IFERROR(__xludf.DUMMYFUNCTION("""COMPUTED_VALUE"""),26.58)</f>
        <v>26.58</v>
      </c>
    </row>
    <row r="528">
      <c r="A528" s="2">
        <f>IFERROR(__xludf.DUMMYFUNCTION("""COMPUTED_VALUE"""),44865.66666666667)</f>
        <v>44865.66667</v>
      </c>
      <c r="B528" s="1">
        <f>IFERROR(__xludf.DUMMYFUNCTION("""COMPUTED_VALUE"""),27.77)</f>
        <v>27.77</v>
      </c>
    </row>
    <row r="529">
      <c r="A529" s="2">
        <f>IFERROR(__xludf.DUMMYFUNCTION("""COMPUTED_VALUE"""),44866.66666666667)</f>
        <v>44866.66667</v>
      </c>
      <c r="B529" s="1">
        <f>IFERROR(__xludf.DUMMYFUNCTION("""COMPUTED_VALUE"""),27.59)</f>
        <v>27.59</v>
      </c>
    </row>
    <row r="530">
      <c r="A530" s="2">
        <f>IFERROR(__xludf.DUMMYFUNCTION("""COMPUTED_VALUE"""),44867.66666666667)</f>
        <v>44867.66667</v>
      </c>
      <c r="B530" s="1">
        <f>IFERROR(__xludf.DUMMYFUNCTION("""COMPUTED_VALUE"""),27.34)</f>
        <v>27.34</v>
      </c>
    </row>
    <row r="531">
      <c r="A531" s="2">
        <f>IFERROR(__xludf.DUMMYFUNCTION("""COMPUTED_VALUE"""),44868.66666666667)</f>
        <v>44868.66667</v>
      </c>
      <c r="B531" s="1">
        <f>IFERROR(__xludf.DUMMYFUNCTION("""COMPUTED_VALUE"""),26.61)</f>
        <v>26.61</v>
      </c>
    </row>
    <row r="532">
      <c r="A532" s="2">
        <f>IFERROR(__xludf.DUMMYFUNCTION("""COMPUTED_VALUE"""),44869.66666666667)</f>
        <v>44869.66667</v>
      </c>
      <c r="B532" s="1">
        <f>IFERROR(__xludf.DUMMYFUNCTION("""COMPUTED_VALUE"""),26.2)</f>
        <v>26.2</v>
      </c>
    </row>
    <row r="533">
      <c r="A533" s="2">
        <f>IFERROR(__xludf.DUMMYFUNCTION("""COMPUTED_VALUE"""),44872.66666666667)</f>
        <v>44872.66667</v>
      </c>
      <c r="B533" s="1">
        <f>IFERROR(__xludf.DUMMYFUNCTION("""COMPUTED_VALUE"""),26.09)</f>
        <v>26.09</v>
      </c>
    </row>
    <row r="534">
      <c r="A534" s="2">
        <f>IFERROR(__xludf.DUMMYFUNCTION("""COMPUTED_VALUE"""),44873.66666666667)</f>
        <v>44873.66667</v>
      </c>
      <c r="B534" s="1">
        <f>IFERROR(__xludf.DUMMYFUNCTION("""COMPUTED_VALUE"""),26.26)</f>
        <v>26.26</v>
      </c>
    </row>
    <row r="535">
      <c r="A535" s="2">
        <f>IFERROR(__xludf.DUMMYFUNCTION("""COMPUTED_VALUE"""),44874.66666666667)</f>
        <v>44874.66667</v>
      </c>
      <c r="B535" s="1">
        <f>IFERROR(__xludf.DUMMYFUNCTION("""COMPUTED_VALUE"""),26.41)</f>
        <v>26.41</v>
      </c>
    </row>
    <row r="536">
      <c r="A536" s="2">
        <f>IFERROR(__xludf.DUMMYFUNCTION("""COMPUTED_VALUE"""),44875.66666666667)</f>
        <v>44875.66667</v>
      </c>
      <c r="B536" s="1">
        <f>IFERROR(__xludf.DUMMYFUNCTION("""COMPUTED_VALUE"""),26.17)</f>
        <v>26.17</v>
      </c>
    </row>
    <row r="537">
      <c r="A537" s="2">
        <f>IFERROR(__xludf.DUMMYFUNCTION("""COMPUTED_VALUE"""),44876.66666666667)</f>
        <v>44876.66667</v>
      </c>
      <c r="B537" s="1">
        <f>IFERROR(__xludf.DUMMYFUNCTION("""COMPUTED_VALUE"""),27.17)</f>
        <v>27.17</v>
      </c>
    </row>
    <row r="538">
      <c r="A538" s="2">
        <f>IFERROR(__xludf.DUMMYFUNCTION("""COMPUTED_VALUE"""),44879.66666666667)</f>
        <v>44879.66667</v>
      </c>
      <c r="B538" s="1">
        <f>IFERROR(__xludf.DUMMYFUNCTION("""COMPUTED_VALUE"""),27.23)</f>
        <v>27.23</v>
      </c>
    </row>
    <row r="539">
      <c r="A539" s="2">
        <f>IFERROR(__xludf.DUMMYFUNCTION("""COMPUTED_VALUE"""),44880.66666666667)</f>
        <v>44880.66667</v>
      </c>
      <c r="B539" s="1">
        <f>IFERROR(__xludf.DUMMYFUNCTION("""COMPUTED_VALUE"""),27.21)</f>
        <v>27.21</v>
      </c>
    </row>
    <row r="540">
      <c r="A540" s="2">
        <f>IFERROR(__xludf.DUMMYFUNCTION("""COMPUTED_VALUE"""),44881.66666666667)</f>
        <v>44881.66667</v>
      </c>
      <c r="B540" s="1">
        <f>IFERROR(__xludf.DUMMYFUNCTION("""COMPUTED_VALUE"""),27.16)</f>
        <v>27.16</v>
      </c>
    </row>
    <row r="541">
      <c r="A541" s="2">
        <f>IFERROR(__xludf.DUMMYFUNCTION("""COMPUTED_VALUE"""),44882.66666666667)</f>
        <v>44882.66667</v>
      </c>
      <c r="B541" s="1">
        <f>IFERROR(__xludf.DUMMYFUNCTION("""COMPUTED_VALUE"""),27.06)</f>
        <v>27.06</v>
      </c>
    </row>
    <row r="542">
      <c r="A542" s="2">
        <f>IFERROR(__xludf.DUMMYFUNCTION("""COMPUTED_VALUE"""),44883.66666666667)</f>
        <v>44883.66667</v>
      </c>
      <c r="B542" s="1">
        <f>IFERROR(__xludf.DUMMYFUNCTION("""COMPUTED_VALUE"""),27.01)</f>
        <v>27.01</v>
      </c>
    </row>
    <row r="543">
      <c r="A543" s="2">
        <f>IFERROR(__xludf.DUMMYFUNCTION("""COMPUTED_VALUE"""),44886.66666666667)</f>
        <v>44886.66667</v>
      </c>
      <c r="B543" s="1">
        <f>IFERROR(__xludf.DUMMYFUNCTION("""COMPUTED_VALUE"""),27.15)</f>
        <v>27.15</v>
      </c>
    </row>
    <row r="544">
      <c r="A544" s="2">
        <f>IFERROR(__xludf.DUMMYFUNCTION("""COMPUTED_VALUE"""),44887.66666666667)</f>
        <v>44887.66667</v>
      </c>
      <c r="B544" s="1">
        <f>IFERROR(__xludf.DUMMYFUNCTION("""COMPUTED_VALUE"""),27.08)</f>
        <v>27.08</v>
      </c>
    </row>
    <row r="545">
      <c r="A545" s="2">
        <f>IFERROR(__xludf.DUMMYFUNCTION("""COMPUTED_VALUE"""),44888.66666666667)</f>
        <v>44888.66667</v>
      </c>
      <c r="B545" s="1">
        <f>IFERROR(__xludf.DUMMYFUNCTION("""COMPUTED_VALUE"""),27.3)</f>
        <v>27.3</v>
      </c>
    </row>
    <row r="546">
      <c r="A546" s="2">
        <f>IFERROR(__xludf.DUMMYFUNCTION("""COMPUTED_VALUE"""),44889.66666666667)</f>
        <v>44889.66667</v>
      </c>
      <c r="B546" s="1">
        <f>IFERROR(__xludf.DUMMYFUNCTION("""COMPUTED_VALUE"""),27.18)</f>
        <v>27.18</v>
      </c>
    </row>
    <row r="547">
      <c r="A547" s="2">
        <f>IFERROR(__xludf.DUMMYFUNCTION("""COMPUTED_VALUE"""),44893.66666666667)</f>
        <v>44893.66667</v>
      </c>
      <c r="B547" s="1">
        <f>IFERROR(__xludf.DUMMYFUNCTION("""COMPUTED_VALUE"""),26.99)</f>
        <v>26.99</v>
      </c>
    </row>
    <row r="548">
      <c r="A548" s="2">
        <f>IFERROR(__xludf.DUMMYFUNCTION("""COMPUTED_VALUE"""),44894.66666666667)</f>
        <v>44894.66667</v>
      </c>
      <c r="B548" s="1">
        <f>IFERROR(__xludf.DUMMYFUNCTION("""COMPUTED_VALUE"""),26.9)</f>
        <v>26.9</v>
      </c>
    </row>
    <row r="549">
      <c r="A549" s="2">
        <f>IFERROR(__xludf.DUMMYFUNCTION("""COMPUTED_VALUE"""),44895.66666666667)</f>
        <v>44895.66667</v>
      </c>
      <c r="B549" s="1">
        <f>IFERROR(__xludf.DUMMYFUNCTION("""COMPUTED_VALUE"""),26.64)</f>
        <v>26.64</v>
      </c>
    </row>
    <row r="550">
      <c r="A550" s="2">
        <f>IFERROR(__xludf.DUMMYFUNCTION("""COMPUTED_VALUE"""),44896.66666666667)</f>
        <v>44896.66667</v>
      </c>
      <c r="B550" s="1">
        <f>IFERROR(__xludf.DUMMYFUNCTION("""COMPUTED_VALUE"""),27.41)</f>
        <v>27.41</v>
      </c>
    </row>
    <row r="551">
      <c r="A551" s="2">
        <f>IFERROR(__xludf.DUMMYFUNCTION("""COMPUTED_VALUE"""),44897.66666666667)</f>
        <v>44897.66667</v>
      </c>
      <c r="B551" s="1">
        <f>IFERROR(__xludf.DUMMYFUNCTION("""COMPUTED_VALUE"""),27.3)</f>
        <v>27.3</v>
      </c>
    </row>
    <row r="552">
      <c r="A552" s="2">
        <f>IFERROR(__xludf.DUMMYFUNCTION("""COMPUTED_VALUE"""),44900.66666666667)</f>
        <v>44900.66667</v>
      </c>
      <c r="B552" s="1">
        <f>IFERROR(__xludf.DUMMYFUNCTION("""COMPUTED_VALUE"""),27.13)</f>
        <v>27.13</v>
      </c>
    </row>
    <row r="553">
      <c r="A553" s="2">
        <f>IFERROR(__xludf.DUMMYFUNCTION("""COMPUTED_VALUE"""),44901.66666666667)</f>
        <v>44901.66667</v>
      </c>
      <c r="B553" s="1">
        <f>IFERROR(__xludf.DUMMYFUNCTION("""COMPUTED_VALUE"""),27.15)</f>
        <v>27.15</v>
      </c>
    </row>
    <row r="554">
      <c r="A554" s="2">
        <f>IFERROR(__xludf.DUMMYFUNCTION("""COMPUTED_VALUE"""),44902.66666666667)</f>
        <v>44902.66667</v>
      </c>
      <c r="B554" s="1">
        <f>IFERROR(__xludf.DUMMYFUNCTION("""COMPUTED_VALUE"""),26.78)</f>
        <v>26.78</v>
      </c>
    </row>
    <row r="555">
      <c r="A555" s="2">
        <f>IFERROR(__xludf.DUMMYFUNCTION("""COMPUTED_VALUE"""),44903.66666666667)</f>
        <v>44903.66667</v>
      </c>
      <c r="B555" s="1">
        <f>IFERROR(__xludf.DUMMYFUNCTION("""COMPUTED_VALUE"""),26.49)</f>
        <v>26.49</v>
      </c>
    </row>
    <row r="556">
      <c r="A556" s="2">
        <f>IFERROR(__xludf.DUMMYFUNCTION("""COMPUTED_VALUE"""),44904.66666666667)</f>
        <v>44904.66667</v>
      </c>
      <c r="B556" s="1">
        <f>IFERROR(__xludf.DUMMYFUNCTION("""COMPUTED_VALUE"""),26.59)</f>
        <v>26.59</v>
      </c>
    </row>
    <row r="557">
      <c r="A557" s="2">
        <f>IFERROR(__xludf.DUMMYFUNCTION("""COMPUTED_VALUE"""),44907.66666666667)</f>
        <v>44907.66667</v>
      </c>
      <c r="B557" s="1">
        <f>IFERROR(__xludf.DUMMYFUNCTION("""COMPUTED_VALUE"""),26.4)</f>
        <v>26.4</v>
      </c>
    </row>
    <row r="558">
      <c r="A558" s="2">
        <f>IFERROR(__xludf.DUMMYFUNCTION("""COMPUTED_VALUE"""),44908.66666666667)</f>
        <v>44908.66667</v>
      </c>
      <c r="B558" s="1">
        <f>IFERROR(__xludf.DUMMYFUNCTION("""COMPUTED_VALUE"""),26.8)</f>
        <v>26.8</v>
      </c>
    </row>
    <row r="559">
      <c r="A559" s="2">
        <f>IFERROR(__xludf.DUMMYFUNCTION("""COMPUTED_VALUE"""),44909.66666666667)</f>
        <v>44909.66667</v>
      </c>
      <c r="B559" s="1">
        <f>IFERROR(__xludf.DUMMYFUNCTION("""COMPUTED_VALUE"""),26.9)</f>
        <v>26.9</v>
      </c>
    </row>
    <row r="560">
      <c r="A560" s="2">
        <f>IFERROR(__xludf.DUMMYFUNCTION("""COMPUTED_VALUE"""),44910.66666666667)</f>
        <v>44910.66667</v>
      </c>
      <c r="B560" s="1">
        <f>IFERROR(__xludf.DUMMYFUNCTION("""COMPUTED_VALUE"""),26.64)</f>
        <v>26.64</v>
      </c>
    </row>
    <row r="561">
      <c r="A561" s="2">
        <f>IFERROR(__xludf.DUMMYFUNCTION("""COMPUTED_VALUE"""),44911.66666666667)</f>
        <v>44911.66667</v>
      </c>
      <c r="B561" s="1">
        <f>IFERROR(__xludf.DUMMYFUNCTION("""COMPUTED_VALUE"""),26.2)</f>
        <v>26.2</v>
      </c>
    </row>
    <row r="562">
      <c r="A562" s="2">
        <f>IFERROR(__xludf.DUMMYFUNCTION("""COMPUTED_VALUE"""),44914.66666666667)</f>
        <v>44914.66667</v>
      </c>
      <c r="B562" s="1">
        <f>IFERROR(__xludf.DUMMYFUNCTION("""COMPUTED_VALUE"""),25.99)</f>
        <v>25.99</v>
      </c>
    </row>
    <row r="563">
      <c r="A563" s="2">
        <f>IFERROR(__xludf.DUMMYFUNCTION("""COMPUTED_VALUE"""),44915.66666666667)</f>
        <v>44915.66667</v>
      </c>
      <c r="B563" s="1">
        <f>IFERROR(__xludf.DUMMYFUNCTION("""COMPUTED_VALUE"""),25.59)</f>
        <v>25.59</v>
      </c>
    </row>
    <row r="564">
      <c r="A564" s="2">
        <f>IFERROR(__xludf.DUMMYFUNCTION("""COMPUTED_VALUE"""),44916.66666666667)</f>
        <v>44916.66667</v>
      </c>
      <c r="B564" s="1">
        <f>IFERROR(__xludf.DUMMYFUNCTION("""COMPUTED_VALUE"""),25.84)</f>
        <v>25.84</v>
      </c>
    </row>
    <row r="565">
      <c r="A565" s="2">
        <f>IFERROR(__xludf.DUMMYFUNCTION("""COMPUTED_VALUE"""),44917.66666666667)</f>
        <v>44917.66667</v>
      </c>
      <c r="B565" s="1">
        <f>IFERROR(__xludf.DUMMYFUNCTION("""COMPUTED_VALUE"""),25.84)</f>
        <v>25.84</v>
      </c>
    </row>
    <row r="566">
      <c r="A566" s="2">
        <f>IFERROR(__xludf.DUMMYFUNCTION("""COMPUTED_VALUE"""),44918.66666666667)</f>
        <v>44918.66667</v>
      </c>
      <c r="B566" s="1">
        <f>IFERROR(__xludf.DUMMYFUNCTION("""COMPUTED_VALUE"""),25.47)</f>
        <v>25.47</v>
      </c>
    </row>
    <row r="567">
      <c r="A567" s="2">
        <f>IFERROR(__xludf.DUMMYFUNCTION("""COMPUTED_VALUE"""),44923.66666666667)</f>
        <v>44923.66667</v>
      </c>
      <c r="B567" s="1">
        <f>IFERROR(__xludf.DUMMYFUNCTION("""COMPUTED_VALUE"""),24.88)</f>
        <v>24.88</v>
      </c>
    </row>
    <row r="568">
      <c r="A568" s="2">
        <f>IFERROR(__xludf.DUMMYFUNCTION("""COMPUTED_VALUE"""),44924.66666666667)</f>
        <v>44924.66667</v>
      </c>
      <c r="B568" s="1">
        <f>IFERROR(__xludf.DUMMYFUNCTION("""COMPUTED_VALUE"""),24.6)</f>
        <v>24.6</v>
      </c>
    </row>
    <row r="569">
      <c r="A569" s="2">
        <f>IFERROR(__xludf.DUMMYFUNCTION("""COMPUTED_VALUE"""),44925.66666666667)</f>
        <v>44925.66667</v>
      </c>
      <c r="B569" s="1">
        <f>IFERROR(__xludf.DUMMYFUNCTION("""COMPUTED_VALUE"""),25.02)</f>
        <v>25.02</v>
      </c>
    </row>
    <row r="570">
      <c r="A570" s="2">
        <f>IFERROR(__xludf.DUMMYFUNCTION("""COMPUTED_VALUE"""),44929.66666666667)</f>
        <v>44929.66667</v>
      </c>
      <c r="B570" s="1">
        <f>IFERROR(__xludf.DUMMYFUNCTION("""COMPUTED_VALUE"""),24.82)</f>
        <v>24.82</v>
      </c>
    </row>
    <row r="571">
      <c r="A571" s="2">
        <f>IFERROR(__xludf.DUMMYFUNCTION("""COMPUTED_VALUE"""),44930.66666666667)</f>
        <v>44930.66667</v>
      </c>
      <c r="B571" s="1">
        <f>IFERROR(__xludf.DUMMYFUNCTION("""COMPUTED_VALUE"""),24.81)</f>
        <v>24.81</v>
      </c>
    </row>
    <row r="572">
      <c r="A572" s="2">
        <f>IFERROR(__xludf.DUMMYFUNCTION("""COMPUTED_VALUE"""),44931.66666666667)</f>
        <v>44931.66667</v>
      </c>
      <c r="B572" s="1">
        <f>IFERROR(__xludf.DUMMYFUNCTION("""COMPUTED_VALUE"""),24.78)</f>
        <v>24.78</v>
      </c>
    </row>
    <row r="573">
      <c r="A573" s="2">
        <f>IFERROR(__xludf.DUMMYFUNCTION("""COMPUTED_VALUE"""),44932.66666666667)</f>
        <v>44932.66667</v>
      </c>
      <c r="B573" s="1">
        <f>IFERROR(__xludf.DUMMYFUNCTION("""COMPUTED_VALUE"""),24.71)</f>
        <v>24.71</v>
      </c>
    </row>
    <row r="574">
      <c r="A574" s="2">
        <f>IFERROR(__xludf.DUMMYFUNCTION("""COMPUTED_VALUE"""),44935.66666666667)</f>
        <v>44935.66667</v>
      </c>
      <c r="B574" s="1">
        <f>IFERROR(__xludf.DUMMYFUNCTION("""COMPUTED_VALUE"""),24.78)</f>
        <v>24.78</v>
      </c>
    </row>
    <row r="575">
      <c r="A575" s="2">
        <f>IFERROR(__xludf.DUMMYFUNCTION("""COMPUTED_VALUE"""),44936.66666666667)</f>
        <v>44936.66667</v>
      </c>
      <c r="B575" s="1">
        <f>IFERROR(__xludf.DUMMYFUNCTION("""COMPUTED_VALUE"""),24.79)</f>
        <v>24.79</v>
      </c>
    </row>
    <row r="576">
      <c r="A576" s="2">
        <f>IFERROR(__xludf.DUMMYFUNCTION("""COMPUTED_VALUE"""),44937.66666666667)</f>
        <v>44937.66667</v>
      </c>
      <c r="B576" s="1">
        <f>IFERROR(__xludf.DUMMYFUNCTION("""COMPUTED_VALUE"""),25.08)</f>
        <v>25.08</v>
      </c>
    </row>
    <row r="577">
      <c r="A577" s="2">
        <f>IFERROR(__xludf.DUMMYFUNCTION("""COMPUTED_VALUE"""),44938.66666666667)</f>
        <v>44938.66667</v>
      </c>
      <c r="B577" s="1">
        <f>IFERROR(__xludf.DUMMYFUNCTION("""COMPUTED_VALUE"""),25.54)</f>
        <v>25.54</v>
      </c>
    </row>
    <row r="578">
      <c r="A578" s="2">
        <f>IFERROR(__xludf.DUMMYFUNCTION("""COMPUTED_VALUE"""),44939.66666666667)</f>
        <v>44939.66667</v>
      </c>
      <c r="B578" s="1">
        <f>IFERROR(__xludf.DUMMYFUNCTION("""COMPUTED_VALUE"""),25.42)</f>
        <v>25.42</v>
      </c>
    </row>
    <row r="579">
      <c r="A579" s="2">
        <f>IFERROR(__xludf.DUMMYFUNCTION("""COMPUTED_VALUE"""),44942.66666666667)</f>
        <v>44942.66667</v>
      </c>
      <c r="B579" s="1">
        <f>IFERROR(__xludf.DUMMYFUNCTION("""COMPUTED_VALUE"""),25.58)</f>
        <v>25.58</v>
      </c>
    </row>
    <row r="580">
      <c r="A580" s="2">
        <f>IFERROR(__xludf.DUMMYFUNCTION("""COMPUTED_VALUE"""),44943.66666666667)</f>
        <v>44943.66667</v>
      </c>
      <c r="B580" s="1">
        <f>IFERROR(__xludf.DUMMYFUNCTION("""COMPUTED_VALUE"""),25.49)</f>
        <v>25.49</v>
      </c>
    </row>
    <row r="581">
      <c r="A581" s="2">
        <f>IFERROR(__xludf.DUMMYFUNCTION("""COMPUTED_VALUE"""),44944.66666666667)</f>
        <v>44944.66667</v>
      </c>
      <c r="B581" s="1">
        <f>IFERROR(__xludf.DUMMYFUNCTION("""COMPUTED_VALUE"""),25.62)</f>
        <v>25.62</v>
      </c>
    </row>
    <row r="582">
      <c r="A582" s="2">
        <f>IFERROR(__xludf.DUMMYFUNCTION("""COMPUTED_VALUE"""),44945.66666666667)</f>
        <v>44945.66667</v>
      </c>
      <c r="B582" s="1">
        <f>IFERROR(__xludf.DUMMYFUNCTION("""COMPUTED_VALUE"""),25.59)</f>
        <v>25.59</v>
      </c>
    </row>
    <row r="583">
      <c r="A583" s="2">
        <f>IFERROR(__xludf.DUMMYFUNCTION("""COMPUTED_VALUE"""),44946.66666666667)</f>
        <v>44946.66667</v>
      </c>
      <c r="B583" s="1">
        <f>IFERROR(__xludf.DUMMYFUNCTION("""COMPUTED_VALUE"""),25.38)</f>
        <v>25.38</v>
      </c>
    </row>
    <row r="584">
      <c r="A584" s="2">
        <f>IFERROR(__xludf.DUMMYFUNCTION("""COMPUTED_VALUE"""),44949.66666666667)</f>
        <v>44949.66667</v>
      </c>
      <c r="B584" s="1">
        <f>IFERROR(__xludf.DUMMYFUNCTION("""COMPUTED_VALUE"""),25.73)</f>
        <v>25.73</v>
      </c>
    </row>
    <row r="585">
      <c r="A585" s="2">
        <f>IFERROR(__xludf.DUMMYFUNCTION("""COMPUTED_VALUE"""),44950.66666666667)</f>
        <v>44950.66667</v>
      </c>
      <c r="B585" s="1">
        <f>IFERROR(__xludf.DUMMYFUNCTION("""COMPUTED_VALUE"""),26.13)</f>
        <v>26.13</v>
      </c>
    </row>
    <row r="586">
      <c r="A586" s="2">
        <f>IFERROR(__xludf.DUMMYFUNCTION("""COMPUTED_VALUE"""),44951.66666666667)</f>
        <v>44951.66667</v>
      </c>
      <c r="B586" s="1">
        <f>IFERROR(__xludf.DUMMYFUNCTION("""COMPUTED_VALUE"""),25.64)</f>
        <v>25.64</v>
      </c>
    </row>
    <row r="587">
      <c r="A587" s="2">
        <f>IFERROR(__xludf.DUMMYFUNCTION("""COMPUTED_VALUE"""),44953.66666666667)</f>
        <v>44953.66667</v>
      </c>
      <c r="B587" s="1">
        <f>IFERROR(__xludf.DUMMYFUNCTION("""COMPUTED_VALUE"""),26.08)</f>
        <v>26.08</v>
      </c>
    </row>
    <row r="588">
      <c r="A588" s="2">
        <f>IFERROR(__xludf.DUMMYFUNCTION("""COMPUTED_VALUE"""),44956.66666666667)</f>
        <v>44956.66667</v>
      </c>
      <c r="B588" s="1">
        <f>IFERROR(__xludf.DUMMYFUNCTION("""COMPUTED_VALUE"""),26.45)</f>
        <v>26.45</v>
      </c>
    </row>
    <row r="589">
      <c r="A589" s="2">
        <f>IFERROR(__xludf.DUMMYFUNCTION("""COMPUTED_VALUE"""),44957.66666666667)</f>
        <v>44957.66667</v>
      </c>
      <c r="B589" s="1">
        <f>IFERROR(__xludf.DUMMYFUNCTION("""COMPUTED_VALUE"""),26.14)</f>
        <v>26.14</v>
      </c>
    </row>
    <row r="590">
      <c r="A590" s="2">
        <f>IFERROR(__xludf.DUMMYFUNCTION("""COMPUTED_VALUE"""),44958.66666666667)</f>
        <v>44958.66667</v>
      </c>
      <c r="B590" s="1">
        <f>IFERROR(__xludf.DUMMYFUNCTION("""COMPUTED_VALUE"""),26.4)</f>
        <v>26.4</v>
      </c>
    </row>
    <row r="591">
      <c r="A591" s="2">
        <f>IFERROR(__xludf.DUMMYFUNCTION("""COMPUTED_VALUE"""),44959.66666666667)</f>
        <v>44959.66667</v>
      </c>
      <c r="B591" s="1">
        <f>IFERROR(__xludf.DUMMYFUNCTION("""COMPUTED_VALUE"""),27.05)</f>
        <v>27.05</v>
      </c>
    </row>
    <row r="592">
      <c r="A592" s="2">
        <f>IFERROR(__xludf.DUMMYFUNCTION("""COMPUTED_VALUE"""),44960.66666666667)</f>
        <v>44960.66667</v>
      </c>
      <c r="B592" s="1">
        <f>IFERROR(__xludf.DUMMYFUNCTION("""COMPUTED_VALUE"""),27.63)</f>
        <v>27.63</v>
      </c>
    </row>
    <row r="593">
      <c r="A593" s="2">
        <f>IFERROR(__xludf.DUMMYFUNCTION("""COMPUTED_VALUE"""),44963.66666666667)</f>
        <v>44963.66667</v>
      </c>
      <c r="B593" s="1">
        <f>IFERROR(__xludf.DUMMYFUNCTION("""COMPUTED_VALUE"""),27.92)</f>
        <v>27.92</v>
      </c>
    </row>
    <row r="594">
      <c r="A594" s="2">
        <f>IFERROR(__xludf.DUMMYFUNCTION("""COMPUTED_VALUE"""),44964.66666666667)</f>
        <v>44964.66667</v>
      </c>
      <c r="B594" s="1">
        <f>IFERROR(__xludf.DUMMYFUNCTION("""COMPUTED_VALUE"""),27.88)</f>
        <v>27.88</v>
      </c>
    </row>
    <row r="595">
      <c r="A595" s="2">
        <f>IFERROR(__xludf.DUMMYFUNCTION("""COMPUTED_VALUE"""),44965.66666666667)</f>
        <v>44965.66667</v>
      </c>
      <c r="B595" s="1">
        <f>IFERROR(__xludf.DUMMYFUNCTION("""COMPUTED_VALUE"""),28.32)</f>
        <v>28.32</v>
      </c>
    </row>
    <row r="596">
      <c r="A596" s="2">
        <f>IFERROR(__xludf.DUMMYFUNCTION("""COMPUTED_VALUE"""),44966.66666666667)</f>
        <v>44966.66667</v>
      </c>
      <c r="B596" s="1">
        <f>IFERROR(__xludf.DUMMYFUNCTION("""COMPUTED_VALUE"""),27.92)</f>
        <v>27.92</v>
      </c>
    </row>
    <row r="597">
      <c r="A597" s="2">
        <f>IFERROR(__xludf.DUMMYFUNCTION("""COMPUTED_VALUE"""),44967.66666666667)</f>
        <v>44967.66667</v>
      </c>
      <c r="B597" s="1">
        <f>IFERROR(__xludf.DUMMYFUNCTION("""COMPUTED_VALUE"""),27.62)</f>
        <v>27.62</v>
      </c>
    </row>
    <row r="598">
      <c r="A598" s="2">
        <f>IFERROR(__xludf.DUMMYFUNCTION("""COMPUTED_VALUE"""),44970.66666666667)</f>
        <v>44970.66667</v>
      </c>
      <c r="B598" s="1">
        <f>IFERROR(__xludf.DUMMYFUNCTION("""COMPUTED_VALUE"""),27.45)</f>
        <v>27.45</v>
      </c>
    </row>
    <row r="599">
      <c r="A599" s="2">
        <f>IFERROR(__xludf.DUMMYFUNCTION("""COMPUTED_VALUE"""),44971.66666666667)</f>
        <v>44971.66667</v>
      </c>
      <c r="B599" s="1">
        <f>IFERROR(__xludf.DUMMYFUNCTION("""COMPUTED_VALUE"""),27.73)</f>
        <v>27.73</v>
      </c>
    </row>
    <row r="600">
      <c r="A600" s="2">
        <f>IFERROR(__xludf.DUMMYFUNCTION("""COMPUTED_VALUE"""),44972.66666666667)</f>
        <v>44972.66667</v>
      </c>
      <c r="B600" s="1">
        <f>IFERROR(__xludf.DUMMYFUNCTION("""COMPUTED_VALUE"""),27.95)</f>
        <v>27.95</v>
      </c>
    </row>
    <row r="601">
      <c r="A601" s="2">
        <f>IFERROR(__xludf.DUMMYFUNCTION("""COMPUTED_VALUE"""),44973.66666666667)</f>
        <v>44973.66667</v>
      </c>
      <c r="B601" s="1">
        <f>IFERROR(__xludf.DUMMYFUNCTION("""COMPUTED_VALUE"""),28.49)</f>
        <v>28.49</v>
      </c>
    </row>
    <row r="602">
      <c r="A602" s="2">
        <f>IFERROR(__xludf.DUMMYFUNCTION("""COMPUTED_VALUE"""),44974.66666666667)</f>
        <v>44974.66667</v>
      </c>
      <c r="B602" s="1">
        <f>IFERROR(__xludf.DUMMYFUNCTION("""COMPUTED_VALUE"""),27.98)</f>
        <v>27.98</v>
      </c>
    </row>
    <row r="603">
      <c r="A603" s="2">
        <f>IFERROR(__xludf.DUMMYFUNCTION("""COMPUTED_VALUE"""),44977.66666666667)</f>
        <v>44977.66667</v>
      </c>
      <c r="B603" s="1">
        <f>IFERROR(__xludf.DUMMYFUNCTION("""COMPUTED_VALUE"""),27.77)</f>
        <v>27.77</v>
      </c>
    </row>
    <row r="604">
      <c r="A604" s="2">
        <f>IFERROR(__xludf.DUMMYFUNCTION("""COMPUTED_VALUE"""),44978.66666666667)</f>
        <v>44978.66667</v>
      </c>
      <c r="B604" s="1">
        <f>IFERROR(__xludf.DUMMYFUNCTION("""COMPUTED_VALUE"""),27.64)</f>
        <v>27.64</v>
      </c>
    </row>
    <row r="605">
      <c r="A605" s="2">
        <f>IFERROR(__xludf.DUMMYFUNCTION("""COMPUTED_VALUE"""),44979.66666666667)</f>
        <v>44979.66667</v>
      </c>
      <c r="B605" s="1">
        <f>IFERROR(__xludf.DUMMYFUNCTION("""COMPUTED_VALUE"""),27.41)</f>
        <v>27.41</v>
      </c>
    </row>
    <row r="606">
      <c r="A606" s="2">
        <f>IFERROR(__xludf.DUMMYFUNCTION("""COMPUTED_VALUE"""),44980.66666666667)</f>
        <v>44980.66667</v>
      </c>
      <c r="B606" s="1">
        <f>IFERROR(__xludf.DUMMYFUNCTION("""COMPUTED_VALUE"""),27.61)</f>
        <v>27.61</v>
      </c>
    </row>
    <row r="607">
      <c r="A607" s="2">
        <f>IFERROR(__xludf.DUMMYFUNCTION("""COMPUTED_VALUE"""),44981.66666666667)</f>
        <v>44981.66667</v>
      </c>
      <c r="B607" s="1">
        <f>IFERROR(__xludf.DUMMYFUNCTION("""COMPUTED_VALUE"""),27.61)</f>
        <v>27.61</v>
      </c>
    </row>
    <row r="608">
      <c r="A608" s="2">
        <f>IFERROR(__xludf.DUMMYFUNCTION("""COMPUTED_VALUE"""),44984.66666666667)</f>
        <v>44984.66667</v>
      </c>
      <c r="B608" s="1">
        <f>IFERROR(__xludf.DUMMYFUNCTION("""COMPUTED_VALUE"""),27.7)</f>
        <v>27.7</v>
      </c>
    </row>
    <row r="609">
      <c r="A609" s="2">
        <f>IFERROR(__xludf.DUMMYFUNCTION("""COMPUTED_VALUE"""),44985.66666666667)</f>
        <v>44985.66667</v>
      </c>
      <c r="B609" s="1">
        <f>IFERROR(__xludf.DUMMYFUNCTION("""COMPUTED_VALUE"""),27.8)</f>
        <v>27.8</v>
      </c>
    </row>
    <row r="610">
      <c r="A610" s="2">
        <f>IFERROR(__xludf.DUMMYFUNCTION("""COMPUTED_VALUE"""),44986.66666666667)</f>
        <v>44986.66667</v>
      </c>
      <c r="B610" s="1">
        <f>IFERROR(__xludf.DUMMYFUNCTION("""COMPUTED_VALUE"""),27.62)</f>
        <v>27.62</v>
      </c>
    </row>
    <row r="611">
      <c r="A611" s="2">
        <f>IFERROR(__xludf.DUMMYFUNCTION("""COMPUTED_VALUE"""),44987.66666666667)</f>
        <v>44987.66667</v>
      </c>
      <c r="B611" s="1">
        <f>IFERROR(__xludf.DUMMYFUNCTION("""COMPUTED_VALUE"""),27.29)</f>
        <v>27.29</v>
      </c>
    </row>
    <row r="612">
      <c r="A612" s="2">
        <f>IFERROR(__xludf.DUMMYFUNCTION("""COMPUTED_VALUE"""),44988.66666666667)</f>
        <v>44988.66667</v>
      </c>
      <c r="B612" s="1">
        <f>IFERROR(__xludf.DUMMYFUNCTION("""COMPUTED_VALUE"""),27.58)</f>
        <v>27.58</v>
      </c>
    </row>
    <row r="613">
      <c r="A613" s="2">
        <f>IFERROR(__xludf.DUMMYFUNCTION("""COMPUTED_VALUE"""),44991.66666666667)</f>
        <v>44991.66667</v>
      </c>
      <c r="B613" s="1">
        <f>IFERROR(__xludf.DUMMYFUNCTION("""COMPUTED_VALUE"""),28.25)</f>
        <v>28.25</v>
      </c>
    </row>
    <row r="614">
      <c r="A614" s="2">
        <f>IFERROR(__xludf.DUMMYFUNCTION("""COMPUTED_VALUE"""),44992.66666666667)</f>
        <v>44992.66667</v>
      </c>
      <c r="B614" s="1">
        <f>IFERROR(__xludf.DUMMYFUNCTION("""COMPUTED_VALUE"""),28.5)</f>
        <v>28.5</v>
      </c>
    </row>
    <row r="615">
      <c r="A615" s="2">
        <f>IFERROR(__xludf.DUMMYFUNCTION("""COMPUTED_VALUE"""),44993.66666666667)</f>
        <v>44993.66667</v>
      </c>
      <c r="B615" s="1">
        <f>IFERROR(__xludf.DUMMYFUNCTION("""COMPUTED_VALUE"""),28.54)</f>
        <v>28.54</v>
      </c>
    </row>
    <row r="616">
      <c r="A616" s="2">
        <f>IFERROR(__xludf.DUMMYFUNCTION("""COMPUTED_VALUE"""),44994.66666666667)</f>
        <v>44994.66667</v>
      </c>
      <c r="B616" s="1">
        <f>IFERROR(__xludf.DUMMYFUNCTION("""COMPUTED_VALUE"""),28.55)</f>
        <v>28.55</v>
      </c>
    </row>
    <row r="617">
      <c r="A617" s="2">
        <f>IFERROR(__xludf.DUMMYFUNCTION("""COMPUTED_VALUE"""),44995.66666666667)</f>
        <v>44995.66667</v>
      </c>
      <c r="B617" s="1">
        <f>IFERROR(__xludf.DUMMYFUNCTION("""COMPUTED_VALUE"""),27.97)</f>
        <v>27.97</v>
      </c>
    </row>
    <row r="618">
      <c r="A618" s="2">
        <f>IFERROR(__xludf.DUMMYFUNCTION("""COMPUTED_VALUE"""),44998.66666666667)</f>
        <v>44998.66667</v>
      </c>
      <c r="B618" s="1">
        <f>IFERROR(__xludf.DUMMYFUNCTION("""COMPUTED_VALUE"""),27.95)</f>
        <v>27.95</v>
      </c>
    </row>
    <row r="619">
      <c r="A619" s="2">
        <f>IFERROR(__xludf.DUMMYFUNCTION("""COMPUTED_VALUE"""),44999.66666666667)</f>
        <v>44999.66667</v>
      </c>
      <c r="B619" s="1">
        <f>IFERROR(__xludf.DUMMYFUNCTION("""COMPUTED_VALUE"""),27.88)</f>
        <v>27.88</v>
      </c>
    </row>
    <row r="620">
      <c r="A620" s="2">
        <f>IFERROR(__xludf.DUMMYFUNCTION("""COMPUTED_VALUE"""),45000.66666666667)</f>
        <v>45000.66667</v>
      </c>
      <c r="B620" s="1">
        <f>IFERROR(__xludf.DUMMYFUNCTION("""COMPUTED_VALUE"""),28.25)</f>
        <v>28.25</v>
      </c>
    </row>
    <row r="621">
      <c r="A621" s="2">
        <f>IFERROR(__xludf.DUMMYFUNCTION("""COMPUTED_VALUE"""),45001.66666666667)</f>
        <v>45001.66667</v>
      </c>
      <c r="B621" s="1">
        <f>IFERROR(__xludf.DUMMYFUNCTION("""COMPUTED_VALUE"""),28.72)</f>
        <v>28.72</v>
      </c>
    </row>
    <row r="622">
      <c r="A622" s="2">
        <f>IFERROR(__xludf.DUMMYFUNCTION("""COMPUTED_VALUE"""),45002.66666666667)</f>
        <v>45002.66667</v>
      </c>
      <c r="B622" s="1">
        <f>IFERROR(__xludf.DUMMYFUNCTION("""COMPUTED_VALUE"""),29.06)</f>
        <v>29.06</v>
      </c>
    </row>
    <row r="623">
      <c r="A623" s="2">
        <f>IFERROR(__xludf.DUMMYFUNCTION("""COMPUTED_VALUE"""),45005.66666666667)</f>
        <v>45005.66667</v>
      </c>
      <c r="B623" s="1">
        <f>IFERROR(__xludf.DUMMYFUNCTION("""COMPUTED_VALUE"""),29.0)</f>
        <v>29</v>
      </c>
    </row>
    <row r="624">
      <c r="A624" s="2">
        <f>IFERROR(__xludf.DUMMYFUNCTION("""COMPUTED_VALUE"""),45006.66666666667)</f>
        <v>45006.66667</v>
      </c>
      <c r="B624" s="1">
        <f>IFERROR(__xludf.DUMMYFUNCTION("""COMPUTED_VALUE"""),29.09)</f>
        <v>29.09</v>
      </c>
    </row>
    <row r="625">
      <c r="A625" s="2">
        <f>IFERROR(__xludf.DUMMYFUNCTION("""COMPUTED_VALUE"""),45007.66666666667)</f>
        <v>45007.66667</v>
      </c>
      <c r="B625" s="1">
        <f>IFERROR(__xludf.DUMMYFUNCTION("""COMPUTED_VALUE"""),29.46)</f>
        <v>29.46</v>
      </c>
    </row>
    <row r="626">
      <c r="A626" s="2">
        <f>IFERROR(__xludf.DUMMYFUNCTION("""COMPUTED_VALUE"""),45008.66666666667)</f>
        <v>45008.66667</v>
      </c>
      <c r="B626" s="1">
        <f>IFERROR(__xludf.DUMMYFUNCTION("""COMPUTED_VALUE"""),29.03)</f>
        <v>29.03</v>
      </c>
    </row>
    <row r="627">
      <c r="A627" s="2">
        <f>IFERROR(__xludf.DUMMYFUNCTION("""COMPUTED_VALUE"""),45009.66666666667)</f>
        <v>45009.66667</v>
      </c>
      <c r="B627" s="1">
        <f>IFERROR(__xludf.DUMMYFUNCTION("""COMPUTED_VALUE"""),29.48)</f>
        <v>29.48</v>
      </c>
    </row>
    <row r="628">
      <c r="A628" s="2">
        <f>IFERROR(__xludf.DUMMYFUNCTION("""COMPUTED_VALUE"""),45012.66666666667)</f>
        <v>45012.66667</v>
      </c>
      <c r="B628" s="1">
        <f>IFERROR(__xludf.DUMMYFUNCTION("""COMPUTED_VALUE"""),29.84)</f>
        <v>29.84</v>
      </c>
    </row>
    <row r="629">
      <c r="A629" s="2">
        <f>IFERROR(__xludf.DUMMYFUNCTION("""COMPUTED_VALUE"""),45013.66666666667)</f>
        <v>45013.66667</v>
      </c>
      <c r="B629" s="1">
        <f>IFERROR(__xludf.DUMMYFUNCTION("""COMPUTED_VALUE"""),29.32)</f>
        <v>29.32</v>
      </c>
    </row>
    <row r="630">
      <c r="A630" s="2">
        <f>IFERROR(__xludf.DUMMYFUNCTION("""COMPUTED_VALUE"""),45014.66666666667)</f>
        <v>45014.66667</v>
      </c>
      <c r="B630" s="1">
        <f>IFERROR(__xludf.DUMMYFUNCTION("""COMPUTED_VALUE"""),29.28)</f>
        <v>29.28</v>
      </c>
    </row>
    <row r="631">
      <c r="A631" s="2">
        <f>IFERROR(__xludf.DUMMYFUNCTION("""COMPUTED_VALUE"""),45015.66666666667)</f>
        <v>45015.66667</v>
      </c>
      <c r="B631" s="1">
        <f>IFERROR(__xludf.DUMMYFUNCTION("""COMPUTED_VALUE"""),29.74)</f>
        <v>29.74</v>
      </c>
    </row>
    <row r="632">
      <c r="A632" s="2">
        <f>IFERROR(__xludf.DUMMYFUNCTION("""COMPUTED_VALUE"""),45016.66666666667)</f>
        <v>45016.66667</v>
      </c>
      <c r="B632" s="1">
        <f>IFERROR(__xludf.DUMMYFUNCTION("""COMPUTED_VALUE"""),29.99)</f>
        <v>29.99</v>
      </c>
    </row>
    <row r="633">
      <c r="A633" s="2">
        <f>IFERROR(__xludf.DUMMYFUNCTION("""COMPUTED_VALUE"""),45019.66666666667)</f>
        <v>45019.66667</v>
      </c>
      <c r="B633" s="1">
        <f>IFERROR(__xludf.DUMMYFUNCTION("""COMPUTED_VALUE"""),30.43)</f>
        <v>30.43</v>
      </c>
    </row>
    <row r="634">
      <c r="A634" s="2">
        <f>IFERROR(__xludf.DUMMYFUNCTION("""COMPUTED_VALUE"""),45020.66666666667)</f>
        <v>45020.66667</v>
      </c>
      <c r="B634" s="1">
        <f>IFERROR(__xludf.DUMMYFUNCTION("""COMPUTED_VALUE"""),30.05)</f>
        <v>30.05</v>
      </c>
    </row>
    <row r="635">
      <c r="A635" s="2">
        <f>IFERROR(__xludf.DUMMYFUNCTION("""COMPUTED_VALUE"""),45021.66666666667)</f>
        <v>45021.66667</v>
      </c>
      <c r="B635" s="1">
        <f>IFERROR(__xludf.DUMMYFUNCTION("""COMPUTED_VALUE"""),30.13)</f>
        <v>30.13</v>
      </c>
    </row>
    <row r="636">
      <c r="A636" s="2">
        <f>IFERROR(__xludf.DUMMYFUNCTION("""COMPUTED_VALUE"""),45022.66666666667)</f>
        <v>45022.66667</v>
      </c>
      <c r="B636" s="1">
        <f>IFERROR(__xludf.DUMMYFUNCTION("""COMPUTED_VALUE"""),29.89)</f>
        <v>29.89</v>
      </c>
    </row>
    <row r="637">
      <c r="A637" s="2">
        <f>IFERROR(__xludf.DUMMYFUNCTION("""COMPUTED_VALUE"""),45027.66666666667)</f>
        <v>45027.66667</v>
      </c>
      <c r="B637" s="1">
        <f>IFERROR(__xludf.DUMMYFUNCTION("""COMPUTED_VALUE"""),30.28)</f>
        <v>30.28</v>
      </c>
    </row>
    <row r="638">
      <c r="A638" s="2">
        <f>IFERROR(__xludf.DUMMYFUNCTION("""COMPUTED_VALUE"""),45028.66666666667)</f>
        <v>45028.66667</v>
      </c>
      <c r="B638" s="1">
        <f>IFERROR(__xludf.DUMMYFUNCTION("""COMPUTED_VALUE"""),30.11)</f>
        <v>30.11</v>
      </c>
    </row>
    <row r="639">
      <c r="A639" s="2">
        <f>IFERROR(__xludf.DUMMYFUNCTION("""COMPUTED_VALUE"""),45029.66666666667)</f>
        <v>45029.66667</v>
      </c>
      <c r="B639" s="1">
        <f>IFERROR(__xludf.DUMMYFUNCTION("""COMPUTED_VALUE"""),29.75)</f>
        <v>29.75</v>
      </c>
    </row>
    <row r="640">
      <c r="A640" s="2">
        <f>IFERROR(__xludf.DUMMYFUNCTION("""COMPUTED_VALUE"""),45030.66666666667)</f>
        <v>45030.66667</v>
      </c>
      <c r="B640" s="1">
        <f>IFERROR(__xludf.DUMMYFUNCTION("""COMPUTED_VALUE"""),29.88)</f>
        <v>29.88</v>
      </c>
    </row>
    <row r="641">
      <c r="A641" s="2">
        <f>IFERROR(__xludf.DUMMYFUNCTION("""COMPUTED_VALUE"""),45033.66666666667)</f>
        <v>45033.66667</v>
      </c>
      <c r="B641" s="1">
        <f>IFERROR(__xludf.DUMMYFUNCTION("""COMPUTED_VALUE"""),30.21)</f>
        <v>30.21</v>
      </c>
    </row>
    <row r="642">
      <c r="A642" s="2">
        <f>IFERROR(__xludf.DUMMYFUNCTION("""COMPUTED_VALUE"""),45034.66666666667)</f>
        <v>45034.66667</v>
      </c>
      <c r="B642" s="1">
        <f>IFERROR(__xludf.DUMMYFUNCTION("""COMPUTED_VALUE"""),30.12)</f>
        <v>30.12</v>
      </c>
    </row>
    <row r="643">
      <c r="A643" s="2">
        <f>IFERROR(__xludf.DUMMYFUNCTION("""COMPUTED_VALUE"""),45035.66666666667)</f>
        <v>45035.66667</v>
      </c>
      <c r="B643" s="1">
        <f>IFERROR(__xludf.DUMMYFUNCTION("""COMPUTED_VALUE"""),30.05)</f>
        <v>30.05</v>
      </c>
    </row>
    <row r="644">
      <c r="A644" s="2">
        <f>IFERROR(__xludf.DUMMYFUNCTION("""COMPUTED_VALUE"""),45036.66666666667)</f>
        <v>45036.66667</v>
      </c>
      <c r="B644" s="1">
        <f>IFERROR(__xludf.DUMMYFUNCTION("""COMPUTED_VALUE"""),30.01)</f>
        <v>30.01</v>
      </c>
    </row>
    <row r="645">
      <c r="A645" s="2">
        <f>IFERROR(__xludf.DUMMYFUNCTION("""COMPUTED_VALUE"""),45037.66666666667)</f>
        <v>45037.66667</v>
      </c>
      <c r="B645" s="1">
        <f>IFERROR(__xludf.DUMMYFUNCTION("""COMPUTED_VALUE"""),29.99)</f>
        <v>29.99</v>
      </c>
    </row>
    <row r="646">
      <c r="A646" s="2">
        <f>IFERROR(__xludf.DUMMYFUNCTION("""COMPUTED_VALUE"""),45040.66666666667)</f>
        <v>45040.66667</v>
      </c>
      <c r="B646" s="1">
        <f>IFERROR(__xludf.DUMMYFUNCTION("""COMPUTED_VALUE"""),30.0)</f>
        <v>30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IFERROR(__xludf.DUMMYFUNCTION("""COMPUTED_VALUE"""),30.25)</f>
        <v>30.25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IFERROR(__xludf.DUMMYFUNCTION("""COMPUTED_VALUE"""),30.15)</f>
        <v>30.15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IFERROR(__xludf.DUMMYFUNCTION("""COMPUTED_VALUE"""),30.74)</f>
        <v>30.74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IFERROR(__xludf.DUMMYFUNCTION("""COMPUTED_VALUE"""),30.93)</f>
        <v>30.93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IFERROR(__xludf.DUMMYFUNCTION("""COMPUTED_VALUE"""),30.5)</f>
        <v>30.5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IFERROR(__xludf.DUMMYFUNCTION("""COMPUTED_VALUE"""),30.47)</f>
        <v>30.47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IFERROR(__xludf.DUMMYFUNCTION("""COMPUTED_VALUE"""),30.28)</f>
        <v>30.28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IFERROR(__xludf.DUMMYFUNCTION("""COMPUTED_VALUE"""),29.95)</f>
        <v>29.95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IFERROR(__xludf.DUMMYFUNCTION("""COMPUTED_VALUE"""),30.26)</f>
        <v>30.26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IFERROR(__xludf.DUMMYFUNCTION("""COMPUTED_VALUE"""),30.33)</f>
        <v>30.33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IFERROR(__xludf.DUMMYFUNCTION("""COMPUTED_VALUE"""),30.24)</f>
        <v>30.24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IFERROR(__xludf.DUMMYFUNCTION("""COMPUTED_VALUE"""),30.57)</f>
        <v>30.57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IFERROR(__xludf.DUMMYFUNCTION("""COMPUTED_VALUE"""),31.06)</f>
        <v>31.06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IFERROR(__xludf.DUMMYFUNCTION("""COMPUTED_VALUE"""),30.96)</f>
        <v>30.96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IFERROR(__xludf.DUMMYFUNCTION("""COMPUTED_VALUE"""),31.08)</f>
        <v>31.08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IFERROR(__xludf.DUMMYFUNCTION("""COMPUTED_VALUE"""),31.38)</f>
        <v>31.38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IFERROR(__xludf.DUMMYFUNCTION("""COMPUTED_VALUE"""),31.67)</f>
        <v>31.67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IFERROR(__xludf.DUMMYFUNCTION("""COMPUTED_VALUE"""),32.34)</f>
        <v>32.34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IFERROR(__xludf.DUMMYFUNCTION("""COMPUTED_VALUE"""),32.26)</f>
        <v>32.26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IFERROR(__xludf.DUMMYFUNCTION("""COMPUTED_VALUE"""),32.29)</f>
        <v>32.29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IFERROR(__xludf.DUMMYFUNCTION("""COMPUTED_VALUE"""),32.11)</f>
        <v>32.11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IFERROR(__xludf.DUMMYFUNCTION("""COMPUTED_VALUE"""),32.71)</f>
        <v>32.71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IFERROR(__xludf.DUMMYFUNCTION("""COMPUTED_VALUE"""),33.1)</f>
        <v>33.1</v>
      </c>
    </row>
    <row r="670">
      <c r="A670" s="2">
        <f>IFERROR(__xludf.DUMMYFUNCTION("""COMPUTED_VALUE"""),45075.66666666667)</f>
        <v>45075.66667</v>
      </c>
      <c r="B670" s="1">
        <f>IFERROR(__xludf.DUMMYFUNCTION("""COMPUTED_VALUE"""),33.98)</f>
        <v>33.98</v>
      </c>
    </row>
    <row r="671">
      <c r="A671" s="2">
        <f>IFERROR(__xludf.DUMMYFUNCTION("""COMPUTED_VALUE"""),45076.66666666667)</f>
        <v>45076.66667</v>
      </c>
      <c r="B671" s="1">
        <f>IFERROR(__xludf.DUMMYFUNCTION("""COMPUTED_VALUE"""),34.14)</f>
        <v>34.14</v>
      </c>
    </row>
    <row r="672">
      <c r="A672" s="2">
        <f>IFERROR(__xludf.DUMMYFUNCTION("""COMPUTED_VALUE"""),45077.66666666667)</f>
        <v>45077.66667</v>
      </c>
      <c r="B672" s="1">
        <f>IFERROR(__xludf.DUMMYFUNCTION("""COMPUTED_VALUE"""),34.15)</f>
        <v>34.15</v>
      </c>
    </row>
    <row r="673">
      <c r="A673" s="2">
        <f>IFERROR(__xludf.DUMMYFUNCTION("""COMPUTED_VALUE"""),45078.66666666667)</f>
        <v>45078.66667</v>
      </c>
      <c r="B673" s="1">
        <f>IFERROR(__xludf.DUMMYFUNCTION("""COMPUTED_VALUE"""),33.94)</f>
        <v>33.94</v>
      </c>
    </row>
    <row r="674">
      <c r="A674" s="2">
        <f>IFERROR(__xludf.DUMMYFUNCTION("""COMPUTED_VALUE"""),45079.66666666667)</f>
        <v>45079.66667</v>
      </c>
      <c r="B674" s="1">
        <f>IFERROR(__xludf.DUMMYFUNCTION("""COMPUTED_VALUE"""),33.88)</f>
        <v>33.88</v>
      </c>
    </row>
    <row r="675">
      <c r="A675" s="2">
        <f>IFERROR(__xludf.DUMMYFUNCTION("""COMPUTED_VALUE"""),45082.66666666667)</f>
        <v>45082.66667</v>
      </c>
      <c r="B675" s="1">
        <f>IFERROR(__xludf.DUMMYFUNCTION("""COMPUTED_VALUE"""),34.01)</f>
        <v>34.01</v>
      </c>
    </row>
    <row r="676">
      <c r="A676" s="2">
        <f>IFERROR(__xludf.DUMMYFUNCTION("""COMPUTED_VALUE"""),45083.66666666667)</f>
        <v>45083.66667</v>
      </c>
      <c r="B676" s="1">
        <f>IFERROR(__xludf.DUMMYFUNCTION("""COMPUTED_VALUE"""),33.82)</f>
        <v>33.82</v>
      </c>
    </row>
    <row r="677">
      <c r="A677" s="2">
        <f>IFERROR(__xludf.DUMMYFUNCTION("""COMPUTED_VALUE"""),45084.66666666667)</f>
        <v>45084.66667</v>
      </c>
      <c r="B677" s="1">
        <f>IFERROR(__xludf.DUMMYFUNCTION("""COMPUTED_VALUE"""),33.73)</f>
        <v>33.73</v>
      </c>
    </row>
    <row r="678">
      <c r="A678" s="2">
        <f>IFERROR(__xludf.DUMMYFUNCTION("""COMPUTED_VALUE"""),45085.66666666667)</f>
        <v>45085.66667</v>
      </c>
      <c r="B678" s="1">
        <f>IFERROR(__xludf.DUMMYFUNCTION("""COMPUTED_VALUE"""),33.13)</f>
        <v>33.13</v>
      </c>
    </row>
    <row r="679">
      <c r="A679" s="2">
        <f>IFERROR(__xludf.DUMMYFUNCTION("""COMPUTED_VALUE"""),45086.66666666667)</f>
        <v>45086.66667</v>
      </c>
      <c r="B679" s="1">
        <f>IFERROR(__xludf.DUMMYFUNCTION("""COMPUTED_VALUE"""),33.45)</f>
        <v>33.45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IFERROR(__xludf.DUMMYFUNCTION("""COMPUTED_VALUE"""),34.02)</f>
        <v>34.02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IFERROR(__xludf.DUMMYFUNCTION("""COMPUTED_VALUE"""),34.09)</f>
        <v>34.09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IFERROR(__xludf.DUMMYFUNCTION("""COMPUTED_VALUE"""),34.04)</f>
        <v>34.04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IFERROR(__xludf.DUMMYFUNCTION("""COMPUTED_VALUE"""),34.1)</f>
        <v>34.1</v>
      </c>
    </row>
    <row r="684">
      <c r="A684" s="2">
        <f>IFERROR(__xludf.DUMMYFUNCTION("""COMPUTED_VALUE"""),45096.66666666667)</f>
        <v>45096.66667</v>
      </c>
      <c r="B684" s="1">
        <f>IFERROR(__xludf.DUMMYFUNCTION("""COMPUTED_VALUE"""),34.06)</f>
        <v>34.06</v>
      </c>
    </row>
    <row r="685">
      <c r="A685" s="2">
        <f>IFERROR(__xludf.DUMMYFUNCTION("""COMPUTED_VALUE"""),45097.66666666667)</f>
        <v>45097.66667</v>
      </c>
      <c r="B685" s="1">
        <f>IFERROR(__xludf.DUMMYFUNCTION("""COMPUTED_VALUE"""),34.29)</f>
        <v>34.29</v>
      </c>
    </row>
    <row r="686">
      <c r="A686" s="2">
        <f>IFERROR(__xludf.DUMMYFUNCTION("""COMPUTED_VALUE"""),45098.66666666667)</f>
        <v>45098.66667</v>
      </c>
      <c r="B686" s="1">
        <f>IFERROR(__xludf.DUMMYFUNCTION("""COMPUTED_VALUE"""),34.39)</f>
        <v>34.39</v>
      </c>
    </row>
    <row r="687">
      <c r="A687" s="2">
        <f>IFERROR(__xludf.DUMMYFUNCTION("""COMPUTED_VALUE"""),45099.66666666667)</f>
        <v>45099.66667</v>
      </c>
      <c r="B687" s="1">
        <f>IFERROR(__xludf.DUMMYFUNCTION("""COMPUTED_VALUE"""),33.94)</f>
        <v>33.94</v>
      </c>
    </row>
    <row r="688">
      <c r="A688" s="2">
        <f>IFERROR(__xludf.DUMMYFUNCTION("""COMPUTED_VALUE"""),45100.66666666667)</f>
        <v>45100.66667</v>
      </c>
      <c r="B688" s="1">
        <f>IFERROR(__xludf.DUMMYFUNCTION("""COMPUTED_VALUE"""),34.62)</f>
        <v>34.62</v>
      </c>
    </row>
    <row r="689">
      <c r="A689" s="2">
        <f>IFERROR(__xludf.DUMMYFUNCTION("""COMPUTED_VALUE"""),45103.66666666667)</f>
        <v>45103.66667</v>
      </c>
      <c r="B689" s="1">
        <f>IFERROR(__xludf.DUMMYFUNCTION("""COMPUTED_VALUE"""),34.62)</f>
        <v>34.62</v>
      </c>
    </row>
    <row r="690">
      <c r="A690" s="2">
        <f>IFERROR(__xludf.DUMMYFUNCTION("""COMPUTED_VALUE"""),45104.66666666667)</f>
        <v>45104.66667</v>
      </c>
      <c r="B690" s="1">
        <f>IFERROR(__xludf.DUMMYFUNCTION("""COMPUTED_VALUE"""),33.99)</f>
        <v>33.99</v>
      </c>
    </row>
    <row r="691">
      <c r="A691" s="2">
        <f>IFERROR(__xludf.DUMMYFUNCTION("""COMPUTED_VALUE"""),45105.66666666667)</f>
        <v>45105.66667</v>
      </c>
      <c r="B691" s="1">
        <f>IFERROR(__xludf.DUMMYFUNCTION("""COMPUTED_VALUE"""),34.74)</f>
        <v>34.74</v>
      </c>
    </row>
    <row r="692">
      <c r="A692" s="2">
        <f>IFERROR(__xludf.DUMMYFUNCTION("""COMPUTED_VALUE"""),45106.66666666667)</f>
        <v>45106.66667</v>
      </c>
      <c r="B692" s="1">
        <f>IFERROR(__xludf.DUMMYFUNCTION("""COMPUTED_VALUE"""),35.09)</f>
        <v>35.09</v>
      </c>
    </row>
    <row r="693">
      <c r="A693" s="2">
        <f>IFERROR(__xludf.DUMMYFUNCTION("""COMPUTED_VALUE"""),45107.66666666667)</f>
        <v>45107.66667</v>
      </c>
      <c r="B693" s="1">
        <f>IFERROR(__xludf.DUMMYFUNCTION("""COMPUTED_VALUE"""),35.05)</f>
        <v>35.05</v>
      </c>
    </row>
    <row r="694">
      <c r="A694" s="2">
        <f>IFERROR(__xludf.DUMMYFUNCTION("""COMPUTED_VALUE"""),45110.66666666667)</f>
        <v>45110.66667</v>
      </c>
      <c r="B694" s="1">
        <f>IFERROR(__xludf.DUMMYFUNCTION("""COMPUTED_VALUE"""),34.55)</f>
        <v>34.55</v>
      </c>
    </row>
    <row r="695">
      <c r="A695" s="2">
        <f>IFERROR(__xludf.DUMMYFUNCTION("""COMPUTED_VALUE"""),45111.66666666667)</f>
        <v>45111.66667</v>
      </c>
      <c r="B695" s="1">
        <f>IFERROR(__xludf.DUMMYFUNCTION("""COMPUTED_VALUE"""),34.56)</f>
        <v>34.56</v>
      </c>
    </row>
    <row r="696">
      <c r="A696" s="2">
        <f>IFERROR(__xludf.DUMMYFUNCTION("""COMPUTED_VALUE"""),45112.66666666667)</f>
        <v>45112.66667</v>
      </c>
      <c r="B696" s="1">
        <f>IFERROR(__xludf.DUMMYFUNCTION("""COMPUTED_VALUE"""),34.4)</f>
        <v>34.4</v>
      </c>
    </row>
    <row r="697">
      <c r="A697" s="2">
        <f>IFERROR(__xludf.DUMMYFUNCTION("""COMPUTED_VALUE"""),45113.66666666667)</f>
        <v>45113.66667</v>
      </c>
      <c r="B697" s="1">
        <f>IFERROR(__xludf.DUMMYFUNCTION("""COMPUTED_VALUE"""),34.45)</f>
        <v>34.45</v>
      </c>
    </row>
    <row r="698">
      <c r="A698" s="2">
        <f>IFERROR(__xludf.DUMMYFUNCTION("""COMPUTED_VALUE"""),45114.66666666667)</f>
        <v>45114.66667</v>
      </c>
      <c r="B698" s="1">
        <f>IFERROR(__xludf.DUMMYFUNCTION("""COMPUTED_VALUE"""),34.44)</f>
        <v>34.44</v>
      </c>
    </row>
    <row r="699">
      <c r="A699" s="2">
        <f>IFERROR(__xludf.DUMMYFUNCTION("""COMPUTED_VALUE"""),45117.66666666667)</f>
        <v>45117.66667</v>
      </c>
      <c r="B699" s="1">
        <f>IFERROR(__xludf.DUMMYFUNCTION("""COMPUTED_VALUE"""),34.03)</f>
        <v>34.03</v>
      </c>
    </row>
    <row r="700">
      <c r="A700" s="2">
        <f>IFERROR(__xludf.DUMMYFUNCTION("""COMPUTED_VALUE"""),45118.66666666667)</f>
        <v>45118.66667</v>
      </c>
      <c r="B700" s="1">
        <f>IFERROR(__xludf.DUMMYFUNCTION("""COMPUTED_VALUE"""),34.17)</f>
        <v>34.17</v>
      </c>
    </row>
    <row r="701">
      <c r="A701" s="2">
        <f>IFERROR(__xludf.DUMMYFUNCTION("""COMPUTED_VALUE"""),45119.66666666667)</f>
        <v>45119.66667</v>
      </c>
      <c r="B701" s="1">
        <f>IFERROR(__xludf.DUMMYFUNCTION("""COMPUTED_VALUE"""),34.2)</f>
        <v>34.2</v>
      </c>
    </row>
    <row r="702">
      <c r="A702" s="2">
        <f>IFERROR(__xludf.DUMMYFUNCTION("""COMPUTED_VALUE"""),45120.66666666667)</f>
        <v>45120.66667</v>
      </c>
      <c r="B702" s="1">
        <f>IFERROR(__xludf.DUMMYFUNCTION("""COMPUTED_VALUE"""),34.17)</f>
        <v>34.17</v>
      </c>
    </row>
    <row r="703">
      <c r="A703" s="2">
        <f>IFERROR(__xludf.DUMMYFUNCTION("""COMPUTED_VALUE"""),45121.66666666667)</f>
        <v>45121.66667</v>
      </c>
      <c r="B703" s="1">
        <f>IFERROR(__xludf.DUMMYFUNCTION("""COMPUTED_VALUE"""),34.29)</f>
        <v>34.29</v>
      </c>
    </row>
    <row r="704">
      <c r="A704" s="2">
        <f>IFERROR(__xludf.DUMMYFUNCTION("""COMPUTED_VALUE"""),45124.66666666667)</f>
        <v>45124.66667</v>
      </c>
      <c r="B704" s="1">
        <f>IFERROR(__xludf.DUMMYFUNCTION("""COMPUTED_VALUE"""),34.6)</f>
        <v>34.6</v>
      </c>
    </row>
    <row r="705">
      <c r="A705" s="2">
        <f>IFERROR(__xludf.DUMMYFUNCTION("""COMPUTED_VALUE"""),45125.66666666667)</f>
        <v>45125.66667</v>
      </c>
      <c r="B705" s="1">
        <f>IFERROR(__xludf.DUMMYFUNCTION("""COMPUTED_VALUE"""),34.85)</f>
        <v>34.85</v>
      </c>
    </row>
    <row r="706">
      <c r="A706" s="2">
        <f>IFERROR(__xludf.DUMMYFUNCTION("""COMPUTED_VALUE"""),45126.66666666667)</f>
        <v>45126.66667</v>
      </c>
      <c r="B706" s="1">
        <f>IFERROR(__xludf.DUMMYFUNCTION("""COMPUTED_VALUE"""),35.36)</f>
        <v>35.36</v>
      </c>
    </row>
    <row r="707">
      <c r="A707" s="2">
        <f>IFERROR(__xludf.DUMMYFUNCTION("""COMPUTED_VALUE"""),45127.66666666667)</f>
        <v>45127.66667</v>
      </c>
      <c r="B707" s="1">
        <f>IFERROR(__xludf.DUMMYFUNCTION("""COMPUTED_VALUE"""),35.06)</f>
        <v>35.06</v>
      </c>
    </row>
    <row r="708">
      <c r="A708" s="2">
        <f>IFERROR(__xludf.DUMMYFUNCTION("""COMPUTED_VALUE"""),45128.66666666667)</f>
        <v>45128.66667</v>
      </c>
      <c r="B708" s="1">
        <f>IFERROR(__xludf.DUMMYFUNCTION("""COMPUTED_VALUE"""),34.61)</f>
        <v>34.61</v>
      </c>
    </row>
    <row r="709">
      <c r="A709" s="2">
        <f>IFERROR(__xludf.DUMMYFUNCTION("""COMPUTED_VALUE"""),45131.66666666667)</f>
        <v>45131.66667</v>
      </c>
      <c r="B709" s="1">
        <f>IFERROR(__xludf.DUMMYFUNCTION("""COMPUTED_VALUE"""),34.67)</f>
        <v>34.67</v>
      </c>
    </row>
    <row r="710">
      <c r="A710" s="2">
        <f>IFERROR(__xludf.DUMMYFUNCTION("""COMPUTED_VALUE"""),45132.66666666667)</f>
        <v>45132.66667</v>
      </c>
      <c r="B710" s="1">
        <f>IFERROR(__xludf.DUMMYFUNCTION("""COMPUTED_VALUE"""),34.58)</f>
        <v>34.58</v>
      </c>
    </row>
    <row r="711">
      <c r="A711" s="2">
        <f>IFERROR(__xludf.DUMMYFUNCTION("""COMPUTED_VALUE"""),45133.66666666667)</f>
        <v>45133.66667</v>
      </c>
      <c r="B711" s="1">
        <f>IFERROR(__xludf.DUMMYFUNCTION("""COMPUTED_VALUE"""),34.8)</f>
        <v>34.8</v>
      </c>
    </row>
    <row r="712">
      <c r="A712" s="2">
        <f>IFERROR(__xludf.DUMMYFUNCTION("""COMPUTED_VALUE"""),45134.66666666667)</f>
        <v>45134.66667</v>
      </c>
      <c r="B712" s="1">
        <f>IFERROR(__xludf.DUMMYFUNCTION("""COMPUTED_VALUE"""),34.84)</f>
        <v>34.84</v>
      </c>
    </row>
    <row r="713">
      <c r="A713" s="2">
        <f>IFERROR(__xludf.DUMMYFUNCTION("""COMPUTED_VALUE"""),45135.66666666667)</f>
        <v>45135.66667</v>
      </c>
      <c r="B713" s="1">
        <f>IFERROR(__xludf.DUMMYFUNCTION("""COMPUTED_VALUE"""),35.31)</f>
        <v>35.31</v>
      </c>
    </row>
    <row r="714">
      <c r="A714" s="2">
        <f>IFERROR(__xludf.DUMMYFUNCTION("""COMPUTED_VALUE"""),45138.66666666667)</f>
        <v>45138.66667</v>
      </c>
      <c r="B714" s="1">
        <f>IFERROR(__xludf.DUMMYFUNCTION("""COMPUTED_VALUE"""),35.63)</f>
        <v>35.63</v>
      </c>
    </row>
    <row r="715">
      <c r="A715" s="2">
        <f>IFERROR(__xludf.DUMMYFUNCTION("""COMPUTED_VALUE"""),45139.66666666667)</f>
        <v>45139.66667</v>
      </c>
      <c r="B715" s="1">
        <f>IFERROR(__xludf.DUMMYFUNCTION("""COMPUTED_VALUE"""),35.81)</f>
        <v>35.81</v>
      </c>
    </row>
    <row r="716">
      <c r="A716" s="2">
        <f>IFERROR(__xludf.DUMMYFUNCTION("""COMPUTED_VALUE"""),45140.66666666667)</f>
        <v>45140.66667</v>
      </c>
      <c r="B716" s="1">
        <f>IFERROR(__xludf.DUMMYFUNCTION("""COMPUTED_VALUE"""),35.95)</f>
        <v>35.95</v>
      </c>
    </row>
    <row r="717">
      <c r="A717" s="2">
        <f>IFERROR(__xludf.DUMMYFUNCTION("""COMPUTED_VALUE"""),45141.66666666667)</f>
        <v>45141.66667</v>
      </c>
      <c r="B717" s="1">
        <f>IFERROR(__xludf.DUMMYFUNCTION("""COMPUTED_VALUE"""),35.64)</f>
        <v>35.64</v>
      </c>
    </row>
    <row r="718">
      <c r="A718" s="2">
        <f>IFERROR(__xludf.DUMMYFUNCTION("""COMPUTED_VALUE"""),45142.66666666667)</f>
        <v>45142.66667</v>
      </c>
      <c r="B718" s="1">
        <f>IFERROR(__xludf.DUMMYFUNCTION("""COMPUTED_VALUE"""),35.66)</f>
        <v>35.66</v>
      </c>
    </row>
    <row r="719">
      <c r="A719" s="2">
        <f>IFERROR(__xludf.DUMMYFUNCTION("""COMPUTED_VALUE"""),45145.66666666667)</f>
        <v>45145.66667</v>
      </c>
      <c r="B719" s="1">
        <f>IFERROR(__xludf.DUMMYFUNCTION("""COMPUTED_VALUE"""),35.37)</f>
        <v>35.37</v>
      </c>
    </row>
    <row r="720">
      <c r="A720" s="2">
        <f>IFERROR(__xludf.DUMMYFUNCTION("""COMPUTED_VALUE"""),45146.66666666667)</f>
        <v>45146.66667</v>
      </c>
      <c r="B720" s="1">
        <f>IFERROR(__xludf.DUMMYFUNCTION("""COMPUTED_VALUE"""),35.55)</f>
        <v>35.55</v>
      </c>
    </row>
    <row r="721">
      <c r="A721" s="2">
        <f>IFERROR(__xludf.DUMMYFUNCTION("""COMPUTED_VALUE"""),45147.66666666667)</f>
        <v>45147.66667</v>
      </c>
      <c r="B721" s="1">
        <f>IFERROR(__xludf.DUMMYFUNCTION("""COMPUTED_VALUE"""),35.39)</f>
        <v>35.39</v>
      </c>
    </row>
    <row r="722">
      <c r="A722" s="2">
        <f>IFERROR(__xludf.DUMMYFUNCTION("""COMPUTED_VALUE"""),45148.66666666667)</f>
        <v>45148.66667</v>
      </c>
      <c r="B722" s="1">
        <f>IFERROR(__xludf.DUMMYFUNCTION("""COMPUTED_VALUE"""),35.12)</f>
        <v>35.12</v>
      </c>
    </row>
    <row r="723">
      <c r="A723" s="2">
        <f>IFERROR(__xludf.DUMMYFUNCTION("""COMPUTED_VALUE"""),45149.66666666667)</f>
        <v>45149.66667</v>
      </c>
      <c r="B723" s="1">
        <f>IFERROR(__xludf.DUMMYFUNCTION("""COMPUTED_VALUE"""),35.19)</f>
        <v>35.19</v>
      </c>
    </row>
    <row r="724">
      <c r="A724" s="2">
        <f>IFERROR(__xludf.DUMMYFUNCTION("""COMPUTED_VALUE"""),45152.66666666667)</f>
        <v>45152.66667</v>
      </c>
      <c r="B724" s="1">
        <f>IFERROR(__xludf.DUMMYFUNCTION("""COMPUTED_VALUE"""),35.11)</f>
        <v>35.11</v>
      </c>
    </row>
    <row r="725">
      <c r="A725" s="2">
        <f>IFERROR(__xludf.DUMMYFUNCTION("""COMPUTED_VALUE"""),45153.66666666667)</f>
        <v>45153.66667</v>
      </c>
      <c r="B725" s="1">
        <f>IFERROR(__xludf.DUMMYFUNCTION("""COMPUTED_VALUE"""),35.46)</f>
        <v>35.46</v>
      </c>
    </row>
    <row r="726">
      <c r="A726" s="2">
        <f>IFERROR(__xludf.DUMMYFUNCTION("""COMPUTED_VALUE"""),45154.66666666667)</f>
        <v>45154.66667</v>
      </c>
      <c r="B726" s="1">
        <f>IFERROR(__xludf.DUMMYFUNCTION("""COMPUTED_VALUE"""),35.33)</f>
        <v>35.33</v>
      </c>
    </row>
    <row r="727">
      <c r="A727" s="2">
        <f>IFERROR(__xludf.DUMMYFUNCTION("""COMPUTED_VALUE"""),45155.66666666667)</f>
        <v>45155.66667</v>
      </c>
      <c r="B727" s="1">
        <f>IFERROR(__xludf.DUMMYFUNCTION("""COMPUTED_VALUE"""),35.22)</f>
        <v>35.22</v>
      </c>
    </row>
    <row r="728">
      <c r="A728" s="2">
        <f>IFERROR(__xludf.DUMMYFUNCTION("""COMPUTED_VALUE"""),45156.66666666667)</f>
        <v>45156.66667</v>
      </c>
      <c r="B728" s="1">
        <f>IFERROR(__xludf.DUMMYFUNCTION("""COMPUTED_VALUE"""),34.77)</f>
        <v>34.77</v>
      </c>
    </row>
    <row r="729">
      <c r="A729" s="2">
        <f>IFERROR(__xludf.DUMMYFUNCTION("""COMPUTED_VALUE"""),45159.66666666667)</f>
        <v>45159.66667</v>
      </c>
      <c r="B729" s="1">
        <f>IFERROR(__xludf.DUMMYFUNCTION("""COMPUTED_VALUE"""),34.75)</f>
        <v>34.75</v>
      </c>
    </row>
    <row r="730">
      <c r="A730" s="2">
        <f>IFERROR(__xludf.DUMMYFUNCTION("""COMPUTED_VALUE"""),45160.66666666667)</f>
        <v>45160.66667</v>
      </c>
      <c r="B730" s="1">
        <f>IFERROR(__xludf.DUMMYFUNCTION("""COMPUTED_VALUE"""),35.22)</f>
        <v>35.22</v>
      </c>
    </row>
    <row r="731">
      <c r="A731" s="2">
        <f>IFERROR(__xludf.DUMMYFUNCTION("""COMPUTED_VALUE"""),45161.66666666667)</f>
        <v>45161.66667</v>
      </c>
      <c r="B731" s="1">
        <f>IFERROR(__xludf.DUMMYFUNCTION("""COMPUTED_VALUE"""),35.25)</f>
        <v>35.25</v>
      </c>
    </row>
    <row r="732">
      <c r="A732" s="2">
        <f>IFERROR(__xludf.DUMMYFUNCTION("""COMPUTED_VALUE"""),45162.66666666667)</f>
        <v>45162.66667</v>
      </c>
      <c r="B732" s="1">
        <f>IFERROR(__xludf.DUMMYFUNCTION("""COMPUTED_VALUE"""),35.88)</f>
        <v>35.88</v>
      </c>
    </row>
    <row r="733">
      <c r="A733" s="2">
        <f>IFERROR(__xludf.DUMMYFUNCTION("""COMPUTED_VALUE"""),45163.66666666667)</f>
        <v>45163.66667</v>
      </c>
      <c r="B733" s="1">
        <f>IFERROR(__xludf.DUMMYFUNCTION("""COMPUTED_VALUE"""),35.01)</f>
        <v>35.01</v>
      </c>
    </row>
    <row r="734">
      <c r="A734" s="2">
        <f>IFERROR(__xludf.DUMMYFUNCTION("""COMPUTED_VALUE"""),45166.66666666667)</f>
        <v>45166.66667</v>
      </c>
      <c r="B734" s="1">
        <f>IFERROR(__xludf.DUMMYFUNCTION("""COMPUTED_VALUE"""),35.24)</f>
        <v>35.24</v>
      </c>
    </row>
    <row r="735">
      <c r="A735" s="2">
        <f>IFERROR(__xludf.DUMMYFUNCTION("""COMPUTED_VALUE"""),45167.66666666667)</f>
        <v>45167.66667</v>
      </c>
      <c r="B735" s="1">
        <f>IFERROR(__xludf.DUMMYFUNCTION("""COMPUTED_VALUE"""),35.47)</f>
        <v>35.47</v>
      </c>
    </row>
    <row r="736">
      <c r="A736" s="2">
        <f>IFERROR(__xludf.DUMMYFUNCTION("""COMPUTED_VALUE"""),45168.66666666667)</f>
        <v>45168.66667</v>
      </c>
      <c r="B736" s="1">
        <f>IFERROR(__xludf.DUMMYFUNCTION("""COMPUTED_VALUE"""),36.0)</f>
        <v>36</v>
      </c>
    </row>
    <row r="737">
      <c r="A737" s="2">
        <f>IFERROR(__xludf.DUMMYFUNCTION("""COMPUTED_VALUE"""),45169.66666666667)</f>
        <v>45169.66667</v>
      </c>
      <c r="B737" s="1">
        <f>IFERROR(__xludf.DUMMYFUNCTION("""COMPUTED_VALUE"""),36.14)</f>
        <v>36.14</v>
      </c>
    </row>
    <row r="738">
      <c r="A738" s="2">
        <f>IFERROR(__xludf.DUMMYFUNCTION("""COMPUTED_VALUE"""),45170.66666666667)</f>
        <v>45170.66667</v>
      </c>
      <c r="B738" s="1">
        <f>IFERROR(__xludf.DUMMYFUNCTION("""COMPUTED_VALUE"""),36.34)</f>
        <v>36.34</v>
      </c>
    </row>
    <row r="739">
      <c r="A739" s="2">
        <f>IFERROR(__xludf.DUMMYFUNCTION("""COMPUTED_VALUE"""),45173.66666666667)</f>
        <v>45173.66667</v>
      </c>
      <c r="B739" s="1">
        <f>IFERROR(__xludf.DUMMYFUNCTION("""COMPUTED_VALUE"""),36.3)</f>
        <v>36.3</v>
      </c>
    </row>
    <row r="740">
      <c r="A740" s="2">
        <f>IFERROR(__xludf.DUMMYFUNCTION("""COMPUTED_VALUE"""),45174.66666666667)</f>
        <v>45174.66667</v>
      </c>
      <c r="B740" s="1">
        <f>IFERROR(__xludf.DUMMYFUNCTION("""COMPUTED_VALUE"""),36.62)</f>
        <v>36.62</v>
      </c>
    </row>
    <row r="741">
      <c r="A741" s="2">
        <f>IFERROR(__xludf.DUMMYFUNCTION("""COMPUTED_VALUE"""),45175.66666666667)</f>
        <v>45175.66667</v>
      </c>
      <c r="B741" s="1">
        <f>IFERROR(__xludf.DUMMYFUNCTION("""COMPUTED_VALUE"""),36.67)</f>
        <v>36.67</v>
      </c>
    </row>
    <row r="742">
      <c r="A742" s="2">
        <f>IFERROR(__xludf.DUMMYFUNCTION("""COMPUTED_VALUE"""),45176.66666666667)</f>
        <v>45176.66667</v>
      </c>
      <c r="B742" s="1">
        <f>IFERROR(__xludf.DUMMYFUNCTION("""COMPUTED_VALUE"""),36.35)</f>
        <v>36.35</v>
      </c>
    </row>
    <row r="743">
      <c r="A743" s="2">
        <f>IFERROR(__xludf.DUMMYFUNCTION("""COMPUTED_VALUE"""),45177.66666666667)</f>
        <v>45177.66667</v>
      </c>
      <c r="B743" s="1">
        <f>IFERROR(__xludf.DUMMYFUNCTION("""COMPUTED_VALUE"""),36.22)</f>
        <v>36.22</v>
      </c>
    </row>
    <row r="744">
      <c r="A744" s="2">
        <f>IFERROR(__xludf.DUMMYFUNCTION("""COMPUTED_VALUE"""),45180.66666666667)</f>
        <v>45180.66667</v>
      </c>
      <c r="B744" s="1">
        <f>IFERROR(__xludf.DUMMYFUNCTION("""COMPUTED_VALUE"""),36.15)</f>
        <v>36.15</v>
      </c>
    </row>
    <row r="745">
      <c r="A745" s="2">
        <f>IFERROR(__xludf.DUMMYFUNCTION("""COMPUTED_VALUE"""),45181.66666666667)</f>
        <v>45181.66667</v>
      </c>
      <c r="B745" s="1">
        <f>IFERROR(__xludf.DUMMYFUNCTION("""COMPUTED_VALUE"""),36.42)</f>
        <v>36.42</v>
      </c>
    </row>
    <row r="746">
      <c r="A746" s="2">
        <f>IFERROR(__xludf.DUMMYFUNCTION("""COMPUTED_VALUE"""),45182.66666666667)</f>
        <v>45182.66667</v>
      </c>
      <c r="B746" s="1">
        <f>IFERROR(__xludf.DUMMYFUNCTION("""COMPUTED_VALUE"""),36.15)</f>
        <v>36.15</v>
      </c>
    </row>
    <row r="747">
      <c r="A747" s="2">
        <f>IFERROR(__xludf.DUMMYFUNCTION("""COMPUTED_VALUE"""),45183.66666666667)</f>
        <v>45183.66667</v>
      </c>
      <c r="B747" s="1">
        <f>IFERROR(__xludf.DUMMYFUNCTION("""COMPUTED_VALUE"""),36.28)</f>
        <v>36.28</v>
      </c>
    </row>
    <row r="748">
      <c r="A748" s="2">
        <f>IFERROR(__xludf.DUMMYFUNCTION("""COMPUTED_VALUE"""),45184.66666666667)</f>
        <v>45184.66667</v>
      </c>
      <c r="B748" s="1">
        <f>IFERROR(__xludf.DUMMYFUNCTION("""COMPUTED_VALUE"""),36.33)</f>
        <v>36.33</v>
      </c>
    </row>
    <row r="749">
      <c r="A749" s="2">
        <f>IFERROR(__xludf.DUMMYFUNCTION("""COMPUTED_VALUE"""),45187.66666666667)</f>
        <v>45187.66667</v>
      </c>
      <c r="B749" s="1">
        <f>IFERROR(__xludf.DUMMYFUNCTION("""COMPUTED_VALUE"""),35.79)</f>
        <v>35.79</v>
      </c>
    </row>
    <row r="750">
      <c r="A750" s="2">
        <f>IFERROR(__xludf.DUMMYFUNCTION("""COMPUTED_VALUE"""),45188.66666666667)</f>
        <v>45188.66667</v>
      </c>
      <c r="B750" s="1">
        <f>IFERROR(__xludf.DUMMYFUNCTION("""COMPUTED_VALUE"""),35.83)</f>
        <v>35.83</v>
      </c>
    </row>
    <row r="751">
      <c r="A751" s="2">
        <f>IFERROR(__xludf.DUMMYFUNCTION("""COMPUTED_VALUE"""),45189.66666666667)</f>
        <v>45189.66667</v>
      </c>
      <c r="B751" s="1">
        <f>IFERROR(__xludf.DUMMYFUNCTION("""COMPUTED_VALUE"""),35.68)</f>
        <v>35.68</v>
      </c>
    </row>
    <row r="752">
      <c r="A752" s="2">
        <f>IFERROR(__xludf.DUMMYFUNCTION("""COMPUTED_VALUE"""),45190.66666666667)</f>
        <v>45190.66667</v>
      </c>
      <c r="B752" s="1">
        <f>IFERROR(__xludf.DUMMYFUNCTION("""COMPUTED_VALUE"""),35.3)</f>
        <v>35.3</v>
      </c>
    </row>
    <row r="753">
      <c r="A753" s="2">
        <f>IFERROR(__xludf.DUMMYFUNCTION("""COMPUTED_VALUE"""),45191.66666666667)</f>
        <v>45191.66667</v>
      </c>
      <c r="B753" s="1">
        <f>IFERROR(__xludf.DUMMYFUNCTION("""COMPUTED_VALUE"""),34.77)</f>
        <v>34.77</v>
      </c>
    </row>
    <row r="754">
      <c r="A754" s="2">
        <f>IFERROR(__xludf.DUMMYFUNCTION("""COMPUTED_VALUE"""),45194.66666666667)</f>
        <v>45194.66667</v>
      </c>
      <c r="B754" s="1">
        <f>IFERROR(__xludf.DUMMYFUNCTION("""COMPUTED_VALUE"""),34.84)</f>
        <v>34.84</v>
      </c>
    </row>
    <row r="755">
      <c r="A755" s="2">
        <f>IFERROR(__xludf.DUMMYFUNCTION("""COMPUTED_VALUE"""),45195.66666666667)</f>
        <v>45195.66667</v>
      </c>
      <c r="B755" s="1">
        <f>IFERROR(__xludf.DUMMYFUNCTION("""COMPUTED_VALUE"""),34.73)</f>
        <v>34.73</v>
      </c>
    </row>
    <row r="756">
      <c r="A756" s="2">
        <f>IFERROR(__xludf.DUMMYFUNCTION("""COMPUTED_VALUE"""),45196.66666666667)</f>
        <v>45196.66667</v>
      </c>
      <c r="B756" s="1">
        <f>IFERROR(__xludf.DUMMYFUNCTION("""COMPUTED_VALUE"""),34.68)</f>
        <v>34.68</v>
      </c>
    </row>
    <row r="757">
      <c r="A757" s="2">
        <f>IFERROR(__xludf.DUMMYFUNCTION("""COMPUTED_VALUE"""),45197.66666666667)</f>
        <v>45197.66667</v>
      </c>
      <c r="B757" s="1">
        <f>IFERROR(__xludf.DUMMYFUNCTION("""COMPUTED_VALUE"""),34.73)</f>
        <v>34.73</v>
      </c>
    </row>
    <row r="758">
      <c r="A758" s="2">
        <f>IFERROR(__xludf.DUMMYFUNCTION("""COMPUTED_VALUE"""),45198.66666666667)</f>
        <v>45198.66667</v>
      </c>
      <c r="B758" s="1">
        <f>IFERROR(__xludf.DUMMYFUNCTION("""COMPUTED_VALUE"""),34.59)</f>
        <v>34.59</v>
      </c>
    </row>
    <row r="759">
      <c r="A759" s="2">
        <f>IFERROR(__xludf.DUMMYFUNCTION("""COMPUTED_VALUE"""),45201.66666666667)</f>
        <v>45201.66667</v>
      </c>
      <c r="B759" s="1">
        <f>IFERROR(__xludf.DUMMYFUNCTION("""COMPUTED_VALUE"""),35.08)</f>
        <v>35.08</v>
      </c>
    </row>
    <row r="760">
      <c r="A760" s="2">
        <f>IFERROR(__xludf.DUMMYFUNCTION("""COMPUTED_VALUE"""),45202.66666666667)</f>
        <v>45202.66667</v>
      </c>
      <c r="B760" s="1">
        <f>IFERROR(__xludf.DUMMYFUNCTION("""COMPUTED_VALUE"""),35.5)</f>
        <v>35.5</v>
      </c>
    </row>
    <row r="761">
      <c r="A761" s="2">
        <f>IFERROR(__xludf.DUMMYFUNCTION("""COMPUTED_VALUE"""),45203.66666666667)</f>
        <v>45203.66667</v>
      </c>
      <c r="B761" s="1">
        <f>IFERROR(__xludf.DUMMYFUNCTION("""COMPUTED_VALUE"""),34.85)</f>
        <v>34.85</v>
      </c>
    </row>
    <row r="762">
      <c r="A762" s="2">
        <f>IFERROR(__xludf.DUMMYFUNCTION("""COMPUTED_VALUE"""),45204.66666666667)</f>
        <v>45204.66667</v>
      </c>
      <c r="B762" s="1">
        <f>IFERROR(__xludf.DUMMYFUNCTION("""COMPUTED_VALUE"""),35.18)</f>
        <v>35.18</v>
      </c>
    </row>
    <row r="763">
      <c r="A763" s="2">
        <f>IFERROR(__xludf.DUMMYFUNCTION("""COMPUTED_VALUE"""),45205.66666666667)</f>
        <v>45205.66667</v>
      </c>
      <c r="B763" s="1">
        <f>IFERROR(__xludf.DUMMYFUNCTION("""COMPUTED_VALUE"""),35.06)</f>
        <v>35.06</v>
      </c>
    </row>
    <row r="764">
      <c r="A764" s="2">
        <f>IFERROR(__xludf.DUMMYFUNCTION("""COMPUTED_VALUE"""),45208.66666666667)</f>
        <v>45208.66667</v>
      </c>
      <c r="B764" s="1">
        <f>IFERROR(__xludf.DUMMYFUNCTION("""COMPUTED_VALUE"""),35.47)</f>
        <v>35.47</v>
      </c>
    </row>
    <row r="765">
      <c r="A765" s="2">
        <f>IFERROR(__xludf.DUMMYFUNCTION("""COMPUTED_VALUE"""),45209.66666666667)</f>
        <v>45209.66667</v>
      </c>
      <c r="B765" s="1">
        <f>IFERROR(__xludf.DUMMYFUNCTION("""COMPUTED_VALUE"""),35.63)</f>
        <v>35.63</v>
      </c>
    </row>
    <row r="766">
      <c r="A766" s="2">
        <f>IFERROR(__xludf.DUMMYFUNCTION("""COMPUTED_VALUE"""),45210.66666666667)</f>
        <v>45210.66667</v>
      </c>
      <c r="B766" s="1">
        <f>IFERROR(__xludf.DUMMYFUNCTION("""COMPUTED_VALUE"""),35.79)</f>
        <v>35.79</v>
      </c>
    </row>
    <row r="767">
      <c r="A767" s="2">
        <f>IFERROR(__xludf.DUMMYFUNCTION("""COMPUTED_VALUE"""),45211.66666666667)</f>
        <v>45211.66667</v>
      </c>
      <c r="B767" s="1">
        <f>IFERROR(__xludf.DUMMYFUNCTION("""COMPUTED_VALUE"""),36.09)</f>
        <v>36.09</v>
      </c>
    </row>
    <row r="768">
      <c r="A768" s="2">
        <f>IFERROR(__xludf.DUMMYFUNCTION("""COMPUTED_VALUE"""),45212.66666666667)</f>
        <v>45212.66667</v>
      </c>
      <c r="B768" s="1">
        <f>IFERROR(__xludf.DUMMYFUNCTION("""COMPUTED_VALUE"""),36.46)</f>
        <v>36.46</v>
      </c>
    </row>
    <row r="769">
      <c r="A769" s="2">
        <f>IFERROR(__xludf.DUMMYFUNCTION("""COMPUTED_VALUE"""),45215.66666666667)</f>
        <v>45215.66667</v>
      </c>
      <c r="B769" s="1">
        <f>IFERROR(__xludf.DUMMYFUNCTION("""COMPUTED_VALUE"""),36.04)</f>
        <v>36.04</v>
      </c>
    </row>
    <row r="770">
      <c r="A770" s="2">
        <f>IFERROR(__xludf.DUMMYFUNCTION("""COMPUTED_VALUE"""),45216.66666666667)</f>
        <v>45216.66667</v>
      </c>
      <c r="B770" s="1">
        <f>IFERROR(__xludf.DUMMYFUNCTION("""COMPUTED_VALUE"""),36.12)</f>
        <v>36.12</v>
      </c>
    </row>
    <row r="771">
      <c r="A771" s="2">
        <f>IFERROR(__xludf.DUMMYFUNCTION("""COMPUTED_VALUE"""),45217.66666666667)</f>
        <v>45217.66667</v>
      </c>
      <c r="B771" s="1">
        <f>IFERROR(__xludf.DUMMYFUNCTION("""COMPUTED_VALUE"""),35.86)</f>
        <v>35.86</v>
      </c>
    </row>
    <row r="772">
      <c r="A772" s="2">
        <f>IFERROR(__xludf.DUMMYFUNCTION("""COMPUTED_VALUE"""),45218.66666666667)</f>
        <v>45218.66667</v>
      </c>
      <c r="B772" s="1">
        <f>IFERROR(__xludf.DUMMYFUNCTION("""COMPUTED_VALUE"""),35.82)</f>
        <v>35.82</v>
      </c>
    </row>
    <row r="773">
      <c r="A773" s="2">
        <f>IFERROR(__xludf.DUMMYFUNCTION("""COMPUTED_VALUE"""),45219.66666666667)</f>
        <v>45219.66667</v>
      </c>
      <c r="B773" s="1">
        <f>IFERROR(__xludf.DUMMYFUNCTION("""COMPUTED_VALUE"""),35.4)</f>
        <v>35.4</v>
      </c>
    </row>
    <row r="774">
      <c r="A774" s="2">
        <f>IFERROR(__xludf.DUMMYFUNCTION("""COMPUTED_VALUE"""),45222.66666666667)</f>
        <v>45222.66667</v>
      </c>
      <c r="B774" s="1">
        <f>IFERROR(__xludf.DUMMYFUNCTION("""COMPUTED_VALUE"""),35.06)</f>
        <v>35.06</v>
      </c>
    </row>
    <row r="775">
      <c r="A775" s="2">
        <f>IFERROR(__xludf.DUMMYFUNCTION("""COMPUTED_VALUE"""),45223.66666666667)</f>
        <v>45223.66667</v>
      </c>
      <c r="B775" s="1">
        <f>IFERROR(__xludf.DUMMYFUNCTION("""COMPUTED_VALUE"""),34.98)</f>
        <v>34.98</v>
      </c>
    </row>
    <row r="776">
      <c r="A776" s="2">
        <f>IFERROR(__xludf.DUMMYFUNCTION("""COMPUTED_VALUE"""),45224.66666666667)</f>
        <v>45224.66667</v>
      </c>
      <c r="B776" s="1">
        <f>IFERROR(__xludf.DUMMYFUNCTION("""COMPUTED_VALUE"""),34.88)</f>
        <v>34.88</v>
      </c>
    </row>
    <row r="777">
      <c r="A777" s="2">
        <f>IFERROR(__xludf.DUMMYFUNCTION("""COMPUTED_VALUE"""),45225.66666666667)</f>
        <v>45225.66667</v>
      </c>
      <c r="B777" s="1">
        <f>IFERROR(__xludf.DUMMYFUNCTION("""COMPUTED_VALUE"""),34.33)</f>
        <v>34.33</v>
      </c>
    </row>
    <row r="778">
      <c r="A778" s="2">
        <f>IFERROR(__xludf.DUMMYFUNCTION("""COMPUTED_VALUE"""),45226.66666666667)</f>
        <v>45226.66667</v>
      </c>
      <c r="B778" s="1">
        <f>IFERROR(__xludf.DUMMYFUNCTION("""COMPUTED_VALUE"""),34.01)</f>
        <v>34.01</v>
      </c>
    </row>
    <row r="779">
      <c r="A779" s="2">
        <f>IFERROR(__xludf.DUMMYFUNCTION("""COMPUTED_VALUE"""),45229.66666666667)</f>
        <v>45229.66667</v>
      </c>
      <c r="B779" s="1">
        <f>IFERROR(__xludf.DUMMYFUNCTION("""COMPUTED_VALUE"""),33.98)</f>
        <v>33.98</v>
      </c>
    </row>
    <row r="780">
      <c r="A780" s="2">
        <f>IFERROR(__xludf.DUMMYFUNCTION("""COMPUTED_VALUE"""),45230.66666666667)</f>
        <v>45230.66667</v>
      </c>
      <c r="B780" s="1">
        <f>IFERROR(__xludf.DUMMYFUNCTION("""COMPUTED_VALUE"""),34.04)</f>
        <v>34.04</v>
      </c>
    </row>
    <row r="781">
      <c r="A781" s="2">
        <f>IFERROR(__xludf.DUMMYFUNCTION("""COMPUTED_VALUE"""),45231.66666666667)</f>
        <v>45231.66667</v>
      </c>
      <c r="B781" s="1">
        <f>IFERROR(__xludf.DUMMYFUNCTION("""COMPUTED_VALUE"""),34.45)</f>
        <v>34.45</v>
      </c>
    </row>
    <row r="782">
      <c r="A782" s="2">
        <f>IFERROR(__xludf.DUMMYFUNCTION("""COMPUTED_VALUE"""),45232.66666666667)</f>
        <v>45232.66667</v>
      </c>
      <c r="B782" s="1">
        <f>IFERROR(__xludf.DUMMYFUNCTION("""COMPUTED_VALUE"""),34.75)</f>
        <v>34.75</v>
      </c>
    </row>
    <row r="783">
      <c r="A783" s="2">
        <f>IFERROR(__xludf.DUMMYFUNCTION("""COMPUTED_VALUE"""),45233.66666666667)</f>
        <v>45233.66667</v>
      </c>
      <c r="B783" s="1">
        <f>IFERROR(__xludf.DUMMYFUNCTION("""COMPUTED_VALUE"""),35.07)</f>
        <v>35.07</v>
      </c>
    </row>
    <row r="784">
      <c r="A784" s="2">
        <f>IFERROR(__xludf.DUMMYFUNCTION("""COMPUTED_VALUE"""),45236.66666666667)</f>
        <v>45236.66667</v>
      </c>
      <c r="B784" s="1">
        <f>IFERROR(__xludf.DUMMYFUNCTION("""COMPUTED_VALUE"""),35.17)</f>
        <v>35.17</v>
      </c>
    </row>
    <row r="785">
      <c r="A785" s="2">
        <f>IFERROR(__xludf.DUMMYFUNCTION("""COMPUTED_VALUE"""),45237.66666666667)</f>
        <v>45237.66667</v>
      </c>
      <c r="B785" s="1">
        <f>IFERROR(__xludf.DUMMYFUNCTION("""COMPUTED_VALUE"""),35.64)</f>
        <v>35.64</v>
      </c>
    </row>
    <row r="786">
      <c r="A786" s="2">
        <f>IFERROR(__xludf.DUMMYFUNCTION("""COMPUTED_VALUE"""),45238.66666666667)</f>
        <v>45238.66667</v>
      </c>
      <c r="B786" s="1">
        <f>IFERROR(__xludf.DUMMYFUNCTION("""COMPUTED_VALUE"""),35.97)</f>
        <v>35.97</v>
      </c>
    </row>
    <row r="787">
      <c r="A787" s="2">
        <f>IFERROR(__xludf.DUMMYFUNCTION("""COMPUTED_VALUE"""),45239.66666666667)</f>
        <v>45239.66667</v>
      </c>
      <c r="B787" s="1">
        <f>IFERROR(__xludf.DUMMYFUNCTION("""COMPUTED_VALUE"""),36.15)</f>
        <v>36.15</v>
      </c>
    </row>
    <row r="788">
      <c r="A788" s="2">
        <f>IFERROR(__xludf.DUMMYFUNCTION("""COMPUTED_VALUE"""),45240.66666666667)</f>
        <v>45240.66667</v>
      </c>
      <c r="B788" s="1">
        <f>IFERROR(__xludf.DUMMYFUNCTION("""COMPUTED_VALUE"""),36.18)</f>
        <v>36.18</v>
      </c>
    </row>
    <row r="789">
      <c r="A789" s="2">
        <f>IFERROR(__xludf.DUMMYFUNCTION("""COMPUTED_VALUE"""),45243.66666666667)</f>
        <v>45243.66667</v>
      </c>
      <c r="B789" s="1">
        <f>IFERROR(__xludf.DUMMYFUNCTION("""COMPUTED_VALUE"""),36.8)</f>
        <v>36.8</v>
      </c>
    </row>
    <row r="790">
      <c r="A790" s="2">
        <f>IFERROR(__xludf.DUMMYFUNCTION("""COMPUTED_VALUE"""),45244.66666666667)</f>
        <v>45244.66667</v>
      </c>
      <c r="B790" s="1">
        <f>IFERROR(__xludf.DUMMYFUNCTION("""COMPUTED_VALUE"""),36.91)</f>
        <v>36.91</v>
      </c>
    </row>
    <row r="791">
      <c r="A791" s="2">
        <f>IFERROR(__xludf.DUMMYFUNCTION("""COMPUTED_VALUE"""),45245.66666666667)</f>
        <v>45245.66667</v>
      </c>
      <c r="B791" s="1">
        <f>IFERROR(__xludf.DUMMYFUNCTION("""COMPUTED_VALUE"""),36.96)</f>
        <v>36.96</v>
      </c>
    </row>
    <row r="792">
      <c r="A792" s="2">
        <f>IFERROR(__xludf.DUMMYFUNCTION("""COMPUTED_VALUE"""),45246.66666666667)</f>
        <v>45246.66667</v>
      </c>
      <c r="B792" s="1">
        <f>IFERROR(__xludf.DUMMYFUNCTION("""COMPUTED_VALUE"""),37.01)</f>
        <v>37.01</v>
      </c>
    </row>
    <row r="793">
      <c r="A793" s="2">
        <f>IFERROR(__xludf.DUMMYFUNCTION("""COMPUTED_VALUE"""),45247.66666666667)</f>
        <v>45247.66667</v>
      </c>
      <c r="B793" s="1">
        <f>IFERROR(__xludf.DUMMYFUNCTION("""COMPUTED_VALUE"""),37.12)</f>
        <v>37.12</v>
      </c>
    </row>
    <row r="794">
      <c r="A794" s="2">
        <f>IFERROR(__xludf.DUMMYFUNCTION("""COMPUTED_VALUE"""),45250.66666666667)</f>
        <v>45250.66667</v>
      </c>
      <c r="B794" s="1">
        <f>IFERROR(__xludf.DUMMYFUNCTION("""COMPUTED_VALUE"""),36.58)</f>
        <v>36.58</v>
      </c>
    </row>
    <row r="795">
      <c r="A795" s="2">
        <f>IFERROR(__xludf.DUMMYFUNCTION("""COMPUTED_VALUE"""),45251.66666666667)</f>
        <v>45251.66667</v>
      </c>
      <c r="B795" s="1">
        <f>IFERROR(__xludf.DUMMYFUNCTION("""COMPUTED_VALUE"""),37.0)</f>
        <v>37</v>
      </c>
    </row>
    <row r="796">
      <c r="A796" s="2">
        <f>IFERROR(__xludf.DUMMYFUNCTION("""COMPUTED_VALUE"""),45252.66666666667)</f>
        <v>45252.66667</v>
      </c>
      <c r="B796" s="1">
        <f>IFERROR(__xludf.DUMMYFUNCTION("""COMPUTED_VALUE"""),36.85)</f>
        <v>36.85</v>
      </c>
    </row>
    <row r="797">
      <c r="A797" s="2">
        <f>IFERROR(__xludf.DUMMYFUNCTION("""COMPUTED_VALUE"""),45253.66666666667)</f>
        <v>45253.66667</v>
      </c>
      <c r="B797" s="1">
        <f>IFERROR(__xludf.DUMMYFUNCTION("""COMPUTED_VALUE"""),37.03)</f>
        <v>37.03</v>
      </c>
    </row>
    <row r="798">
      <c r="A798" s="2">
        <f>IFERROR(__xludf.DUMMYFUNCTION("""COMPUTED_VALUE"""),45254.66666666667)</f>
        <v>45254.66667</v>
      </c>
      <c r="B798" s="1">
        <f>IFERROR(__xludf.DUMMYFUNCTION("""COMPUTED_VALUE"""),37.01)</f>
        <v>37.01</v>
      </c>
    </row>
    <row r="799">
      <c r="A799" s="2">
        <f>IFERROR(__xludf.DUMMYFUNCTION("""COMPUTED_VALUE"""),45257.66666666667)</f>
        <v>45257.66667</v>
      </c>
      <c r="B799" s="1">
        <f>IFERROR(__xludf.DUMMYFUNCTION("""COMPUTED_VALUE"""),36.69)</f>
        <v>36.69</v>
      </c>
    </row>
    <row r="800">
      <c r="A800" s="2">
        <f>IFERROR(__xludf.DUMMYFUNCTION("""COMPUTED_VALUE"""),45258.66666666667)</f>
        <v>45258.66667</v>
      </c>
      <c r="B800" s="1">
        <f>IFERROR(__xludf.DUMMYFUNCTION("""COMPUTED_VALUE"""),36.53)</f>
        <v>36.53</v>
      </c>
    </row>
    <row r="801">
      <c r="A801" s="2">
        <f>IFERROR(__xludf.DUMMYFUNCTION("""COMPUTED_VALUE"""),45259.66666666667)</f>
        <v>45259.66667</v>
      </c>
      <c r="B801" s="1">
        <f>IFERROR(__xludf.DUMMYFUNCTION("""COMPUTED_VALUE"""),36.56)</f>
        <v>36.56</v>
      </c>
    </row>
    <row r="802">
      <c r="A802" s="2">
        <f>IFERROR(__xludf.DUMMYFUNCTION("""COMPUTED_VALUE"""),45260.66666666667)</f>
        <v>45260.66667</v>
      </c>
      <c r="B802" s="1">
        <f>IFERROR(__xludf.DUMMYFUNCTION("""COMPUTED_VALUE"""),36.57)</f>
        <v>36.57</v>
      </c>
    </row>
    <row r="803">
      <c r="A803" s="2">
        <f>IFERROR(__xludf.DUMMYFUNCTION("""COMPUTED_VALUE"""),45261.66666666667)</f>
        <v>45261.66667</v>
      </c>
      <c r="B803" s="1">
        <f>IFERROR(__xludf.DUMMYFUNCTION("""COMPUTED_VALUE"""),36.54)</f>
        <v>36.54</v>
      </c>
    </row>
    <row r="804">
      <c r="A804" s="2">
        <f>IFERROR(__xludf.DUMMYFUNCTION("""COMPUTED_VALUE"""),45264.66666666667)</f>
        <v>45264.66667</v>
      </c>
      <c r="B804" s="1">
        <f>IFERROR(__xludf.DUMMYFUNCTION("""COMPUTED_VALUE"""),36.34)</f>
        <v>36.34</v>
      </c>
    </row>
    <row r="805">
      <c r="A805" s="2">
        <f>IFERROR(__xludf.DUMMYFUNCTION("""COMPUTED_VALUE"""),45265.66666666667)</f>
        <v>45265.66667</v>
      </c>
      <c r="B805" s="1">
        <f>IFERROR(__xludf.DUMMYFUNCTION("""COMPUTED_VALUE"""),36.41)</f>
        <v>36.41</v>
      </c>
    </row>
    <row r="806">
      <c r="A806" s="2">
        <f>IFERROR(__xludf.DUMMYFUNCTION("""COMPUTED_VALUE"""),45266.66666666667)</f>
        <v>45266.66667</v>
      </c>
      <c r="B806" s="1">
        <f>IFERROR(__xludf.DUMMYFUNCTION("""COMPUTED_VALUE"""),36.76)</f>
        <v>36.76</v>
      </c>
    </row>
    <row r="807">
      <c r="A807" s="2">
        <f>IFERROR(__xludf.DUMMYFUNCTION("""COMPUTED_VALUE"""),45267.66666666667)</f>
        <v>45267.66667</v>
      </c>
      <c r="B807" s="1">
        <f>IFERROR(__xludf.DUMMYFUNCTION("""COMPUTED_VALUE"""),36.69)</f>
        <v>36.69</v>
      </c>
    </row>
    <row r="808">
      <c r="A808" s="2">
        <f>IFERROR(__xludf.DUMMYFUNCTION("""COMPUTED_VALUE"""),45268.66666666667)</f>
        <v>45268.66667</v>
      </c>
      <c r="B808" s="1">
        <f>IFERROR(__xludf.DUMMYFUNCTION("""COMPUTED_VALUE"""),36.68)</f>
        <v>36.68</v>
      </c>
    </row>
    <row r="809">
      <c r="A809" s="2">
        <f>IFERROR(__xludf.DUMMYFUNCTION("""COMPUTED_VALUE"""),45271.66666666667)</f>
        <v>45271.66667</v>
      </c>
      <c r="B809" s="1">
        <f>IFERROR(__xludf.DUMMYFUNCTION("""COMPUTED_VALUE"""),37.11)</f>
        <v>37.11</v>
      </c>
    </row>
    <row r="810">
      <c r="A810" s="2">
        <f>IFERROR(__xludf.DUMMYFUNCTION("""COMPUTED_VALUE"""),45272.66666666667)</f>
        <v>45272.66667</v>
      </c>
      <c r="B810" s="1">
        <f>IFERROR(__xludf.DUMMYFUNCTION("""COMPUTED_VALUE"""),37.36)</f>
        <v>37.36</v>
      </c>
    </row>
    <row r="811">
      <c r="A811" s="2">
        <f>IFERROR(__xludf.DUMMYFUNCTION("""COMPUTED_VALUE"""),45273.66666666667)</f>
        <v>45273.66667</v>
      </c>
      <c r="B811" s="1">
        <f>IFERROR(__xludf.DUMMYFUNCTION("""COMPUTED_VALUE"""),37.89)</f>
        <v>37.89</v>
      </c>
    </row>
    <row r="812">
      <c r="A812" s="2">
        <f>IFERROR(__xludf.DUMMYFUNCTION("""COMPUTED_VALUE"""),45274.66666666667)</f>
        <v>45274.66667</v>
      </c>
      <c r="B812" s="1">
        <f>IFERROR(__xludf.DUMMYFUNCTION("""COMPUTED_VALUE"""),37.66)</f>
        <v>37.66</v>
      </c>
    </row>
    <row r="813">
      <c r="A813" s="2">
        <f>IFERROR(__xludf.DUMMYFUNCTION("""COMPUTED_VALUE"""),45275.66666666667)</f>
        <v>45275.66667</v>
      </c>
      <c r="B813" s="1">
        <f>IFERROR(__xludf.DUMMYFUNCTION("""COMPUTED_VALUE"""),37.43)</f>
        <v>37.43</v>
      </c>
    </row>
    <row r="814">
      <c r="A814" s="2">
        <f>IFERROR(__xludf.DUMMYFUNCTION("""COMPUTED_VALUE"""),45278.66666666667)</f>
        <v>45278.66667</v>
      </c>
      <c r="B814" s="1">
        <f>IFERROR(__xludf.DUMMYFUNCTION("""COMPUTED_VALUE"""),37.61)</f>
        <v>37.61</v>
      </c>
    </row>
    <row r="815">
      <c r="A815" s="2">
        <f>IFERROR(__xludf.DUMMYFUNCTION("""COMPUTED_VALUE"""),45279.66666666667)</f>
        <v>45279.66667</v>
      </c>
      <c r="B815" s="1">
        <f>IFERROR(__xludf.DUMMYFUNCTION("""COMPUTED_VALUE"""),37.72)</f>
        <v>37.72</v>
      </c>
    </row>
    <row r="816">
      <c r="A816" s="2">
        <f>IFERROR(__xludf.DUMMYFUNCTION("""COMPUTED_VALUE"""),45280.66666666667)</f>
        <v>45280.66667</v>
      </c>
      <c r="B816" s="1">
        <f>IFERROR(__xludf.DUMMYFUNCTION("""COMPUTED_VALUE"""),37.7)</f>
        <v>37.7</v>
      </c>
    </row>
    <row r="817">
      <c r="A817" s="2">
        <f>IFERROR(__xludf.DUMMYFUNCTION("""COMPUTED_VALUE"""),45281.66666666667)</f>
        <v>45281.66667</v>
      </c>
      <c r="B817" s="1">
        <f>IFERROR(__xludf.DUMMYFUNCTION("""COMPUTED_VALUE"""),37.39)</f>
        <v>37.39</v>
      </c>
    </row>
    <row r="818">
      <c r="A818" s="2">
        <f>IFERROR(__xludf.DUMMYFUNCTION("""COMPUTED_VALUE"""),45282.66666666667)</f>
        <v>45282.66667</v>
      </c>
      <c r="B818" s="1">
        <f>IFERROR(__xludf.DUMMYFUNCTION("""COMPUTED_VALUE"""),37.38)</f>
        <v>37.38</v>
      </c>
    </row>
    <row r="819">
      <c r="A819" s="2">
        <f>IFERROR(__xludf.DUMMYFUNCTION("""COMPUTED_VALUE"""),45287.66666666667)</f>
        <v>45287.66667</v>
      </c>
      <c r="B819" s="1">
        <f>IFERROR(__xludf.DUMMYFUNCTION("""COMPUTED_VALUE"""),37.45)</f>
        <v>37.45</v>
      </c>
    </row>
    <row r="820">
      <c r="A820" s="2">
        <f>IFERROR(__xludf.DUMMYFUNCTION("""COMPUTED_VALUE"""),45288.66666666667)</f>
        <v>45288.66667</v>
      </c>
      <c r="B820" s="1">
        <f>IFERROR(__xludf.DUMMYFUNCTION("""COMPUTED_VALUE"""),37.54)</f>
        <v>37.54</v>
      </c>
    </row>
    <row r="821">
      <c r="A821" s="2">
        <f>IFERROR(__xludf.DUMMYFUNCTION("""COMPUTED_VALUE"""),45289.66666666667)</f>
        <v>45289.66667</v>
      </c>
      <c r="B821" s="1">
        <f>IFERROR(__xludf.DUMMYFUNCTION("""COMPUTED_VALUE"""),37.48)</f>
        <v>37.48</v>
      </c>
    </row>
    <row r="822">
      <c r="A822" s="2">
        <f>IFERROR(__xludf.DUMMYFUNCTION("""COMPUTED_VALUE"""),45293.66666666667)</f>
        <v>45293.66667</v>
      </c>
      <c r="B822" s="1">
        <f>IFERROR(__xludf.DUMMYFUNCTION("""COMPUTED_VALUE"""),37.37)</f>
        <v>37.37</v>
      </c>
    </row>
    <row r="823">
      <c r="A823" s="2">
        <f>IFERROR(__xludf.DUMMYFUNCTION("""COMPUTED_VALUE"""),45294.66666666667)</f>
        <v>45294.66667</v>
      </c>
      <c r="B823" s="1">
        <f>IFERROR(__xludf.DUMMYFUNCTION("""COMPUTED_VALUE"""),37.03)</f>
        <v>37.03</v>
      </c>
    </row>
    <row r="824">
      <c r="A824" s="2">
        <f>IFERROR(__xludf.DUMMYFUNCTION("""COMPUTED_VALUE"""),45295.66666666667)</f>
        <v>45295.66667</v>
      </c>
      <c r="B824" s="1">
        <f>IFERROR(__xludf.DUMMYFUNCTION("""COMPUTED_VALUE"""),36.85)</f>
        <v>36.85</v>
      </c>
    </row>
    <row r="825">
      <c r="A825" s="2">
        <f>IFERROR(__xludf.DUMMYFUNCTION("""COMPUTED_VALUE"""),45296.66666666667)</f>
        <v>45296.66667</v>
      </c>
      <c r="B825" s="1">
        <f>IFERROR(__xludf.DUMMYFUNCTION("""COMPUTED_VALUE"""),36.87)</f>
        <v>36.87</v>
      </c>
    </row>
    <row r="826">
      <c r="A826" s="2">
        <f>IFERROR(__xludf.DUMMYFUNCTION("""COMPUTED_VALUE"""),45299.66666666667)</f>
        <v>45299.66667</v>
      </c>
      <c r="B826" s="1">
        <f>IFERROR(__xludf.DUMMYFUNCTION("""COMPUTED_VALUE"""),36.87)</f>
        <v>36.87</v>
      </c>
    </row>
    <row r="827">
      <c r="A827" s="2">
        <f>IFERROR(__xludf.DUMMYFUNCTION("""COMPUTED_VALUE"""),45300.66666666667)</f>
        <v>45300.66667</v>
      </c>
      <c r="B827" s="1">
        <f>IFERROR(__xludf.DUMMYFUNCTION("""COMPUTED_VALUE"""),37.53)</f>
        <v>37.53</v>
      </c>
    </row>
    <row r="828">
      <c r="A828" s="2">
        <f>IFERROR(__xludf.DUMMYFUNCTION("""COMPUTED_VALUE"""),45301.66666666667)</f>
        <v>45301.66667</v>
      </c>
      <c r="B828" s="1">
        <f>IFERROR(__xludf.DUMMYFUNCTION("""COMPUTED_VALUE"""),37.69)</f>
        <v>37.69</v>
      </c>
    </row>
    <row r="829">
      <c r="A829" s="2">
        <f>IFERROR(__xludf.DUMMYFUNCTION("""COMPUTED_VALUE"""),45302.66666666667)</f>
        <v>45302.66667</v>
      </c>
      <c r="B829" s="1">
        <f>IFERROR(__xludf.DUMMYFUNCTION("""COMPUTED_VALUE"""),38.0)</f>
        <v>38</v>
      </c>
    </row>
    <row r="830">
      <c r="A830" s="2">
        <f>IFERROR(__xludf.DUMMYFUNCTION("""COMPUTED_VALUE"""),45303.66666666667)</f>
        <v>45303.66667</v>
      </c>
      <c r="B830" s="1">
        <f>IFERROR(__xludf.DUMMYFUNCTION("""COMPUTED_VALUE"""),37.97)</f>
        <v>37.97</v>
      </c>
    </row>
    <row r="831">
      <c r="A831" s="2">
        <f>IFERROR(__xludf.DUMMYFUNCTION("""COMPUTED_VALUE"""),45306.66666666667)</f>
        <v>45306.66667</v>
      </c>
      <c r="B831" s="1">
        <f>IFERROR(__xludf.DUMMYFUNCTION("""COMPUTED_VALUE"""),38.16)</f>
        <v>38.16</v>
      </c>
    </row>
    <row r="832">
      <c r="A832" s="2">
        <f>IFERROR(__xludf.DUMMYFUNCTION("""COMPUTED_VALUE"""),45307.66666666667)</f>
        <v>45307.66667</v>
      </c>
      <c r="B832" s="1">
        <f>IFERROR(__xludf.DUMMYFUNCTION("""COMPUTED_VALUE"""),38.37)</f>
        <v>38.37</v>
      </c>
    </row>
    <row r="833">
      <c r="A833" s="2">
        <f>IFERROR(__xludf.DUMMYFUNCTION("""COMPUTED_VALUE"""),45308.66666666667)</f>
        <v>45308.66667</v>
      </c>
      <c r="B833" s="1">
        <f>IFERROR(__xludf.DUMMYFUNCTION("""COMPUTED_VALUE"""),38.73)</f>
        <v>38.73</v>
      </c>
    </row>
    <row r="834">
      <c r="A834" s="2">
        <f>IFERROR(__xludf.DUMMYFUNCTION("""COMPUTED_VALUE"""),45309.66666666667)</f>
        <v>45309.66667</v>
      </c>
      <c r="B834" s="1">
        <f>IFERROR(__xludf.DUMMYFUNCTION("""COMPUTED_VALUE"""),38.67)</f>
        <v>38.67</v>
      </c>
    </row>
    <row r="835">
      <c r="A835" s="2">
        <f>IFERROR(__xludf.DUMMYFUNCTION("""COMPUTED_VALUE"""),45310.66666666667)</f>
        <v>45310.66667</v>
      </c>
      <c r="B835" s="1">
        <f>IFERROR(__xludf.DUMMYFUNCTION("""COMPUTED_VALUE"""),39.26)</f>
        <v>39.26</v>
      </c>
    </row>
    <row r="836">
      <c r="A836" s="2">
        <f>IFERROR(__xludf.DUMMYFUNCTION("""COMPUTED_VALUE"""),45313.66666666667)</f>
        <v>45313.66667</v>
      </c>
      <c r="B836" s="1">
        <f>IFERROR(__xludf.DUMMYFUNCTION("""COMPUTED_VALUE"""),40.04)</f>
        <v>40.04</v>
      </c>
    </row>
    <row r="837">
      <c r="A837" s="2">
        <f>IFERROR(__xludf.DUMMYFUNCTION("""COMPUTED_VALUE"""),45314.66666666667)</f>
        <v>45314.66667</v>
      </c>
      <c r="B837" s="1">
        <f>IFERROR(__xludf.DUMMYFUNCTION("""COMPUTED_VALUE"""),39.83)</f>
        <v>39.83</v>
      </c>
    </row>
    <row r="838">
      <c r="A838" s="2">
        <f>IFERROR(__xludf.DUMMYFUNCTION("""COMPUTED_VALUE"""),45315.66666666667)</f>
        <v>45315.66667</v>
      </c>
      <c r="B838" s="1">
        <f>IFERROR(__xludf.DUMMYFUNCTION("""COMPUTED_VALUE"""),40.31)</f>
        <v>40.31</v>
      </c>
    </row>
    <row r="839">
      <c r="A839" s="2">
        <f>IFERROR(__xludf.DUMMYFUNCTION("""COMPUTED_VALUE"""),45316.66666666667)</f>
        <v>45316.66667</v>
      </c>
      <c r="B839" s="1">
        <f>IFERROR(__xludf.DUMMYFUNCTION("""COMPUTED_VALUE"""),40.31)</f>
        <v>40.31</v>
      </c>
    </row>
    <row r="840">
      <c r="A840" s="2">
        <f>IFERROR(__xludf.DUMMYFUNCTION("""COMPUTED_VALUE"""),45320.66666666667)</f>
        <v>45320.66667</v>
      </c>
      <c r="B840" s="1">
        <f>IFERROR(__xludf.DUMMYFUNCTION("""COMPUTED_VALUE"""),40.06)</f>
        <v>40.06</v>
      </c>
    </row>
    <row r="841">
      <c r="A841" s="2">
        <f>IFERROR(__xludf.DUMMYFUNCTION("""COMPUTED_VALUE"""),45321.66666666667)</f>
        <v>45321.66667</v>
      </c>
      <c r="B841" s="1">
        <f>IFERROR(__xludf.DUMMYFUNCTION("""COMPUTED_VALUE"""),40.35)</f>
        <v>40.35</v>
      </c>
    </row>
    <row r="842">
      <c r="A842" s="2">
        <f>IFERROR(__xludf.DUMMYFUNCTION("""COMPUTED_VALUE"""),45322.66666666667)</f>
        <v>45322.66667</v>
      </c>
      <c r="B842" s="1">
        <f>IFERROR(__xludf.DUMMYFUNCTION("""COMPUTED_VALUE"""),39.99)</f>
        <v>39.99</v>
      </c>
    </row>
    <row r="843">
      <c r="A843" s="2">
        <f>IFERROR(__xludf.DUMMYFUNCTION("""COMPUTED_VALUE"""),45323.66666666667)</f>
        <v>45323.66667</v>
      </c>
      <c r="B843" s="1">
        <f>IFERROR(__xludf.DUMMYFUNCTION("""COMPUTED_VALUE"""),39.85)</f>
        <v>39.85</v>
      </c>
    </row>
    <row r="844">
      <c r="A844" s="2">
        <f>IFERROR(__xludf.DUMMYFUNCTION("""COMPUTED_VALUE"""),45324.66666666667)</f>
        <v>45324.66667</v>
      </c>
      <c r="B844" s="1">
        <f>IFERROR(__xludf.DUMMYFUNCTION("""COMPUTED_VALUE"""),40.26)</f>
        <v>40.26</v>
      </c>
    </row>
    <row r="845">
      <c r="A845" s="2">
        <f>IFERROR(__xludf.DUMMYFUNCTION("""COMPUTED_VALUE"""),45327.66666666667)</f>
        <v>45327.66667</v>
      </c>
      <c r="B845" s="1">
        <f>IFERROR(__xludf.DUMMYFUNCTION("""COMPUTED_VALUE"""),41.0)</f>
        <v>41</v>
      </c>
    </row>
    <row r="846">
      <c r="A846" s="2">
        <f>IFERROR(__xludf.DUMMYFUNCTION("""COMPUTED_VALUE"""),45328.66666666667)</f>
        <v>45328.66667</v>
      </c>
      <c r="B846" s="1">
        <f>IFERROR(__xludf.DUMMYFUNCTION("""COMPUTED_VALUE"""),41.05)</f>
        <v>41.05</v>
      </c>
    </row>
    <row r="847">
      <c r="A847" s="2">
        <f>IFERROR(__xludf.DUMMYFUNCTION("""COMPUTED_VALUE"""),45329.66666666667)</f>
        <v>45329.66667</v>
      </c>
      <c r="B847" s="1">
        <f>IFERROR(__xludf.DUMMYFUNCTION("""COMPUTED_VALUE"""),40.78)</f>
        <v>40.78</v>
      </c>
    </row>
    <row r="848">
      <c r="A848" s="2">
        <f>IFERROR(__xludf.DUMMYFUNCTION("""COMPUTED_VALUE"""),45330.66666666667)</f>
        <v>45330.66667</v>
      </c>
      <c r="B848" s="1">
        <f>IFERROR(__xludf.DUMMYFUNCTION("""COMPUTED_VALUE"""),41.29)</f>
        <v>41.29</v>
      </c>
    </row>
    <row r="849">
      <c r="A849" s="2">
        <f>IFERROR(__xludf.DUMMYFUNCTION("""COMPUTED_VALUE"""),45331.66666666667)</f>
        <v>45331.66667</v>
      </c>
      <c r="B849" s="1">
        <f>IFERROR(__xludf.DUMMYFUNCTION("""COMPUTED_VALUE"""),41.53)</f>
        <v>41.53</v>
      </c>
    </row>
    <row r="850">
      <c r="A850" s="2">
        <f>IFERROR(__xludf.DUMMYFUNCTION("""COMPUTED_VALUE"""),45334.66666666667)</f>
        <v>45334.66667</v>
      </c>
      <c r="B850" s="1">
        <f>IFERROR(__xludf.DUMMYFUNCTION("""COMPUTED_VALUE"""),41.73)</f>
        <v>41.73</v>
      </c>
    </row>
    <row r="851">
      <c r="A851" s="2">
        <f>IFERROR(__xludf.DUMMYFUNCTION("""COMPUTED_VALUE"""),45335.66666666667)</f>
        <v>45335.66667</v>
      </c>
      <c r="B851" s="1">
        <f>IFERROR(__xludf.DUMMYFUNCTION("""COMPUTED_VALUE"""),41.52)</f>
        <v>41.52</v>
      </c>
    </row>
    <row r="852">
      <c r="A852" s="2">
        <f>IFERROR(__xludf.DUMMYFUNCTION("""COMPUTED_VALUE"""),45336.66666666667)</f>
        <v>45336.66667</v>
      </c>
      <c r="B852" s="1">
        <f>IFERROR(__xludf.DUMMYFUNCTION("""COMPUTED_VALUE"""),41.3)</f>
        <v>41.3</v>
      </c>
    </row>
    <row r="853">
      <c r="A853" s="2">
        <f>IFERROR(__xludf.DUMMYFUNCTION("""COMPUTED_VALUE"""),45337.66666666667)</f>
        <v>45337.66667</v>
      </c>
      <c r="B853" s="1">
        <f>IFERROR(__xludf.DUMMYFUNCTION("""COMPUTED_VALUE"""),41.62)</f>
        <v>41.62</v>
      </c>
    </row>
    <row r="854">
      <c r="A854" s="2">
        <f>IFERROR(__xludf.DUMMYFUNCTION("""COMPUTED_VALUE"""),45338.66666666667)</f>
        <v>45338.66667</v>
      </c>
      <c r="B854" s="1">
        <f>IFERROR(__xludf.DUMMYFUNCTION("""COMPUTED_VALUE"""),41.57)</f>
        <v>41.57</v>
      </c>
    </row>
    <row r="855">
      <c r="A855" s="2">
        <f>IFERROR(__xludf.DUMMYFUNCTION("""COMPUTED_VALUE"""),45341.66666666667)</f>
        <v>45341.66667</v>
      </c>
      <c r="B855" s="1">
        <f>IFERROR(__xludf.DUMMYFUNCTION("""COMPUTED_VALUE"""),41.03)</f>
        <v>41.03</v>
      </c>
    </row>
    <row r="856">
      <c r="A856" s="2">
        <f>IFERROR(__xludf.DUMMYFUNCTION("""COMPUTED_VALUE"""),45342.66666666667)</f>
        <v>45342.66667</v>
      </c>
      <c r="B856" s="1">
        <f>IFERROR(__xludf.DUMMYFUNCTION("""COMPUTED_VALUE"""),40.92)</f>
        <v>40.92</v>
      </c>
    </row>
    <row r="857">
      <c r="A857" s="2">
        <f>IFERROR(__xludf.DUMMYFUNCTION("""COMPUTED_VALUE"""),45343.66666666667)</f>
        <v>45343.66667</v>
      </c>
      <c r="B857" s="1">
        <f>IFERROR(__xludf.DUMMYFUNCTION("""COMPUTED_VALUE"""),40.38)</f>
        <v>40.38</v>
      </c>
    </row>
    <row r="858">
      <c r="A858" s="2">
        <f>IFERROR(__xludf.DUMMYFUNCTION("""COMPUTED_VALUE"""),45344.66666666667)</f>
        <v>45344.66667</v>
      </c>
      <c r="B858" s="1">
        <f>IFERROR(__xludf.DUMMYFUNCTION("""COMPUTED_VALUE"""),41.03)</f>
        <v>41.03</v>
      </c>
    </row>
    <row r="859">
      <c r="A859" s="2">
        <f>IFERROR(__xludf.DUMMYFUNCTION("""COMPUTED_VALUE"""),45345.66666666667)</f>
        <v>45345.66667</v>
      </c>
      <c r="B859" s="1">
        <f>IFERROR(__xludf.DUMMYFUNCTION("""COMPUTED_VALUE"""),41.54)</f>
        <v>41.54</v>
      </c>
    </row>
    <row r="860">
      <c r="A860" s="2">
        <f>IFERROR(__xludf.DUMMYFUNCTION("""COMPUTED_VALUE"""),45348.66666666667)</f>
        <v>45348.66667</v>
      </c>
      <c r="B860" s="1">
        <f>IFERROR(__xludf.DUMMYFUNCTION("""COMPUTED_VALUE"""),41.39)</f>
        <v>41.39</v>
      </c>
    </row>
    <row r="861">
      <c r="A861" s="2">
        <f>IFERROR(__xludf.DUMMYFUNCTION("""COMPUTED_VALUE"""),45349.66666666667)</f>
        <v>45349.66667</v>
      </c>
      <c r="B861" s="1">
        <f>IFERROR(__xludf.DUMMYFUNCTION("""COMPUTED_VALUE"""),41.47)</f>
        <v>41.47</v>
      </c>
    </row>
    <row r="862">
      <c r="A862" s="2">
        <f>IFERROR(__xludf.DUMMYFUNCTION("""COMPUTED_VALUE"""),45350.66666666667)</f>
        <v>45350.66667</v>
      </c>
      <c r="B862" s="1">
        <f>IFERROR(__xludf.DUMMYFUNCTION("""COMPUTED_VALUE"""),41.77)</f>
        <v>41.77</v>
      </c>
    </row>
    <row r="863">
      <c r="A863" s="2">
        <f>IFERROR(__xludf.DUMMYFUNCTION("""COMPUTED_VALUE"""),45351.66666666667)</f>
        <v>45351.66667</v>
      </c>
      <c r="B863" s="1">
        <f>IFERROR(__xludf.DUMMYFUNCTION("""COMPUTED_VALUE"""),41.59)</f>
        <v>41.59</v>
      </c>
    </row>
    <row r="864">
      <c r="A864" s="2">
        <f>IFERROR(__xludf.DUMMYFUNCTION("""COMPUTED_VALUE"""),45352.66666666667)</f>
        <v>45352.66667</v>
      </c>
      <c r="B864" s="1">
        <f>IFERROR(__xludf.DUMMYFUNCTION("""COMPUTED_VALUE"""),42.13)</f>
        <v>42.13</v>
      </c>
    </row>
    <row r="865">
      <c r="A865" s="2">
        <f>IFERROR(__xludf.DUMMYFUNCTION("""COMPUTED_VALUE"""),45355.66666666667)</f>
        <v>45355.66667</v>
      </c>
      <c r="B865" s="1">
        <f>IFERROR(__xludf.DUMMYFUNCTION("""COMPUTED_VALUE"""),42.61)</f>
        <v>42.61</v>
      </c>
    </row>
    <row r="866">
      <c r="A866" s="2">
        <f>IFERROR(__xludf.DUMMYFUNCTION("""COMPUTED_VALUE"""),45356.66666666667)</f>
        <v>45356.66667</v>
      </c>
      <c r="B866" s="1">
        <f>IFERROR(__xludf.DUMMYFUNCTION("""COMPUTED_VALUE"""),42.38)</f>
        <v>42.38</v>
      </c>
    </row>
    <row r="867">
      <c r="A867" s="2">
        <f>IFERROR(__xludf.DUMMYFUNCTION("""COMPUTED_VALUE"""),45357.66666666667)</f>
        <v>45357.66667</v>
      </c>
      <c r="B867" s="1">
        <f>IFERROR(__xludf.DUMMYFUNCTION("""COMPUTED_VALUE"""),41.77)</f>
        <v>41.77</v>
      </c>
    </row>
    <row r="868">
      <c r="A868" s="2">
        <f>IFERROR(__xludf.DUMMYFUNCTION("""COMPUTED_VALUE"""),45358.66666666667)</f>
        <v>45358.66667</v>
      </c>
      <c r="B868" s="1">
        <f>IFERROR(__xludf.DUMMYFUNCTION("""COMPUTED_VALUE"""),41.35)</f>
        <v>41.35</v>
      </c>
    </row>
    <row r="869">
      <c r="A869" s="2">
        <f>IFERROR(__xludf.DUMMYFUNCTION("""COMPUTED_VALUE"""),45359.66666666667)</f>
        <v>45359.66667</v>
      </c>
      <c r="B869" s="1">
        <f>IFERROR(__xludf.DUMMYFUNCTION("""COMPUTED_VALUE"""),41.79)</f>
        <v>41.79</v>
      </c>
    </row>
    <row r="870">
      <c r="A870" s="2">
        <f>IFERROR(__xludf.DUMMYFUNCTION("""COMPUTED_VALUE"""),45362.66666666667)</f>
        <v>45362.66667</v>
      </c>
      <c r="B870" s="1">
        <f>IFERROR(__xludf.DUMMYFUNCTION("""COMPUTED_VALUE"""),41.19)</f>
        <v>41.19</v>
      </c>
    </row>
    <row r="871">
      <c r="A871" s="2">
        <f>IFERROR(__xludf.DUMMYFUNCTION("""COMPUTED_VALUE"""),45363.66666666667)</f>
        <v>45363.66667</v>
      </c>
      <c r="B871" s="1">
        <f>IFERROR(__xludf.DUMMYFUNCTION("""COMPUTED_VALUE"""),41.41)</f>
        <v>41.41</v>
      </c>
    </row>
    <row r="872">
      <c r="A872" s="2">
        <f>IFERROR(__xludf.DUMMYFUNCTION("""COMPUTED_VALUE"""),45364.66666666667)</f>
        <v>45364.66667</v>
      </c>
      <c r="B872" s="1">
        <f>IFERROR(__xludf.DUMMYFUNCTION("""COMPUTED_VALUE"""),41.77)</f>
        <v>41.77</v>
      </c>
    </row>
    <row r="873">
      <c r="A873" s="2">
        <f>IFERROR(__xludf.DUMMYFUNCTION("""COMPUTED_VALUE"""),45365.66666666667)</f>
        <v>45365.66667</v>
      </c>
      <c r="B873" s="1">
        <f>IFERROR(__xludf.DUMMYFUNCTION("""COMPUTED_VALUE"""),41.56)</f>
        <v>41.56</v>
      </c>
    </row>
    <row r="874">
      <c r="A874" s="2">
        <f>IFERROR(__xludf.DUMMYFUNCTION("""COMPUTED_VALUE"""),45366.66666666667)</f>
        <v>45366.66667</v>
      </c>
      <c r="B874" s="1">
        <f>IFERROR(__xludf.DUMMYFUNCTION("""COMPUTED_VALUE"""),41.52)</f>
        <v>41.52</v>
      </c>
    </row>
    <row r="875">
      <c r="A875" s="2">
        <f>IFERROR(__xludf.DUMMYFUNCTION("""COMPUTED_VALUE"""),45369.66666666667)</f>
        <v>45369.66667</v>
      </c>
      <c r="B875" s="1">
        <f>IFERROR(__xludf.DUMMYFUNCTION("""COMPUTED_VALUE"""),41.33)</f>
        <v>41.33</v>
      </c>
    </row>
    <row r="876">
      <c r="A876" s="2">
        <f>IFERROR(__xludf.DUMMYFUNCTION("""COMPUTED_VALUE"""),45370.66666666667)</f>
        <v>45370.66667</v>
      </c>
      <c r="B876" s="1">
        <f>IFERROR(__xludf.DUMMYFUNCTION("""COMPUTED_VALUE"""),41.65)</f>
        <v>41.65</v>
      </c>
    </row>
    <row r="877">
      <c r="A877" s="2">
        <f>IFERROR(__xludf.DUMMYFUNCTION("""COMPUTED_VALUE"""),45371.66666666667)</f>
        <v>45371.66667</v>
      </c>
      <c r="B877" s="1">
        <f>IFERROR(__xludf.DUMMYFUNCTION("""COMPUTED_VALUE"""),41.8)</f>
        <v>41.8</v>
      </c>
    </row>
    <row r="878">
      <c r="A878" s="2">
        <f>IFERROR(__xludf.DUMMYFUNCTION("""COMPUTED_VALUE"""),45372.66666666667)</f>
        <v>45372.66667</v>
      </c>
      <c r="B878" s="1">
        <f>IFERROR(__xludf.DUMMYFUNCTION("""COMPUTED_VALUE"""),42.06)</f>
        <v>42.06</v>
      </c>
    </row>
    <row r="879">
      <c r="A879" s="2">
        <f>IFERROR(__xludf.DUMMYFUNCTION("""COMPUTED_VALUE"""),45373.66666666667)</f>
        <v>45373.66667</v>
      </c>
      <c r="B879" s="1">
        <f>IFERROR(__xludf.DUMMYFUNCTION("""COMPUTED_VALUE"""),42.6)</f>
        <v>42.6</v>
      </c>
    </row>
    <row r="880">
      <c r="A880" s="2">
        <f>IFERROR(__xludf.DUMMYFUNCTION("""COMPUTED_VALUE"""),45376.66666666667)</f>
        <v>45376.66667</v>
      </c>
      <c r="B880" s="1">
        <f>IFERROR(__xludf.DUMMYFUNCTION("""COMPUTED_VALUE"""),42.59)</f>
        <v>42.59</v>
      </c>
    </row>
    <row r="881">
      <c r="A881" s="2">
        <f>IFERROR(__xludf.DUMMYFUNCTION("""COMPUTED_VALUE"""),45377.66666666667)</f>
        <v>45377.66667</v>
      </c>
      <c r="B881" s="1">
        <f>IFERROR(__xludf.DUMMYFUNCTION("""COMPUTED_VALUE"""),42.45)</f>
        <v>42.45</v>
      </c>
    </row>
    <row r="882">
      <c r="A882" s="2">
        <f>IFERROR(__xludf.DUMMYFUNCTION("""COMPUTED_VALUE"""),45378.66666666667)</f>
        <v>45378.66667</v>
      </c>
      <c r="B882" s="1">
        <f>IFERROR(__xludf.DUMMYFUNCTION("""COMPUTED_VALUE"""),42.49)</f>
        <v>42.49</v>
      </c>
    </row>
    <row r="883">
      <c r="A883" s="2">
        <f>IFERROR(__xludf.DUMMYFUNCTION("""COMPUTED_VALUE"""),45379.66666666667)</f>
        <v>45379.66667</v>
      </c>
      <c r="B883" s="1">
        <f>IFERROR(__xludf.DUMMYFUNCTION("""COMPUTED_VALUE"""),42.48)</f>
        <v>42.48</v>
      </c>
    </row>
    <row r="884">
      <c r="A884" s="2">
        <f>IFERROR(__xludf.DUMMYFUNCTION("""COMPUTED_VALUE"""),45384.66666666667)</f>
        <v>45384.66667</v>
      </c>
      <c r="B884" s="1">
        <f>IFERROR(__xludf.DUMMYFUNCTION("""COMPUTED_VALUE"""),42.68)</f>
        <v>42.68</v>
      </c>
    </row>
    <row r="885">
      <c r="A885" s="2">
        <f>IFERROR(__xludf.DUMMYFUNCTION("""COMPUTED_VALUE"""),45385.66666666667)</f>
        <v>45385.66667</v>
      </c>
      <c r="B885" s="1">
        <f>IFERROR(__xludf.DUMMYFUNCTION("""COMPUTED_VALUE"""),42.09)</f>
        <v>42.09</v>
      </c>
    </row>
    <row r="886">
      <c r="A886" s="2">
        <f>IFERROR(__xludf.DUMMYFUNCTION("""COMPUTED_VALUE"""),45386.66666666667)</f>
        <v>45386.66667</v>
      </c>
      <c r="B886" s="1">
        <f>IFERROR(__xludf.DUMMYFUNCTION("""COMPUTED_VALUE"""),42.02)</f>
        <v>42.02</v>
      </c>
    </row>
    <row r="887">
      <c r="A887" s="2">
        <f>IFERROR(__xludf.DUMMYFUNCTION("""COMPUTED_VALUE"""),45387.66666666667)</f>
        <v>45387.66667</v>
      </c>
      <c r="B887" s="1">
        <f>IFERROR(__xludf.DUMMYFUNCTION("""COMPUTED_VALUE"""),41.34)</f>
        <v>41.34</v>
      </c>
    </row>
    <row r="888">
      <c r="A888" s="2">
        <f>IFERROR(__xludf.DUMMYFUNCTION("""COMPUTED_VALUE"""),45390.66666666667)</f>
        <v>45390.66667</v>
      </c>
      <c r="B888" s="1">
        <f>IFERROR(__xludf.DUMMYFUNCTION("""COMPUTED_VALUE"""),41.71)</f>
        <v>41.71</v>
      </c>
    </row>
    <row r="889">
      <c r="A889" s="2">
        <f>IFERROR(__xludf.DUMMYFUNCTION("""COMPUTED_VALUE"""),45391.66666666667)</f>
        <v>45391.66667</v>
      </c>
      <c r="B889" s="1">
        <f>IFERROR(__xludf.DUMMYFUNCTION("""COMPUTED_VALUE"""),41.57)</f>
        <v>41.57</v>
      </c>
    </row>
    <row r="890">
      <c r="A890" s="2">
        <f>IFERROR(__xludf.DUMMYFUNCTION("""COMPUTED_VALUE"""),45392.66666666667)</f>
        <v>45392.66667</v>
      </c>
      <c r="B890" s="1">
        <f>IFERROR(__xludf.DUMMYFUNCTION("""COMPUTED_VALUE"""),41.66)</f>
        <v>41.66</v>
      </c>
    </row>
    <row r="891">
      <c r="A891" s="2">
        <f>IFERROR(__xludf.DUMMYFUNCTION("""COMPUTED_VALUE"""),45393.66666666667)</f>
        <v>45393.66667</v>
      </c>
      <c r="B891" s="1">
        <f>IFERROR(__xludf.DUMMYFUNCTION("""COMPUTED_VALUE"""),41.9)</f>
        <v>41.9</v>
      </c>
    </row>
    <row r="892">
      <c r="A892" s="2">
        <f>IFERROR(__xludf.DUMMYFUNCTION("""COMPUTED_VALUE"""),45394.66666666667)</f>
        <v>45394.66667</v>
      </c>
      <c r="B892" s="1">
        <f>IFERROR(__xludf.DUMMYFUNCTION("""COMPUTED_VALUE"""),42.57)</f>
        <v>42.57</v>
      </c>
    </row>
    <row r="893">
      <c r="A893" s="2">
        <f>IFERROR(__xludf.DUMMYFUNCTION("""COMPUTED_VALUE"""),45397.66666666667)</f>
        <v>45397.66667</v>
      </c>
      <c r="B893" s="1">
        <f>IFERROR(__xludf.DUMMYFUNCTION("""COMPUTED_VALUE"""),42.27)</f>
        <v>42.27</v>
      </c>
    </row>
    <row r="894">
      <c r="A894" s="2">
        <f>IFERROR(__xludf.DUMMYFUNCTION("""COMPUTED_VALUE"""),45398.66666666667)</f>
        <v>45398.66667</v>
      </c>
      <c r="B894" s="1">
        <f>IFERROR(__xludf.DUMMYFUNCTION("""COMPUTED_VALUE"""),41.77)</f>
        <v>41.77</v>
      </c>
    </row>
    <row r="895">
      <c r="A895" s="2">
        <f>IFERROR(__xludf.DUMMYFUNCTION("""COMPUTED_VALUE"""),45399.66666666667)</f>
        <v>45399.66667</v>
      </c>
      <c r="B895" s="1">
        <f>IFERROR(__xludf.DUMMYFUNCTION("""COMPUTED_VALUE"""),41.75)</f>
        <v>41.75</v>
      </c>
    </row>
    <row r="896">
      <c r="A896" s="2">
        <f>IFERROR(__xludf.DUMMYFUNCTION("""COMPUTED_VALUE"""),45400.66666666667)</f>
        <v>45400.66667</v>
      </c>
      <c r="B896" s="1">
        <f>IFERROR(__xludf.DUMMYFUNCTION("""COMPUTED_VALUE"""),41.36)</f>
        <v>41.36</v>
      </c>
    </row>
    <row r="897">
      <c r="A897" s="2">
        <f>IFERROR(__xludf.DUMMYFUNCTION("""COMPUTED_VALUE"""),45401.66666666667)</f>
        <v>45401.66667</v>
      </c>
      <c r="B897" s="1">
        <f>IFERROR(__xludf.DUMMYFUNCTION("""COMPUTED_VALUE"""),40.84)</f>
        <v>40.84</v>
      </c>
    </row>
    <row r="898">
      <c r="A898" s="2">
        <f>IFERROR(__xludf.DUMMYFUNCTION("""COMPUTED_VALUE"""),45404.66666666667)</f>
        <v>45404.66667</v>
      </c>
      <c r="B898" s="1">
        <f>IFERROR(__xludf.DUMMYFUNCTION("""COMPUTED_VALUE"""),40.42)</f>
        <v>40.42</v>
      </c>
    </row>
    <row r="899">
      <c r="A899" s="2">
        <f>IFERROR(__xludf.DUMMYFUNCTION("""COMPUTED_VALUE"""),45405.66666666667)</f>
        <v>45405.66667</v>
      </c>
      <c r="B899" s="1">
        <f>IFERROR(__xludf.DUMMYFUNCTION("""COMPUTED_VALUE"""),40.39)</f>
        <v>40.39</v>
      </c>
    </row>
    <row r="900">
      <c r="A900" s="2">
        <f>IFERROR(__xludf.DUMMYFUNCTION("""COMPUTED_VALUE"""),45406.66666666667)</f>
        <v>45406.66667</v>
      </c>
      <c r="B900" s="1">
        <f>IFERROR(__xludf.DUMMYFUNCTION("""COMPUTED_VALUE"""),40.95)</f>
        <v>40.95</v>
      </c>
    </row>
    <row r="901">
      <c r="A901" s="2">
        <f>IFERROR(__xludf.DUMMYFUNCTION("""COMPUTED_VALUE"""),45408.66666666667)</f>
        <v>45408.66667</v>
      </c>
      <c r="B901" s="1">
        <f>IFERROR(__xludf.DUMMYFUNCTION("""COMPUTED_VALUE"""),40.91)</f>
        <v>40.91</v>
      </c>
    </row>
    <row r="902">
      <c r="A902" s="2">
        <f>IFERROR(__xludf.DUMMYFUNCTION("""COMPUTED_VALUE"""),45411.66666666667)</f>
        <v>45411.66667</v>
      </c>
      <c r="B902" s="1">
        <f>IFERROR(__xludf.DUMMYFUNCTION("""COMPUTED_VALUE"""),41.05)</f>
        <v>41.05</v>
      </c>
    </row>
    <row r="903">
      <c r="A903" s="2">
        <f>IFERROR(__xludf.DUMMYFUNCTION("""COMPUTED_VALUE"""),45412.66666666667)</f>
        <v>45412.66667</v>
      </c>
      <c r="B903" s="1">
        <f>IFERROR(__xludf.DUMMYFUNCTION("""COMPUTED_VALUE"""),41.35)</f>
        <v>41.35</v>
      </c>
    </row>
    <row r="904">
      <c r="A904" s="2">
        <f>IFERROR(__xludf.DUMMYFUNCTION("""COMPUTED_VALUE"""),45413.66666666667)</f>
        <v>45413.66667</v>
      </c>
      <c r="B904" s="1">
        <f>IFERROR(__xludf.DUMMYFUNCTION("""COMPUTED_VALUE"""),40.7)</f>
        <v>40.7</v>
      </c>
    </row>
    <row r="905">
      <c r="A905" s="2">
        <f>IFERROR(__xludf.DUMMYFUNCTION("""COMPUTED_VALUE"""),45414.66666666667)</f>
        <v>45414.66667</v>
      </c>
      <c r="B905" s="1">
        <f>IFERROR(__xludf.DUMMYFUNCTION("""COMPUTED_VALUE"""),40.42)</f>
        <v>40.42</v>
      </c>
    </row>
    <row r="906">
      <c r="A906" s="2">
        <f>IFERROR(__xludf.DUMMYFUNCTION("""COMPUTED_VALUE"""),45415.66666666667)</f>
        <v>45415.66667</v>
      </c>
      <c r="B906" s="1">
        <f>IFERROR(__xludf.DUMMYFUNCTION("""COMPUTED_VALUE"""),40.68)</f>
        <v>40.68</v>
      </c>
    </row>
    <row r="907">
      <c r="A907" s="2">
        <f>IFERROR(__xludf.DUMMYFUNCTION("""COMPUTED_VALUE"""),45418.66666666667)</f>
        <v>45418.66667</v>
      </c>
      <c r="B907" s="1">
        <f>IFERROR(__xludf.DUMMYFUNCTION("""COMPUTED_VALUE"""),41.0)</f>
        <v>41</v>
      </c>
    </row>
    <row r="908">
      <c r="A908" s="2">
        <f>IFERROR(__xludf.DUMMYFUNCTION("""COMPUTED_VALUE"""),45419.66666666667)</f>
        <v>45419.66667</v>
      </c>
      <c r="B908" s="1">
        <f>IFERROR(__xludf.DUMMYFUNCTION("""COMPUTED_VALUE"""),41.6)</f>
        <v>41.6</v>
      </c>
    </row>
    <row r="909">
      <c r="A909" s="2">
        <f>IFERROR(__xludf.DUMMYFUNCTION("""COMPUTED_VALUE"""),45420.66666666667)</f>
        <v>45420.66667</v>
      </c>
      <c r="B909" s="1">
        <f>IFERROR(__xludf.DUMMYFUNCTION("""COMPUTED_VALUE"""),41.68)</f>
        <v>41.68</v>
      </c>
    </row>
    <row r="910">
      <c r="A910" s="2">
        <f>IFERROR(__xludf.DUMMYFUNCTION("""COMPUTED_VALUE"""),45421.66666666667)</f>
        <v>45421.66667</v>
      </c>
      <c r="B910" s="1">
        <f>IFERROR(__xludf.DUMMYFUNCTION("""COMPUTED_VALUE"""),41.62)</f>
        <v>41.62</v>
      </c>
    </row>
    <row r="911">
      <c r="A911" s="2">
        <f>IFERROR(__xludf.DUMMYFUNCTION("""COMPUTED_VALUE"""),45422.66666666667)</f>
        <v>45422.66667</v>
      </c>
      <c r="B911" s="1">
        <f>IFERROR(__xludf.DUMMYFUNCTION("""COMPUTED_VALUE"""),41.56)</f>
        <v>41.56</v>
      </c>
    </row>
    <row r="912">
      <c r="A912" s="2">
        <f>IFERROR(__xludf.DUMMYFUNCTION("""COMPUTED_VALUE"""),45425.66666666667)</f>
        <v>45425.66667</v>
      </c>
      <c r="B912" s="1">
        <f>IFERROR(__xludf.DUMMYFUNCTION("""COMPUTED_VALUE"""),41.81)</f>
        <v>41.81</v>
      </c>
    </row>
    <row r="913">
      <c r="A913" s="2">
        <f>IFERROR(__xludf.DUMMYFUNCTION("""COMPUTED_VALUE"""),45426.66666666667)</f>
        <v>45426.66667</v>
      </c>
      <c r="B913" s="1">
        <f>IFERROR(__xludf.DUMMYFUNCTION("""COMPUTED_VALUE"""),41.77)</f>
        <v>41.77</v>
      </c>
    </row>
    <row r="914">
      <c r="A914" s="2">
        <f>IFERROR(__xludf.DUMMYFUNCTION("""COMPUTED_VALUE"""),45427.66666666667)</f>
        <v>45427.66667</v>
      </c>
      <c r="B914" s="1">
        <f>IFERROR(__xludf.DUMMYFUNCTION("""COMPUTED_VALUE"""),41.8)</f>
        <v>41.8</v>
      </c>
    </row>
    <row r="915">
      <c r="A915" s="2">
        <f>IFERROR(__xludf.DUMMYFUNCTION("""COMPUTED_VALUE"""),45428.66666666667)</f>
        <v>45428.66667</v>
      </c>
      <c r="B915" s="1">
        <f>IFERROR(__xludf.DUMMYFUNCTION("""COMPUTED_VALUE"""),42.28)</f>
        <v>42.28</v>
      </c>
    </row>
    <row r="916">
      <c r="A916" s="2">
        <f>IFERROR(__xludf.DUMMYFUNCTION("""COMPUTED_VALUE"""),45429.66666666667)</f>
        <v>45429.66667</v>
      </c>
      <c r="B916" s="1">
        <f>IFERROR(__xludf.DUMMYFUNCTION("""COMPUTED_VALUE"""),42.23)</f>
        <v>42.23</v>
      </c>
    </row>
    <row r="917">
      <c r="A917" s="2">
        <f>IFERROR(__xludf.DUMMYFUNCTION("""COMPUTED_VALUE"""),45432.66666666667)</f>
        <v>45432.66667</v>
      </c>
      <c r="B917" s="1">
        <f>IFERROR(__xludf.DUMMYFUNCTION("""COMPUTED_VALUE"""),42.04)</f>
        <v>42.04</v>
      </c>
    </row>
    <row r="918">
      <c r="A918" s="2">
        <f>IFERROR(__xludf.DUMMYFUNCTION("""COMPUTED_VALUE"""),45433.66666666667)</f>
        <v>45433.66667</v>
      </c>
      <c r="B918" s="1">
        <f>IFERROR(__xludf.DUMMYFUNCTION("""COMPUTED_VALUE"""),42.51)</f>
        <v>42.51</v>
      </c>
    </row>
    <row r="919">
      <c r="A919" s="2">
        <f>IFERROR(__xludf.DUMMYFUNCTION("""COMPUTED_VALUE"""),45434.66666666667)</f>
        <v>45434.66667</v>
      </c>
      <c r="B919" s="1">
        <f>IFERROR(__xludf.DUMMYFUNCTION("""COMPUTED_VALUE"""),42.57)</f>
        <v>42.57</v>
      </c>
    </row>
    <row r="920">
      <c r="A920" s="2">
        <f>IFERROR(__xludf.DUMMYFUNCTION("""COMPUTED_VALUE"""),45435.66666666667)</f>
        <v>45435.66667</v>
      </c>
      <c r="B920" s="1">
        <f>IFERROR(__xludf.DUMMYFUNCTION("""COMPUTED_VALUE"""),43.2)</f>
        <v>43.2</v>
      </c>
    </row>
    <row r="921">
      <c r="A921" s="2">
        <f>IFERROR(__xludf.DUMMYFUNCTION("""COMPUTED_VALUE"""),45436.66666666667)</f>
        <v>45436.66667</v>
      </c>
      <c r="B921" s="1">
        <f>IFERROR(__xludf.DUMMYFUNCTION("""COMPUTED_VALUE"""),42.8)</f>
        <v>42.8</v>
      </c>
    </row>
    <row r="922">
      <c r="A922" s="2">
        <f>IFERROR(__xludf.DUMMYFUNCTION("""COMPUTED_VALUE"""),45439.66666666667)</f>
        <v>45439.66667</v>
      </c>
      <c r="B922" s="1">
        <f>IFERROR(__xludf.DUMMYFUNCTION("""COMPUTED_VALUE"""),42.96)</f>
        <v>42.96</v>
      </c>
    </row>
    <row r="923">
      <c r="A923" s="2">
        <f>IFERROR(__xludf.DUMMYFUNCTION("""COMPUTED_VALUE"""),45440.66666666667)</f>
        <v>45440.66667</v>
      </c>
      <c r="B923" s="1">
        <f>IFERROR(__xludf.DUMMYFUNCTION("""COMPUTED_VALUE"""),42.87)</f>
        <v>42.87</v>
      </c>
    </row>
    <row r="924">
      <c r="A924" s="2">
        <f>IFERROR(__xludf.DUMMYFUNCTION("""COMPUTED_VALUE"""),45441.66666666667)</f>
        <v>45441.66667</v>
      </c>
      <c r="B924" s="1">
        <f>IFERROR(__xludf.DUMMYFUNCTION("""COMPUTED_VALUE"""),42.87)</f>
        <v>42.87</v>
      </c>
    </row>
    <row r="925">
      <c r="A925" s="2">
        <f>IFERROR(__xludf.DUMMYFUNCTION("""COMPUTED_VALUE"""),45442.66666666667)</f>
        <v>45442.66667</v>
      </c>
      <c r="B925" s="1">
        <f>IFERROR(__xludf.DUMMYFUNCTION("""COMPUTED_VALUE"""),42.79)</f>
        <v>42.79</v>
      </c>
    </row>
    <row r="926">
      <c r="A926" s="2">
        <f>IFERROR(__xludf.DUMMYFUNCTION("""COMPUTED_VALUE"""),45443.66666666667)</f>
        <v>45443.66667</v>
      </c>
      <c r="B926" s="1">
        <f>IFERROR(__xludf.DUMMYFUNCTION("""COMPUTED_VALUE"""),42.26)</f>
        <v>42.26</v>
      </c>
    </row>
    <row r="927">
      <c r="A927" s="2">
        <f>IFERROR(__xludf.DUMMYFUNCTION("""COMPUTED_VALUE"""),45446.66666666667)</f>
        <v>45446.66667</v>
      </c>
      <c r="B927" s="1">
        <f>IFERROR(__xludf.DUMMYFUNCTION("""COMPUTED_VALUE"""),42.44)</f>
        <v>42.44</v>
      </c>
    </row>
    <row r="928">
      <c r="A928" s="2">
        <f>IFERROR(__xludf.DUMMYFUNCTION("""COMPUTED_VALUE"""),45447.66666666667)</f>
        <v>45447.66667</v>
      </c>
      <c r="B928" s="1">
        <f>IFERROR(__xludf.DUMMYFUNCTION("""COMPUTED_VALUE"""),42.33)</f>
        <v>42.33</v>
      </c>
    </row>
    <row r="929">
      <c r="A929" s="2">
        <f>IFERROR(__xludf.DUMMYFUNCTION("""COMPUTED_VALUE"""),45448.66666666667)</f>
        <v>45448.66667</v>
      </c>
      <c r="B929" s="1">
        <f>IFERROR(__xludf.DUMMYFUNCTION("""COMPUTED_VALUE"""),42.6)</f>
        <v>42.6</v>
      </c>
    </row>
    <row r="930">
      <c r="A930" s="2">
        <f>IFERROR(__xludf.DUMMYFUNCTION("""COMPUTED_VALUE"""),45449.66666666667)</f>
        <v>45449.66667</v>
      </c>
      <c r="B930" s="1">
        <f>IFERROR(__xludf.DUMMYFUNCTION("""COMPUTED_VALUE"""),43.38)</f>
        <v>43.38</v>
      </c>
    </row>
    <row r="931">
      <c r="A931" s="2">
        <f>IFERROR(__xludf.DUMMYFUNCTION("""COMPUTED_VALUE"""),45450.66666666667)</f>
        <v>45450.66667</v>
      </c>
      <c r="B931" s="1">
        <f>IFERROR(__xludf.DUMMYFUNCTION("""COMPUTED_VALUE"""),43.32)</f>
        <v>43.32</v>
      </c>
    </row>
    <row r="932">
      <c r="A932" s="2">
        <f>IFERROR(__xludf.DUMMYFUNCTION("""COMPUTED_VALUE"""),45454.66666666667)</f>
        <v>45454.66667</v>
      </c>
      <c r="B932" s="1">
        <f>IFERROR(__xludf.DUMMYFUNCTION("""COMPUTED_VALUE"""),43.81)</f>
        <v>43.81</v>
      </c>
    </row>
    <row r="933">
      <c r="A933" s="2">
        <f>IFERROR(__xludf.DUMMYFUNCTION("""COMPUTED_VALUE"""),45455.66666666667)</f>
        <v>45455.66667</v>
      </c>
      <c r="B933" s="1">
        <f>IFERROR(__xludf.DUMMYFUNCTION("""COMPUTED_VALUE"""),44.1)</f>
        <v>44.1</v>
      </c>
    </row>
    <row r="934">
      <c r="A934" s="2">
        <f>IFERROR(__xludf.DUMMYFUNCTION("""COMPUTED_VALUE"""),45456.66666666667)</f>
        <v>45456.66667</v>
      </c>
      <c r="B934" s="1">
        <f>IFERROR(__xludf.DUMMYFUNCTION("""COMPUTED_VALUE"""),44.77)</f>
        <v>44.77</v>
      </c>
    </row>
    <row r="935">
      <c r="A935" s="2">
        <f>IFERROR(__xludf.DUMMYFUNCTION("""COMPUTED_VALUE"""),45457.66666666667)</f>
        <v>45457.66667</v>
      </c>
      <c r="B935" s="1">
        <f>IFERROR(__xludf.DUMMYFUNCTION("""COMPUTED_VALUE"""),44.99)</f>
        <v>44.99</v>
      </c>
    </row>
    <row r="936">
      <c r="A936" s="2">
        <f>IFERROR(__xludf.DUMMYFUNCTION("""COMPUTED_VALUE"""),45460.66666666667)</f>
        <v>45460.66667</v>
      </c>
      <c r="B936" s="1">
        <f>IFERROR(__xludf.DUMMYFUNCTION("""COMPUTED_VALUE"""),45.26)</f>
        <v>45.26</v>
      </c>
    </row>
    <row r="937">
      <c r="A937" s="2">
        <f>IFERROR(__xludf.DUMMYFUNCTION("""COMPUTED_VALUE"""),45461.66666666667)</f>
        <v>45461.66667</v>
      </c>
      <c r="B937" s="1">
        <f>IFERROR(__xludf.DUMMYFUNCTION("""COMPUTED_VALUE"""),45.6)</f>
        <v>45.6</v>
      </c>
    </row>
    <row r="938">
      <c r="A938" s="2">
        <f>IFERROR(__xludf.DUMMYFUNCTION("""COMPUTED_VALUE"""),45462.66666666667)</f>
        <v>45462.66667</v>
      </c>
      <c r="B938" s="1">
        <f>IFERROR(__xludf.DUMMYFUNCTION("""COMPUTED_VALUE"""),45.36)</f>
        <v>45.36</v>
      </c>
    </row>
    <row r="939">
      <c r="A939" s="2">
        <f>IFERROR(__xludf.DUMMYFUNCTION("""COMPUTED_VALUE"""),45463.66666666667)</f>
        <v>45463.66667</v>
      </c>
      <c r="B939" s="1">
        <f>IFERROR(__xludf.DUMMYFUNCTION("""COMPUTED_VALUE"""),45.62)</f>
        <v>45.62</v>
      </c>
    </row>
    <row r="940">
      <c r="A940" s="2">
        <f>IFERROR(__xludf.DUMMYFUNCTION("""COMPUTED_VALUE"""),45464.66666666667)</f>
        <v>45464.66667</v>
      </c>
      <c r="B940" s="1">
        <f>IFERROR(__xludf.DUMMYFUNCTION("""COMPUTED_VALUE"""),45.09)</f>
        <v>45.09</v>
      </c>
    </row>
    <row r="941">
      <c r="A941" s="2">
        <f>IFERROR(__xludf.DUMMYFUNCTION("""COMPUTED_VALUE"""),45467.66666666667)</f>
        <v>45467.66667</v>
      </c>
      <c r="B941" s="1">
        <f>IFERROR(__xludf.DUMMYFUNCTION("""COMPUTED_VALUE"""),45.08)</f>
        <v>45.08</v>
      </c>
    </row>
    <row r="942">
      <c r="A942" s="2">
        <f>IFERROR(__xludf.DUMMYFUNCTION("""COMPUTED_VALUE"""),45468.66666666667)</f>
        <v>45468.66667</v>
      </c>
      <c r="B942" s="1">
        <f>IFERROR(__xludf.DUMMYFUNCTION("""COMPUTED_VALUE"""),44.49)</f>
        <v>44.49</v>
      </c>
    </row>
    <row r="943">
      <c r="A943" s="2">
        <f>IFERROR(__xludf.DUMMYFUNCTION("""COMPUTED_VALUE"""),45469.66666666667)</f>
        <v>45469.66667</v>
      </c>
      <c r="B943" s="1">
        <f>IFERROR(__xludf.DUMMYFUNCTION("""COMPUTED_VALUE"""),44.8)</f>
        <v>44.8</v>
      </c>
    </row>
    <row r="944">
      <c r="A944" s="2">
        <f>IFERROR(__xludf.DUMMYFUNCTION("""COMPUTED_VALUE"""),45470.66666666667)</f>
        <v>45470.66667</v>
      </c>
      <c r="B944" s="1">
        <f>IFERROR(__xludf.DUMMYFUNCTION("""COMPUTED_VALUE"""),44.81)</f>
        <v>44.81</v>
      </c>
    </row>
    <row r="945">
      <c r="A945" s="2">
        <f>IFERROR(__xludf.DUMMYFUNCTION("""COMPUTED_VALUE"""),45471.66666666667)</f>
        <v>45471.66667</v>
      </c>
      <c r="B945" s="1">
        <f>IFERROR(__xludf.DUMMYFUNCTION("""COMPUTED_VALUE"""),45.51)</f>
        <v>45.51</v>
      </c>
    </row>
    <row r="946">
      <c r="A946" s="2">
        <f>IFERROR(__xludf.DUMMYFUNCTION("""COMPUTED_VALUE"""),45474.66666666667)</f>
        <v>45474.66667</v>
      </c>
      <c r="B946" s="1">
        <f>IFERROR(__xludf.DUMMYFUNCTION("""COMPUTED_VALUE"""),44.03)</f>
        <v>44.03</v>
      </c>
    </row>
    <row r="947">
      <c r="A947" s="2">
        <f>IFERROR(__xludf.DUMMYFUNCTION("""COMPUTED_VALUE"""),45475.66666666667)</f>
        <v>45475.66667</v>
      </c>
      <c r="B947" s="1">
        <f>IFERROR(__xludf.DUMMYFUNCTION("""COMPUTED_VALUE"""),44.24)</f>
        <v>44.24</v>
      </c>
    </row>
    <row r="948">
      <c r="A948" s="2">
        <f>IFERROR(__xludf.DUMMYFUNCTION("""COMPUTED_VALUE"""),45476.66666666667)</f>
        <v>45476.66667</v>
      </c>
      <c r="B948" s="1">
        <f>IFERROR(__xludf.DUMMYFUNCTION("""COMPUTED_VALUE"""),44.59)</f>
        <v>44.59</v>
      </c>
    </row>
    <row r="949">
      <c r="A949" s="2">
        <f>IFERROR(__xludf.DUMMYFUNCTION("""COMPUTED_VALUE"""),45477.66666666667)</f>
        <v>45477.66667</v>
      </c>
      <c r="B949" s="1">
        <f>IFERROR(__xludf.DUMMYFUNCTION("""COMPUTED_VALUE"""),44.64)</f>
        <v>44.64</v>
      </c>
    </row>
    <row r="950">
      <c r="A950" s="2">
        <f>IFERROR(__xludf.DUMMYFUNCTION("""COMPUTED_VALUE"""),45478.66666666667)</f>
        <v>45478.66667</v>
      </c>
      <c r="B950" s="1">
        <f>IFERROR(__xludf.DUMMYFUNCTION("""COMPUTED_VALUE"""),44.57)</f>
        <v>44.57</v>
      </c>
    </row>
    <row r="951">
      <c r="A951" s="2">
        <f>IFERROR(__xludf.DUMMYFUNCTION("""COMPUTED_VALUE"""),45481.66666666667)</f>
        <v>45481.66667</v>
      </c>
      <c r="B951" s="1">
        <f>IFERROR(__xludf.DUMMYFUNCTION("""COMPUTED_VALUE"""),44.86)</f>
        <v>44.86</v>
      </c>
    </row>
    <row r="952">
      <c r="A952" s="2">
        <f>IFERROR(__xludf.DUMMYFUNCTION("""COMPUTED_VALUE"""),45482.66666666667)</f>
        <v>45482.66667</v>
      </c>
      <c r="B952" s="1">
        <f>IFERROR(__xludf.DUMMYFUNCTION("""COMPUTED_VALUE"""),45.17)</f>
        <v>45.17</v>
      </c>
    </row>
    <row r="953">
      <c r="A953" s="2">
        <f>IFERROR(__xludf.DUMMYFUNCTION("""COMPUTED_VALUE"""),45483.66666666667)</f>
        <v>45483.66667</v>
      </c>
      <c r="B953" s="1">
        <f>IFERROR(__xludf.DUMMYFUNCTION("""COMPUTED_VALUE"""),45.11)</f>
        <v>45.11</v>
      </c>
    </row>
    <row r="954">
      <c r="A954" s="2">
        <f>IFERROR(__xludf.DUMMYFUNCTION("""COMPUTED_VALUE"""),45484.66666666667)</f>
        <v>45484.66667</v>
      </c>
      <c r="B954" s="1">
        <f>IFERROR(__xludf.DUMMYFUNCTION("""COMPUTED_VALUE"""),45.38)</f>
        <v>45.38</v>
      </c>
    </row>
    <row r="955">
      <c r="A955" s="2">
        <f>IFERROR(__xludf.DUMMYFUNCTION("""COMPUTED_VALUE"""),45485.66666666667)</f>
        <v>45485.66667</v>
      </c>
      <c r="B955" s="1">
        <f>IFERROR(__xludf.DUMMYFUNCTION("""COMPUTED_VALUE"""),44.34)</f>
        <v>44.34</v>
      </c>
    </row>
    <row r="956">
      <c r="A956" s="2">
        <f>IFERROR(__xludf.DUMMYFUNCTION("""COMPUTED_VALUE"""),45488.66666666667)</f>
        <v>45488.66667</v>
      </c>
      <c r="B956" s="1">
        <f>IFERROR(__xludf.DUMMYFUNCTION("""COMPUTED_VALUE"""),44.77)</f>
        <v>44.77</v>
      </c>
    </row>
    <row r="957">
      <c r="A957" s="2">
        <f>IFERROR(__xludf.DUMMYFUNCTION("""COMPUTED_VALUE"""),45489.66666666667)</f>
        <v>45489.66667</v>
      </c>
      <c r="B957" s="1">
        <f>IFERROR(__xludf.DUMMYFUNCTION("""COMPUTED_VALUE"""),45.07)</f>
        <v>45.07</v>
      </c>
    </row>
    <row r="958">
      <c r="A958" s="2">
        <f>IFERROR(__xludf.DUMMYFUNCTION("""COMPUTED_VALUE"""),45490.66666666667)</f>
        <v>45490.66667</v>
      </c>
      <c r="B958" s="1">
        <f>IFERROR(__xludf.DUMMYFUNCTION("""COMPUTED_VALUE"""),44.77)</f>
        <v>44.77</v>
      </c>
    </row>
    <row r="959">
      <c r="A959" s="2">
        <f>IFERROR(__xludf.DUMMYFUNCTION("""COMPUTED_VALUE"""),45491.66666666667)</f>
        <v>45491.66667</v>
      </c>
      <c r="B959" s="1">
        <f>IFERROR(__xludf.DUMMYFUNCTION("""COMPUTED_VALUE"""),43.86)</f>
        <v>43.86</v>
      </c>
    </row>
    <row r="960">
      <c r="A960" s="2">
        <f>IFERROR(__xludf.DUMMYFUNCTION("""COMPUTED_VALUE"""),45492.66666666667)</f>
        <v>45492.66667</v>
      </c>
      <c r="B960" s="1">
        <f>IFERROR(__xludf.DUMMYFUNCTION("""COMPUTED_VALUE"""),43.89)</f>
        <v>43.89</v>
      </c>
    </row>
    <row r="961">
      <c r="A961" s="2">
        <f>IFERROR(__xludf.DUMMYFUNCTION("""COMPUTED_VALUE"""),45495.66666666667)</f>
        <v>45495.66667</v>
      </c>
      <c r="B961" s="1">
        <f>IFERROR(__xludf.DUMMYFUNCTION("""COMPUTED_VALUE"""),43.74)</f>
        <v>43.74</v>
      </c>
    </row>
    <row r="962">
      <c r="A962" s="2">
        <f>IFERROR(__xludf.DUMMYFUNCTION("""COMPUTED_VALUE"""),45496.66666666667)</f>
        <v>45496.66667</v>
      </c>
      <c r="B962" s="1">
        <f>IFERROR(__xludf.DUMMYFUNCTION("""COMPUTED_VALUE"""),44.24)</f>
        <v>44.24</v>
      </c>
    </row>
    <row r="963">
      <c r="A963" s="2">
        <f>IFERROR(__xludf.DUMMYFUNCTION("""COMPUTED_VALUE"""),45497.66666666667)</f>
        <v>45497.66667</v>
      </c>
      <c r="B963" s="1">
        <f>IFERROR(__xludf.DUMMYFUNCTION("""COMPUTED_VALUE"""),44.13)</f>
        <v>44.13</v>
      </c>
    </row>
    <row r="964">
      <c r="A964" s="2">
        <f>IFERROR(__xludf.DUMMYFUNCTION("""COMPUTED_VALUE"""),45498.66666666667)</f>
        <v>45498.66667</v>
      </c>
      <c r="B964" s="1">
        <f>IFERROR(__xludf.DUMMYFUNCTION("""COMPUTED_VALUE"""),43.16)</f>
        <v>43.16</v>
      </c>
    </row>
    <row r="965">
      <c r="A965" s="2">
        <f>IFERROR(__xludf.DUMMYFUNCTION("""COMPUTED_VALUE"""),45499.66666666667)</f>
        <v>45499.66667</v>
      </c>
      <c r="B965" s="1">
        <f>IFERROR(__xludf.DUMMYFUNCTION("""COMPUTED_VALUE"""),42.95)</f>
        <v>42.95</v>
      </c>
    </row>
    <row r="966">
      <c r="A966" s="2">
        <f>IFERROR(__xludf.DUMMYFUNCTION("""COMPUTED_VALUE"""),45502.66666666667)</f>
        <v>45502.66667</v>
      </c>
      <c r="B966" s="1">
        <f>IFERROR(__xludf.DUMMYFUNCTION("""COMPUTED_VALUE"""),43.44)</f>
        <v>43.44</v>
      </c>
    </row>
    <row r="967">
      <c r="A967" s="2">
        <f>IFERROR(__xludf.DUMMYFUNCTION("""COMPUTED_VALUE"""),45503.66666666667)</f>
        <v>45503.66667</v>
      </c>
      <c r="B967" s="1">
        <f>IFERROR(__xludf.DUMMYFUNCTION("""COMPUTED_VALUE"""),43.17)</f>
        <v>43.17</v>
      </c>
    </row>
    <row r="968">
      <c r="A968" s="2">
        <f>IFERROR(__xludf.DUMMYFUNCTION("""COMPUTED_VALUE"""),45504.66666666667)</f>
        <v>45504.66667</v>
      </c>
      <c r="B968" s="1">
        <f>IFERROR(__xludf.DUMMYFUNCTION("""COMPUTED_VALUE"""),43.56)</f>
        <v>43.56</v>
      </c>
    </row>
    <row r="969">
      <c r="A969" s="2">
        <f>IFERROR(__xludf.DUMMYFUNCTION("""COMPUTED_VALUE"""),45505.66666666667)</f>
        <v>45505.66667</v>
      </c>
      <c r="B969" s="1">
        <f>IFERROR(__xludf.DUMMYFUNCTION("""COMPUTED_VALUE"""),44.35)</f>
        <v>44.35</v>
      </c>
    </row>
    <row r="970">
      <c r="A970" s="2">
        <f>IFERROR(__xludf.DUMMYFUNCTION("""COMPUTED_VALUE"""),45506.66666666667)</f>
        <v>45506.66667</v>
      </c>
      <c r="B970" s="1">
        <f>IFERROR(__xludf.DUMMYFUNCTION("""COMPUTED_VALUE"""),42.46)</f>
        <v>42.46</v>
      </c>
    </row>
    <row r="971">
      <c r="A971" s="2">
        <f>IFERROR(__xludf.DUMMYFUNCTION("""COMPUTED_VALUE"""),45509.66666666667)</f>
        <v>45509.66667</v>
      </c>
      <c r="B971" s="1">
        <f>IFERROR(__xludf.DUMMYFUNCTION("""COMPUTED_VALUE"""),40.47)</f>
        <v>40.47</v>
      </c>
    </row>
    <row r="972">
      <c r="A972" s="2">
        <f>IFERROR(__xludf.DUMMYFUNCTION("""COMPUTED_VALUE"""),45510.66666666667)</f>
        <v>45510.66667</v>
      </c>
      <c r="B972" s="1">
        <f>IFERROR(__xludf.DUMMYFUNCTION("""COMPUTED_VALUE"""),41.48)</f>
        <v>41.48</v>
      </c>
    </row>
    <row r="973">
      <c r="A973" s="2">
        <f>IFERROR(__xludf.DUMMYFUNCTION("""COMPUTED_VALUE"""),45511.66666666667)</f>
        <v>45511.66667</v>
      </c>
      <c r="B973" s="1">
        <f>IFERROR(__xludf.DUMMYFUNCTION("""COMPUTED_VALUE"""),41.35)</f>
        <v>41.35</v>
      </c>
    </row>
    <row r="974">
      <c r="A974" s="2">
        <f>IFERROR(__xludf.DUMMYFUNCTION("""COMPUTED_VALUE"""),45512.66666666667)</f>
        <v>45512.66667</v>
      </c>
      <c r="B974" s="1">
        <f>IFERROR(__xludf.DUMMYFUNCTION("""COMPUTED_VALUE"""),40.49)</f>
        <v>40.49</v>
      </c>
    </row>
    <row r="975">
      <c r="A975" s="2">
        <f>IFERROR(__xludf.DUMMYFUNCTION("""COMPUTED_VALUE"""),45513.66666666667)</f>
        <v>45513.66667</v>
      </c>
      <c r="B975" s="1">
        <f>IFERROR(__xludf.DUMMYFUNCTION("""COMPUTED_VALUE"""),41.49)</f>
        <v>41.49</v>
      </c>
    </row>
    <row r="976">
      <c r="A976" s="2">
        <f>IFERROR(__xludf.DUMMYFUNCTION("""COMPUTED_VALUE"""),45516.66666666667)</f>
        <v>45516.66667</v>
      </c>
      <c r="B976" s="1">
        <f>IFERROR(__xludf.DUMMYFUNCTION("""COMPUTED_VALUE"""),41.83)</f>
        <v>41.83</v>
      </c>
    </row>
    <row r="977">
      <c r="A977" s="2">
        <f>IFERROR(__xludf.DUMMYFUNCTION("""COMPUTED_VALUE"""),45517.66666666667)</f>
        <v>45517.66667</v>
      </c>
      <c r="B977" s="1">
        <f>IFERROR(__xludf.DUMMYFUNCTION("""COMPUTED_VALUE"""),41.94)</f>
        <v>41.94</v>
      </c>
    </row>
    <row r="978">
      <c r="A978" s="2">
        <f>IFERROR(__xludf.DUMMYFUNCTION("""COMPUTED_VALUE"""),45518.66666666667)</f>
        <v>45518.66667</v>
      </c>
      <c r="B978" s="1">
        <f>IFERROR(__xludf.DUMMYFUNCTION("""COMPUTED_VALUE"""),42.65)</f>
        <v>42.65</v>
      </c>
    </row>
    <row r="979">
      <c r="A979" s="2">
        <f>IFERROR(__xludf.DUMMYFUNCTION("""COMPUTED_VALUE"""),45519.66666666667)</f>
        <v>45519.66667</v>
      </c>
      <c r="B979" s="1">
        <f>IFERROR(__xludf.DUMMYFUNCTION("""COMPUTED_VALUE"""),42.85)</f>
        <v>42.85</v>
      </c>
    </row>
    <row r="980">
      <c r="A980" s="2">
        <f>IFERROR(__xludf.DUMMYFUNCTION("""COMPUTED_VALUE"""),45520.66666666667)</f>
        <v>45520.66667</v>
      </c>
      <c r="B980" s="1">
        <f>IFERROR(__xludf.DUMMYFUNCTION("""COMPUTED_VALUE"""),43.87)</f>
        <v>43.87</v>
      </c>
    </row>
    <row r="981">
      <c r="A981" s="2">
        <f>IFERROR(__xludf.DUMMYFUNCTION("""COMPUTED_VALUE"""),45523.66666666667)</f>
        <v>45523.66667</v>
      </c>
      <c r="B981" s="1">
        <f>IFERROR(__xludf.DUMMYFUNCTION("""COMPUTED_VALUE"""),43.33)</f>
        <v>43.33</v>
      </c>
    </row>
    <row r="982">
      <c r="A982" s="2">
        <f>IFERROR(__xludf.DUMMYFUNCTION("""COMPUTED_VALUE"""),45524.66666666667)</f>
        <v>45524.66667</v>
      </c>
      <c r="B982" s="1">
        <f>IFERROR(__xludf.DUMMYFUNCTION("""COMPUTED_VALUE"""),43.78)</f>
        <v>43.78</v>
      </c>
    </row>
    <row r="983">
      <c r="A983" s="2">
        <f>IFERROR(__xludf.DUMMYFUNCTION("""COMPUTED_VALUE"""),45525.66666666667)</f>
        <v>45525.66667</v>
      </c>
      <c r="B983" s="1">
        <f>IFERROR(__xludf.DUMMYFUNCTION("""COMPUTED_VALUE"""),43.53)</f>
        <v>43.53</v>
      </c>
    </row>
    <row r="984">
      <c r="A984" s="2">
        <f>IFERROR(__xludf.DUMMYFUNCTION("""COMPUTED_VALUE"""),45526.66666666667)</f>
        <v>45526.66667</v>
      </c>
      <c r="B984" s="1">
        <f>IFERROR(__xludf.DUMMYFUNCTION("""COMPUTED_VALUE"""),43.7)</f>
        <v>43.7</v>
      </c>
    </row>
    <row r="985">
      <c r="A985" s="2">
        <f>IFERROR(__xludf.DUMMYFUNCTION("""COMPUTED_VALUE"""),45527.66666666667)</f>
        <v>45527.66667</v>
      </c>
      <c r="B985" s="1">
        <f>IFERROR(__xludf.DUMMYFUNCTION("""COMPUTED_VALUE"""),43.35)</f>
        <v>43.35</v>
      </c>
    </row>
    <row r="986">
      <c r="A986" s="2">
        <f>IFERROR(__xludf.DUMMYFUNCTION("""COMPUTED_VALUE"""),45530.66666666667)</f>
        <v>45530.66667</v>
      </c>
      <c r="B986" s="1">
        <f>IFERROR(__xludf.DUMMYFUNCTION("""COMPUTED_VALUE"""),43.29)</f>
        <v>43.29</v>
      </c>
    </row>
    <row r="987">
      <c r="A987" s="2">
        <f>IFERROR(__xludf.DUMMYFUNCTION("""COMPUTED_VALUE"""),45531.66666666667)</f>
        <v>45531.66667</v>
      </c>
      <c r="B987" s="1">
        <f>IFERROR(__xludf.DUMMYFUNCTION("""COMPUTED_VALUE"""),42.78)</f>
        <v>42.78</v>
      </c>
    </row>
    <row r="988">
      <c r="A988" s="2">
        <f>IFERROR(__xludf.DUMMYFUNCTION("""COMPUTED_VALUE"""),45532.66666666667)</f>
        <v>45532.66667</v>
      </c>
      <c r="B988" s="1">
        <f>IFERROR(__xludf.DUMMYFUNCTION("""COMPUTED_VALUE"""),42.83)</f>
        <v>42.83</v>
      </c>
    </row>
    <row r="989">
      <c r="A989" s="2">
        <f>IFERROR(__xludf.DUMMYFUNCTION("""COMPUTED_VALUE"""),45533.66666666667)</f>
        <v>45533.66667</v>
      </c>
      <c r="B989" s="1">
        <f>IFERROR(__xludf.DUMMYFUNCTION("""COMPUTED_VALUE"""),42.05)</f>
        <v>42.05</v>
      </c>
    </row>
    <row r="990">
      <c r="A990" s="2">
        <f>IFERROR(__xludf.DUMMYFUNCTION("""COMPUTED_VALUE"""),45534.66666666667)</f>
        <v>45534.66667</v>
      </c>
      <c r="B990" s="1">
        <f>IFERROR(__xludf.DUMMYFUNCTION("""COMPUTED_VALUE"""),42.43)</f>
        <v>42.43</v>
      </c>
    </row>
    <row r="991">
      <c r="A991" s="2">
        <f>IFERROR(__xludf.DUMMYFUNCTION("""COMPUTED_VALUE"""),45537.66666666667)</f>
        <v>45537.66667</v>
      </c>
      <c r="B991" s="1">
        <f>IFERROR(__xludf.DUMMYFUNCTION("""COMPUTED_VALUE"""),42.87)</f>
        <v>42.87</v>
      </c>
    </row>
    <row r="992">
      <c r="A992" s="2">
        <f>IFERROR(__xludf.DUMMYFUNCTION("""COMPUTED_VALUE"""),45538.66666666667)</f>
        <v>45538.66667</v>
      </c>
      <c r="B992" s="1">
        <f>IFERROR(__xludf.DUMMYFUNCTION("""COMPUTED_VALUE"""),43.02)</f>
        <v>43.02</v>
      </c>
    </row>
    <row r="993">
      <c r="A993" s="2">
        <f>IFERROR(__xludf.DUMMYFUNCTION("""COMPUTED_VALUE"""),45539.66666666667)</f>
        <v>45539.66667</v>
      </c>
      <c r="B993" s="1">
        <f>IFERROR(__xludf.DUMMYFUNCTION("""COMPUTED_VALUE"""),41.75)</f>
        <v>41.75</v>
      </c>
    </row>
    <row r="994">
      <c r="A994" s="2">
        <f>IFERROR(__xludf.DUMMYFUNCTION("""COMPUTED_VALUE"""),45540.66666666667)</f>
        <v>45540.66667</v>
      </c>
      <c r="B994" s="1">
        <f>IFERROR(__xludf.DUMMYFUNCTION("""COMPUTED_VALUE"""),41.77)</f>
        <v>41.77</v>
      </c>
    </row>
    <row r="995">
      <c r="A995" s="2">
        <f>IFERROR(__xludf.DUMMYFUNCTION("""COMPUTED_VALUE"""),45541.66666666667)</f>
        <v>45541.66667</v>
      </c>
      <c r="B995" s="1">
        <f>IFERROR(__xludf.DUMMYFUNCTION("""COMPUTED_VALUE"""),41.58)</f>
        <v>41.58</v>
      </c>
    </row>
    <row r="996">
      <c r="A996" s="2">
        <f>IFERROR(__xludf.DUMMYFUNCTION("""COMPUTED_VALUE"""),45544.66666666667)</f>
        <v>45544.66667</v>
      </c>
      <c r="B996" s="1">
        <f>IFERROR(__xludf.DUMMYFUNCTION("""COMPUTED_VALUE"""),41.29)</f>
        <v>41.29</v>
      </c>
    </row>
    <row r="997">
      <c r="A997" s="2">
        <f>IFERROR(__xludf.DUMMYFUNCTION("""COMPUTED_VALUE"""),45545.66666666667)</f>
        <v>45545.66667</v>
      </c>
      <c r="B997" s="1">
        <f>IFERROR(__xludf.DUMMYFUNCTION("""COMPUTED_VALUE"""),41.45)</f>
        <v>41.45</v>
      </c>
    </row>
    <row r="998">
      <c r="A998" s="2">
        <f>IFERROR(__xludf.DUMMYFUNCTION("""COMPUTED_VALUE"""),45546.66666666667)</f>
        <v>45546.66667</v>
      </c>
      <c r="B998" s="1">
        <f>IFERROR(__xludf.DUMMYFUNCTION("""COMPUTED_VALUE"""),41.83)</f>
        <v>41.83</v>
      </c>
    </row>
    <row r="999">
      <c r="A999" s="2">
        <f>IFERROR(__xludf.DUMMYFUNCTION("""COMPUTED_VALUE"""),45547.66666666667)</f>
        <v>45547.66667</v>
      </c>
      <c r="B999" s="1">
        <f>IFERROR(__xludf.DUMMYFUNCTION("""COMPUTED_VALUE"""),42.9)</f>
        <v>42.9</v>
      </c>
    </row>
    <row r="1000">
      <c r="A1000" s="2">
        <f>IFERROR(__xludf.DUMMYFUNCTION("""COMPUTED_VALUE"""),45548.66666666667)</f>
        <v>45548.66667</v>
      </c>
      <c r="B1000" s="1">
        <f>IFERROR(__xludf.DUMMYFUNCTION("""COMPUTED_VALUE"""),42.96)</f>
        <v>42.96</v>
      </c>
    </row>
    <row r="1001">
      <c r="A1001" s="2">
        <f>IFERROR(__xludf.DUMMYFUNCTION("""COMPUTED_VALUE"""),45551.66666666667)</f>
        <v>45551.66667</v>
      </c>
      <c r="B1001" s="1">
        <f>IFERROR(__xludf.DUMMYFUNCTION("""COMPUTED_VALUE"""),43.08)</f>
        <v>43.08</v>
      </c>
    </row>
    <row r="1002">
      <c r="A1002" s="2">
        <f>IFERROR(__xludf.DUMMYFUNCTION("""COMPUTED_VALUE"""),45552.66666666667)</f>
        <v>45552.66667</v>
      </c>
      <c r="B1002" s="1">
        <f>IFERROR(__xludf.DUMMYFUNCTION("""COMPUTED_VALUE"""),42.76)</f>
        <v>42.76</v>
      </c>
    </row>
    <row r="1003">
      <c r="A1003" s="2">
        <f>IFERROR(__xludf.DUMMYFUNCTION("""COMPUTED_VALUE"""),45553.66666666667)</f>
        <v>45553.66667</v>
      </c>
      <c r="B1003" s="1">
        <f>IFERROR(__xludf.DUMMYFUNCTION("""COMPUTED_VALUE"""),42.74)</f>
        <v>42.74</v>
      </c>
    </row>
    <row r="1004">
      <c r="A1004" s="2">
        <f>IFERROR(__xludf.DUMMYFUNCTION("""COMPUTED_VALUE"""),45554.66666666667)</f>
        <v>45554.66667</v>
      </c>
      <c r="B1004" s="1">
        <f>IFERROR(__xludf.DUMMYFUNCTION("""COMPUTED_VALUE"""),42.92)</f>
        <v>42.92</v>
      </c>
    </row>
    <row r="1005">
      <c r="A1005" s="2">
        <f>IFERROR(__xludf.DUMMYFUNCTION("""COMPUTED_VALUE"""),45555.66666666667)</f>
        <v>45555.66667</v>
      </c>
      <c r="B1005" s="1">
        <f>IFERROR(__xludf.DUMMYFUNCTION("""COMPUTED_VALUE"""),43.18)</f>
        <v>43.18</v>
      </c>
    </row>
    <row r="1006">
      <c r="A1006" s="2">
        <f>IFERROR(__xludf.DUMMYFUNCTION("""COMPUTED_VALUE"""),45558.66666666667)</f>
        <v>45558.66667</v>
      </c>
      <c r="B1006" s="1">
        <f>IFERROR(__xludf.DUMMYFUNCTION("""COMPUTED_VALUE"""),43.28)</f>
        <v>43.28</v>
      </c>
    </row>
    <row r="1007">
      <c r="A1007" s="2">
        <f>IFERROR(__xludf.DUMMYFUNCTION("""COMPUTED_VALUE"""),45559.66666666667)</f>
        <v>45559.66667</v>
      </c>
      <c r="B1007" s="1">
        <f>IFERROR(__xludf.DUMMYFUNCTION("""COMPUTED_VALUE"""),43.22)</f>
        <v>43.22</v>
      </c>
    </row>
    <row r="1008">
      <c r="A1008" s="2">
        <f>IFERROR(__xludf.DUMMYFUNCTION("""COMPUTED_VALUE"""),45560.66666666667)</f>
        <v>45560.66667</v>
      </c>
      <c r="B1008" s="1">
        <f>IFERROR(__xludf.DUMMYFUNCTION("""COMPUTED_VALUE"""),43.02)</f>
        <v>43.02</v>
      </c>
    </row>
    <row r="1009">
      <c r="A1009" s="2">
        <f>IFERROR(__xludf.DUMMYFUNCTION("""COMPUTED_VALUE"""),45561.66666666667)</f>
        <v>45561.66667</v>
      </c>
      <c r="B1009" s="1">
        <f>IFERROR(__xludf.DUMMYFUNCTION("""COMPUTED_VALUE"""),43.81)</f>
        <v>43.81</v>
      </c>
    </row>
    <row r="1010">
      <c r="A1010" s="2">
        <f>IFERROR(__xludf.DUMMYFUNCTION("""COMPUTED_VALUE"""),45562.66666666667)</f>
        <v>45562.66667</v>
      </c>
      <c r="B1010" s="1">
        <f>IFERROR(__xludf.DUMMYFUNCTION("""COMPUTED_VALUE"""),43.46)</f>
        <v>43.46</v>
      </c>
    </row>
    <row r="1011">
      <c r="A1011" s="2">
        <f>IFERROR(__xludf.DUMMYFUNCTION("""COMPUTED_VALUE"""),45565.66666666667)</f>
        <v>45565.66667</v>
      </c>
      <c r="B1011" s="1">
        <f>IFERROR(__xludf.DUMMYFUNCTION("""COMPUTED_VALUE"""),42.81)</f>
        <v>42.81</v>
      </c>
    </row>
    <row r="1012">
      <c r="A1012" s="2">
        <f>IFERROR(__xludf.DUMMYFUNCTION("""COMPUTED_VALUE"""),45566.66666666667)</f>
        <v>45566.66667</v>
      </c>
      <c r="B1012" s="1">
        <f>IFERROR(__xludf.DUMMYFUNCTION("""COMPUTED_VALUE"""),42.99)</f>
        <v>42.99</v>
      </c>
    </row>
    <row r="1013">
      <c r="A1013" s="2">
        <f>IFERROR(__xludf.DUMMYFUNCTION("""COMPUTED_VALUE"""),45567.66666666667)</f>
        <v>45567.66667</v>
      </c>
      <c r="B1013" s="1">
        <f>IFERROR(__xludf.DUMMYFUNCTION("""COMPUTED_VALUE"""),42.54)</f>
        <v>42.54</v>
      </c>
    </row>
    <row r="1014">
      <c r="A1014" s="2">
        <f>IFERROR(__xludf.DUMMYFUNCTION("""COMPUTED_VALUE"""),45568.66666666667)</f>
        <v>45568.66667</v>
      </c>
      <c r="B1014" s="1">
        <f>IFERROR(__xludf.DUMMYFUNCTION("""COMPUTED_VALUE"""),42.75)</f>
        <v>42.75</v>
      </c>
    </row>
    <row r="1015">
      <c r="A1015" s="2">
        <f>IFERROR(__xludf.DUMMYFUNCTION("""COMPUTED_VALUE"""),45569.66666666667)</f>
        <v>45569.66667</v>
      </c>
      <c r="B1015" s="1">
        <f>IFERROR(__xludf.DUMMYFUNCTION("""COMPUTED_VALUE"""),43.03)</f>
        <v>43.03</v>
      </c>
    </row>
    <row r="1016">
      <c r="A1016" s="2">
        <f>IFERROR(__xludf.DUMMYFUNCTION("""COMPUTED_VALUE"""),45572.66666666667)</f>
        <v>45572.66667</v>
      </c>
      <c r="B1016" s="1">
        <f>IFERROR(__xludf.DUMMYFUNCTION("""COMPUTED_VALUE"""),43.73)</f>
        <v>43.73</v>
      </c>
    </row>
    <row r="1017">
      <c r="A1017" s="2">
        <f>IFERROR(__xludf.DUMMYFUNCTION("""COMPUTED_VALUE"""),45573.66666666667)</f>
        <v>45573.66667</v>
      </c>
      <c r="B1017" s="1">
        <f>IFERROR(__xludf.DUMMYFUNCTION("""COMPUTED_VALUE"""),43.68)</f>
        <v>43.68</v>
      </c>
    </row>
    <row r="1018">
      <c r="A1018" s="2">
        <f>IFERROR(__xludf.DUMMYFUNCTION("""COMPUTED_VALUE"""),45574.66666666667)</f>
        <v>45574.66667</v>
      </c>
      <c r="B1018" s="1">
        <f>IFERROR(__xludf.DUMMYFUNCTION("""COMPUTED_VALUE"""),44.15)</f>
        <v>44.15</v>
      </c>
    </row>
    <row r="1019">
      <c r="A1019" s="2">
        <f>IFERROR(__xludf.DUMMYFUNCTION("""COMPUTED_VALUE"""),45575.66666666667)</f>
        <v>45575.66667</v>
      </c>
      <c r="B1019" s="1">
        <f>IFERROR(__xludf.DUMMYFUNCTION("""COMPUTED_VALUE"""),44.74)</f>
        <v>44.74</v>
      </c>
    </row>
    <row r="1020">
      <c r="A1020" s="2">
        <f>IFERROR(__xludf.DUMMYFUNCTION("""COMPUTED_VALUE"""),45576.66666666667)</f>
        <v>45576.66667</v>
      </c>
      <c r="B1020" s="1">
        <f>IFERROR(__xludf.DUMMYFUNCTION("""COMPUTED_VALUE"""),44.63)</f>
        <v>44.63</v>
      </c>
    </row>
    <row r="1021">
      <c r="A1021" s="2">
        <f>IFERROR(__xludf.DUMMYFUNCTION("""COMPUTED_VALUE"""),45579.66666666667)</f>
        <v>45579.66667</v>
      </c>
      <c r="B1021" s="1">
        <f>IFERROR(__xludf.DUMMYFUNCTION("""COMPUTED_VALUE"""),44.66)</f>
        <v>44.66</v>
      </c>
    </row>
    <row r="1022">
      <c r="A1022" s="2">
        <f>IFERROR(__xludf.DUMMYFUNCTION("""COMPUTED_VALUE"""),45580.66666666667)</f>
        <v>45580.66667</v>
      </c>
      <c r="B1022" s="1">
        <f>IFERROR(__xludf.DUMMYFUNCTION("""COMPUTED_VALUE"""),45.3)</f>
        <v>45.3</v>
      </c>
    </row>
    <row r="1023">
      <c r="A1023" s="2">
        <f>IFERROR(__xludf.DUMMYFUNCTION("""COMPUTED_VALUE"""),45581.66666666667)</f>
        <v>45581.66667</v>
      </c>
      <c r="B1023" s="1">
        <f>IFERROR(__xludf.DUMMYFUNCTION("""COMPUTED_VALUE"""),44.91)</f>
        <v>44.91</v>
      </c>
    </row>
    <row r="1024">
      <c r="A1024" s="2">
        <f>IFERROR(__xludf.DUMMYFUNCTION("""COMPUTED_VALUE"""),45582.66666666667)</f>
        <v>45582.66667</v>
      </c>
      <c r="B1024" s="1">
        <f>IFERROR(__xludf.DUMMYFUNCTION("""COMPUTED_VALUE"""),44.7)</f>
        <v>44.7</v>
      </c>
    </row>
    <row r="1025">
      <c r="A1025" s="2">
        <f>IFERROR(__xludf.DUMMYFUNCTION("""COMPUTED_VALUE"""),45583.66666666667)</f>
        <v>45583.66667</v>
      </c>
      <c r="B1025" s="1">
        <f>IFERROR(__xludf.DUMMYFUNCTION("""COMPUTED_VALUE"""),44.82)</f>
        <v>44.82</v>
      </c>
    </row>
    <row r="1026">
      <c r="A1026" s="2">
        <f>IFERROR(__xludf.DUMMYFUNCTION("""COMPUTED_VALUE"""),45586.66666666667)</f>
        <v>45586.66667</v>
      </c>
      <c r="B1026" s="1">
        <f>IFERROR(__xludf.DUMMYFUNCTION("""COMPUTED_VALUE"""),45.01)</f>
        <v>45.01</v>
      </c>
    </row>
    <row r="1027">
      <c r="A1027" s="2">
        <f>IFERROR(__xludf.DUMMYFUNCTION("""COMPUTED_VALUE"""),45587.66666666667)</f>
        <v>45587.66667</v>
      </c>
      <c r="B1027" s="1">
        <f>IFERROR(__xludf.DUMMYFUNCTION("""COMPUTED_VALUE"""),45.08)</f>
        <v>45.08</v>
      </c>
    </row>
    <row r="1028">
      <c r="A1028" s="2">
        <f>IFERROR(__xludf.DUMMYFUNCTION("""COMPUTED_VALUE"""),45588.66666666667)</f>
        <v>45588.66667</v>
      </c>
      <c r="B1028" s="1">
        <f>IFERROR(__xludf.DUMMYFUNCTION("""COMPUTED_VALUE"""),45.32)</f>
        <v>45.32</v>
      </c>
    </row>
    <row r="1029">
      <c r="A1029" s="2">
        <f>IFERROR(__xludf.DUMMYFUNCTION("""COMPUTED_VALUE"""),45589.66666666667)</f>
        <v>45589.66667</v>
      </c>
      <c r="B1029" s="1">
        <f>IFERROR(__xludf.DUMMYFUNCTION("""COMPUTED_VALUE"""),45.11)</f>
        <v>45.11</v>
      </c>
    </row>
    <row r="1030">
      <c r="A1030" s="2">
        <f>IFERROR(__xludf.DUMMYFUNCTION("""COMPUTED_VALUE"""),45590.66666666667)</f>
        <v>45590.66667</v>
      </c>
      <c r="B1030" s="1">
        <f>IFERROR(__xludf.DUMMYFUNCTION("""COMPUTED_VALUE"""),45.39)</f>
        <v>45.39</v>
      </c>
    </row>
    <row r="1031">
      <c r="A1031" s="2">
        <f>IFERROR(__xludf.DUMMYFUNCTION("""COMPUTED_VALUE"""),45593.66666666667)</f>
        <v>45593.66667</v>
      </c>
      <c r="B1031" s="1">
        <f>IFERROR(__xludf.DUMMYFUNCTION("""COMPUTED_VALUE"""),46.21)</f>
        <v>46.21</v>
      </c>
    </row>
    <row r="1032">
      <c r="A1032" s="2">
        <f>IFERROR(__xludf.DUMMYFUNCTION("""COMPUTED_VALUE"""),45594.66666666667)</f>
        <v>45594.66667</v>
      </c>
      <c r="B1032" s="1">
        <f>IFERROR(__xludf.DUMMYFUNCTION("""COMPUTED_VALUE"""),46.05)</f>
        <v>46.05</v>
      </c>
    </row>
    <row r="1033">
      <c r="A1033" s="2">
        <f>IFERROR(__xludf.DUMMYFUNCTION("""COMPUTED_VALUE"""),45596.66666666667)</f>
        <v>45596.66667</v>
      </c>
      <c r="B1033" s="1">
        <f>IFERROR(__xludf.DUMMYFUNCTION("""COMPUTED_VALUE"""),45.88)</f>
        <v>45.88</v>
      </c>
    </row>
    <row r="1034">
      <c r="A1034" s="2">
        <f>IFERROR(__xludf.DUMMYFUNCTION("""COMPUTED_VALUE"""),45597.66666666667)</f>
        <v>45597.66667</v>
      </c>
      <c r="B1034" s="1">
        <f>IFERROR(__xludf.DUMMYFUNCTION("""COMPUTED_VALUE"""),45.14)</f>
        <v>45.14</v>
      </c>
    </row>
    <row r="1035">
      <c r="A1035" s="2">
        <f>IFERROR(__xludf.DUMMYFUNCTION("""COMPUTED_VALUE"""),45600.66666666667)</f>
        <v>45600.66667</v>
      </c>
      <c r="B1035" s="1">
        <f>IFERROR(__xludf.DUMMYFUNCTION("""COMPUTED_VALUE"""),45.22)</f>
        <v>45.22</v>
      </c>
    </row>
    <row r="1036">
      <c r="A1036" s="2">
        <f>IFERROR(__xludf.DUMMYFUNCTION("""COMPUTED_VALUE"""),45601.66666666667)</f>
        <v>45601.66667</v>
      </c>
      <c r="B1036" s="1">
        <f>IFERROR(__xludf.DUMMYFUNCTION("""COMPUTED_VALUE"""),45.04)</f>
        <v>45.04</v>
      </c>
    </row>
    <row r="1037">
      <c r="A1037" s="2">
        <f>IFERROR(__xludf.DUMMYFUNCTION("""COMPUTED_VALUE"""),45602.66666666667)</f>
        <v>45602.66667</v>
      </c>
      <c r="B1037" s="1">
        <f>IFERROR(__xludf.DUMMYFUNCTION("""COMPUTED_VALUE"""),46.42)</f>
        <v>46.42</v>
      </c>
    </row>
    <row r="1038">
      <c r="A1038" s="2">
        <f>IFERROR(__xludf.DUMMYFUNCTION("""COMPUTED_VALUE"""),45603.66666666667)</f>
        <v>45603.66667</v>
      </c>
      <c r="B1038" s="1">
        <f>IFERROR(__xludf.DUMMYFUNCTION("""COMPUTED_VALUE"""),46.72)</f>
        <v>46.72</v>
      </c>
    </row>
    <row r="1039">
      <c r="A1039" s="2">
        <f>IFERROR(__xludf.DUMMYFUNCTION("""COMPUTED_VALUE"""),45604.66666666667)</f>
        <v>45604.66667</v>
      </c>
      <c r="B1039" s="1">
        <f>IFERROR(__xludf.DUMMYFUNCTION("""COMPUTED_VALUE"""),47.17)</f>
        <v>47.17</v>
      </c>
    </row>
    <row r="1040">
      <c r="A1040" s="2">
        <f>IFERROR(__xludf.DUMMYFUNCTION("""COMPUTED_VALUE"""),45607.66666666667)</f>
        <v>45607.66667</v>
      </c>
      <c r="B1040" s="1">
        <f>IFERROR(__xludf.DUMMYFUNCTION("""COMPUTED_VALUE"""),47.75)</f>
        <v>47.75</v>
      </c>
    </row>
    <row r="1041">
      <c r="A1041" s="2">
        <f>IFERROR(__xludf.DUMMYFUNCTION("""COMPUTED_VALUE"""),45608.66666666667)</f>
        <v>45608.66667</v>
      </c>
      <c r="B1041" s="1">
        <f>IFERROR(__xludf.DUMMYFUNCTION("""COMPUTED_VALUE"""),47.88)</f>
        <v>47.88</v>
      </c>
    </row>
    <row r="1042">
      <c r="A1042" s="2">
        <f>IFERROR(__xludf.DUMMYFUNCTION("""COMPUTED_VALUE"""),45609.66666666667)</f>
        <v>45609.66667</v>
      </c>
      <c r="B1042" s="1">
        <f>IFERROR(__xludf.DUMMYFUNCTION("""COMPUTED_VALUE"""),47.84)</f>
        <v>47.84</v>
      </c>
    </row>
    <row r="1043">
      <c r="A1043" s="2">
        <f>IFERROR(__xludf.DUMMYFUNCTION("""COMPUTED_VALUE"""),45610.66666666667)</f>
        <v>45610.66667</v>
      </c>
      <c r="B1043" s="1">
        <f>IFERROR(__xludf.DUMMYFUNCTION("""COMPUTED_VALUE"""),48.35)</f>
        <v>48.35</v>
      </c>
    </row>
    <row r="1044">
      <c r="A1044" s="2">
        <f>IFERROR(__xludf.DUMMYFUNCTION("""COMPUTED_VALUE"""),45611.66666666667)</f>
        <v>45611.66667</v>
      </c>
      <c r="B1044" s="1">
        <f>IFERROR(__xludf.DUMMYFUNCTION("""COMPUTED_VALUE"""),47.9)</f>
        <v>47.9</v>
      </c>
    </row>
    <row r="1045">
      <c r="A1045" s="2">
        <f>IFERROR(__xludf.DUMMYFUNCTION("""COMPUTED_VALUE"""),45614.66666666667)</f>
        <v>45614.66667</v>
      </c>
      <c r="B1045" s="1">
        <f>IFERROR(__xludf.DUMMYFUNCTION("""COMPUTED_VALUE"""),47.29)</f>
        <v>47.29</v>
      </c>
    </row>
    <row r="1046">
      <c r="A1046" s="2">
        <f>IFERROR(__xludf.DUMMYFUNCTION("""COMPUTED_VALUE"""),45615.66666666667)</f>
        <v>45615.66667</v>
      </c>
      <c r="B1046" s="1">
        <f>IFERROR(__xludf.DUMMYFUNCTION("""COMPUTED_VALUE"""),47.06)</f>
        <v>47.06</v>
      </c>
    </row>
    <row r="1047">
      <c r="A1047" s="2">
        <f>IFERROR(__xludf.DUMMYFUNCTION("""COMPUTED_VALUE"""),45616.66666666667)</f>
        <v>45616.66667</v>
      </c>
      <c r="B1047" s="1">
        <f>IFERROR(__xludf.DUMMYFUNCTION("""COMPUTED_VALUE"""),47.17)</f>
        <v>47.17</v>
      </c>
    </row>
    <row r="1048">
      <c r="A1048" s="2">
        <f>IFERROR(__xludf.DUMMYFUNCTION("""COMPUTED_VALUE"""),45617.66666666667)</f>
        <v>45617.66667</v>
      </c>
      <c r="B1048" s="1">
        <f>IFERROR(__xludf.DUMMYFUNCTION("""COMPUTED_VALUE"""),47.02)</f>
        <v>47.02</v>
      </c>
    </row>
    <row r="1049">
      <c r="A1049" s="2">
        <f>IFERROR(__xludf.DUMMYFUNCTION("""COMPUTED_VALUE"""),45618.66666666667)</f>
        <v>45618.66667</v>
      </c>
      <c r="B1049" s="1">
        <f>IFERROR(__xludf.DUMMYFUNCTION("""COMPUTED_VALUE"""),47.45)</f>
        <v>47.45</v>
      </c>
    </row>
    <row r="1050">
      <c r="A1050" s="2">
        <f>IFERROR(__xludf.DUMMYFUNCTION("""COMPUTED_VALUE"""),45621.66666666667)</f>
        <v>45621.66667</v>
      </c>
      <c r="B1050" s="1">
        <f>IFERROR(__xludf.DUMMYFUNCTION("""COMPUTED_VALUE"""),47.6)</f>
        <v>47.6</v>
      </c>
    </row>
    <row r="1051">
      <c r="A1051" s="2">
        <f>IFERROR(__xludf.DUMMYFUNCTION("""COMPUTED_VALUE"""),45622.66666666667)</f>
        <v>45622.66667</v>
      </c>
      <c r="B1051" s="1">
        <f>IFERROR(__xludf.DUMMYFUNCTION("""COMPUTED_VALUE"""),47.72)</f>
        <v>47.72</v>
      </c>
    </row>
    <row r="1052">
      <c r="A1052" s="2">
        <f>IFERROR(__xludf.DUMMYFUNCTION("""COMPUTED_VALUE"""),45623.66666666667)</f>
        <v>45623.66667</v>
      </c>
      <c r="B1052" s="1">
        <f>IFERROR(__xludf.DUMMYFUNCTION("""COMPUTED_VALUE"""),48.0)</f>
        <v>48</v>
      </c>
    </row>
    <row r="1053">
      <c r="A1053" s="2">
        <f>IFERROR(__xludf.DUMMYFUNCTION("""COMPUTED_VALUE"""),45624.66666666667)</f>
        <v>45624.66667</v>
      </c>
      <c r="B1053" s="1">
        <f>IFERROR(__xludf.DUMMYFUNCTION("""COMPUTED_VALUE"""),47.65)</f>
        <v>47.65</v>
      </c>
    </row>
    <row r="1054">
      <c r="A1054" s="2">
        <f>IFERROR(__xludf.DUMMYFUNCTION("""COMPUTED_VALUE"""),45625.66666666667)</f>
        <v>45625.66667</v>
      </c>
      <c r="B1054" s="1">
        <f>IFERROR(__xludf.DUMMYFUNCTION("""COMPUTED_VALUE"""),47.61)</f>
        <v>47.61</v>
      </c>
    </row>
    <row r="1055">
      <c r="A1055" s="2">
        <f>IFERROR(__xludf.DUMMYFUNCTION("""COMPUTED_VALUE"""),45628.66666666667)</f>
        <v>45628.66667</v>
      </c>
      <c r="B1055" s="1">
        <f>IFERROR(__xludf.DUMMYFUNCTION("""COMPUTED_VALUE"""),47.83)</f>
        <v>47.83</v>
      </c>
    </row>
    <row r="1056">
      <c r="A1056" s="2">
        <f>IFERROR(__xludf.DUMMYFUNCTION("""COMPUTED_VALUE"""),45629.66666666667)</f>
        <v>45629.66667</v>
      </c>
      <c r="B1056" s="1">
        <f>IFERROR(__xludf.DUMMYFUNCTION("""COMPUTED_VALUE"""),48.66)</f>
        <v>48.66</v>
      </c>
    </row>
    <row r="1057">
      <c r="A1057" s="2">
        <f>IFERROR(__xludf.DUMMYFUNCTION("""COMPUTED_VALUE"""),45630.66666666667)</f>
        <v>45630.66667</v>
      </c>
      <c r="B1057" s="1">
        <f>IFERROR(__xludf.DUMMYFUNCTION("""COMPUTED_VALUE"""),49.19)</f>
        <v>49.19</v>
      </c>
    </row>
    <row r="1058">
      <c r="A1058" s="2">
        <f>IFERROR(__xludf.DUMMYFUNCTION("""COMPUTED_VALUE"""),45631.66666666667)</f>
        <v>45631.66667</v>
      </c>
      <c r="B1058" s="1">
        <f>IFERROR(__xludf.DUMMYFUNCTION("""COMPUTED_VALUE"""),49.62)</f>
        <v>49.62</v>
      </c>
    </row>
    <row r="1059">
      <c r="A1059" s="2">
        <f>IFERROR(__xludf.DUMMYFUNCTION("""COMPUTED_VALUE"""),45632.66666666667)</f>
        <v>45632.66667</v>
      </c>
      <c r="B1059" s="1">
        <f>IFERROR(__xludf.DUMMYFUNCTION("""COMPUTED_VALUE"""),49.58)</f>
        <v>49.58</v>
      </c>
    </row>
    <row r="1060">
      <c r="A1060" s="2">
        <f>IFERROR(__xludf.DUMMYFUNCTION("""COMPUTED_VALUE"""),45635.66666666667)</f>
        <v>45635.66667</v>
      </c>
      <c r="B1060" s="1">
        <f>IFERROR(__xludf.DUMMYFUNCTION("""COMPUTED_VALUE"""),50.33)</f>
        <v>50.33</v>
      </c>
    </row>
    <row r="1061">
      <c r="A1061" s="2">
        <f>IFERROR(__xludf.DUMMYFUNCTION("""COMPUTED_VALUE"""),45636.66666666667)</f>
        <v>45636.66667</v>
      </c>
      <c r="B1061" s="1">
        <f>IFERROR(__xludf.DUMMYFUNCTION("""COMPUTED_VALUE"""),49.92)</f>
        <v>49.92</v>
      </c>
    </row>
    <row r="1062">
      <c r="A1062" s="2">
        <f>IFERROR(__xludf.DUMMYFUNCTION("""COMPUTED_VALUE"""),45637.66666666667)</f>
        <v>45637.66667</v>
      </c>
      <c r="B1062" s="1">
        <f>IFERROR(__xludf.DUMMYFUNCTION("""COMPUTED_VALUE"""),49.94)</f>
        <v>49.94</v>
      </c>
    </row>
    <row r="1063">
      <c r="A1063" s="2">
        <f>IFERROR(__xludf.DUMMYFUNCTION("""COMPUTED_VALUE"""),45638.66666666667)</f>
        <v>45638.66667</v>
      </c>
      <c r="B1063" s="1">
        <f>IFERROR(__xludf.DUMMYFUNCTION("""COMPUTED_VALUE"""),50.36)</f>
        <v>50.36</v>
      </c>
    </row>
    <row r="1064">
      <c r="A1064" s="2">
        <f>IFERROR(__xludf.DUMMYFUNCTION("""COMPUTED_VALUE"""),45639.66666666667)</f>
        <v>45639.66667</v>
      </c>
      <c r="B1064" s="1">
        <f>IFERROR(__xludf.DUMMYFUNCTION("""COMPUTED_VALUE"""),50.66)</f>
        <v>50.66</v>
      </c>
    </row>
    <row r="1065">
      <c r="A1065" s="2">
        <f>IFERROR(__xludf.DUMMYFUNCTION("""COMPUTED_VALUE"""),45642.66666666667)</f>
        <v>45642.66667</v>
      </c>
      <c r="B1065" s="1">
        <f>IFERROR(__xludf.DUMMYFUNCTION("""COMPUTED_VALUE"""),50.79)</f>
        <v>50.79</v>
      </c>
    </row>
    <row r="1066">
      <c r="A1066" s="2">
        <f>IFERROR(__xludf.DUMMYFUNCTION("""COMPUTED_VALUE"""),45643.66666666667)</f>
        <v>45643.66667</v>
      </c>
      <c r="B1066" s="1">
        <f>IFERROR(__xludf.DUMMYFUNCTION("""COMPUTED_VALUE"""),51.74)</f>
        <v>51.74</v>
      </c>
    </row>
    <row r="1067">
      <c r="A1067" s="2">
        <f>IFERROR(__xludf.DUMMYFUNCTION("""COMPUTED_VALUE"""),45644.66666666667)</f>
        <v>45644.66667</v>
      </c>
      <c r="B1067" s="1">
        <f>IFERROR(__xludf.DUMMYFUNCTION("""COMPUTED_VALUE"""),51.88)</f>
        <v>51.88</v>
      </c>
    </row>
    <row r="1068">
      <c r="A1068" s="2">
        <f>IFERROR(__xludf.DUMMYFUNCTION("""COMPUTED_VALUE"""),45645.66666666667)</f>
        <v>45645.66667</v>
      </c>
      <c r="B1068" s="1">
        <f>IFERROR(__xludf.DUMMYFUNCTION("""COMPUTED_VALUE"""),50.65)</f>
        <v>50.65</v>
      </c>
    </row>
    <row r="1069">
      <c r="A1069" s="2">
        <f>IFERROR(__xludf.DUMMYFUNCTION("""COMPUTED_VALUE"""),45646.66666666667)</f>
        <v>45646.66667</v>
      </c>
      <c r="B1069" s="1">
        <f>IFERROR(__xludf.DUMMYFUNCTION("""COMPUTED_VALUE"""),50.12)</f>
        <v>50.12</v>
      </c>
    </row>
    <row r="1070">
      <c r="A1070" s="2">
        <f>IFERROR(__xludf.DUMMYFUNCTION("""COMPUTED_VALUE"""),45649.66666666667)</f>
        <v>45649.66667</v>
      </c>
      <c r="B1070" s="1">
        <f>IFERROR(__xludf.DUMMYFUNCTION("""COMPUTED_VALUE"""),50.95)</f>
        <v>50.95</v>
      </c>
    </row>
    <row r="1071">
      <c r="A1071" s="2">
        <f>IFERROR(__xludf.DUMMYFUNCTION("""COMPUTED_VALUE"""),45650.59027777778)</f>
        <v>45650.59028</v>
      </c>
      <c r="B1071" s="1">
        <f>IFERROR(__xludf.DUMMYFUNCTION("""COMPUTED_VALUE"""),51.36)</f>
        <v>51.36</v>
      </c>
    </row>
    <row r="1072">
      <c r="A1072" s="2">
        <f>IFERROR(__xludf.DUMMYFUNCTION("""COMPUTED_VALUE"""),45653.66666666667)</f>
        <v>45653.66667</v>
      </c>
      <c r="B1072" s="1">
        <f>IFERROR(__xludf.DUMMYFUNCTION("""COMPUTED_VALUE"""),52.04)</f>
        <v>52.04</v>
      </c>
    </row>
    <row r="1073">
      <c r="A1073" s="2">
        <f>IFERROR(__xludf.DUMMYFUNCTION("""COMPUTED_VALUE"""),45656.66666666667)</f>
        <v>45656.66667</v>
      </c>
      <c r="B1073" s="1">
        <f>IFERROR(__xludf.DUMMYFUNCTION("""COMPUTED_VALUE"""),51.15)</f>
        <v>51.15</v>
      </c>
    </row>
    <row r="1074">
      <c r="A1074" s="2">
        <f>IFERROR(__xludf.DUMMYFUNCTION("""COMPUTED_VALUE"""),45657.59027777778)</f>
        <v>45657.59028</v>
      </c>
      <c r="B1074" s="1">
        <f>IFERROR(__xludf.DUMMYFUNCTION("""COMPUTED_VALUE"""),50.75)</f>
        <v>50.75</v>
      </c>
    </row>
    <row r="1075">
      <c r="A1075" s="2">
        <f>IFERROR(__xludf.DUMMYFUNCTION("""COMPUTED_VALUE"""),45659.66666666667)</f>
        <v>45659.66667</v>
      </c>
      <c r="B1075" s="1">
        <f>IFERROR(__xludf.DUMMYFUNCTION("""COMPUTED_VALUE"""),50.58)</f>
        <v>50.58</v>
      </c>
    </row>
    <row r="1076">
      <c r="A1076" s="2">
        <f>IFERROR(__xludf.DUMMYFUNCTION("""COMPUTED_VALUE"""),45660.66666666667)</f>
        <v>45660.66667</v>
      </c>
      <c r="B1076" s="1">
        <f>IFERROR(__xludf.DUMMYFUNCTION("""COMPUTED_VALUE"""),50.28)</f>
        <v>50.28</v>
      </c>
    </row>
    <row r="1077">
      <c r="A1077" s="2">
        <f>IFERROR(__xludf.DUMMYFUNCTION("""COMPUTED_VALUE"""),45663.66666666667)</f>
        <v>45663.66667</v>
      </c>
      <c r="B1077" s="1">
        <f>IFERROR(__xludf.DUMMYFUNCTION("""COMPUTED_VALUE"""),50.97)</f>
        <v>50.97</v>
      </c>
    </row>
    <row r="1078">
      <c r="A1078" s="2">
        <f>IFERROR(__xludf.DUMMYFUNCTION("""COMPUTED_VALUE"""),45664.66666666667)</f>
        <v>45664.66667</v>
      </c>
      <c r="B1078" s="1">
        <f>IFERROR(__xludf.DUMMYFUNCTION("""COMPUTED_VALUE"""),51.13)</f>
        <v>51.13</v>
      </c>
    </row>
    <row r="1079">
      <c r="A1079" s="2">
        <f>IFERROR(__xludf.DUMMYFUNCTION("""COMPUTED_VALUE"""),45665.66666666667)</f>
        <v>45665.66667</v>
      </c>
      <c r="B1079" s="1">
        <f>IFERROR(__xludf.DUMMYFUNCTION("""COMPUTED_VALUE"""),50.61)</f>
        <v>50.61</v>
      </c>
    </row>
    <row r="1080">
      <c r="A1080" s="2">
        <f>IFERROR(__xludf.DUMMYFUNCTION("""COMPUTED_VALUE"""),45666.66666666667)</f>
        <v>45666.66667</v>
      </c>
      <c r="B1080" s="1">
        <f>IFERROR(__xludf.DUMMYFUNCTION("""COMPUTED_VALUE"""),50.71)</f>
        <v>50.71</v>
      </c>
    </row>
    <row r="1081">
      <c r="A1081" s="2">
        <f>IFERROR(__xludf.DUMMYFUNCTION("""COMPUTED_VALUE"""),45667.66666666667)</f>
        <v>45667.66667</v>
      </c>
      <c r="B1081" s="1">
        <f>IFERROR(__xludf.DUMMYFUNCTION("""COMPUTED_VALUE"""),50.72)</f>
        <v>50.72</v>
      </c>
    </row>
    <row r="1082">
      <c r="A1082" s="2">
        <f>IFERROR(__xludf.DUMMYFUNCTION("""COMPUTED_VALUE"""),45670.66666666667)</f>
        <v>45670.66667</v>
      </c>
      <c r="B1082" s="1">
        <f>IFERROR(__xludf.DUMMYFUNCTION("""COMPUTED_VALUE"""),50.25)</f>
        <v>50.25</v>
      </c>
    </row>
    <row r="1083">
      <c r="A1083" s="2">
        <f>IFERROR(__xludf.DUMMYFUNCTION("""COMPUTED_VALUE"""),45671.66666666667)</f>
        <v>45671.66667</v>
      </c>
      <c r="B1083" s="1">
        <f>IFERROR(__xludf.DUMMYFUNCTION("""COMPUTED_VALUE"""),50.16)</f>
        <v>50.16</v>
      </c>
    </row>
    <row r="1084">
      <c r="A1084" s="2">
        <f>IFERROR(__xludf.DUMMYFUNCTION("""COMPUTED_VALUE"""),45672.66666666667)</f>
        <v>45672.66667</v>
      </c>
      <c r="B1084" s="1">
        <f>IFERROR(__xludf.DUMMYFUNCTION("""COMPUTED_VALUE"""),49.89)</f>
        <v>49.89</v>
      </c>
    </row>
    <row r="1085">
      <c r="A1085" s="2">
        <f>IFERROR(__xludf.DUMMYFUNCTION("""COMPUTED_VALUE"""),45673.66666666667)</f>
        <v>45673.66667</v>
      </c>
      <c r="B1085" s="1">
        <f>IFERROR(__xludf.DUMMYFUNCTION("""COMPUTED_VALUE"""),50.86)</f>
        <v>50.86</v>
      </c>
    </row>
    <row r="1086">
      <c r="A1086" s="2">
        <f>IFERROR(__xludf.DUMMYFUNCTION("""COMPUTED_VALUE"""),45674.66666666667)</f>
        <v>45674.66667</v>
      </c>
      <c r="B1086" s="1">
        <f>IFERROR(__xludf.DUMMYFUNCTION("""COMPUTED_VALUE"""),50.66)</f>
        <v>50.66</v>
      </c>
    </row>
    <row r="1087">
      <c r="A1087" s="2">
        <f>IFERROR(__xludf.DUMMYFUNCTION("""COMPUTED_VALUE"""),45677.66666666667)</f>
        <v>45677.66667</v>
      </c>
      <c r="B1087" s="1">
        <f>IFERROR(__xludf.DUMMYFUNCTION("""COMPUTED_VALUE"""),51.26)</f>
        <v>51.26</v>
      </c>
    </row>
    <row r="1088">
      <c r="A1088" s="2">
        <f>IFERROR(__xludf.DUMMYFUNCTION("""COMPUTED_VALUE"""),45678.66666666667)</f>
        <v>45678.66667</v>
      </c>
      <c r="B1088" s="1">
        <f>IFERROR(__xludf.DUMMYFUNCTION("""COMPUTED_VALUE"""),51.07)</f>
        <v>51.07</v>
      </c>
    </row>
    <row r="1089">
      <c r="A1089" s="2">
        <f>IFERROR(__xludf.DUMMYFUNCTION("""COMPUTED_VALUE"""),45679.66666666667)</f>
        <v>45679.66667</v>
      </c>
      <c r="B1089" s="1">
        <f>IFERROR(__xludf.DUMMYFUNCTION("""COMPUTED_VALUE"""),51.52)</f>
        <v>51.52</v>
      </c>
    </row>
    <row r="1090">
      <c r="A1090" s="2">
        <f>IFERROR(__xludf.DUMMYFUNCTION("""COMPUTED_VALUE"""),45680.66666666667)</f>
        <v>45680.66667</v>
      </c>
      <c r="B1090" s="1">
        <f>IFERROR(__xludf.DUMMYFUNCTION("""COMPUTED_VALUE"""),51.67)</f>
        <v>51.67</v>
      </c>
    </row>
    <row r="1091">
      <c r="A1091" s="2">
        <f>IFERROR(__xludf.DUMMYFUNCTION("""COMPUTED_VALUE"""),45681.66666666667)</f>
        <v>45681.66667</v>
      </c>
      <c r="B1091" s="1">
        <f>IFERROR(__xludf.DUMMYFUNCTION("""COMPUTED_VALUE"""),51.45)</f>
        <v>51.45</v>
      </c>
    </row>
    <row r="1092">
      <c r="A1092" s="2">
        <f>IFERROR(__xludf.DUMMYFUNCTION("""COMPUTED_VALUE"""),45685.66666666667)</f>
        <v>45685.66667</v>
      </c>
      <c r="B1092" s="1">
        <f>IFERROR(__xludf.DUMMYFUNCTION("""COMPUTED_VALUE"""),50.33)</f>
        <v>50.33</v>
      </c>
    </row>
    <row r="1093">
      <c r="A1093" s="2">
        <f>IFERROR(__xludf.DUMMYFUNCTION("""COMPUTED_VALUE"""),45686.66666666667)</f>
        <v>45686.66667</v>
      </c>
      <c r="B1093" s="1">
        <f>IFERROR(__xludf.DUMMYFUNCTION("""COMPUTED_VALUE"""),51.14)</f>
        <v>51.14</v>
      </c>
    </row>
    <row r="1094">
      <c r="A1094" s="2">
        <f>IFERROR(__xludf.DUMMYFUNCTION("""COMPUTED_VALUE"""),45687.66666666667)</f>
        <v>45687.66667</v>
      </c>
      <c r="B1094" s="1">
        <f>IFERROR(__xludf.DUMMYFUNCTION("""COMPUTED_VALUE"""),51.43)</f>
        <v>51.43</v>
      </c>
    </row>
    <row r="1095">
      <c r="A1095" s="2">
        <f>IFERROR(__xludf.DUMMYFUNCTION("""COMPUTED_VALUE"""),45688.66666666667)</f>
        <v>45688.66667</v>
      </c>
      <c r="B1095" s="1">
        <f>IFERROR(__xludf.DUMMYFUNCTION("""COMPUTED_VALUE"""),51.6)</f>
        <v>51.6</v>
      </c>
    </row>
    <row r="1096">
      <c r="A1096" s="2">
        <f>IFERROR(__xludf.DUMMYFUNCTION("""COMPUTED_VALUE"""),45691.66666666667)</f>
        <v>45691.66667</v>
      </c>
      <c r="B1096" s="1">
        <f>IFERROR(__xludf.DUMMYFUNCTION("""COMPUTED_VALUE"""),50.78)</f>
        <v>50.78</v>
      </c>
    </row>
    <row r="1097">
      <c r="A1097" s="2">
        <f>IFERROR(__xludf.DUMMYFUNCTION("""COMPUTED_VALUE"""),45692.66666666667)</f>
        <v>45692.66667</v>
      </c>
      <c r="B1097" s="1">
        <f>IFERROR(__xludf.DUMMYFUNCTION("""COMPUTED_VALUE"""),51.08)</f>
        <v>51.08</v>
      </c>
    </row>
    <row r="1098">
      <c r="A1098" s="2">
        <f>IFERROR(__xludf.DUMMYFUNCTION("""COMPUTED_VALUE"""),45693.66666666667)</f>
        <v>45693.66667</v>
      </c>
      <c r="B1098" s="1">
        <f>IFERROR(__xludf.DUMMYFUNCTION("""COMPUTED_VALUE"""),51.02)</f>
        <v>51.02</v>
      </c>
    </row>
    <row r="1099">
      <c r="A1099" s="2">
        <f>IFERROR(__xludf.DUMMYFUNCTION("""COMPUTED_VALUE"""),45694.66666666667)</f>
        <v>45694.66667</v>
      </c>
      <c r="B1099" s="1">
        <f>IFERROR(__xludf.DUMMYFUNCTION("""COMPUTED_VALUE"""),51.5)</f>
        <v>51.5</v>
      </c>
    </row>
    <row r="1100">
      <c r="A1100" s="2">
        <f>IFERROR(__xludf.DUMMYFUNCTION("""COMPUTED_VALUE"""),45695.66666666667)</f>
        <v>45695.66667</v>
      </c>
      <c r="B1100" s="1">
        <f>IFERROR(__xludf.DUMMYFUNCTION("""COMPUTED_VALUE"""),51.47)</f>
        <v>51.47</v>
      </c>
    </row>
    <row r="1101">
      <c r="A1101" s="2">
        <f>IFERROR(__xludf.DUMMYFUNCTION("""COMPUTED_VALUE"""),45698.66666666667)</f>
        <v>45698.66667</v>
      </c>
      <c r="B1101" s="1">
        <f>IFERROR(__xludf.DUMMYFUNCTION("""COMPUTED_VALUE"""),51.2)</f>
        <v>51.2</v>
      </c>
    </row>
    <row r="1102">
      <c r="A1102" s="2">
        <f>IFERROR(__xludf.DUMMYFUNCTION("""COMPUTED_VALUE"""),45699.66666666667)</f>
        <v>45699.66667</v>
      </c>
      <c r="B1102" s="1">
        <f>IFERROR(__xludf.DUMMYFUNCTION("""COMPUTED_VALUE"""),51.42)</f>
        <v>51.42</v>
      </c>
    </row>
    <row r="1103">
      <c r="A1103" s="2">
        <f>IFERROR(__xludf.DUMMYFUNCTION("""COMPUTED_VALUE"""),45700.66666666667)</f>
        <v>45700.66667</v>
      </c>
      <c r="B1103" s="1">
        <f>IFERROR(__xludf.DUMMYFUNCTION("""COMPUTED_VALUE"""),51.23)</f>
        <v>51.23</v>
      </c>
    </row>
    <row r="1104">
      <c r="A1104" s="2">
        <f>IFERROR(__xludf.DUMMYFUNCTION("""COMPUTED_VALUE"""),45701.66666666667)</f>
        <v>45701.66667</v>
      </c>
      <c r="B1104" s="1">
        <f>IFERROR(__xludf.DUMMYFUNCTION("""COMPUTED_VALUE"""),51.51)</f>
        <v>51.51</v>
      </c>
    </row>
    <row r="1105">
      <c r="A1105" s="2">
        <f>IFERROR(__xludf.DUMMYFUNCTION("""COMPUTED_VALUE"""),45702.66666666667)</f>
        <v>45702.66667</v>
      </c>
      <c r="B1105" s="1">
        <f>IFERROR(__xludf.DUMMYFUNCTION("""COMPUTED_VALUE"""),51.88)</f>
        <v>51.88</v>
      </c>
    </row>
    <row r="1106">
      <c r="A1106" s="2">
        <f>IFERROR(__xludf.DUMMYFUNCTION("""COMPUTED_VALUE"""),45705.66666666667)</f>
        <v>45705.66667</v>
      </c>
      <c r="B1106" s="1">
        <f>IFERROR(__xludf.DUMMYFUNCTION("""COMPUTED_VALUE"""),51.77)</f>
        <v>51.77</v>
      </c>
    </row>
    <row r="1107">
      <c r="A1107" s="2">
        <f>IFERROR(__xludf.DUMMYFUNCTION("""COMPUTED_VALUE"""),45706.66666666667)</f>
        <v>45706.66667</v>
      </c>
      <c r="B1107" s="1">
        <f>IFERROR(__xludf.DUMMYFUNCTION("""COMPUTED_VALUE"""),51.91)</f>
        <v>51.91</v>
      </c>
    </row>
    <row r="1108">
      <c r="A1108" s="2">
        <f>IFERROR(__xludf.DUMMYFUNCTION("""COMPUTED_VALUE"""),45707.66666666667)</f>
        <v>45707.66667</v>
      </c>
      <c r="B1108" s="1">
        <f>IFERROR(__xludf.DUMMYFUNCTION("""COMPUTED_VALUE"""),51.8)</f>
        <v>51.8</v>
      </c>
    </row>
    <row r="1109">
      <c r="A1109" s="2">
        <f>IFERROR(__xludf.DUMMYFUNCTION("""COMPUTED_VALUE"""),45708.66666666667)</f>
        <v>45708.66667</v>
      </c>
      <c r="B1109" s="1">
        <f>IFERROR(__xludf.DUMMYFUNCTION("""COMPUTED_VALUE"""),51.62)</f>
        <v>51.62</v>
      </c>
    </row>
    <row r="1110">
      <c r="A1110" s="2">
        <f>IFERROR(__xludf.DUMMYFUNCTION("""COMPUTED_VALUE"""),45709.66666666667)</f>
        <v>45709.66667</v>
      </c>
      <c r="B1110" s="1">
        <f>IFERROR(__xludf.DUMMYFUNCTION("""COMPUTED_VALUE"""),51.24)</f>
        <v>51.24</v>
      </c>
    </row>
    <row r="1111">
      <c r="A1111" s="2">
        <f>IFERROR(__xludf.DUMMYFUNCTION("""COMPUTED_VALUE"""),45712.66666666667)</f>
        <v>45712.66667</v>
      </c>
      <c r="B1111" s="1">
        <f>IFERROR(__xludf.DUMMYFUNCTION("""COMPUTED_VALUE"""),50.57)</f>
        <v>50.57</v>
      </c>
    </row>
    <row r="1112">
      <c r="A1112" s="2">
        <f>IFERROR(__xludf.DUMMYFUNCTION("""COMPUTED_VALUE"""),45713.66666666667)</f>
        <v>45713.66667</v>
      </c>
      <c r="B1112" s="1">
        <f>IFERROR(__xludf.DUMMYFUNCTION("""COMPUTED_VALUE"""),49.99)</f>
        <v>49.99</v>
      </c>
    </row>
    <row r="1113">
      <c r="A1113" s="2">
        <f>IFERROR(__xludf.DUMMYFUNCTION("""COMPUTED_VALUE"""),45714.66666666667)</f>
        <v>45714.66667</v>
      </c>
      <c r="B1113" s="1">
        <f>IFERROR(__xludf.DUMMYFUNCTION("""COMPUTED_VALUE"""),49.78)</f>
        <v>49.78</v>
      </c>
    </row>
    <row r="1114">
      <c r="A1114" s="2">
        <f>IFERROR(__xludf.DUMMYFUNCTION("""COMPUTED_VALUE"""),45715.66666666667)</f>
        <v>45715.66667</v>
      </c>
      <c r="B1114" s="1">
        <f>IFERROR(__xludf.DUMMYFUNCTION("""COMPUTED_VALUE"""),49.94)</f>
        <v>49.94</v>
      </c>
    </row>
    <row r="1115">
      <c r="A1115" s="2">
        <f>IFERROR(__xludf.DUMMYFUNCTION("""COMPUTED_VALUE"""),45716.66666666667)</f>
        <v>45716.66667</v>
      </c>
      <c r="B1115" s="1">
        <f>IFERROR(__xludf.DUMMYFUNCTION("""COMPUTED_VALUE"""),49.23)</f>
        <v>49.23</v>
      </c>
    </row>
    <row r="1116">
      <c r="A1116" s="2">
        <f>IFERROR(__xludf.DUMMYFUNCTION("""COMPUTED_VALUE"""),45719.66666666667)</f>
        <v>45719.66667</v>
      </c>
      <c r="B1116" s="1">
        <f>IFERROR(__xludf.DUMMYFUNCTION("""COMPUTED_VALUE"""),49.98)</f>
        <v>49.98</v>
      </c>
    </row>
    <row r="1117">
      <c r="A1117" s="2">
        <f>IFERROR(__xludf.DUMMYFUNCTION("""COMPUTED_VALUE"""),45720.66666666667)</f>
        <v>45720.66667</v>
      </c>
      <c r="B1117" s="1">
        <f>IFERROR(__xludf.DUMMYFUNCTION("""COMPUTED_VALUE"""),49.18)</f>
        <v>49.18</v>
      </c>
    </row>
    <row r="1118">
      <c r="A1118" s="2">
        <f>IFERROR(__xludf.DUMMYFUNCTION("""COMPUTED_VALUE"""),45721.66666666667)</f>
        <v>45721.66667</v>
      </c>
      <c r="B1118" s="1">
        <f>IFERROR(__xludf.DUMMYFUNCTION("""COMPUTED_VALUE"""),48.74)</f>
        <v>48.74</v>
      </c>
    </row>
    <row r="1119">
      <c r="A1119" s="2">
        <f>IFERROR(__xludf.DUMMYFUNCTION("""COMPUTED_VALUE"""),45722.66666666667)</f>
        <v>45722.66667</v>
      </c>
      <c r="B1119" s="1">
        <f>IFERROR(__xludf.DUMMYFUNCTION("""COMPUTED_VALUE"""),48.26)</f>
        <v>48.26</v>
      </c>
    </row>
    <row r="1120">
      <c r="A1120" s="2">
        <f>IFERROR(__xludf.DUMMYFUNCTION("""COMPUTED_VALUE"""),45723.66666666667)</f>
        <v>45723.66667</v>
      </c>
      <c r="B1120" s="1">
        <f>IFERROR(__xludf.DUMMYFUNCTION("""COMPUTED_VALUE"""),47.49)</f>
        <v>47.49</v>
      </c>
    </row>
    <row r="1121">
      <c r="A1121" s="2">
        <f>IFERROR(__xludf.DUMMYFUNCTION("""COMPUTED_VALUE"""),45726.66666666667)</f>
        <v>45726.66667</v>
      </c>
      <c r="B1121" s="1">
        <f>IFERROR(__xludf.DUMMYFUNCTION("""COMPUTED_VALUE"""),47.31)</f>
        <v>47.31</v>
      </c>
    </row>
    <row r="1122">
      <c r="A1122" s="2">
        <f>IFERROR(__xludf.DUMMYFUNCTION("""COMPUTED_VALUE"""),45727.66666666667)</f>
        <v>45727.66667</v>
      </c>
      <c r="B1122" s="1">
        <f>IFERROR(__xludf.DUMMYFUNCTION("""COMPUTED_VALUE"""),46.08)</f>
        <v>46.08</v>
      </c>
    </row>
    <row r="1123">
      <c r="A1123" s="2">
        <f>IFERROR(__xludf.DUMMYFUNCTION("""COMPUTED_VALUE"""),45728.66666666667)</f>
        <v>45728.66667</v>
      </c>
      <c r="B1123" s="1">
        <f>IFERROR(__xludf.DUMMYFUNCTION("""COMPUTED_VALUE"""),45.9)</f>
        <v>45.9</v>
      </c>
    </row>
    <row r="1124">
      <c r="A1124" s="2">
        <f>IFERROR(__xludf.DUMMYFUNCTION("""COMPUTED_VALUE"""),45729.66666666667)</f>
        <v>45729.66667</v>
      </c>
      <c r="B1124" s="1">
        <f>IFERROR(__xludf.DUMMYFUNCTION("""COMPUTED_VALUE"""),45.86)</f>
        <v>45.86</v>
      </c>
    </row>
    <row r="1125">
      <c r="A1125" s="2">
        <f>IFERROR(__xludf.DUMMYFUNCTION("""COMPUTED_VALUE"""),45730.66666666667)</f>
        <v>45730.66667</v>
      </c>
      <c r="B1125" s="1">
        <f>IFERROR(__xludf.DUMMYFUNCTION("""COMPUTED_VALUE"""),45.86)</f>
        <v>45.86</v>
      </c>
    </row>
    <row r="1126">
      <c r="A1126" s="2">
        <f>IFERROR(__xludf.DUMMYFUNCTION("""COMPUTED_VALUE"""),45733.66666666667)</f>
        <v>45733.66667</v>
      </c>
      <c r="B1126" s="1">
        <f>IFERROR(__xludf.DUMMYFUNCTION("""COMPUTED_VALUE"""),46.01)</f>
        <v>46.01</v>
      </c>
    </row>
    <row r="1127">
      <c r="A1127" s="2">
        <f>IFERROR(__xludf.DUMMYFUNCTION("""COMPUTED_VALUE"""),45734.66666666667)</f>
        <v>45734.66667</v>
      </c>
      <c r="B1127" s="1">
        <f>IFERROR(__xludf.DUMMYFUNCTION("""COMPUTED_VALUE"""),45.98)</f>
        <v>45.98</v>
      </c>
    </row>
    <row r="1128">
      <c r="A1128" s="2">
        <f>IFERROR(__xludf.DUMMYFUNCTION("""COMPUTED_VALUE"""),45735.66666666667)</f>
        <v>45735.66667</v>
      </c>
      <c r="B1128" s="1">
        <f>IFERROR(__xludf.DUMMYFUNCTION("""COMPUTED_VALUE"""),45.64)</f>
        <v>45.64</v>
      </c>
    </row>
    <row r="1129">
      <c r="A1129" s="2">
        <f>IFERROR(__xludf.DUMMYFUNCTION("""COMPUTED_VALUE"""),45736.66666666667)</f>
        <v>45736.66667</v>
      </c>
      <c r="B1129" s="1">
        <f>IFERROR(__xludf.DUMMYFUNCTION("""COMPUTED_VALUE"""),46.61)</f>
        <v>46.61</v>
      </c>
    </row>
    <row r="1130">
      <c r="A1130" s="2">
        <f>IFERROR(__xludf.DUMMYFUNCTION("""COMPUTED_VALUE"""),45737.66666666667)</f>
        <v>45737.66667</v>
      </c>
      <c r="B1130" s="1">
        <f>IFERROR(__xludf.DUMMYFUNCTION("""COMPUTED_VALUE"""),46.48)</f>
        <v>46.48</v>
      </c>
    </row>
    <row r="1131">
      <c r="A1131" s="2">
        <f>IFERROR(__xludf.DUMMYFUNCTION("""COMPUTED_VALUE"""),45740.66666666667)</f>
        <v>45740.66667</v>
      </c>
      <c r="B1131" s="1">
        <f>IFERROR(__xludf.DUMMYFUNCTION("""COMPUTED_VALUE"""),47.19)</f>
        <v>47.19</v>
      </c>
    </row>
    <row r="1132">
      <c r="A1132" s="2">
        <f>IFERROR(__xludf.DUMMYFUNCTION("""COMPUTED_VALUE"""),45741.66666666667)</f>
        <v>45741.66667</v>
      </c>
      <c r="B1132" s="1">
        <f>IFERROR(__xludf.DUMMYFUNCTION("""COMPUTED_VALUE"""),47.63)</f>
        <v>47.63</v>
      </c>
    </row>
    <row r="1133">
      <c r="A1133" s="2">
        <f>IFERROR(__xludf.DUMMYFUNCTION("""COMPUTED_VALUE"""),45742.66666666667)</f>
        <v>45742.66667</v>
      </c>
      <c r="B1133" s="1">
        <f>IFERROR(__xludf.DUMMYFUNCTION("""COMPUTED_VALUE"""),47.83)</f>
        <v>47.83</v>
      </c>
    </row>
    <row r="1134">
      <c r="A1134" s="2">
        <f>IFERROR(__xludf.DUMMYFUNCTION("""COMPUTED_VALUE"""),45743.66666666667)</f>
        <v>45743.66667</v>
      </c>
      <c r="B1134" s="1">
        <f>IFERROR(__xludf.DUMMYFUNCTION("""COMPUTED_VALUE"""),46.97)</f>
        <v>46.97</v>
      </c>
    </row>
    <row r="1135">
      <c r="A1135" s="2">
        <f>IFERROR(__xludf.DUMMYFUNCTION("""COMPUTED_VALUE"""),45744.66666666667)</f>
        <v>45744.66667</v>
      </c>
      <c r="B1135" s="1">
        <f>IFERROR(__xludf.DUMMYFUNCTION("""COMPUTED_VALUE"""),46.83)</f>
        <v>46.83</v>
      </c>
    </row>
    <row r="1136">
      <c r="A1136" s="2">
        <f>IFERROR(__xludf.DUMMYFUNCTION("""COMPUTED_VALUE"""),45747.66666666667)</f>
        <v>45747.66667</v>
      </c>
      <c r="B1136" s="1">
        <f>IFERROR(__xludf.DUMMYFUNCTION("""COMPUTED_VALUE"""),45.11)</f>
        <v>45.11</v>
      </c>
    </row>
    <row r="1137">
      <c r="A1137" s="2">
        <f>IFERROR(__xludf.DUMMYFUNCTION("""COMPUTED_VALUE"""),45748.66666666667)</f>
        <v>45748.66667</v>
      </c>
      <c r="B1137" s="1">
        <f>IFERROR(__xludf.DUMMYFUNCTION("""COMPUTED_VALUE"""),45.56)</f>
        <v>45.56</v>
      </c>
    </row>
    <row r="1138">
      <c r="A1138" s="2">
        <f>IFERROR(__xludf.DUMMYFUNCTION("""COMPUTED_VALUE"""),45749.66666666667)</f>
        <v>45749.66667</v>
      </c>
      <c r="B1138" s="1">
        <f>IFERROR(__xludf.DUMMYFUNCTION("""COMPUTED_VALUE"""),45.84)</f>
        <v>45.84</v>
      </c>
    </row>
    <row r="1139">
      <c r="A1139" s="2">
        <f>IFERROR(__xludf.DUMMYFUNCTION("""COMPUTED_VALUE"""),45750.66666666667)</f>
        <v>45750.66667</v>
      </c>
      <c r="B1139" s="1">
        <f>IFERROR(__xludf.DUMMYFUNCTION("""COMPUTED_VALUE"""),44.97)</f>
        <v>44.97</v>
      </c>
    </row>
    <row r="1140">
      <c r="A1140" s="2">
        <f>IFERROR(__xludf.DUMMYFUNCTION("""COMPUTED_VALUE"""),45751.66666666667)</f>
        <v>45751.66667</v>
      </c>
      <c r="B1140" s="1">
        <f>IFERROR(__xludf.DUMMYFUNCTION("""COMPUTED_VALUE"""),43.72)</f>
        <v>43.72</v>
      </c>
    </row>
    <row r="1141">
      <c r="A1141" s="2">
        <f>IFERROR(__xludf.DUMMYFUNCTION("""COMPUTED_VALUE"""),45754.66666666667)</f>
        <v>45754.66667</v>
      </c>
      <c r="B1141" s="1">
        <f>IFERROR(__xludf.DUMMYFUNCTION("""COMPUTED_VALUE"""),40.95)</f>
        <v>40.95</v>
      </c>
    </row>
    <row r="1142">
      <c r="A1142" s="2">
        <f>IFERROR(__xludf.DUMMYFUNCTION("""COMPUTED_VALUE"""),45755.66666666667)</f>
        <v>45755.66667</v>
      </c>
      <c r="B1142" s="1">
        <f>IFERROR(__xludf.DUMMYFUNCTION("""COMPUTED_VALUE"""),43.24)</f>
        <v>43.24</v>
      </c>
    </row>
    <row r="1143">
      <c r="A1143" s="2">
        <f>IFERROR(__xludf.DUMMYFUNCTION("""COMPUTED_VALUE"""),45756.66666666667)</f>
        <v>45756.66667</v>
      </c>
      <c r="B1143" s="1">
        <f>IFERROR(__xludf.DUMMYFUNCTION("""COMPUTED_VALUE"""),41.86)</f>
        <v>41.86</v>
      </c>
    </row>
    <row r="1144">
      <c r="A1144" s="2">
        <f>IFERROR(__xludf.DUMMYFUNCTION("""COMPUTED_VALUE"""),45757.66666666667)</f>
        <v>45757.66667</v>
      </c>
      <c r="B1144" s="1">
        <f>IFERROR(__xludf.DUMMYFUNCTION("""COMPUTED_VALUE"""),45.57)</f>
        <v>45.57</v>
      </c>
    </row>
    <row r="1145">
      <c r="A1145" s="2">
        <f>IFERROR(__xludf.DUMMYFUNCTION("""COMPUTED_VALUE"""),45758.66666666667)</f>
        <v>45758.66667</v>
      </c>
      <c r="B1145" s="1">
        <f>IFERROR(__xludf.DUMMYFUNCTION("""COMPUTED_VALUE"""),44.75)</f>
        <v>44.75</v>
      </c>
    </row>
    <row r="1146">
      <c r="A1146" s="2">
        <f>IFERROR(__xludf.DUMMYFUNCTION("""COMPUTED_VALUE"""),45761.66666666667)</f>
        <v>45761.66667</v>
      </c>
      <c r="B1146" s="1">
        <f>IFERROR(__xludf.DUMMYFUNCTION("""COMPUTED_VALUE"""),44.76)</f>
        <v>44.76</v>
      </c>
    </row>
    <row r="1147">
      <c r="A1147" s="2">
        <f>IFERROR(__xludf.DUMMYFUNCTION("""COMPUTED_VALUE"""),45762.66666666667)</f>
        <v>45762.66667</v>
      </c>
      <c r="B1147" s="1">
        <f>IFERROR(__xludf.DUMMYFUNCTION("""COMPUTED_VALUE"""),43.89)</f>
        <v>43.89</v>
      </c>
    </row>
    <row r="1148">
      <c r="A1148" s="2">
        <f>IFERROR(__xludf.DUMMYFUNCTION("""COMPUTED_VALUE"""),45763.66666666667)</f>
        <v>45763.66667</v>
      </c>
      <c r="B1148" s="1">
        <f>IFERROR(__xludf.DUMMYFUNCTION("""COMPUTED_VALUE"""),43.12)</f>
        <v>43.12</v>
      </c>
    </row>
    <row r="1149">
      <c r="A1149" s="2">
        <f>IFERROR(__xludf.DUMMYFUNCTION("""COMPUTED_VALUE"""),45764.66666666667)</f>
        <v>45764.66667</v>
      </c>
      <c r="B1149" s="1">
        <f>IFERROR(__xludf.DUMMYFUNCTION("""COMPUTED_VALUE"""),43.32)</f>
        <v>43.32</v>
      </c>
    </row>
    <row r="1150">
      <c r="A1150" s="2">
        <f>IFERROR(__xludf.DUMMYFUNCTION("""COMPUTED_VALUE"""),45769.66666666667)</f>
        <v>45769.66667</v>
      </c>
      <c r="B1150" s="1">
        <f>IFERROR(__xludf.DUMMYFUNCTION("""COMPUTED_VALUE"""),41.38)</f>
        <v>41.38</v>
      </c>
    </row>
    <row r="1151">
      <c r="A1151" s="2">
        <f>IFERROR(__xludf.DUMMYFUNCTION("""COMPUTED_VALUE"""),45770.66666666667)</f>
        <v>45770.66667</v>
      </c>
      <c r="B1151" s="1">
        <f>IFERROR(__xludf.DUMMYFUNCTION("""COMPUTED_VALUE"""),43.2)</f>
        <v>43.2</v>
      </c>
    </row>
    <row r="1152">
      <c r="A1152" s="2">
        <f>IFERROR(__xludf.DUMMYFUNCTION("""COMPUTED_VALUE"""),45771.66666666667)</f>
        <v>45771.66667</v>
      </c>
      <c r="B1152" s="1">
        <f>IFERROR(__xludf.DUMMYFUNCTION("""COMPUTED_VALUE"""),43.55)</f>
        <v>43.55</v>
      </c>
    </row>
    <row r="1153">
      <c r="A1153" s="2">
        <f>IFERROR(__xludf.DUMMYFUNCTION("""COMPUTED_VALUE"""),45775.66666666667)</f>
        <v>45775.66667</v>
      </c>
      <c r="B1153" s="1">
        <f>IFERROR(__xludf.DUMMYFUNCTION("""COMPUTED_VALUE"""),44.94)</f>
        <v>44.94</v>
      </c>
    </row>
    <row r="1154">
      <c r="A1154" s="2">
        <f>IFERROR(__xludf.DUMMYFUNCTION("""COMPUTED_VALUE"""),45776.66666666667)</f>
        <v>45776.66667</v>
      </c>
      <c r="B1154" s="1">
        <f>IFERROR(__xludf.DUMMYFUNCTION("""COMPUTED_VALUE"""),45.02)</f>
        <v>45.02</v>
      </c>
    </row>
    <row r="1155">
      <c r="A1155" s="2">
        <f>IFERROR(__xludf.DUMMYFUNCTION("""COMPUTED_VALUE"""),45777.66666666667)</f>
        <v>45777.66667</v>
      </c>
      <c r="B1155" s="1">
        <f>IFERROR(__xludf.DUMMYFUNCTION("""COMPUTED_VALUE"""),45.09)</f>
        <v>45.09</v>
      </c>
    </row>
    <row r="1156">
      <c r="A1156" s="2">
        <f>IFERROR(__xludf.DUMMYFUNCTION("""COMPUTED_VALUE"""),45778.66666666667)</f>
        <v>45778.66667</v>
      </c>
      <c r="B1156" s="1">
        <f>IFERROR(__xludf.DUMMYFUNCTION("""COMPUTED_VALUE"""),46.07)</f>
        <v>46.07</v>
      </c>
    </row>
    <row r="1157">
      <c r="A1157" s="2">
        <f>IFERROR(__xludf.DUMMYFUNCTION("""COMPUTED_VALUE"""),45779.66666666667)</f>
        <v>45779.66667</v>
      </c>
      <c r="B1157" s="1">
        <f>IFERROR(__xludf.DUMMYFUNCTION("""COMPUTED_VALUE"""),46.01)</f>
        <v>46.01</v>
      </c>
    </row>
    <row r="1158">
      <c r="A1158" s="2">
        <f>IFERROR(__xludf.DUMMYFUNCTION("""COMPUTED_VALUE"""),45782.66666666667)</f>
        <v>45782.66667</v>
      </c>
      <c r="B1158" s="1">
        <f>IFERROR(__xludf.DUMMYFUNCTION("""COMPUTED_VALUE"""),45.86)</f>
        <v>45.86</v>
      </c>
    </row>
    <row r="1159">
      <c r="A1159" s="2">
        <f>IFERROR(__xludf.DUMMYFUNCTION("""COMPUTED_VALUE"""),45783.66666666667)</f>
        <v>45783.66667</v>
      </c>
      <c r="B1159" s="1">
        <f>IFERROR(__xludf.DUMMYFUNCTION("""COMPUTED_VALUE"""),45.75)</f>
        <v>45.75</v>
      </c>
    </row>
    <row r="1160">
      <c r="A1160" s="2">
        <f>IFERROR(__xludf.DUMMYFUNCTION("""COMPUTED_VALUE"""),45784.66666666667)</f>
        <v>45784.66667</v>
      </c>
      <c r="B1160" s="1">
        <f>IFERROR(__xludf.DUMMYFUNCTION("""COMPUTED_VALUE"""),45.65)</f>
        <v>45.65</v>
      </c>
    </row>
    <row r="1161">
      <c r="A1161" s="2">
        <f>IFERROR(__xludf.DUMMYFUNCTION("""COMPUTED_VALUE"""),45785.66666666667)</f>
        <v>45785.66667</v>
      </c>
      <c r="B1161" s="1">
        <f>IFERROR(__xludf.DUMMYFUNCTION("""COMPUTED_VALUE"""),46.33)</f>
        <v>46.33</v>
      </c>
    </row>
    <row r="1162">
      <c r="A1162" s="2">
        <f>IFERROR(__xludf.DUMMYFUNCTION("""COMPUTED_VALUE"""),45786.66666666667)</f>
        <v>45786.66667</v>
      </c>
      <c r="B1162" s="1">
        <f>IFERROR(__xludf.DUMMYFUNCTION("""COMPUTED_VALUE"""),46.69)</f>
        <v>46.69</v>
      </c>
    </row>
    <row r="1163">
      <c r="A1163" s="2">
        <f>IFERROR(__xludf.DUMMYFUNCTION("""COMPUTED_VALUE"""),45789.66666666667)</f>
        <v>45789.66667</v>
      </c>
      <c r="B1163" s="1">
        <f>IFERROR(__xludf.DUMMYFUNCTION("""COMPUTED_VALUE"""),47.29)</f>
        <v>47.29</v>
      </c>
    </row>
    <row r="1164">
      <c r="A1164" s="2">
        <f>IFERROR(__xludf.DUMMYFUNCTION("""COMPUTED_VALUE"""),45790.66666666667)</f>
        <v>45790.66667</v>
      </c>
      <c r="B1164" s="1">
        <f>IFERROR(__xludf.DUMMYFUNCTION("""COMPUTED_VALUE"""),48.25)</f>
        <v>48.25</v>
      </c>
    </row>
    <row r="1165">
      <c r="A1165" s="2">
        <f>IFERROR(__xludf.DUMMYFUNCTION("""COMPUTED_VALUE"""),45791.66666666667)</f>
        <v>45791.66667</v>
      </c>
      <c r="B1165" s="1">
        <f>IFERROR(__xludf.DUMMYFUNCTION("""COMPUTED_VALUE"""),48.8)</f>
        <v>48.8</v>
      </c>
    </row>
    <row r="1166">
      <c r="A1166" s="2">
        <f>IFERROR(__xludf.DUMMYFUNCTION("""COMPUTED_VALUE"""),45792.66666666667)</f>
        <v>45792.66667</v>
      </c>
      <c r="B1166" s="1">
        <f>IFERROR(__xludf.DUMMYFUNCTION("""COMPUTED_VALUE"""),49.18)</f>
        <v>49.18</v>
      </c>
    </row>
    <row r="1167">
      <c r="A1167" s="2">
        <f>IFERROR(__xludf.DUMMYFUNCTION("""COMPUTED_VALUE"""),45793.66666666667)</f>
        <v>45793.66667</v>
      </c>
      <c r="B1167" s="1">
        <f>IFERROR(__xludf.DUMMYFUNCTION("""COMPUTED_VALUE"""),49.26)</f>
        <v>49.26</v>
      </c>
    </row>
    <row r="1168">
      <c r="A1168" s="2">
        <f>IFERROR(__xludf.DUMMYFUNCTION("""COMPUTED_VALUE"""),45796.66666666667)</f>
        <v>45796.66667</v>
      </c>
      <c r="B1168" s="1">
        <f>IFERROR(__xludf.DUMMYFUNCTION("""COMPUTED_VALUE"""),49.22)</f>
        <v>49.22</v>
      </c>
    </row>
    <row r="1169">
      <c r="A1169" s="2">
        <f>IFERROR(__xludf.DUMMYFUNCTION("""COMPUTED_VALUE"""),45797.66666666667)</f>
        <v>45797.66667</v>
      </c>
      <c r="B1169" s="1">
        <f>IFERROR(__xludf.DUMMYFUNCTION("""COMPUTED_VALUE"""),49.39)</f>
        <v>49.39</v>
      </c>
    </row>
    <row r="1170">
      <c r="A1170" s="2">
        <f>IFERROR(__xludf.DUMMYFUNCTION("""COMPUTED_VALUE"""),45798.66666666667)</f>
        <v>45798.66667</v>
      </c>
      <c r="B1170" s="1">
        <f>IFERROR(__xludf.DUMMYFUNCTION("""COMPUTED_VALUE"""),49.0)</f>
        <v>49</v>
      </c>
    </row>
    <row r="1171">
      <c r="A1171" s="2">
        <f>IFERROR(__xludf.DUMMYFUNCTION("""COMPUTED_VALUE"""),45799.66666666667)</f>
        <v>45799.66667</v>
      </c>
      <c r="B1171" s="1">
        <f>IFERROR(__xludf.DUMMYFUNCTION("""COMPUTED_VALUE"""),48.7)</f>
        <v>48.7</v>
      </c>
    </row>
    <row r="1172">
      <c r="A1172" s="2">
        <f>IFERROR(__xludf.DUMMYFUNCTION("""COMPUTED_VALUE"""),45800.66666666667)</f>
        <v>45800.66667</v>
      </c>
      <c r="B1172" s="1">
        <f>IFERROR(__xludf.DUMMYFUNCTION("""COMPUTED_VALUE"""),48.65)</f>
        <v>48.65</v>
      </c>
    </row>
    <row r="1173">
      <c r="A1173" s="2">
        <f>IFERROR(__xludf.DUMMYFUNCTION("""COMPUTED_VALUE"""),45803.66666666667)</f>
        <v>45803.66667</v>
      </c>
      <c r="B1173" s="1">
        <f>IFERROR(__xludf.DUMMYFUNCTION("""COMPUTED_VALUE"""),48.22)</f>
        <v>48.22</v>
      </c>
    </row>
    <row r="1174">
      <c r="A1174" s="2">
        <f>IFERROR(__xludf.DUMMYFUNCTION("""COMPUTED_VALUE"""),45804.66666666667)</f>
        <v>45804.66667</v>
      </c>
      <c r="B1174" s="1">
        <f>IFERROR(__xludf.DUMMYFUNCTION("""COMPUTED_VALUE"""),48.53)</f>
        <v>48.53</v>
      </c>
    </row>
    <row r="1175">
      <c r="A1175" s="2">
        <f>IFERROR(__xludf.DUMMYFUNCTION("""COMPUTED_VALUE"""),45805.66666666667)</f>
        <v>45805.66667</v>
      </c>
      <c r="B1175" s="1">
        <f>IFERROR(__xludf.DUMMYFUNCTION("""COMPUTED_VALUE"""),49.46)</f>
        <v>49.46</v>
      </c>
    </row>
    <row r="1176">
      <c r="A1176" s="2">
        <f>IFERROR(__xludf.DUMMYFUNCTION("""COMPUTED_VALUE"""),45806.66666666667)</f>
        <v>45806.66667</v>
      </c>
      <c r="B1176" s="1">
        <f>IFERROR(__xludf.DUMMYFUNCTION("""COMPUTED_VALUE"""),50.35)</f>
        <v>50.35</v>
      </c>
    </row>
    <row r="1177">
      <c r="A1177" s="2">
        <f>IFERROR(__xludf.DUMMYFUNCTION("""COMPUTED_VALUE"""),45807.66666666667)</f>
        <v>45807.66667</v>
      </c>
      <c r="B1177" s="1">
        <f>IFERROR(__xludf.DUMMYFUNCTION("""COMPUTED_VALUE"""),49.31)</f>
        <v>49.31</v>
      </c>
    </row>
    <row r="1178">
      <c r="A1178" s="2">
        <f>IFERROR(__xludf.DUMMYFUNCTION("""COMPUTED_VALUE"""),45810.66666666667)</f>
        <v>45810.66667</v>
      </c>
      <c r="B1178" s="1">
        <f>IFERROR(__xludf.DUMMYFUNCTION("""COMPUTED_VALUE"""),48.75)</f>
        <v>48.75</v>
      </c>
    </row>
    <row r="1179">
      <c r="A1179" s="2">
        <f>IFERROR(__xludf.DUMMYFUNCTION("""COMPUTED_VALUE"""),45811.66666666667)</f>
        <v>45811.66667</v>
      </c>
      <c r="B1179" s="1">
        <f>IFERROR(__xludf.DUMMYFUNCTION("""COMPUTED_VALUE"""),49.34)</f>
        <v>49.34</v>
      </c>
    </row>
    <row r="1180">
      <c r="A1180" s="2">
        <f>IFERROR(__xludf.DUMMYFUNCTION("""COMPUTED_VALUE"""),45812.66666666667)</f>
        <v>45812.66667</v>
      </c>
      <c r="B1180" s="1">
        <f>IFERROR(__xludf.DUMMYFUNCTION("""COMPUTED_VALUE"""),49.91)</f>
        <v>49.91</v>
      </c>
    </row>
    <row r="1181">
      <c r="A1181" s="2">
        <f>IFERROR(__xludf.DUMMYFUNCTION("""COMPUTED_VALUE"""),45813.66666666667)</f>
        <v>45813.66667</v>
      </c>
      <c r="B1181" s="1">
        <f>IFERROR(__xludf.DUMMYFUNCTION("""COMPUTED_VALUE"""),49.69)</f>
        <v>49.69</v>
      </c>
    </row>
    <row r="1182">
      <c r="A1182" s="2">
        <f>IFERROR(__xludf.DUMMYFUNCTION("""COMPUTED_VALUE"""),45814.66666666667)</f>
        <v>45814.66667</v>
      </c>
      <c r="B1182" s="1">
        <f>IFERROR(__xludf.DUMMYFUNCTION("""COMPUTED_VALUE"""),49.49)</f>
        <v>49.49</v>
      </c>
    </row>
    <row r="1183">
      <c r="A1183" s="2">
        <f>IFERROR(__xludf.DUMMYFUNCTION("""COMPUTED_VALUE"""),45818.66666666667)</f>
        <v>45818.66667</v>
      </c>
      <c r="B1183" s="1">
        <f>IFERROR(__xludf.DUMMYFUNCTION("""COMPUTED_VALUE"""),49.81)</f>
        <v>49.81</v>
      </c>
    </row>
    <row r="1184">
      <c r="A1184" s="2">
        <f>IFERROR(__xludf.DUMMYFUNCTION("""COMPUTED_VALUE"""),45819.66666666667)</f>
        <v>45819.66667</v>
      </c>
      <c r="B1184" s="1">
        <f>IFERROR(__xludf.DUMMYFUNCTION("""COMPUTED_VALUE"""),49.9)</f>
        <v>49.9</v>
      </c>
    </row>
    <row r="1185">
      <c r="A1185" s="2">
        <f>IFERROR(__xludf.DUMMYFUNCTION("""COMPUTED_VALUE"""),45820.66666666667)</f>
        <v>45820.66667</v>
      </c>
      <c r="B1185" s="1">
        <f>IFERROR(__xludf.DUMMYFUNCTION("""COMPUTED_VALUE"""),49.88)</f>
        <v>49.88</v>
      </c>
    </row>
    <row r="1186">
      <c r="A1186" s="2">
        <f>IFERROR(__xludf.DUMMYFUNCTION("""COMPUTED_VALUE"""),45821.66666666667)</f>
        <v>45821.66667</v>
      </c>
      <c r="B1186" s="1">
        <f>IFERROR(__xludf.DUMMYFUNCTION("""COMPUTED_VALUE"""),49.51)</f>
        <v>49.51</v>
      </c>
    </row>
    <row r="1187">
      <c r="A1187" s="2">
        <f>IFERROR(__xludf.DUMMYFUNCTION("""COMPUTED_VALUE"""),45824.66666666667)</f>
        <v>45824.66667</v>
      </c>
      <c r="B1187" s="1">
        <f>IFERROR(__xludf.DUMMYFUNCTION("""COMPUTED_VALUE"""),49.69)</f>
        <v>49.69</v>
      </c>
    </row>
    <row r="1188">
      <c r="A1188" s="2">
        <f>IFERROR(__xludf.DUMMYFUNCTION("""COMPUTED_VALUE"""),45825.66666666667)</f>
        <v>45825.66667</v>
      </c>
      <c r="B1188" s="1">
        <f>IFERROR(__xludf.DUMMYFUNCTION("""COMPUTED_VALUE"""),49.79)</f>
        <v>49.79</v>
      </c>
    </row>
    <row r="1189">
      <c r="A1189" s="2">
        <f>IFERROR(__xludf.DUMMYFUNCTION("""COMPUTED_VALUE"""),45826.66666666667)</f>
        <v>45826.66667</v>
      </c>
      <c r="B1189" s="1">
        <f>IFERROR(__xludf.DUMMYFUNCTION("""COMPUTED_VALUE"""),49.79)</f>
        <v>49.79</v>
      </c>
    </row>
    <row r="1190">
      <c r="A1190" s="2">
        <f>IFERROR(__xludf.DUMMYFUNCTION("""COMPUTED_VALUE"""),45827.66666666667)</f>
        <v>45827.66667</v>
      </c>
      <c r="B1190" s="1">
        <f>IFERROR(__xludf.DUMMYFUNCTION("""COMPUTED_VALUE"""),49.75)</f>
        <v>49.75</v>
      </c>
    </row>
    <row r="1191">
      <c r="A1191" s="2">
        <f>IFERROR(__xludf.DUMMYFUNCTION("""COMPUTED_VALUE"""),45828.66666666667)</f>
        <v>45828.66667</v>
      </c>
      <c r="B1191" s="1">
        <f>IFERROR(__xludf.DUMMYFUNCTION("""COMPUTED_VALUE"""),49.75)</f>
        <v>49.75</v>
      </c>
    </row>
    <row r="1192">
      <c r="A1192" s="2">
        <f>IFERROR(__xludf.DUMMYFUNCTION("""COMPUTED_VALUE"""),45831.66666666667)</f>
        <v>45831.66667</v>
      </c>
      <c r="B1192" s="1">
        <f>IFERROR(__xludf.DUMMYFUNCTION("""COMPUTED_VALUE"""),50.05)</f>
        <v>50.05</v>
      </c>
    </row>
    <row r="1193">
      <c r="A1193" s="2">
        <f>IFERROR(__xludf.DUMMYFUNCTION("""COMPUTED_VALUE"""),45832.66666666667)</f>
        <v>45832.66667</v>
      </c>
      <c r="B1193" s="1">
        <f>IFERROR(__xludf.DUMMYFUNCTION("""COMPUTED_VALUE"""),50.71)</f>
        <v>50.71</v>
      </c>
    </row>
    <row r="1194">
      <c r="A1194" s="2">
        <f>IFERROR(__xludf.DUMMYFUNCTION("""COMPUTED_VALUE"""),45833.66666666667)</f>
        <v>45833.66667</v>
      </c>
      <c r="B1194" s="1">
        <f>IFERROR(__xludf.DUMMYFUNCTION("""COMPUTED_VALUE"""),50.93)</f>
        <v>50.93</v>
      </c>
    </row>
    <row r="1195">
      <c r="A1195" s="2">
        <f>IFERROR(__xludf.DUMMYFUNCTION("""COMPUTED_VALUE"""),45834.66666666667)</f>
        <v>45834.66667</v>
      </c>
      <c r="B1195" s="1">
        <f>IFERROR(__xludf.DUMMYFUNCTION("""COMPUTED_VALUE"""),50.84)</f>
        <v>50.84</v>
      </c>
    </row>
    <row r="1196">
      <c r="A1196" s="2">
        <f>IFERROR(__xludf.DUMMYFUNCTION("""COMPUTED_VALUE"""),45835.66666666667)</f>
        <v>45835.66667</v>
      </c>
      <c r="B1196" s="1">
        <f>IFERROR(__xludf.DUMMYFUNCTION("""COMPUTED_VALUE"""),51.14)</f>
        <v>51.14</v>
      </c>
    </row>
    <row r="1197">
      <c r="A1197" s="2">
        <f>IFERROR(__xludf.DUMMYFUNCTION("""COMPUTED_VALUE"""),45838.66666666667)</f>
        <v>45838.66667</v>
      </c>
      <c r="B1197" s="1">
        <f>IFERROR(__xludf.DUMMYFUNCTION("""COMPUTED_VALUE"""),51.51)</f>
        <v>51.51</v>
      </c>
    </row>
    <row r="1198">
      <c r="A1198" s="2">
        <f>IFERROR(__xludf.DUMMYFUNCTION("""COMPUTED_VALUE"""),45839.66666666667)</f>
        <v>45839.66667</v>
      </c>
      <c r="B1198" s="1">
        <f>IFERROR(__xludf.DUMMYFUNCTION("""COMPUTED_VALUE"""),50.71)</f>
        <v>50.71</v>
      </c>
    </row>
    <row r="1199">
      <c r="A1199" s="2">
        <f>IFERROR(__xludf.DUMMYFUNCTION("""COMPUTED_VALUE"""),45840.66666666667)</f>
        <v>45840.66667</v>
      </c>
      <c r="B1199" s="1">
        <f>IFERROR(__xludf.DUMMYFUNCTION("""COMPUTED_VALUE"""),50.53)</f>
        <v>50.53</v>
      </c>
    </row>
    <row r="1200">
      <c r="A1200" s="2">
        <f>IFERROR(__xludf.DUMMYFUNCTION("""COMPUTED_VALUE"""),45841.66666666667)</f>
        <v>45841.66667</v>
      </c>
      <c r="B1200" s="1">
        <f>IFERROR(__xludf.DUMMYFUNCTION("""COMPUTED_VALUE"""),50.8)</f>
        <v>50.8</v>
      </c>
    </row>
    <row r="1201">
      <c r="A1201" s="2">
        <f>IFERROR(__xludf.DUMMYFUNCTION("""COMPUTED_VALUE"""),45842.66666666667)</f>
        <v>45842.66667</v>
      </c>
      <c r="B1201" s="1">
        <f>IFERROR(__xludf.DUMMYFUNCTION("""COMPUTED_VALUE"""),51.13)</f>
        <v>51.13</v>
      </c>
    </row>
    <row r="1202">
      <c r="A1202" s="2">
        <f>IFERROR(__xludf.DUMMYFUNCTION("""COMPUTED_VALUE"""),45845.66666666667)</f>
        <v>45845.66667</v>
      </c>
      <c r="B1202" s="1">
        <f>IFERROR(__xludf.DUMMYFUNCTION("""COMPUTED_VALUE"""),51.46)</f>
        <v>51.46</v>
      </c>
    </row>
    <row r="1203">
      <c r="A1203" s="2">
        <f>IFERROR(__xludf.DUMMYFUNCTION("""COMPUTED_VALUE"""),45846.66666666667)</f>
        <v>45846.66667</v>
      </c>
      <c r="B1203" s="1">
        <f>IFERROR(__xludf.DUMMYFUNCTION("""COMPUTED_VALUE"""),51.29)</f>
        <v>51.29</v>
      </c>
    </row>
    <row r="1204">
      <c r="A1204" s="2">
        <f>IFERROR(__xludf.DUMMYFUNCTION("""COMPUTED_VALUE"""),45847.66666666667)</f>
        <v>45847.66667</v>
      </c>
      <c r="B1204" s="1">
        <f>IFERROR(__xludf.DUMMYFUNCTION("""COMPUTED_VALUE"""),51.15)</f>
        <v>51.15</v>
      </c>
    </row>
    <row r="1205">
      <c r="A1205" s="2">
        <f>IFERROR(__xludf.DUMMYFUNCTION("""COMPUTED_VALUE"""),45848.66666666667)</f>
        <v>45848.66667</v>
      </c>
      <c r="B1205" s="1">
        <f>IFERROR(__xludf.DUMMYFUNCTION("""COMPUTED_VALUE"""),51.27)</f>
        <v>51.27</v>
      </c>
    </row>
    <row r="1206">
      <c r="A1206" s="2">
        <f>IFERROR(__xludf.DUMMYFUNCTION("""COMPUTED_VALUE"""),45849.66666666667)</f>
        <v>45849.66667</v>
      </c>
      <c r="B1206" s="1">
        <f>IFERROR(__xludf.DUMMYFUNCTION("""COMPUTED_VALUE"""),51.01)</f>
        <v>51.01</v>
      </c>
    </row>
    <row r="1207">
      <c r="A1207" s="2">
        <f>IFERROR(__xludf.DUMMYFUNCTION("""COMPUTED_VALUE"""),45852.66666666667)</f>
        <v>45852.66667</v>
      </c>
      <c r="B1207" s="1">
        <f>IFERROR(__xludf.DUMMYFUNCTION("""COMPUTED_VALUE"""),50.85)</f>
        <v>50.85</v>
      </c>
    </row>
    <row r="1208">
      <c r="A1208" s="2">
        <f>IFERROR(__xludf.DUMMYFUNCTION("""COMPUTED_VALUE"""),45853.66666666667)</f>
        <v>45853.66667</v>
      </c>
      <c r="B1208" s="1">
        <f>IFERROR(__xludf.DUMMYFUNCTION("""COMPUTED_VALUE"""),51.64)</f>
        <v>51.64</v>
      </c>
    </row>
    <row r="1209">
      <c r="A1209" s="2">
        <f>IFERROR(__xludf.DUMMYFUNCTION("""COMPUTED_VALUE"""),45854.66666666667)</f>
        <v>45854.66667</v>
      </c>
      <c r="B1209" s="1">
        <f>IFERROR(__xludf.DUMMYFUNCTION("""COMPUTED_VALUE"""),51.53)</f>
        <v>51.53</v>
      </c>
    </row>
    <row r="1210">
      <c r="A1210" s="2">
        <f>IFERROR(__xludf.DUMMYFUNCTION("""COMPUTED_VALUE"""),45855.66666666667)</f>
        <v>45855.66667</v>
      </c>
      <c r="B1210" s="1">
        <f>IFERROR(__xludf.DUMMYFUNCTION("""COMPUTED_VALUE"""),52.12)</f>
        <v>52.12</v>
      </c>
    </row>
    <row r="1211">
      <c r="A1211" s="2">
        <f>IFERROR(__xludf.DUMMYFUNCTION("""COMPUTED_VALUE"""),45856.66666666667)</f>
        <v>45856.66667</v>
      </c>
      <c r="B1211" s="1">
        <f>IFERROR(__xludf.DUMMYFUNCTION("""COMPUTED_VALUE"""),52.46)</f>
        <v>52.46</v>
      </c>
    </row>
    <row r="1212">
      <c r="A1212" s="2">
        <f>IFERROR(__xludf.DUMMYFUNCTION("""COMPUTED_VALUE"""),45859.66666666667)</f>
        <v>45859.66667</v>
      </c>
      <c r="B1212" s="1">
        <f>IFERROR(__xludf.DUMMYFUNCTION("""COMPUTED_VALUE"""),52.28)</f>
        <v>52.28</v>
      </c>
    </row>
    <row r="1213">
      <c r="A1213" s="2">
        <f>IFERROR(__xludf.DUMMYFUNCTION("""COMPUTED_VALUE"""),45860.66666666667)</f>
        <v>45860.66667</v>
      </c>
      <c r="B1213" s="1">
        <f>IFERROR(__xludf.DUMMYFUNCTION("""COMPUTED_VALUE"""),52.37)</f>
        <v>52.37</v>
      </c>
    </row>
    <row r="1214">
      <c r="A1214" s="2">
        <f>IFERROR(__xludf.DUMMYFUNCTION("""COMPUTED_VALUE"""),45861.66666666667)</f>
        <v>45861.66667</v>
      </c>
      <c r="B1214" s="1">
        <f>IFERROR(__xludf.DUMMYFUNCTION("""COMPUTED_VALUE"""),51.81)</f>
        <v>51.81</v>
      </c>
    </row>
    <row r="1215">
      <c r="A1215" s="2">
        <f>IFERROR(__xludf.DUMMYFUNCTION("""COMPUTED_VALUE"""),45862.66666666667)</f>
        <v>45862.66667</v>
      </c>
      <c r="B1215" s="1">
        <f>IFERROR(__xludf.DUMMYFUNCTION("""COMPUTED_VALUE"""),51.75)</f>
        <v>51.75</v>
      </c>
    </row>
    <row r="1216">
      <c r="A1216" s="2">
        <f>IFERROR(__xludf.DUMMYFUNCTION("""COMPUTED_VALUE"""),45863.66666666667)</f>
        <v>45863.66667</v>
      </c>
      <c r="B1216" s="1">
        <f>IFERROR(__xludf.DUMMYFUNCTION("""COMPUTED_VALUE"""),52.08)</f>
        <v>52.08</v>
      </c>
    </row>
    <row r="1217">
      <c r="A1217" s="2">
        <f>IFERROR(__xludf.DUMMYFUNCTION("""COMPUTED_VALUE"""),45866.66666666667)</f>
        <v>45866.66667</v>
      </c>
      <c r="B1217" s="1">
        <f>IFERROR(__xludf.DUMMYFUNCTION("""COMPUTED_VALUE"""),52.61)</f>
        <v>52.61</v>
      </c>
    </row>
    <row r="1218">
      <c r="A1218" s="2">
        <f>IFERROR(__xludf.DUMMYFUNCTION("""COMPUTED_VALUE"""),45867.66666666667)</f>
        <v>45867.66667</v>
      </c>
      <c r="B1218" s="1">
        <f>IFERROR(__xludf.DUMMYFUNCTION("""COMPUTED_VALUE"""),52.86)</f>
        <v>52.86</v>
      </c>
    </row>
    <row r="1219">
      <c r="A1219" s="2">
        <f>IFERROR(__xludf.DUMMYFUNCTION("""COMPUTED_VALUE"""),45868.66666666667)</f>
        <v>45868.66667</v>
      </c>
      <c r="B1219" s="1">
        <f>IFERROR(__xludf.DUMMYFUNCTION("""COMPUTED_VALUE"""),52.85)</f>
        <v>52.85</v>
      </c>
    </row>
    <row r="1220">
      <c r="A1220" s="2">
        <f>IFERROR(__xludf.DUMMYFUNCTION("""COMPUTED_VALUE"""),45869.66666666667)</f>
        <v>45869.66667</v>
      </c>
      <c r="B1220" s="1">
        <f>IFERROR(__xludf.DUMMYFUNCTION("""COMPUTED_VALUE"""),53.9)</f>
        <v>53.9</v>
      </c>
    </row>
    <row r="1221">
      <c r="A1221" s="2">
        <f>IFERROR(__xludf.DUMMYFUNCTION("""COMPUTED_VALUE"""),45870.66666666667)</f>
        <v>45870.66667</v>
      </c>
      <c r="B1221" s="1">
        <f>IFERROR(__xludf.DUMMYFUNCTION("""COMPUTED_VALUE"""),53.02)</f>
        <v>53.02</v>
      </c>
    </row>
    <row r="1222">
      <c r="A1222" s="2">
        <f>IFERROR(__xludf.DUMMYFUNCTION("""COMPUTED_VALUE"""),45873.66666666667)</f>
        <v>45873.66667</v>
      </c>
      <c r="B1222" s="1">
        <f>IFERROR(__xludf.DUMMYFUNCTION("""COMPUTED_VALUE"""),51.98)</f>
        <v>51.98</v>
      </c>
    </row>
    <row r="1223">
      <c r="A1223" s="2">
        <f>IFERROR(__xludf.DUMMYFUNCTION("""COMPUTED_VALUE"""),45874.66666666667)</f>
        <v>45874.66667</v>
      </c>
      <c r="B1223" s="1">
        <f>IFERROR(__xludf.DUMMYFUNCTION("""COMPUTED_VALUE"""),53.01)</f>
        <v>53.01</v>
      </c>
    </row>
    <row r="1224">
      <c r="A1224" s="2">
        <f>IFERROR(__xludf.DUMMYFUNCTION("""COMPUTED_VALUE"""),45875.66666666667)</f>
        <v>45875.66667</v>
      </c>
      <c r="B1224" s="1">
        <f>IFERROR(__xludf.DUMMYFUNCTION("""COMPUTED_VALUE"""),52.4)</f>
        <v>52.4</v>
      </c>
    </row>
    <row r="1225">
      <c r="A1225" s="2">
        <f>IFERROR(__xludf.DUMMYFUNCTION("""COMPUTED_VALUE"""),45876.66666666667)</f>
        <v>45876.66667</v>
      </c>
      <c r="B1225" s="1">
        <f>IFERROR(__xludf.DUMMYFUNCTION("""COMPUTED_VALUE"""),52.82)</f>
        <v>52.82</v>
      </c>
    </row>
    <row r="1226">
      <c r="A1226" s="2">
        <f>IFERROR(__xludf.DUMMYFUNCTION("""COMPUTED_VALUE"""),45877.66666666667)</f>
        <v>45877.66667</v>
      </c>
      <c r="B1226" s="1">
        <f>IFERROR(__xludf.DUMMYFUNCTION("""COMPUTED_VALUE"""),52.9)</f>
        <v>52.9</v>
      </c>
    </row>
    <row r="1227">
      <c r="A1227" s="2">
        <f>IFERROR(__xludf.DUMMYFUNCTION("""COMPUTED_VALUE"""),45880.66666666667)</f>
        <v>45880.66667</v>
      </c>
      <c r="B1227" s="1">
        <f>IFERROR(__xludf.DUMMYFUNCTION("""COMPUTED_VALUE"""),53.35)</f>
        <v>53.35</v>
      </c>
    </row>
    <row r="1228">
      <c r="A1228" s="2">
        <f>IFERROR(__xludf.DUMMYFUNCTION("""COMPUTED_VALUE"""),45881.66666666667)</f>
        <v>45881.66667</v>
      </c>
      <c r="B1228" s="1">
        <f>IFERROR(__xludf.DUMMYFUNCTION("""COMPUTED_VALUE"""),53.32)</f>
        <v>53.32</v>
      </c>
    </row>
    <row r="1229">
      <c r="A1229" s="2">
        <f>IFERROR(__xludf.DUMMYFUNCTION("""COMPUTED_VALUE"""),45882.66666666667)</f>
        <v>45882.66667</v>
      </c>
      <c r="B1229" s="1">
        <f>IFERROR(__xludf.DUMMYFUNCTION("""COMPUTED_VALUE"""),53.77)</f>
        <v>53.77</v>
      </c>
    </row>
    <row r="1230">
      <c r="A1230" s="2">
        <f>IFERROR(__xludf.DUMMYFUNCTION("""COMPUTED_VALUE"""),45883.66666666667)</f>
        <v>45883.66667</v>
      </c>
      <c r="B1230" s="1">
        <f>IFERROR(__xludf.DUMMYFUNCTION("""COMPUTED_VALUE"""),53.56)</f>
        <v>53.56</v>
      </c>
    </row>
    <row r="1231">
      <c r="A1231" s="2">
        <f>IFERROR(__xludf.DUMMYFUNCTION("""COMPUTED_VALUE"""),45884.66666666667)</f>
        <v>45884.66667</v>
      </c>
      <c r="B1231" s="1">
        <f>IFERROR(__xludf.DUMMYFUNCTION("""COMPUTED_VALUE"""),54.0)</f>
        <v>54</v>
      </c>
    </row>
    <row r="1232">
      <c r="A1232" s="2">
        <f>IFERROR(__xludf.DUMMYFUNCTION("""COMPUTED_VALUE"""),45887.66666666667)</f>
        <v>45887.66667</v>
      </c>
      <c r="B1232" s="1">
        <f>IFERROR(__xludf.DUMMYFUNCTION("""COMPUTED_VALUE"""),53.67)</f>
        <v>53.67</v>
      </c>
    </row>
    <row r="1233">
      <c r="A1233" s="2">
        <f>IFERROR(__xludf.DUMMYFUNCTION("""COMPUTED_VALUE"""),45888.66666666667)</f>
        <v>45888.66667</v>
      </c>
      <c r="B1233" s="1">
        <f>IFERROR(__xludf.DUMMYFUNCTION("""COMPUTED_VALUE"""),53.76)</f>
        <v>53.76</v>
      </c>
    </row>
    <row r="1234">
      <c r="A1234" s="2">
        <f>IFERROR(__xludf.DUMMYFUNCTION("""COMPUTED_VALUE"""),45889.66666666667)</f>
        <v>45889.66667</v>
      </c>
      <c r="B1234" s="1">
        <f>IFERROR(__xludf.DUMMYFUNCTION("""COMPUTED_VALUE"""),53.23)</f>
        <v>53.23</v>
      </c>
    </row>
    <row r="1235">
      <c r="A1235" s="2">
        <f>IFERROR(__xludf.DUMMYFUNCTION("""COMPUTED_VALUE"""),45890.66666666667)</f>
        <v>45890.66667</v>
      </c>
      <c r="B1235" s="1">
        <f>IFERROR(__xludf.DUMMYFUNCTION("""COMPUTED_VALUE"""),53.36)</f>
        <v>53.36</v>
      </c>
    </row>
    <row r="1236">
      <c r="A1236" s="2">
        <f>IFERROR(__xludf.DUMMYFUNCTION("""COMPUTED_VALUE"""),45891.66666666667)</f>
        <v>45891.66667</v>
      </c>
      <c r="B1236" s="1">
        <f>IFERROR(__xludf.DUMMYFUNCTION("""COMPUTED_VALUE"""),53.03)</f>
        <v>53.03</v>
      </c>
    </row>
    <row r="1237">
      <c r="A1237" s="2">
        <f>IFERROR(__xludf.DUMMYFUNCTION("""COMPUTED_VALUE"""),45894.66666666667)</f>
        <v>45894.66667</v>
      </c>
      <c r="B1237" s="1">
        <f>IFERROR(__xludf.DUMMYFUNCTION("""COMPUTED_VALUE"""),53.28)</f>
        <v>53.28</v>
      </c>
    </row>
    <row r="1238">
      <c r="A1238" s="2">
        <f>IFERROR(__xludf.DUMMYFUNCTION("""COMPUTED_VALUE"""),45895.66666666667)</f>
        <v>45895.66667</v>
      </c>
      <c r="B1238" s="1">
        <f>IFERROR(__xludf.DUMMYFUNCTION("""COMPUTED_VALUE"""),53.23)</f>
        <v>53.23</v>
      </c>
    </row>
    <row r="1239">
      <c r="A1239" s="2">
        <f>IFERROR(__xludf.DUMMYFUNCTION("""COMPUTED_VALUE"""),45896.66666666667)</f>
        <v>45896.66667</v>
      </c>
      <c r="B1239" s="1">
        <f>IFERROR(__xludf.DUMMYFUNCTION("""COMPUTED_VALUE"""),53.44)</f>
        <v>53.44</v>
      </c>
    </row>
    <row r="1240">
      <c r="A1240" s="2">
        <f>IFERROR(__xludf.DUMMYFUNCTION("""COMPUTED_VALUE"""),45897.66666666667)</f>
        <v>45897.66667</v>
      </c>
      <c r="B1240" s="1">
        <f>IFERROR(__xludf.DUMMYFUNCTION("""COMPUTED_VALUE"""),53.15)</f>
        <v>53.15</v>
      </c>
    </row>
    <row r="1241">
      <c r="A1241" s="2">
        <f>IFERROR(__xludf.DUMMYFUNCTION("""COMPUTED_VALUE"""),45898.66666666667)</f>
        <v>45898.66667</v>
      </c>
      <c r="B1241" s="1">
        <f>IFERROR(__xludf.DUMMYFUNCTION("""COMPUTED_VALUE"""),53.35)</f>
        <v>53.35</v>
      </c>
    </row>
    <row r="1242">
      <c r="A1242" s="2">
        <f>IFERROR(__xludf.DUMMYFUNCTION("""COMPUTED_VALUE"""),45901.66666666667)</f>
        <v>45901.66667</v>
      </c>
      <c r="B1242" s="1">
        <f>IFERROR(__xludf.DUMMYFUNCTION("""COMPUTED_VALUE"""),52.58)</f>
        <v>52.58</v>
      </c>
    </row>
    <row r="1243">
      <c r="A1243" s="2">
        <f>IFERROR(__xludf.DUMMYFUNCTION("""COMPUTED_VALUE"""),45902.66666666667)</f>
        <v>45902.66667</v>
      </c>
      <c r="B1243" s="1">
        <f>IFERROR(__xludf.DUMMYFUNCTION("""COMPUTED_VALUE"""),52.69)</f>
        <v>52.69</v>
      </c>
    </row>
    <row r="1244">
      <c r="A1244" s="2">
        <f>IFERROR(__xludf.DUMMYFUNCTION("""COMPUTED_VALUE"""),45903.66666666667)</f>
        <v>45903.66667</v>
      </c>
      <c r="B1244" s="1">
        <f>IFERROR(__xludf.DUMMYFUNCTION("""COMPUTED_VALUE"""),52.65)</f>
        <v>52.65</v>
      </c>
    </row>
    <row r="1245">
      <c r="A1245" s="2">
        <f>IFERROR(__xludf.DUMMYFUNCTION("""COMPUTED_VALUE"""),45904.66666666667)</f>
        <v>45904.66667</v>
      </c>
      <c r="B1245" s="1">
        <f>IFERROR(__xludf.DUMMYFUNCTION("""COMPUTED_VALUE"""),52.91)</f>
        <v>52.91</v>
      </c>
    </row>
    <row r="1246">
      <c r="A1246" s="2">
        <f>IFERROR(__xludf.DUMMYFUNCTION("""COMPUTED_VALUE"""),45905.66666666667)</f>
        <v>45905.66667</v>
      </c>
      <c r="B1246" s="1">
        <f>IFERROR(__xludf.DUMMYFUNCTION("""COMPUTED_VALUE"""),53.52)</f>
        <v>53.52</v>
      </c>
    </row>
    <row r="1247">
      <c r="A1247" s="2">
        <f>IFERROR(__xludf.DUMMYFUNCTION("""COMPUTED_VALUE"""),45908.66666666667)</f>
        <v>45908.66667</v>
      </c>
      <c r="B1247" s="1">
        <f>IFERROR(__xludf.DUMMYFUNCTION("""COMPUTED_VALUE"""),53.2)</f>
        <v>53.2</v>
      </c>
    </row>
    <row r="1248">
      <c r="A1248" s="2">
        <f>IFERROR(__xludf.DUMMYFUNCTION("""COMPUTED_VALUE"""),45909.66666666667)</f>
        <v>45909.66667</v>
      </c>
      <c r="B1248" s="1">
        <f>IFERROR(__xludf.DUMMYFUNCTION("""COMPUTED_VALUE"""),53.09)</f>
        <v>53.09</v>
      </c>
    </row>
    <row r="1249">
      <c r="A1249" s="2">
        <f>IFERROR(__xludf.DUMMYFUNCTION("""COMPUTED_VALUE"""),45910.66666666667)</f>
        <v>45910.66667</v>
      </c>
      <c r="B1249" s="1">
        <f>IFERROR(__xludf.DUMMYFUNCTION("""COMPUTED_VALUE"""),53.23)</f>
        <v>53.23</v>
      </c>
    </row>
    <row r="1250">
      <c r="A1250" s="2">
        <f>IFERROR(__xludf.DUMMYFUNCTION("""COMPUTED_VALUE"""),45911.66666666667)</f>
        <v>45911.66667</v>
      </c>
      <c r="B1250" s="1">
        <f>IFERROR(__xludf.DUMMYFUNCTION("""COMPUTED_VALUE"""),53.23)</f>
        <v>53.23</v>
      </c>
    </row>
    <row r="1251">
      <c r="A1251" s="2">
        <f>IFERROR(__xludf.DUMMYFUNCTION("""COMPUTED_VALUE"""),45912.66666666667)</f>
        <v>45912.66667</v>
      </c>
      <c r="B1251" s="1">
        <f>IFERROR(__xludf.DUMMYFUNCTION("""COMPUTED_VALUE"""),53.18)</f>
        <v>53.18</v>
      </c>
    </row>
    <row r="1252">
      <c r="A1252" s="2">
        <f>IFERROR(__xludf.DUMMYFUNCTION("""COMPUTED_VALUE"""),45915.66666666667)</f>
        <v>45915.66667</v>
      </c>
      <c r="B1252" s="1">
        <f>IFERROR(__xludf.DUMMYFUNCTION("""COMPUTED_VALUE"""),53.37)</f>
        <v>53.37</v>
      </c>
    </row>
    <row r="1253">
      <c r="A1253" s="2">
        <f>IFERROR(__xludf.DUMMYFUNCTION("""COMPUTED_VALUE"""),45916.66666666667)</f>
        <v>45916.66667</v>
      </c>
      <c r="B1253" s="1">
        <f>IFERROR(__xludf.DUMMYFUNCTION("""COMPUTED_VALUE"""),53.81)</f>
        <v>53.81</v>
      </c>
    </row>
    <row r="1254">
      <c r="A1254" s="2">
        <f>IFERROR(__xludf.DUMMYFUNCTION("""COMPUTED_VALUE"""),45917.66666666667)</f>
        <v>45917.66667</v>
      </c>
      <c r="B1254" s="1">
        <f>IFERROR(__xludf.DUMMYFUNCTION("""COMPUTED_VALUE"""),53.58)</f>
        <v>53.58</v>
      </c>
    </row>
    <row r="1255">
      <c r="A1255" s="2">
        <f>IFERROR(__xludf.DUMMYFUNCTION("""COMPUTED_VALUE"""),45918.66666666667)</f>
        <v>45918.66667</v>
      </c>
      <c r="B1255" s="1">
        <f>IFERROR(__xludf.DUMMYFUNCTION("""COMPUTED_VALUE"""),54.2)</f>
        <v>54.2</v>
      </c>
    </row>
    <row r="1256">
      <c r="A1256" s="2">
        <f>IFERROR(__xludf.DUMMYFUNCTION("""COMPUTED_VALUE"""),45919.66666666667)</f>
        <v>45919.66667</v>
      </c>
      <c r="B1256" s="1">
        <f>IFERROR(__xludf.DUMMYFUNCTION("""COMPUTED_VALUE"""),54.66)</f>
        <v>54.66</v>
      </c>
    </row>
    <row r="1257">
      <c r="A1257" s="2">
        <f>IFERROR(__xludf.DUMMYFUNCTION("""COMPUTED_VALUE"""),45922.66666666667)</f>
        <v>45922.66667</v>
      </c>
      <c r="B1257" s="1">
        <f>IFERROR(__xludf.DUMMYFUNCTION("""COMPUTED_VALUE"""),54.99)</f>
        <v>54.99</v>
      </c>
    </row>
    <row r="1258">
      <c r="A1258" s="2">
        <f>IFERROR(__xludf.DUMMYFUNCTION("""COMPUTED_VALUE"""),45923.66666666667)</f>
        <v>45923.66667</v>
      </c>
      <c r="B1258" s="1">
        <f>IFERROR(__xludf.DUMMYFUNCTION("""COMPUTED_VALUE"""),55.41)</f>
        <v>55.41</v>
      </c>
    </row>
    <row r="1259">
      <c r="A1259" s="2">
        <f>IFERROR(__xludf.DUMMYFUNCTION("""COMPUTED_VALUE"""),45924.66666666667)</f>
        <v>45924.66667</v>
      </c>
      <c r="B1259" s="1">
        <f>IFERROR(__xludf.DUMMYFUNCTION("""COMPUTED_VALUE"""),54.76)</f>
        <v>54.76</v>
      </c>
    </row>
    <row r="1260">
      <c r="A1260" s="2">
        <f>IFERROR(__xludf.DUMMYFUNCTION("""COMPUTED_VALUE"""),45925.66666666667)</f>
        <v>45925.66667</v>
      </c>
      <c r="B1260" s="1">
        <f>IFERROR(__xludf.DUMMYFUNCTION("""COMPUTED_VALUE"""),54.82)</f>
        <v>54.82</v>
      </c>
    </row>
    <row r="1261">
      <c r="A1261" s="2">
        <f>IFERROR(__xludf.DUMMYFUNCTION("""COMPUTED_VALUE"""),45926.66666666667)</f>
        <v>45926.66667</v>
      </c>
      <c r="B1261" s="1">
        <f>IFERROR(__xludf.DUMMYFUNCTION("""COMPUTED_VALUE"""),55.0)</f>
        <v>55</v>
      </c>
    </row>
    <row r="1262">
      <c r="A1262" s="2">
        <f>IFERROR(__xludf.DUMMYFUNCTION("""COMPUTED_VALUE"""),45929.66666666667)</f>
        <v>45929.66667</v>
      </c>
      <c r="B1262" s="1">
        <f>IFERROR(__xludf.DUMMYFUNCTION("""COMPUTED_VALUE"""),55.17)</f>
        <v>55.17</v>
      </c>
    </row>
    <row r="1263">
      <c r="A1263" s="2">
        <f>IFERROR(__xludf.DUMMYFUNCTION("""COMPUTED_VALUE"""),45930.66666666667)</f>
        <v>45930.66667</v>
      </c>
      <c r="B1263" s="1">
        <f>IFERROR(__xludf.DUMMYFUNCTION("""COMPUTED_VALUE"""),54.96)</f>
        <v>54.96</v>
      </c>
    </row>
    <row r="1264">
      <c r="A1264" s="2">
        <f>IFERROR(__xludf.DUMMYFUNCTION("""COMPUTED_VALUE"""),45931.66666666667)</f>
        <v>45931.66667</v>
      </c>
      <c r="B1264" s="1">
        <f>IFERROR(__xludf.DUMMYFUNCTION("""COMPUTED_VALUE"""),54.78)</f>
        <v>54.78</v>
      </c>
    </row>
    <row r="1265">
      <c r="A1265" s="2">
        <f>IFERROR(__xludf.DUMMYFUNCTION("""COMPUTED_VALUE"""),45932.66666666667)</f>
        <v>45932.66667</v>
      </c>
      <c r="B1265" s="1">
        <f>IFERROR(__xludf.DUMMYFUNCTION("""COMPUTED_VALUE"""),55.33)</f>
        <v>55.33</v>
      </c>
    </row>
    <row r="1266">
      <c r="A1266" s="2">
        <f>IFERROR(__xludf.DUMMYFUNCTION("""COMPUTED_VALUE"""),45933.66666666667)</f>
        <v>45933.66667</v>
      </c>
      <c r="B1266" s="1">
        <f>IFERROR(__xludf.DUMMYFUNCTION("""COMPUTED_VALUE"""),55.78)</f>
        <v>55.78</v>
      </c>
    </row>
    <row r="1267">
      <c r="A1267" s="2">
        <f>IFERROR(__xludf.DUMMYFUNCTION("""COMPUTED_VALUE"""),45936.66666666667)</f>
        <v>45936.66667</v>
      </c>
      <c r="B1267" s="1">
        <f>IFERROR(__xludf.DUMMYFUNCTION("""COMPUTED_VALUE"""),55.55)</f>
        <v>55.55</v>
      </c>
    </row>
    <row r="1268">
      <c r="A1268" s="2">
        <f>IFERROR(__xludf.DUMMYFUNCTION("""COMPUTED_VALUE"""),45937.66666666667)</f>
        <v>45937.66667</v>
      </c>
      <c r="B1268" s="1">
        <f>IFERROR(__xludf.DUMMYFUNCTION("""COMPUTED_VALUE"""),55.66)</f>
        <v>55.66</v>
      </c>
    </row>
    <row r="1269">
      <c r="A1269" s="2">
        <f>IFERROR(__xludf.DUMMYFUNCTION("""COMPUTED_VALUE"""),45938.66666666667)</f>
        <v>45938.66667</v>
      </c>
      <c r="B1269" s="1">
        <f>IFERROR(__xludf.DUMMYFUNCTION("""COMPUTED_VALUE"""),55.86)</f>
        <v>55.86</v>
      </c>
    </row>
    <row r="1270">
      <c r="A1270" s="2">
        <f>IFERROR(__xludf.DUMMYFUNCTION("""COMPUTED_VALUE"""),45939.66666666667)</f>
        <v>45939.66667</v>
      </c>
      <c r="B1270" s="1">
        <f>IFERROR(__xludf.DUMMYFUNCTION("""COMPUTED_VALUE"""),56.06)</f>
        <v>56.06</v>
      </c>
    </row>
    <row r="1271">
      <c r="A1271" s="2">
        <f>IFERROR(__xludf.DUMMYFUNCTION("""COMPUTED_VALUE"""),45940.66666666667)</f>
        <v>45940.66667</v>
      </c>
      <c r="B1271" s="1">
        <f>IFERROR(__xludf.DUMMYFUNCTION("""COMPUTED_VALUE"""),56.39)</f>
        <v>56.39</v>
      </c>
    </row>
    <row r="1272">
      <c r="A1272" s="2">
        <f>IFERROR(__xludf.DUMMYFUNCTION("""COMPUTED_VALUE"""),45943.66666666667)</f>
        <v>45943.66667</v>
      </c>
      <c r="B1272" s="1">
        <f>IFERROR(__xludf.DUMMYFUNCTION("""COMPUTED_VALUE"""),55.66)</f>
        <v>55.66</v>
      </c>
    </row>
    <row r="1273">
      <c r="A1273" s="2">
        <f>IFERROR(__xludf.DUMMYFUNCTION("""COMPUTED_VALUE"""),45944.66666666667)</f>
        <v>45944.66667</v>
      </c>
      <c r="B1273" s="1">
        <f>IFERROR(__xludf.DUMMYFUNCTION("""COMPUTED_VALUE"""),56.02)</f>
        <v>56.02</v>
      </c>
    </row>
    <row r="1274">
      <c r="A1274" s="2">
        <f>IFERROR(__xludf.DUMMYFUNCTION("""COMPUTED_VALUE"""),45945.66666666667)</f>
        <v>45945.66667</v>
      </c>
      <c r="B1274" s="1">
        <f>IFERROR(__xludf.DUMMYFUNCTION("""COMPUTED_VALUE"""),55.88)</f>
        <v>55.88</v>
      </c>
    </row>
    <row r="1275">
      <c r="A1275" s="2">
        <f>IFERROR(__xludf.DUMMYFUNCTION("""COMPUTED_VALUE"""),45946.66666666667)</f>
        <v>45946.66667</v>
      </c>
      <c r="B1275" s="1">
        <f>IFERROR(__xludf.DUMMYFUNCTION("""COMPUTED_VALUE"""),56.19)</f>
        <v>56.19</v>
      </c>
    </row>
    <row r="1276">
      <c r="A1276" s="2">
        <f>IFERROR(__xludf.DUMMYFUNCTION("""COMPUTED_VALUE"""),45947.66666666667)</f>
        <v>45947.66667</v>
      </c>
      <c r="B1276" s="1">
        <f>IFERROR(__xludf.DUMMYFUNCTION("""COMPUTED_VALUE"""),55.81)</f>
        <v>55.81</v>
      </c>
    </row>
    <row r="1277">
      <c r="A1277" s="2">
        <f>IFERROR(__xludf.DUMMYFUNCTION("""COMPUTED_VALUE"""),45950.66666666667)</f>
        <v>45950.66667</v>
      </c>
      <c r="B1277" s="1">
        <f>IFERROR(__xludf.DUMMYFUNCTION("""COMPUTED_VALUE"""),56.52)</f>
        <v>56.52</v>
      </c>
    </row>
    <row r="1278">
      <c r="A1278" s="2">
        <f>IFERROR(__xludf.DUMMYFUNCTION("""COMPUTED_VALUE"""),45951.66666666667)</f>
        <v>45951.66667</v>
      </c>
      <c r="B1278" s="1">
        <f>IFERROR(__xludf.DUMMYFUNCTION("""COMPUTED_VALUE"""),56.96)</f>
        <v>56.96</v>
      </c>
    </row>
    <row r="1279">
      <c r="A1279" s="2">
        <f>IFERROR(__xludf.DUMMYFUNCTION("""COMPUTED_VALUE"""),45952.66666666667)</f>
        <v>45952.66667</v>
      </c>
      <c r="B1279" s="1">
        <f>IFERROR(__xludf.DUMMYFUNCTION("""COMPUTED_VALUE"""),57.01)</f>
        <v>57.01</v>
      </c>
    </row>
    <row r="1280">
      <c r="A1280" s="2">
        <f>IFERROR(__xludf.DUMMYFUNCTION("""COMPUTED_VALUE"""),45953.66666666667)</f>
        <v>45953.66667</v>
      </c>
      <c r="B1280" s="1">
        <f>IFERROR(__xludf.DUMMYFUNCTION("""COMPUTED_VALUE"""),56.61)</f>
        <v>56.61</v>
      </c>
    </row>
    <row r="1281">
      <c r="A1281" s="2">
        <f>IFERROR(__xludf.DUMMYFUNCTION("""COMPUTED_VALUE"""),45954.66666666667)</f>
        <v>45954.66667</v>
      </c>
      <c r="B1281" s="1">
        <f>IFERROR(__xludf.DUMMYFUNCTION("""COMPUTED_VALUE"""),57.09)</f>
        <v>57.09</v>
      </c>
    </row>
    <row r="1282">
      <c r="A1282" s="2">
        <f>IFERROR(__xludf.DUMMYFUNCTION("""COMPUTED_VALUE"""),45957.66666666667)</f>
        <v>45957.66667</v>
      </c>
      <c r="B1282" s="1">
        <f>IFERROR(__xludf.DUMMYFUNCTION("""COMPUTED_VALUE"""),57.8)</f>
        <v>57.8</v>
      </c>
    </row>
    <row r="1283">
      <c r="A1283" s="2">
        <f>IFERROR(__xludf.DUMMYFUNCTION("""COMPUTED_VALUE"""),45958.66666666667)</f>
        <v>45958.66667</v>
      </c>
      <c r="B1283" s="1">
        <f>IFERROR(__xludf.DUMMYFUNCTION("""COMPUTED_VALUE"""),57.95)</f>
        <v>57.95</v>
      </c>
    </row>
    <row r="1284">
      <c r="A1284" s="2">
        <f>IFERROR(__xludf.DUMMYFUNCTION("""COMPUTED_VALUE"""),45959.66666666667)</f>
        <v>45959.66667</v>
      </c>
      <c r="B1284" s="1">
        <f>IFERROR(__xludf.DUMMYFUNCTION("""COMPUTED_VALUE"""),58.3)</f>
        <v>58.3</v>
      </c>
    </row>
    <row r="1285">
      <c r="A1285" s="2">
        <f>IFERROR(__xludf.DUMMYFUNCTION("""COMPUTED_VALUE"""),45960.66666666667)</f>
        <v>45960.66667</v>
      </c>
      <c r="B1285" s="1">
        <f>IFERROR(__xludf.DUMMYFUNCTION("""COMPUTED_VALUE"""),58.3)</f>
        <v>58.3</v>
      </c>
    </row>
    <row r="1286">
      <c r="A1286" s="2">
        <f>IFERROR(__xludf.DUMMYFUNCTION("""COMPUTED_VALUE"""),45961.66666666667)</f>
        <v>45961.66667</v>
      </c>
      <c r="B1286" s="1">
        <f>IFERROR(__xludf.DUMMYFUNCTION("""COMPUTED_VALUE"""),58.6)</f>
        <v>58.6</v>
      </c>
    </row>
    <row r="1287">
      <c r="A1287" s="2">
        <f>IFERROR(__xludf.DUMMYFUNCTION("""COMPUTED_VALUE"""),45965.66666666667)</f>
        <v>45965.66667</v>
      </c>
      <c r="B1287" s="1">
        <f>IFERROR(__xludf.DUMMYFUNCTION("""COMPUTED_VALUE"""),58.16)</f>
        <v>58.16</v>
      </c>
    </row>
    <row r="1288">
      <c r="A1288" s="2">
        <f>IFERROR(__xludf.DUMMYFUNCTION("""COMPUTED_VALUE"""),45966.66666666667)</f>
        <v>45966.66667</v>
      </c>
      <c r="B1288" s="1">
        <f>IFERROR(__xludf.DUMMYFUNCTION("""COMPUTED_VALUE"""),57.57)</f>
        <v>57.57</v>
      </c>
    </row>
    <row r="1289">
      <c r="A1289" s="2">
        <f>IFERROR(__xludf.DUMMYFUNCTION("""COMPUTED_VALUE"""),45967.66666666667)</f>
        <v>45967.66667</v>
      </c>
      <c r="B1289" s="1">
        <f>IFERROR(__xludf.DUMMYFUNCTION("""COMPUTED_VALUE"""),57.93)</f>
        <v>57.93</v>
      </c>
    </row>
    <row r="1290">
      <c r="A1290" s="2">
        <f>IFERROR(__xludf.DUMMYFUNCTION("""COMPUTED_VALUE"""),45968.66666666667)</f>
        <v>45968.66667</v>
      </c>
      <c r="B1290" s="1">
        <f>IFERROR(__xludf.DUMMYFUNCTION("""COMPUTED_VALUE"""),57.28)</f>
        <v>57.28</v>
      </c>
    </row>
    <row r="1291">
      <c r="A1291" s="2">
        <f>IFERROR(__xludf.DUMMYFUNCTION("""COMPUTED_VALUE"""),45971.66666666667)</f>
        <v>45971.66667</v>
      </c>
      <c r="B1291" s="1">
        <f>IFERROR(__xludf.DUMMYFUNCTION("""COMPUTED_VALUE"""),57.27)</f>
        <v>57.27</v>
      </c>
    </row>
    <row r="1292">
      <c r="A1292" s="2">
        <f>IFERROR(__xludf.DUMMYFUNCTION("""COMPUTED_VALUE"""),45972.66666666667)</f>
        <v>45972.66667</v>
      </c>
      <c r="B1292" s="1">
        <f>IFERROR(__xludf.DUMMYFUNCTION("""COMPUTED_VALUE"""),57.77)</f>
        <v>57.77</v>
      </c>
    </row>
    <row r="1293">
      <c r="A1293" s="2">
        <f>IFERROR(__xludf.DUMMYFUNCTION("""COMPUTED_VALUE"""),45973.66666666667)</f>
        <v>45973.66667</v>
      </c>
      <c r="B1293" s="1">
        <f>IFERROR(__xludf.DUMMYFUNCTION("""COMPUTED_VALUE"""),57.87)</f>
        <v>57.87</v>
      </c>
    </row>
    <row r="1294">
      <c r="A1294" s="2">
        <f>IFERROR(__xludf.DUMMYFUNCTION("""COMPUTED_VALUE"""),45974.66666666667)</f>
        <v>45974.66667</v>
      </c>
      <c r="B1294" s="1">
        <f>IFERROR(__xludf.DUMMYFUNCTION("""COMPUTED_VALUE"""),57.51)</f>
        <v>57.51</v>
      </c>
    </row>
    <row r="1295">
      <c r="A1295" s="2">
        <f>IFERROR(__xludf.DUMMYFUNCTION("""COMPUTED_VALUE"""),45975.66666666667)</f>
        <v>45975.66667</v>
      </c>
      <c r="B1295" s="1">
        <f>IFERROR(__xludf.DUMMYFUNCTION("""COMPUTED_VALUE"""),56.24)</f>
        <v>56.24</v>
      </c>
    </row>
    <row r="1296">
      <c r="A1296" s="2">
        <f>IFERROR(__xludf.DUMMYFUNCTION("""COMPUTED_VALUE"""),45978.66666666667)</f>
        <v>45978.66667</v>
      </c>
      <c r="B1296" s="1">
        <f>IFERROR(__xludf.DUMMYFUNCTION("""COMPUTED_VALUE"""),56.86)</f>
        <v>56.86</v>
      </c>
    </row>
    <row r="1297">
      <c r="A1297" s="2">
        <f>IFERROR(__xludf.DUMMYFUNCTION("""COMPUTED_VALUE"""),45979.66666666667)</f>
        <v>45979.66667</v>
      </c>
      <c r="B1297" s="1">
        <f>IFERROR(__xludf.DUMMYFUNCTION("""COMPUTED_VALUE"""),56.06)</f>
        <v>56.06</v>
      </c>
    </row>
    <row r="1298">
      <c r="A1298" s="2">
        <f>IFERROR(__xludf.DUMMYFUNCTION("""COMPUTED_VALUE"""),45980.66666666667)</f>
        <v>45980.66667</v>
      </c>
      <c r="B1298" s="1">
        <f>IFERROR(__xludf.DUMMYFUNCTION("""COMPUTED_VALUE"""),55.53)</f>
        <v>55.53</v>
      </c>
    </row>
    <row r="1299">
      <c r="A1299" s="2">
        <f>IFERROR(__xludf.DUMMYFUNCTION("""COMPUTED_VALUE"""),45981.66666666667)</f>
        <v>45981.66667</v>
      </c>
      <c r="B1299" s="1">
        <f>IFERROR(__xludf.DUMMYFUNCTION("""COMPUTED_VALUE"""),57.08)</f>
        <v>57.08</v>
      </c>
    </row>
    <row r="1300">
      <c r="A1300" s="2">
        <f>IFERROR(__xludf.DUMMYFUNCTION("""COMPUTED_VALUE"""),45982.66666666667)</f>
        <v>45982.66667</v>
      </c>
      <c r="B1300" s="1">
        <f>IFERROR(__xludf.DUMMYFUNCTION("""COMPUTED_VALUE"""),55.07)</f>
        <v>55.07</v>
      </c>
    </row>
    <row r="1301">
      <c r="A1301" s="2">
        <f>IFERROR(__xludf.DUMMYFUNCTION("""COMPUTED_VALUE"""),45985.66666666667)</f>
        <v>45985.66667</v>
      </c>
      <c r="B1301" s="1">
        <f>IFERROR(__xludf.DUMMYFUNCTION("""COMPUTED_VALUE"""),55.64)</f>
        <v>55.64</v>
      </c>
    </row>
    <row r="1302">
      <c r="A1302" s="2">
        <f>IFERROR(__xludf.DUMMYFUNCTION("""COMPUTED_VALUE"""),45986.66666666667)</f>
        <v>45986.66667</v>
      </c>
      <c r="B1302" s="1">
        <f>IFERROR(__xludf.DUMMYFUNCTION("""COMPUTED_VALUE"""),56.75)</f>
        <v>56.75</v>
      </c>
    </row>
    <row r="1303">
      <c r="A1303" s="2">
        <f>IFERROR(__xludf.DUMMYFUNCTION("""COMPUTED_VALUE"""),45987.66666666667)</f>
        <v>45987.66667</v>
      </c>
      <c r="B1303" s="1">
        <f>IFERROR(__xludf.DUMMYFUNCTION("""COMPUTED_VALUE"""),56.9)</f>
        <v>56.9</v>
      </c>
    </row>
    <row r="1304">
      <c r="A1304" s="2">
        <f>IFERROR(__xludf.DUMMYFUNCTION("""COMPUTED_VALUE"""),45988.66666666667)</f>
        <v>45988.66667</v>
      </c>
      <c r="B1304" s="1">
        <f>IFERROR(__xludf.DUMMYFUNCTION("""COMPUTED_VALUE"""),56.99)</f>
        <v>56.99</v>
      </c>
    </row>
    <row r="1305">
      <c r="A1305" s="2">
        <f>IFERROR(__xludf.DUMMYFUNCTION("""COMPUTED_VALUE"""),45989.66666666667)</f>
        <v>45989.66667</v>
      </c>
      <c r="B1305" s="1">
        <f>IFERROR(__xludf.DUMMYFUNCTION("""COMPUTED_VALUE"""),57.18)</f>
        <v>57.18</v>
      </c>
    </row>
    <row r="1306">
      <c r="A1306" s="2">
        <f>IFERROR(__xludf.DUMMYFUNCTION("""COMPUTED_VALUE"""),45992.66666666667)</f>
        <v>45992.66667</v>
      </c>
      <c r="B1306" s="1">
        <f>IFERROR(__xludf.DUMMYFUNCTION("""COMPUTED_VALUE"""),56.7)</f>
        <v>56.7</v>
      </c>
    </row>
    <row r="1307">
      <c r="A1307" s="2">
        <f>IFERROR(__xludf.DUMMYFUNCTION("""COMPUTED_VALUE"""),45993.66666666667)</f>
        <v>45993.66667</v>
      </c>
      <c r="B1307" s="1">
        <f>IFERROR(__xludf.DUMMYFUNCTION("""COMPUTED_VALUE"""),56.95)</f>
        <v>56.95</v>
      </c>
    </row>
    <row r="1308">
      <c r="A1308" s="2">
        <f>IFERROR(__xludf.DUMMYFUNCTION("""COMPUTED_VALUE"""),45994.66666666667)</f>
        <v>45994.66667</v>
      </c>
      <c r="B1308" s="1">
        <f>IFERROR(__xludf.DUMMYFUNCTION("""COMPUTED_VALUE"""),57.4)</f>
        <v>57.4</v>
      </c>
    </row>
    <row r="1309">
      <c r="A1309" s="2">
        <f>IFERROR(__xludf.DUMMYFUNCTION("""COMPUTED_VALUE"""),45995.66666666667)</f>
        <v>45995.66667</v>
      </c>
      <c r="B1309" s="1">
        <f>IFERROR(__xludf.DUMMYFUNCTION("""COMPUTED_VALUE"""),57.04)</f>
        <v>57.04</v>
      </c>
    </row>
    <row r="1310">
      <c r="A1310" s="2">
        <f>IFERROR(__xludf.DUMMYFUNCTION("""COMPUTED_VALUE"""),45996.66666666667)</f>
        <v>45996.66667</v>
      </c>
      <c r="B1310" s="1">
        <f>IFERROR(__xludf.DUMMYFUNCTION("""COMPUTED_VALUE"""),57.17)</f>
        <v>57.17</v>
      </c>
    </row>
    <row r="1311">
      <c r="A1311" s="2">
        <f>IFERROR(__xludf.DUMMYFUNCTION("""COMPUTED_VALUE"""),45999.66666666667)</f>
        <v>45999.66667</v>
      </c>
      <c r="B1311" s="1">
        <f>IFERROR(__xludf.DUMMYFUNCTION("""COMPUTED_VALUE"""),57.15)</f>
        <v>57.15</v>
      </c>
    </row>
    <row r="1312">
      <c r="A1312" s="2">
        <f>IFERROR(__xludf.DUMMYFUNCTION("""COMPUTED_VALUE"""),46000.66666666667)</f>
        <v>46000.66667</v>
      </c>
      <c r="B1312" s="1">
        <f>IFERROR(__xludf.DUMMYFUNCTION("""COMPUTED_VALUE"""),56.88)</f>
        <v>56.88</v>
      </c>
    </row>
    <row r="1313">
      <c r="A1313" s="2">
        <f>IFERROR(__xludf.DUMMYFUNCTION("""COMPUTED_VALUE"""),46001.66666666667)</f>
        <v>46001.66667</v>
      </c>
      <c r="B1313" s="1">
        <f>IFERROR(__xludf.DUMMYFUNCTION("""COMPUTED_VALUE"""),56.94)</f>
        <v>56.94</v>
      </c>
    </row>
    <row r="1314">
      <c r="A1314" s="2">
        <f>IFERROR(__xludf.DUMMYFUNCTION("""COMPUTED_VALUE"""),46002.66666666667)</f>
        <v>46002.66667</v>
      </c>
      <c r="B1314" s="1">
        <f>IFERROR(__xludf.DUMMYFUNCTION("""COMPUTED_VALUE"""),56.55)</f>
        <v>56.55</v>
      </c>
    </row>
    <row r="1315">
      <c r="A1315" s="2">
        <f>IFERROR(__xludf.DUMMYFUNCTION("""COMPUTED_VALUE"""),46003.66666666667)</f>
        <v>46003.66667</v>
      </c>
      <c r="B1315" s="1">
        <f>IFERROR(__xludf.DUMMYFUNCTION("""COMPUTED_VALUE"""),56.74)</f>
        <v>56.74</v>
      </c>
    </row>
    <row r="1316">
      <c r="A1316" s="2">
        <f>IFERROR(__xludf.DUMMYFUNCTION("""COMPUTED_VALUE"""),46006.66666666667)</f>
        <v>46006.66667</v>
      </c>
      <c r="B1316" s="1">
        <f>IFERROR(__xludf.DUMMYFUNCTION("""COMPUTED_VALUE"""),56.03)</f>
        <v>56.03</v>
      </c>
    </row>
    <row r="1317">
      <c r="A1317" s="2">
        <f>IFERROR(__xludf.DUMMYFUNCTION("""COMPUTED_VALUE"""),46007.66666666667)</f>
        <v>46007.66667</v>
      </c>
      <c r="B1317" s="1">
        <f>IFERROR(__xludf.DUMMYFUNCTION("""COMPUTED_VALUE"""),55.27)</f>
        <v>55.27</v>
      </c>
    </row>
    <row r="1318">
      <c r="A1318" s="2">
        <f>IFERROR(__xludf.DUMMYFUNCTION("""COMPUTED_VALUE"""),46008.66666666667)</f>
        <v>46008.66667</v>
      </c>
      <c r="B1318" s="1">
        <f>IFERROR(__xludf.DUMMYFUNCTION("""COMPUTED_VALUE"""),55.85)</f>
        <v>55.85</v>
      </c>
    </row>
    <row r="1319">
      <c r="A1319" s="2">
        <f>IFERROR(__xludf.DUMMYFUNCTION("""COMPUTED_VALUE"""),46009.66666666667)</f>
        <v>46009.66667</v>
      </c>
      <c r="B1319" s="1">
        <f>IFERROR(__xludf.DUMMYFUNCTION("""COMPUTED_VALUE"""),55.3)</f>
        <v>55.3</v>
      </c>
    </row>
    <row r="1320">
      <c r="A1320" s="2">
        <f>IFERROR(__xludf.DUMMYFUNCTION("""COMPUTED_VALUE"""),46010.66666666667)</f>
        <v>46010.66667</v>
      </c>
      <c r="B1320" s="1">
        <f>IFERROR(__xludf.DUMMYFUNCTION("""COMPUTED_VALUE"""),55.91)</f>
        <v>55.91</v>
      </c>
    </row>
    <row r="1321">
      <c r="A1321" s="2">
        <f>IFERROR(__xludf.DUMMYFUNCTION("""COMPUTED_VALUE"""),46013.66666666667)</f>
        <v>46013.66667</v>
      </c>
      <c r="B1321" s="1">
        <f>IFERROR(__xludf.DUMMYFUNCTION("""COMPUTED_VALUE"""),56.58)</f>
        <v>56.58</v>
      </c>
    </row>
    <row r="1322">
      <c r="A1322" s="2">
        <f>IFERROR(__xludf.DUMMYFUNCTION("""COMPUTED_VALUE"""),46014.66666666667)</f>
        <v>46014.66667</v>
      </c>
      <c r="B1322" s="1">
        <f>IFERROR(__xludf.DUMMYFUNCTION("""COMPUTED_VALUE"""),56.28)</f>
        <v>56.28</v>
      </c>
    </row>
    <row r="1323">
      <c r="A1323" s="2">
        <f>IFERROR(__xludf.DUMMYFUNCTION("""COMPUTED_VALUE"""),46015.597916666666)</f>
        <v>46015.59792</v>
      </c>
      <c r="B1323" s="1">
        <f>IFERROR(__xludf.DUMMYFUNCTION("""COMPUTED_VALUE"""),56.18)</f>
        <v>56.18</v>
      </c>
    </row>
    <row r="1324">
      <c r="A1324" s="2">
        <f>IFERROR(__xludf.DUMMYFUNCTION("""COMPUTED_VALUE"""),46020.66666666667)</f>
        <v>46020.66667</v>
      </c>
      <c r="B1324" s="1">
        <f>IFERROR(__xludf.DUMMYFUNCTION("""COMPUTED_VALUE"""),56.16)</f>
        <v>56.16</v>
      </c>
    </row>
    <row r="1325">
      <c r="A1325" s="2">
        <f>IFERROR(__xludf.DUMMYFUNCTION("""COMPUTED_VALUE"""),46021.66666666667)</f>
        <v>46021.66667</v>
      </c>
      <c r="B1325" s="1">
        <f>IFERROR(__xludf.DUMMYFUNCTION("""COMPUTED_VALUE"""),56.07)</f>
        <v>56.07</v>
      </c>
    </row>
    <row r="1326">
      <c r="A1326" s="2">
        <f>IFERROR(__xludf.DUMMYFUNCTION("""COMPUTED_VALUE"""),46022.597916666666)</f>
        <v>46022.59792</v>
      </c>
      <c r="B1326" s="1">
        <f>IFERROR(__xludf.DUMMYFUNCTION("""COMPUTED_VALUE"""),55.94)</f>
        <v>55.94</v>
      </c>
    </row>
    <row r="1327">
      <c r="A1327" s="2">
        <f>IFERROR(__xludf.DUMMYFUNCTION("""COMPUTED_VALUE"""),46024.66666666667)</f>
        <v>46024.66667</v>
      </c>
      <c r="B1327" s="1">
        <f>IFERROR(__xludf.DUMMYFUNCTION("""COMPUTED_VALUE"""),55.97)</f>
        <v>55.97</v>
      </c>
    </row>
    <row r="1328">
      <c r="A1328" s="2">
        <f>IFERROR(__xludf.DUMMYFUNCTION("""COMPUTED_VALUE"""),46027.66666666667)</f>
        <v>46027.66667</v>
      </c>
      <c r="B1328" s="1">
        <f>IFERROR(__xludf.DUMMYFUNCTION("""COMPUTED_VALUE"""),55.87)</f>
        <v>55.87</v>
      </c>
    </row>
    <row r="1329">
      <c r="A1329" s="2">
        <f>IFERROR(__xludf.DUMMYFUNCTION("""COMPUTED_VALUE"""),46028.66666666667)</f>
        <v>46028.66667</v>
      </c>
      <c r="B1329" s="1">
        <f>IFERROR(__xludf.DUMMYFUNCTION("""COMPUTED_VALUE"""),55.77)</f>
        <v>55.77</v>
      </c>
    </row>
    <row r="1330">
      <c r="A1330" s="2">
        <f>IFERROR(__xludf.DUMMYFUNCTION("""COMPUTED_VALUE"""),46029.66666666667)</f>
        <v>46029.66667</v>
      </c>
      <c r="B1330" s="1">
        <f>IFERROR(__xludf.DUMMYFUNCTION("""COMPUTED_VALUE"""),55.83)</f>
        <v>55.83</v>
      </c>
    </row>
    <row r="1331">
      <c r="A1331" s="2">
        <f>IFERROR(__xludf.DUMMYFUNCTION("""COMPUTED_VALUE"""),46030.66666666667)</f>
        <v>46030.66667</v>
      </c>
      <c r="B1331" s="1">
        <f>IFERROR(__xludf.DUMMYFUNCTION("""COMPUTED_VALUE"""),56.3)</f>
        <v>56.3</v>
      </c>
    </row>
    <row r="1332">
      <c r="A1332" s="2">
        <f>IFERROR(__xludf.DUMMYFUNCTION("""COMPUTED_VALUE"""),46031.66666666667)</f>
        <v>46031.66667</v>
      </c>
      <c r="B1332" s="1">
        <f>IFERROR(__xludf.DUMMYFUNCTION("""COMPUTED_VALUE"""),56.14)</f>
        <v>56.14</v>
      </c>
    </row>
    <row r="1333">
      <c r="A1333" s="2">
        <f>IFERROR(__xludf.DUMMYFUNCTION("""COMPUTED_VALUE"""),46034.66666666667)</f>
        <v>46034.66667</v>
      </c>
      <c r="B1333" s="1">
        <f>IFERROR(__xludf.DUMMYFUNCTION("""COMPUTED_VALUE"""),56.25)</f>
        <v>56.25</v>
      </c>
    </row>
    <row r="1334">
      <c r="A1334" s="2">
        <f>IFERROR(__xludf.DUMMYFUNCTION("""COMPUTED_VALUE"""),46035.66666666667)</f>
        <v>46035.66667</v>
      </c>
      <c r="B1334" s="1">
        <f>IFERROR(__xludf.DUMMYFUNCTION("""COMPUTED_VALUE"""),56.47)</f>
        <v>56.47</v>
      </c>
    </row>
    <row r="1335">
      <c r="A1335" s="2">
        <f>IFERROR(__xludf.DUMMYFUNCTION("""COMPUTED_VALUE"""),46036.66666666667)</f>
        <v>46036.66667</v>
      </c>
      <c r="B1335" s="1">
        <f>IFERROR(__xludf.DUMMYFUNCTION("""COMPUTED_VALUE"""),56.56)</f>
        <v>56.56</v>
      </c>
    </row>
    <row r="1336">
      <c r="A1336" s="2">
        <f>IFERROR(__xludf.DUMMYFUNCTION("""COMPUTED_VALUE"""),46037.66666666667)</f>
        <v>46037.66667</v>
      </c>
      <c r="B1336" s="1">
        <f>IFERROR(__xludf.DUMMYFUNCTION("""COMPUTED_VALUE"""),56.19)</f>
        <v>56.19</v>
      </c>
    </row>
    <row r="1337">
      <c r="A1337" s="2">
        <f>IFERROR(__xludf.DUMMYFUNCTION("""COMPUTED_VALUE"""),46038.66666666667)</f>
        <v>46038.66667</v>
      </c>
      <c r="B1337" s="1">
        <f>IFERROR(__xludf.DUMMYFUNCTION("""COMPUTED_VALUE"""),56.37)</f>
        <v>56.37</v>
      </c>
    </row>
    <row r="1338">
      <c r="A1338" s="2">
        <f>IFERROR(__xludf.DUMMYFUNCTION("""COMPUTED_VALUE"""),46041.66666666667)</f>
        <v>46041.66667</v>
      </c>
      <c r="B1338" s="1">
        <f>IFERROR(__xludf.DUMMYFUNCTION("""COMPUTED_VALUE"""),55.55)</f>
        <v>55.55</v>
      </c>
    </row>
    <row r="1339">
      <c r="A1339" s="2">
        <f>IFERROR(__xludf.DUMMYFUNCTION("""COMPUTED_VALUE"""),46042.66666666667)</f>
        <v>46042.66667</v>
      </c>
      <c r="B1339" s="1">
        <f>IFERROR(__xludf.DUMMYFUNCTION("""COMPUTED_VALUE"""),55.18)</f>
        <v>55.18</v>
      </c>
    </row>
    <row r="1340">
      <c r="A1340" s="2">
        <f>IFERROR(__xludf.DUMMYFUNCTION("""COMPUTED_VALUE"""),46043.66666666667)</f>
        <v>46043.66667</v>
      </c>
      <c r="B1340" s="1">
        <f>IFERROR(__xludf.DUMMYFUNCTION("""COMPUTED_VALUE"""),54.85)</f>
        <v>54.85</v>
      </c>
    </row>
    <row r="1341">
      <c r="A1341" s="2">
        <f>IFERROR(__xludf.DUMMYFUNCTION("""COMPUTED_VALUE"""),46044.66666666667)</f>
        <v>46044.66667</v>
      </c>
      <c r="B1341" s="1">
        <f>IFERROR(__xludf.DUMMYFUNCTION("""COMPUTED_VALUE"""),55.07)</f>
        <v>55.07</v>
      </c>
    </row>
    <row r="1342">
      <c r="A1342" s="2">
        <f>IFERROR(__xludf.DUMMYFUNCTION("""COMPUTED_VALUE"""),46045.66666666667)</f>
        <v>46045.66667</v>
      </c>
      <c r="B1342" s="1">
        <f>IFERROR(__xludf.DUMMYFUNCTION("""COMPUTED_VALUE"""),54.99)</f>
        <v>54.99</v>
      </c>
    </row>
    <row r="1343">
      <c r="A1343" s="2">
        <f>IFERROR(__xludf.DUMMYFUNCTION("""COMPUTED_VALUE"""),46049.66666666667)</f>
        <v>46049.66667</v>
      </c>
      <c r="B1343" s="1">
        <f>IFERROR(__xludf.DUMMYFUNCTION("""COMPUTED_VALUE"""),55.11)</f>
        <v>55.11</v>
      </c>
    </row>
    <row r="1344">
      <c r="A1344" s="2">
        <f>IFERROR(__xludf.DUMMYFUNCTION("""COMPUTED_VALUE"""),46050.66666666667)</f>
        <v>46050.66667</v>
      </c>
      <c r="B1344" s="1">
        <f>IFERROR(__xludf.DUMMYFUNCTION("""COMPUTED_VALUE"""),55.0)</f>
        <v>55</v>
      </c>
    </row>
    <row r="1345">
      <c r="A1345" s="2">
        <f>IFERROR(__xludf.DUMMYFUNCTION("""COMPUTED_VALUE"""),46051.66666666667)</f>
        <v>46051.66667</v>
      </c>
      <c r="B1345" s="1">
        <f>IFERROR(__xludf.DUMMYFUNCTION("""COMPUTED_VALUE"""),54.23)</f>
        <v>54.23</v>
      </c>
    </row>
    <row r="1346">
      <c r="A1346" s="2">
        <f>IFERROR(__xludf.DUMMYFUNCTION("""COMPUTED_VALUE"""),46052.66666666667)</f>
        <v>46052.66667</v>
      </c>
      <c r="B1346" s="1">
        <f>IFERROR(__xludf.DUMMYFUNCTION("""COMPUTED_VALUE"""),54.18)</f>
        <v>54.18</v>
      </c>
    </row>
    <row r="1347">
      <c r="A1347" s="2">
        <f>IFERROR(__xludf.DUMMYFUNCTION("""COMPUTED_VALUE"""),46055.66666666667)</f>
        <v>46055.66667</v>
      </c>
      <c r="B1347" s="1">
        <f>IFERROR(__xludf.DUMMYFUNCTION("""COMPUTED_VALUE"""),53.54)</f>
        <v>53.54</v>
      </c>
    </row>
    <row r="1348">
      <c r="A1348" s="2">
        <f>IFERROR(__xludf.DUMMYFUNCTION("""COMPUTED_VALUE"""),46056.66666666667)</f>
        <v>46056.66667</v>
      </c>
      <c r="B1348" s="1">
        <f>IFERROR(__xludf.DUMMYFUNCTION("""COMPUTED_VALUE"""),54.37)</f>
        <v>54.37</v>
      </c>
    </row>
    <row r="1349">
      <c r="A1349" s="2">
        <f>IFERROR(__xludf.DUMMYFUNCTION("""COMPUTED_VALUE"""),46057.66666666667)</f>
        <v>46057.66667</v>
      </c>
      <c r="B1349" s="1">
        <f>IFERROR(__xludf.DUMMYFUNCTION("""COMPUTED_VALUE"""),53.1)</f>
        <v>53.1</v>
      </c>
    </row>
    <row r="1350">
      <c r="A1350" s="2">
        <f>IFERROR(__xludf.DUMMYFUNCTION("""COMPUTED_VALUE"""),46058.66666666667)</f>
        <v>46058.66667</v>
      </c>
      <c r="B1350" s="1">
        <f>IFERROR(__xludf.DUMMYFUNCTION("""COMPUTED_VALUE"""),52.64)</f>
        <v>52.64</v>
      </c>
    </row>
    <row r="1351">
      <c r="A1351" s="2">
        <f>IFERROR(__xludf.DUMMYFUNCTION("""COMPUTED_VALUE"""),46059.66666666667)</f>
        <v>46059.66667</v>
      </c>
      <c r="B1351" s="1">
        <f>IFERROR(__xludf.DUMMYFUNCTION("""COMPUTED_VALUE"""),51.68)</f>
        <v>51.68</v>
      </c>
    </row>
    <row r="1352">
      <c r="A1352" s="2">
        <f>IFERROR(__xludf.DUMMYFUNCTION("""COMPUTED_VALUE"""),46062.66666666667)</f>
        <v>46062.66667</v>
      </c>
      <c r="B1352" s="1">
        <f>IFERROR(__xludf.DUMMYFUNCTION("""COMPUTED_VALUE"""),52.66)</f>
        <v>52.66</v>
      </c>
    </row>
    <row r="1353">
      <c r="A1353" s="2">
        <f>IFERROR(__xludf.DUMMYFUNCTION("""COMPUTED_VALUE"""),46063.66666666667)</f>
        <v>46063.66667</v>
      </c>
      <c r="B1353" s="1">
        <f>IFERROR(__xludf.DUMMYFUNCTION("""COMPUTED_VALUE"""),52.61)</f>
        <v>52.61</v>
      </c>
    </row>
    <row r="1354">
      <c r="A1354" s="2">
        <f>IFERROR(__xludf.DUMMYFUNCTION("""COMPUTED_VALUE"""),46064.66666666667)</f>
        <v>46064.66667</v>
      </c>
      <c r="B1354" s="1">
        <f>IFERROR(__xludf.DUMMYFUNCTION("""COMPUTED_VALUE"""),52.27)</f>
        <v>52.27</v>
      </c>
    </row>
    <row r="1355">
      <c r="A1355" s="2">
        <f>IFERROR(__xludf.DUMMYFUNCTION("""COMPUTED_VALUE"""),46065.66666666667)</f>
        <v>46065.66667</v>
      </c>
      <c r="B1355" s="1">
        <f>IFERROR(__xludf.DUMMYFUNCTION("""COMPUTED_VALUE"""),52.29)</f>
        <v>52.29</v>
      </c>
    </row>
    <row r="1356">
      <c r="A1356" s="2">
        <f>IFERROR(__xludf.DUMMYFUNCTION("""COMPUTED_VALUE"""),46066.66666666667)</f>
        <v>46066.66667</v>
      </c>
      <c r="B1356" s="1">
        <f>IFERROR(__xludf.DUMMYFUNCTION("""COMPUTED_VALUE"""),51.36)</f>
        <v>51.36</v>
      </c>
    </row>
    <row r="1357">
      <c r="A1357" s="2">
        <f>IFERROR(__xludf.DUMMYFUNCTION("""COMPUTED_VALUE"""),46069.66666666667)</f>
        <v>46069.66667</v>
      </c>
      <c r="B1357" s="1">
        <f>IFERROR(__xludf.DUMMYFUNCTION("""COMPUTED_VALUE"""),51.47)</f>
        <v>51.47</v>
      </c>
    </row>
    <row r="1358">
      <c r="A1358" s="2">
        <f>IFERROR(__xludf.DUMMYFUNCTION("""COMPUTED_VALUE"""),46070.66666666667)</f>
        <v>46070.66667</v>
      </c>
      <c r="B1358" s="1">
        <f>IFERROR(__xludf.DUMMYFUNCTION("""COMPUTED_VALUE"""),51.19)</f>
        <v>51.19</v>
      </c>
    </row>
    <row r="1359">
      <c r="A1359" s="2">
        <f>IFERROR(__xludf.DUMMYFUNCTION("""COMPUTED_VALUE"""),46071.66666666667)</f>
        <v>46071.66667</v>
      </c>
      <c r="B1359" s="1">
        <f>IFERROR(__xludf.DUMMYFUNCTION("""COMPUTED_VALUE"""),51.6)</f>
        <v>51.6</v>
      </c>
    </row>
    <row r="1360">
      <c r="A1360" s="2">
        <f>IFERROR(__xludf.DUMMYFUNCTION("""COMPUTED_VALUE"""),46072.66666666667)</f>
        <v>46072.66667</v>
      </c>
      <c r="B1360" s="1">
        <f>IFERROR(__xludf.DUMMYFUNCTION("""COMPUTED_VALUE"""),52.03)</f>
        <v>52.03</v>
      </c>
    </row>
    <row r="1361">
      <c r="A1361" s="2">
        <f>IFERROR(__xludf.DUMMYFUNCTION("""COMPUTED_VALUE"""),46073.66666666667)</f>
        <v>46073.66667</v>
      </c>
      <c r="B1361" s="1">
        <f>IFERROR(__xludf.DUMMYFUNCTION("""COMPUTED_VALUE"""),52.09)</f>
        <v>52.09</v>
      </c>
    </row>
    <row r="1362">
      <c r="A1362" s="2">
        <f>IFERROR(__xludf.DUMMYFUNCTION("""COMPUTED_VALUE"""),46076.66666666667)</f>
        <v>46076.66667</v>
      </c>
      <c r="B1362" s="1">
        <f>IFERROR(__xludf.DUMMYFUNCTION("""COMPUTED_VALUE"""),51.63)</f>
        <v>51.63</v>
      </c>
    </row>
    <row r="1363">
      <c r="A1363" s="2">
        <f>IFERROR(__xludf.DUMMYFUNCTION("""COMPUTED_VALUE"""),46077.66666666667)</f>
        <v>46077.66667</v>
      </c>
      <c r="B1363" s="1">
        <f>IFERROR(__xludf.DUMMYFUNCTION("""COMPUTED_VALUE"""),51.8)</f>
        <v>51.8</v>
      </c>
    </row>
    <row r="1364">
      <c r="A1364" s="2">
        <f>IFERROR(__xludf.DUMMYFUNCTION("""COMPUTED_VALUE"""),46078.66666666667)</f>
        <v>46078.66667</v>
      </c>
      <c r="B1364" s="1">
        <f>IFERROR(__xludf.DUMMYFUNCTION("""COMPUTED_VALUE"""),51.86)</f>
        <v>51.86</v>
      </c>
    </row>
    <row r="1365">
      <c r="A1365" s="2">
        <f>IFERROR(__xludf.DUMMYFUNCTION("""COMPUTED_VALUE"""),46079.66666666667)</f>
        <v>46079.66667</v>
      </c>
      <c r="B1365" s="1">
        <f>IFERROR(__xludf.DUMMYFUNCTION("""COMPUTED_VALUE"""),52.21)</f>
        <v>52.21</v>
      </c>
    </row>
    <row r="1366">
      <c r="A1366" s="2">
        <f>IFERROR(__xludf.DUMMYFUNCTION("""COMPUTED_VALUE"""),46080.66666666667)</f>
        <v>46080.66667</v>
      </c>
      <c r="B1366" s="1">
        <f>IFERROR(__xludf.DUMMYFUNCTION("""COMPUTED_VALUE"""),51.71)</f>
        <v>51.71</v>
      </c>
    </row>
    <row r="1367">
      <c r="A1367" s="2">
        <f>IFERROR(__xludf.DUMMYFUNCTION("""COMPUTED_VALUE"""),46083.66666666667)</f>
        <v>46083.66667</v>
      </c>
      <c r="B1367" s="1">
        <f>IFERROR(__xludf.DUMMYFUNCTION("""COMPUTED_VALUE"""),51.34)</f>
        <v>51.34</v>
      </c>
    </row>
    <row r="1368">
      <c r="A1368" s="2">
        <f>IFERROR(__xludf.DUMMYFUNCTION("""COMPUTED_VALUE"""),46084.66666666667)</f>
        <v>46084.66667</v>
      </c>
      <c r="B1368" s="1">
        <f>IFERROR(__xludf.DUMMYFUNCTION("""COMPUTED_VALUE"""),51.4)</f>
        <v>51.4</v>
      </c>
    </row>
    <row r="1369">
      <c r="A1369" s="2">
        <f>IFERROR(__xludf.DUMMYFUNCTION("""COMPUTED_VALUE"""),46085.66666666667)</f>
        <v>46085.66667</v>
      </c>
      <c r="B1369" s="1">
        <f>IFERROR(__xludf.DUMMYFUNCTION("""COMPUTED_VALUE"""),51.69)</f>
        <v>51.69</v>
      </c>
    </row>
    <row r="1370">
      <c r="A1370" s="2">
        <f>IFERROR(__xludf.DUMMYFUNCTION("""COMPUTED_VALUE"""),46086.66666666667)</f>
        <v>46086.66667</v>
      </c>
      <c r="B1370" s="1">
        <f>IFERROR(__xludf.DUMMYFUNCTION("""COMPUTED_VALUE"""),52.39)</f>
        <v>52.39</v>
      </c>
    </row>
    <row r="1371">
      <c r="A1371" s="2">
        <f>IFERROR(__xludf.DUMMYFUNCTION("""COMPUTED_VALUE"""),46087.66666666667)</f>
        <v>46087.66667</v>
      </c>
      <c r="B1371" s="1">
        <f>IFERROR(__xludf.DUMMYFUNCTION("""COMPUTED_VALUE"""),52.6)</f>
        <v>52.6</v>
      </c>
    </row>
    <row r="1372">
      <c r="A1372" s="2">
        <f>IFERROR(__xludf.DUMMYFUNCTION("""COMPUTED_VALUE"""),46090.66666666667)</f>
        <v>46090.66667</v>
      </c>
      <c r="B1372" s="1">
        <f>IFERROR(__xludf.DUMMYFUNCTION("""COMPUTED_VALUE"""),50.75)</f>
        <v>50.75</v>
      </c>
    </row>
    <row r="1373">
      <c r="A1373" s="2">
        <f>IFERROR(__xludf.DUMMYFUNCTION("""COMPUTED_VALUE"""),46091.66666666667)</f>
        <v>46091.66667</v>
      </c>
      <c r="B1373" s="1">
        <f>IFERROR(__xludf.DUMMYFUNCTION("""COMPUTED_VALUE"""),51.99)</f>
        <v>51.99</v>
      </c>
    </row>
    <row r="1374">
      <c r="A1374" s="2">
        <f>IFERROR(__xludf.DUMMYFUNCTION("""COMPUTED_VALUE"""),46092.66666666667)</f>
        <v>46092.66667</v>
      </c>
      <c r="B1374" s="1">
        <f>IFERROR(__xludf.DUMMYFUNCTION("""COMPUTED_VALUE"""),51.41)</f>
        <v>51.41</v>
      </c>
    </row>
    <row r="1375">
      <c r="A1375" s="2">
        <f>IFERROR(__xludf.DUMMYFUNCTION("""COMPUTED_VALUE"""),46093.66666666667)</f>
        <v>46093.66667</v>
      </c>
      <c r="B1375" s="1">
        <f>IFERROR(__xludf.DUMMYFUNCTION("""COMPUTED_VALUE"""),51.1)</f>
        <v>51.1</v>
      </c>
    </row>
    <row r="1376">
      <c r="A1376" s="2">
        <f>IFERROR(__xludf.DUMMYFUNCTION("""COMPUTED_VALUE"""),46094.66666666667)</f>
        <v>46094.66667</v>
      </c>
      <c r="B1376" s="1">
        <f>IFERROR(__xludf.DUMMYFUNCTION("""COMPUTED_VALUE"""),51.26)</f>
        <v>51.26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IFERROR(__xludf.DUMMYFUNCTION("GOOGLEFINANCE(""ASX:VTS"",""close"",DATE(2020,10,1),TODAY(),""daily"")"),"Date")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IFERROR(__xludf.DUMMYFUNCTION("""COMPUTED_VALUE"""),238.48)</f>
        <v>238.48</v>
      </c>
    </row>
    <row r="3">
      <c r="A3" s="2">
        <f>IFERROR(__xludf.DUMMYFUNCTION("""COMPUTED_VALUE"""),44106.66666666667)</f>
        <v>44106.66667</v>
      </c>
      <c r="B3" s="1">
        <f>IFERROR(__xludf.DUMMYFUNCTION("""COMPUTED_VALUE"""),236.08)</f>
        <v>236.08</v>
      </c>
    </row>
    <row r="4">
      <c r="A4" s="2">
        <f>IFERROR(__xludf.DUMMYFUNCTION("""COMPUTED_VALUE"""),44109.66666666667)</f>
        <v>44109.66667</v>
      </c>
      <c r="B4" s="1">
        <f>IFERROR(__xludf.DUMMYFUNCTION("""COMPUTED_VALUE"""),238.67)</f>
        <v>238.67</v>
      </c>
    </row>
    <row r="5">
      <c r="A5" s="2">
        <f>IFERROR(__xludf.DUMMYFUNCTION("""COMPUTED_VALUE"""),44110.66666666667)</f>
        <v>44110.66667</v>
      </c>
      <c r="B5" s="1">
        <f>IFERROR(__xludf.DUMMYFUNCTION("""COMPUTED_VALUE"""),241.1)</f>
        <v>241.1</v>
      </c>
    </row>
    <row r="6">
      <c r="A6" s="2">
        <f>IFERROR(__xludf.DUMMYFUNCTION("""COMPUTED_VALUE"""),44111.66666666667)</f>
        <v>44111.66667</v>
      </c>
      <c r="B6" s="1">
        <f>IFERROR(__xludf.DUMMYFUNCTION("""COMPUTED_VALUE"""),240.84)</f>
        <v>240.84</v>
      </c>
    </row>
    <row r="7">
      <c r="A7" s="2">
        <f>IFERROR(__xludf.DUMMYFUNCTION("""COMPUTED_VALUE"""),44112.66666666667)</f>
        <v>44112.66667</v>
      </c>
      <c r="B7" s="1">
        <f>IFERROR(__xludf.DUMMYFUNCTION("""COMPUTED_VALUE"""),244.52)</f>
        <v>244.52</v>
      </c>
    </row>
    <row r="8">
      <c r="A8" s="2">
        <f>IFERROR(__xludf.DUMMYFUNCTION("""COMPUTED_VALUE"""),44113.66666666667)</f>
        <v>44113.66667</v>
      </c>
      <c r="B8" s="1">
        <f>IFERROR(__xludf.DUMMYFUNCTION("""COMPUTED_VALUE"""),246.12)</f>
        <v>246.12</v>
      </c>
    </row>
    <row r="9">
      <c r="A9" s="2">
        <f>IFERROR(__xludf.DUMMYFUNCTION("""COMPUTED_VALUE"""),44116.66666666667)</f>
        <v>44116.66667</v>
      </c>
      <c r="B9" s="1">
        <f>IFERROR(__xludf.DUMMYFUNCTION("""COMPUTED_VALUE"""),246.05)</f>
        <v>246.05</v>
      </c>
    </row>
    <row r="10">
      <c r="A10" s="2">
        <f>IFERROR(__xludf.DUMMYFUNCTION("""COMPUTED_VALUE"""),44117.66666666667)</f>
        <v>44117.66667</v>
      </c>
      <c r="B10" s="1">
        <f>IFERROR(__xludf.DUMMYFUNCTION("""COMPUTED_VALUE"""),250.07)</f>
        <v>250.07</v>
      </c>
    </row>
    <row r="11">
      <c r="A11" s="2">
        <f>IFERROR(__xludf.DUMMYFUNCTION("""COMPUTED_VALUE"""),44118.66666666667)</f>
        <v>44118.66667</v>
      </c>
      <c r="B11" s="1">
        <f>IFERROR(__xludf.DUMMYFUNCTION("""COMPUTED_VALUE"""),250.4)</f>
        <v>250.4</v>
      </c>
    </row>
    <row r="12">
      <c r="A12" s="2">
        <f>IFERROR(__xludf.DUMMYFUNCTION("""COMPUTED_VALUE"""),44119.66666666667)</f>
        <v>44119.66667</v>
      </c>
      <c r="B12" s="1">
        <f>IFERROR(__xludf.DUMMYFUNCTION("""COMPUTED_VALUE"""),249.01)</f>
        <v>249.01</v>
      </c>
    </row>
    <row r="13">
      <c r="A13" s="2">
        <f>IFERROR(__xludf.DUMMYFUNCTION("""COMPUTED_VALUE"""),44120.66666666667)</f>
        <v>44120.66667</v>
      </c>
      <c r="B13" s="1">
        <f>IFERROR(__xludf.DUMMYFUNCTION("""COMPUTED_VALUE"""),251.5)</f>
        <v>251.5</v>
      </c>
    </row>
    <row r="14">
      <c r="A14" s="2">
        <f>IFERROR(__xludf.DUMMYFUNCTION("""COMPUTED_VALUE"""),44123.66666666667)</f>
        <v>44123.66667</v>
      </c>
      <c r="B14" s="1">
        <f>IFERROR(__xludf.DUMMYFUNCTION("""COMPUTED_VALUE"""),251.64)</f>
        <v>251.64</v>
      </c>
    </row>
    <row r="15">
      <c r="A15" s="2">
        <f>IFERROR(__xludf.DUMMYFUNCTION("""COMPUTED_VALUE"""),44124.66666666667)</f>
        <v>44124.66667</v>
      </c>
      <c r="B15" s="1">
        <f>IFERROR(__xludf.DUMMYFUNCTION("""COMPUTED_VALUE"""),249.41)</f>
        <v>249.41</v>
      </c>
    </row>
    <row r="16">
      <c r="A16" s="2">
        <f>IFERROR(__xludf.DUMMYFUNCTION("""COMPUTED_VALUE"""),44125.66666666667)</f>
        <v>44125.66667</v>
      </c>
      <c r="B16" s="1">
        <f>IFERROR(__xludf.DUMMYFUNCTION("""COMPUTED_VALUE"""),249.39)</f>
        <v>249.39</v>
      </c>
    </row>
    <row r="17">
      <c r="A17" s="2">
        <f>IFERROR(__xludf.DUMMYFUNCTION("""COMPUTED_VALUE"""),44126.66666666667)</f>
        <v>44126.66667</v>
      </c>
      <c r="B17" s="1">
        <f>IFERROR(__xludf.DUMMYFUNCTION("""COMPUTED_VALUE"""),245.62)</f>
        <v>245.62</v>
      </c>
    </row>
    <row r="18">
      <c r="A18" s="2">
        <f>IFERROR(__xludf.DUMMYFUNCTION("""COMPUTED_VALUE"""),44127.66666666667)</f>
        <v>44127.66667</v>
      </c>
      <c r="B18" s="1">
        <f>IFERROR(__xludf.DUMMYFUNCTION("""COMPUTED_VALUE"""),248.35)</f>
        <v>248.35</v>
      </c>
    </row>
    <row r="19">
      <c r="A19" s="2">
        <f>IFERROR(__xludf.DUMMYFUNCTION("""COMPUTED_VALUE"""),44130.66666666667)</f>
        <v>44130.66667</v>
      </c>
      <c r="B19" s="1">
        <f>IFERROR(__xludf.DUMMYFUNCTION("""COMPUTED_VALUE"""),246.62)</f>
        <v>246.62</v>
      </c>
    </row>
    <row r="20">
      <c r="A20" s="2">
        <f>IFERROR(__xludf.DUMMYFUNCTION("""COMPUTED_VALUE"""),44131.66666666667)</f>
        <v>44131.66667</v>
      </c>
      <c r="B20" s="1">
        <f>IFERROR(__xludf.DUMMYFUNCTION("""COMPUTED_VALUE"""),243.93)</f>
        <v>243.93</v>
      </c>
    </row>
    <row r="21">
      <c r="A21" s="2">
        <f>IFERROR(__xludf.DUMMYFUNCTION("""COMPUTED_VALUE"""),44132.66666666667)</f>
        <v>44132.66667</v>
      </c>
      <c r="B21" s="1">
        <f>IFERROR(__xludf.DUMMYFUNCTION("""COMPUTED_VALUE"""),240.8)</f>
        <v>240.8</v>
      </c>
    </row>
    <row r="22">
      <c r="A22" s="2">
        <f>IFERROR(__xludf.DUMMYFUNCTION("""COMPUTED_VALUE"""),44133.66666666667)</f>
        <v>44133.66667</v>
      </c>
      <c r="B22" s="1">
        <f>IFERROR(__xludf.DUMMYFUNCTION("""COMPUTED_VALUE"""),239.3)</f>
        <v>239.3</v>
      </c>
    </row>
    <row r="23">
      <c r="A23" s="2">
        <f>IFERROR(__xludf.DUMMYFUNCTION("""COMPUTED_VALUE"""),44134.66666666667)</f>
        <v>44134.66667</v>
      </c>
      <c r="B23" s="1">
        <f>IFERROR(__xludf.DUMMYFUNCTION("""COMPUTED_VALUE"""),237.67)</f>
        <v>237.67</v>
      </c>
    </row>
    <row r="24">
      <c r="A24" s="2">
        <f>IFERROR(__xludf.DUMMYFUNCTION("""COMPUTED_VALUE"""),44137.66666666667)</f>
        <v>44137.66667</v>
      </c>
      <c r="B24" s="1">
        <f>IFERROR(__xludf.DUMMYFUNCTION("""COMPUTED_VALUE"""),238.61)</f>
        <v>238.61</v>
      </c>
    </row>
    <row r="25">
      <c r="A25" s="2">
        <f>IFERROR(__xludf.DUMMYFUNCTION("""COMPUTED_VALUE"""),44138.66666666667)</f>
        <v>44138.66667</v>
      </c>
      <c r="B25" s="1">
        <f>IFERROR(__xludf.DUMMYFUNCTION("""COMPUTED_VALUE"""),240.83)</f>
        <v>240.83</v>
      </c>
    </row>
    <row r="26">
      <c r="A26" s="2">
        <f>IFERROR(__xludf.DUMMYFUNCTION("""COMPUTED_VALUE"""),44139.66666666667)</f>
        <v>44139.66667</v>
      </c>
      <c r="B26" s="1">
        <f>IFERROR(__xludf.DUMMYFUNCTION("""COMPUTED_VALUE"""),244.07)</f>
        <v>244.07</v>
      </c>
    </row>
    <row r="27">
      <c r="A27" s="2">
        <f>IFERROR(__xludf.DUMMYFUNCTION("""COMPUTED_VALUE"""),44140.66666666667)</f>
        <v>44140.66667</v>
      </c>
      <c r="B27" s="1">
        <f>IFERROR(__xludf.DUMMYFUNCTION("""COMPUTED_VALUE"""),247.25)</f>
        <v>247.25</v>
      </c>
    </row>
    <row r="28">
      <c r="A28" s="2">
        <f>IFERROR(__xludf.DUMMYFUNCTION("""COMPUTED_VALUE"""),44141.66666666667)</f>
        <v>44141.66667</v>
      </c>
      <c r="B28" s="1">
        <f>IFERROR(__xludf.DUMMYFUNCTION("""COMPUTED_VALUE"""),245.19)</f>
        <v>245.19</v>
      </c>
    </row>
    <row r="29">
      <c r="A29" s="2">
        <f>IFERROR(__xludf.DUMMYFUNCTION("""COMPUTED_VALUE"""),44144.66666666667)</f>
        <v>44144.66667</v>
      </c>
      <c r="B29" s="1">
        <f>IFERROR(__xludf.DUMMYFUNCTION("""COMPUTED_VALUE"""),249.96)</f>
        <v>249.96</v>
      </c>
    </row>
    <row r="30">
      <c r="A30" s="2">
        <f>IFERROR(__xludf.DUMMYFUNCTION("""COMPUTED_VALUE"""),44145.66666666667)</f>
        <v>44145.66667</v>
      </c>
      <c r="B30" s="1">
        <f>IFERROR(__xludf.DUMMYFUNCTION("""COMPUTED_VALUE"""),247.26)</f>
        <v>247.26</v>
      </c>
    </row>
    <row r="31">
      <c r="A31" s="2">
        <f>IFERROR(__xludf.DUMMYFUNCTION("""COMPUTED_VALUE"""),44146.66666666667)</f>
        <v>44146.66667</v>
      </c>
      <c r="B31" s="1">
        <f>IFERROR(__xludf.DUMMYFUNCTION("""COMPUTED_VALUE"""),248.98)</f>
        <v>248.98</v>
      </c>
    </row>
    <row r="32">
      <c r="A32" s="2">
        <f>IFERROR(__xludf.DUMMYFUNCTION("""COMPUTED_VALUE"""),44147.66666666667)</f>
        <v>44147.66667</v>
      </c>
      <c r="B32" s="1">
        <f>IFERROR(__xludf.DUMMYFUNCTION("""COMPUTED_VALUE"""),249.27)</f>
        <v>249.27</v>
      </c>
    </row>
    <row r="33">
      <c r="A33" s="2">
        <f>IFERROR(__xludf.DUMMYFUNCTION("""COMPUTED_VALUE"""),44148.66666666667)</f>
        <v>44148.66667</v>
      </c>
      <c r="B33" s="1">
        <f>IFERROR(__xludf.DUMMYFUNCTION("""COMPUTED_VALUE"""),250.17)</f>
        <v>250.17</v>
      </c>
    </row>
    <row r="34">
      <c r="A34" s="2">
        <f>IFERROR(__xludf.DUMMYFUNCTION("""COMPUTED_VALUE"""),44151.66666666667)</f>
        <v>44151.66667</v>
      </c>
      <c r="B34" s="1">
        <f>IFERROR(__xludf.DUMMYFUNCTION("""COMPUTED_VALUE"""),253.27)</f>
        <v>253.27</v>
      </c>
    </row>
    <row r="35">
      <c r="A35" s="2">
        <f>IFERROR(__xludf.DUMMYFUNCTION("""COMPUTED_VALUE"""),44152.66666666667)</f>
        <v>44152.66667</v>
      </c>
      <c r="B35" s="1">
        <f>IFERROR(__xludf.DUMMYFUNCTION("""COMPUTED_VALUE"""),252.5)</f>
        <v>252.5</v>
      </c>
    </row>
    <row r="36">
      <c r="A36" s="2">
        <f>IFERROR(__xludf.DUMMYFUNCTION("""COMPUTED_VALUE"""),44153.66666666667)</f>
        <v>44153.66667</v>
      </c>
      <c r="B36" s="1">
        <f>IFERROR(__xludf.DUMMYFUNCTION("""COMPUTED_VALUE"""),253.58)</f>
        <v>253.58</v>
      </c>
    </row>
    <row r="37">
      <c r="A37" s="2">
        <f>IFERROR(__xludf.DUMMYFUNCTION("""COMPUTED_VALUE"""),44154.66666666667)</f>
        <v>44154.66667</v>
      </c>
      <c r="B37" s="1">
        <f>IFERROR(__xludf.DUMMYFUNCTION("""COMPUTED_VALUE"""),250.97)</f>
        <v>250.97</v>
      </c>
    </row>
    <row r="38">
      <c r="A38" s="2">
        <f>IFERROR(__xludf.DUMMYFUNCTION("""COMPUTED_VALUE"""),44155.66666666667)</f>
        <v>44155.66667</v>
      </c>
      <c r="B38" s="1">
        <f>IFERROR(__xludf.DUMMYFUNCTION("""COMPUTED_VALUE"""),251.67)</f>
        <v>251.67</v>
      </c>
    </row>
    <row r="39">
      <c r="A39" s="2">
        <f>IFERROR(__xludf.DUMMYFUNCTION("""COMPUTED_VALUE"""),44158.66666666667)</f>
        <v>44158.66667</v>
      </c>
      <c r="B39" s="1">
        <f>IFERROR(__xludf.DUMMYFUNCTION("""COMPUTED_VALUE"""),251.23)</f>
        <v>251.23</v>
      </c>
    </row>
    <row r="40">
      <c r="A40" s="2">
        <f>IFERROR(__xludf.DUMMYFUNCTION("""COMPUTED_VALUE"""),44159.66666666667)</f>
        <v>44159.66667</v>
      </c>
      <c r="B40" s="1">
        <f>IFERROR(__xludf.DUMMYFUNCTION("""COMPUTED_VALUE"""),254.55)</f>
        <v>254.55</v>
      </c>
    </row>
    <row r="41">
      <c r="A41" s="2">
        <f>IFERROR(__xludf.DUMMYFUNCTION("""COMPUTED_VALUE"""),44160.66666666667)</f>
        <v>44160.66667</v>
      </c>
      <c r="B41" s="1">
        <f>IFERROR(__xludf.DUMMYFUNCTION("""COMPUTED_VALUE"""),255.67)</f>
        <v>255.67</v>
      </c>
    </row>
    <row r="42">
      <c r="A42" s="2">
        <f>IFERROR(__xludf.DUMMYFUNCTION("""COMPUTED_VALUE"""),44161.66666666667)</f>
        <v>44161.66667</v>
      </c>
      <c r="B42" s="1">
        <f>IFERROR(__xludf.DUMMYFUNCTION("""COMPUTED_VALUE"""),255.25)</f>
        <v>255.25</v>
      </c>
    </row>
    <row r="43">
      <c r="A43" s="2">
        <f>IFERROR(__xludf.DUMMYFUNCTION("""COMPUTED_VALUE"""),44162.66666666667)</f>
        <v>44162.66667</v>
      </c>
      <c r="B43" s="1">
        <f>IFERROR(__xludf.DUMMYFUNCTION("""COMPUTED_VALUE"""),254.05)</f>
        <v>254.05</v>
      </c>
    </row>
    <row r="44">
      <c r="A44" s="2">
        <f>IFERROR(__xludf.DUMMYFUNCTION("""COMPUTED_VALUE"""),44165.66666666667)</f>
        <v>44165.66667</v>
      </c>
      <c r="B44" s="1">
        <f>IFERROR(__xludf.DUMMYFUNCTION("""COMPUTED_VALUE"""),253.28)</f>
        <v>253.28</v>
      </c>
    </row>
    <row r="45">
      <c r="A45" s="2">
        <f>IFERROR(__xludf.DUMMYFUNCTION("""COMPUTED_VALUE"""),44166.66666666667)</f>
        <v>44166.66667</v>
      </c>
      <c r="B45" s="1">
        <f>IFERROR(__xludf.DUMMYFUNCTION("""COMPUTED_VALUE"""),256.31)</f>
        <v>256.31</v>
      </c>
    </row>
    <row r="46">
      <c r="A46" s="2">
        <f>IFERROR(__xludf.DUMMYFUNCTION("""COMPUTED_VALUE"""),44167.66666666667)</f>
        <v>44167.66667</v>
      </c>
      <c r="B46" s="1">
        <f>IFERROR(__xludf.DUMMYFUNCTION("""COMPUTED_VALUE"""),255.86)</f>
        <v>255.86</v>
      </c>
    </row>
    <row r="47">
      <c r="A47" s="2">
        <f>IFERROR(__xludf.DUMMYFUNCTION("""COMPUTED_VALUE"""),44168.66666666667)</f>
        <v>44168.66667</v>
      </c>
      <c r="B47" s="1">
        <f>IFERROR(__xludf.DUMMYFUNCTION("""COMPUTED_VALUE"""),255.31)</f>
        <v>255.31</v>
      </c>
    </row>
    <row r="48">
      <c r="A48" s="2">
        <f>IFERROR(__xludf.DUMMYFUNCTION("""COMPUTED_VALUE"""),44169.66666666667)</f>
        <v>44169.66667</v>
      </c>
      <c r="B48" s="1">
        <f>IFERROR(__xludf.DUMMYFUNCTION("""COMPUTED_VALUE"""),255.57)</f>
        <v>255.57</v>
      </c>
    </row>
    <row r="49">
      <c r="A49" s="2">
        <f>IFERROR(__xludf.DUMMYFUNCTION("""COMPUTED_VALUE"""),44172.66666666667)</f>
        <v>44172.66667</v>
      </c>
      <c r="B49" s="1">
        <f>IFERROR(__xludf.DUMMYFUNCTION("""COMPUTED_VALUE"""),257.08)</f>
        <v>257.08</v>
      </c>
    </row>
    <row r="50">
      <c r="A50" s="2">
        <f>IFERROR(__xludf.DUMMYFUNCTION("""COMPUTED_VALUE"""),44173.66666666667)</f>
        <v>44173.66667</v>
      </c>
      <c r="B50" s="1">
        <f>IFERROR(__xludf.DUMMYFUNCTION("""COMPUTED_VALUE"""),256.86)</f>
        <v>256.86</v>
      </c>
    </row>
    <row r="51">
      <c r="A51" s="2">
        <f>IFERROR(__xludf.DUMMYFUNCTION("""COMPUTED_VALUE"""),44174.66666666667)</f>
        <v>44174.66667</v>
      </c>
      <c r="B51" s="1">
        <f>IFERROR(__xludf.DUMMYFUNCTION("""COMPUTED_VALUE"""),258.85)</f>
        <v>258.85</v>
      </c>
    </row>
    <row r="52">
      <c r="A52" s="2">
        <f>IFERROR(__xludf.DUMMYFUNCTION("""COMPUTED_VALUE"""),44175.66666666667)</f>
        <v>44175.66667</v>
      </c>
      <c r="B52" s="1">
        <f>IFERROR(__xludf.DUMMYFUNCTION("""COMPUTED_VALUE"""),254.54)</f>
        <v>254.54</v>
      </c>
    </row>
    <row r="53">
      <c r="A53" s="2">
        <f>IFERROR(__xludf.DUMMYFUNCTION("""COMPUTED_VALUE"""),44176.66666666667)</f>
        <v>44176.66667</v>
      </c>
      <c r="B53" s="1">
        <f>IFERROR(__xludf.DUMMYFUNCTION("""COMPUTED_VALUE"""),251.79)</f>
        <v>251.79</v>
      </c>
    </row>
    <row r="54">
      <c r="A54" s="2">
        <f>IFERROR(__xludf.DUMMYFUNCTION("""COMPUTED_VALUE"""),44179.66666666667)</f>
        <v>44179.66667</v>
      </c>
      <c r="B54" s="1">
        <f>IFERROR(__xludf.DUMMYFUNCTION("""COMPUTED_VALUE"""),253.7)</f>
        <v>253.7</v>
      </c>
    </row>
    <row r="55">
      <c r="A55" s="2">
        <f>IFERROR(__xludf.DUMMYFUNCTION("""COMPUTED_VALUE"""),44180.66666666667)</f>
        <v>44180.66667</v>
      </c>
      <c r="B55" s="1">
        <f>IFERROR(__xludf.DUMMYFUNCTION("""COMPUTED_VALUE"""),252.67)</f>
        <v>252.67</v>
      </c>
    </row>
    <row r="56">
      <c r="A56" s="2">
        <f>IFERROR(__xludf.DUMMYFUNCTION("""COMPUTED_VALUE"""),44181.66666666667)</f>
        <v>44181.66667</v>
      </c>
      <c r="B56" s="1">
        <f>IFERROR(__xludf.DUMMYFUNCTION("""COMPUTED_VALUE"""),254.32)</f>
        <v>254.32</v>
      </c>
    </row>
    <row r="57">
      <c r="A57" s="2">
        <f>IFERROR(__xludf.DUMMYFUNCTION("""COMPUTED_VALUE"""),44182.66666666667)</f>
        <v>44182.66667</v>
      </c>
      <c r="B57" s="1">
        <f>IFERROR(__xludf.DUMMYFUNCTION("""COMPUTED_VALUE"""),254.54)</f>
        <v>254.54</v>
      </c>
    </row>
    <row r="58">
      <c r="A58" s="2">
        <f>IFERROR(__xludf.DUMMYFUNCTION("""COMPUTED_VALUE"""),44183.66666666667)</f>
        <v>44183.66667</v>
      </c>
      <c r="B58" s="1">
        <f>IFERROR(__xludf.DUMMYFUNCTION("""COMPUTED_VALUE"""),254.64)</f>
        <v>254.64</v>
      </c>
    </row>
    <row r="59">
      <c r="A59" s="2">
        <f>IFERROR(__xludf.DUMMYFUNCTION("""COMPUTED_VALUE"""),44186.66666666667)</f>
        <v>44186.66667</v>
      </c>
      <c r="B59" s="1">
        <f>IFERROR(__xludf.DUMMYFUNCTION("""COMPUTED_VALUE"""),255.62)</f>
        <v>255.62</v>
      </c>
    </row>
    <row r="60">
      <c r="A60" s="2">
        <f>IFERROR(__xludf.DUMMYFUNCTION("""COMPUTED_VALUE"""),44187.66666666667)</f>
        <v>44187.66667</v>
      </c>
      <c r="B60" s="1">
        <f>IFERROR(__xludf.DUMMYFUNCTION("""COMPUTED_VALUE"""),255.49)</f>
        <v>255.49</v>
      </c>
    </row>
    <row r="61">
      <c r="A61" s="2">
        <f>IFERROR(__xludf.DUMMYFUNCTION("""COMPUTED_VALUE"""),44188.66666666667)</f>
        <v>44188.66667</v>
      </c>
      <c r="B61" s="1">
        <f>IFERROR(__xludf.DUMMYFUNCTION("""COMPUTED_VALUE"""),255.09)</f>
        <v>255.09</v>
      </c>
    </row>
    <row r="62">
      <c r="A62" s="2">
        <f>IFERROR(__xludf.DUMMYFUNCTION("""COMPUTED_VALUE"""),44189.66666666667)</f>
        <v>44189.66667</v>
      </c>
      <c r="B62" s="1">
        <f>IFERROR(__xludf.DUMMYFUNCTION("""COMPUTED_VALUE"""),256.99)</f>
        <v>256.99</v>
      </c>
    </row>
    <row r="63">
      <c r="A63" s="2">
        <f>IFERROR(__xludf.DUMMYFUNCTION("""COMPUTED_VALUE"""),44194.66666666667)</f>
        <v>44194.66667</v>
      </c>
      <c r="B63" s="1">
        <f>IFERROR(__xludf.DUMMYFUNCTION("""COMPUTED_VALUE"""),256.78)</f>
        <v>256.78</v>
      </c>
    </row>
    <row r="64">
      <c r="A64" s="2">
        <f>IFERROR(__xludf.DUMMYFUNCTION("""COMPUTED_VALUE"""),44195.66666666667)</f>
        <v>44195.66667</v>
      </c>
      <c r="B64" s="1">
        <f>IFERROR(__xludf.DUMMYFUNCTION("""COMPUTED_VALUE"""),253.53)</f>
        <v>253.53</v>
      </c>
    </row>
    <row r="65">
      <c r="A65" s="2">
        <f>IFERROR(__xludf.DUMMYFUNCTION("""COMPUTED_VALUE"""),44196.66666666667)</f>
        <v>44196.66667</v>
      </c>
      <c r="B65" s="1">
        <f>IFERROR(__xludf.DUMMYFUNCTION("""COMPUTED_VALUE"""),252.07)</f>
        <v>252.07</v>
      </c>
    </row>
    <row r="66">
      <c r="A66" s="2">
        <f>IFERROR(__xludf.DUMMYFUNCTION("""COMPUTED_VALUE"""),44200.66666666667)</f>
        <v>44200.66667</v>
      </c>
      <c r="B66" s="1">
        <f>IFERROR(__xludf.DUMMYFUNCTION("""COMPUTED_VALUE"""),252.81)</f>
        <v>252.81</v>
      </c>
    </row>
    <row r="67">
      <c r="A67" s="2">
        <f>IFERROR(__xludf.DUMMYFUNCTION("""COMPUTED_VALUE"""),44201.66666666667)</f>
        <v>44201.66667</v>
      </c>
      <c r="B67" s="1">
        <f>IFERROR(__xludf.DUMMYFUNCTION("""COMPUTED_VALUE"""),249.23)</f>
        <v>249.23</v>
      </c>
    </row>
    <row r="68">
      <c r="A68" s="2">
        <f>IFERROR(__xludf.DUMMYFUNCTION("""COMPUTED_VALUE"""),44202.66666666667)</f>
        <v>44202.66667</v>
      </c>
      <c r="B68" s="1">
        <f>IFERROR(__xludf.DUMMYFUNCTION("""COMPUTED_VALUE"""),247.78)</f>
        <v>247.78</v>
      </c>
    </row>
    <row r="69">
      <c r="A69" s="2">
        <f>IFERROR(__xludf.DUMMYFUNCTION("""COMPUTED_VALUE"""),44203.66666666667)</f>
        <v>44203.66667</v>
      </c>
      <c r="B69" s="1">
        <f>IFERROR(__xludf.DUMMYFUNCTION("""COMPUTED_VALUE"""),251.5)</f>
        <v>251.5</v>
      </c>
    </row>
    <row r="70">
      <c r="A70" s="2">
        <f>IFERROR(__xludf.DUMMYFUNCTION("""COMPUTED_VALUE"""),44204.66666666667)</f>
        <v>44204.66667</v>
      </c>
      <c r="B70" s="1">
        <f>IFERROR(__xludf.DUMMYFUNCTION("""COMPUTED_VALUE"""),256.47)</f>
        <v>256.47</v>
      </c>
    </row>
    <row r="71">
      <c r="A71" s="2">
        <f>IFERROR(__xludf.DUMMYFUNCTION("""COMPUTED_VALUE"""),44207.66666666667)</f>
        <v>44207.66667</v>
      </c>
      <c r="B71" s="1">
        <f>IFERROR(__xludf.DUMMYFUNCTION("""COMPUTED_VALUE"""),257.26)</f>
        <v>257.26</v>
      </c>
    </row>
    <row r="72">
      <c r="A72" s="2">
        <f>IFERROR(__xludf.DUMMYFUNCTION("""COMPUTED_VALUE"""),44208.66666666667)</f>
        <v>44208.66667</v>
      </c>
      <c r="B72" s="1">
        <f>IFERROR(__xludf.DUMMYFUNCTION("""COMPUTED_VALUE"""),257.78)</f>
        <v>257.78</v>
      </c>
    </row>
    <row r="73">
      <c r="A73" s="2">
        <f>IFERROR(__xludf.DUMMYFUNCTION("""COMPUTED_VALUE"""),44209.66666666667)</f>
        <v>44209.66667</v>
      </c>
      <c r="B73" s="1">
        <f>IFERROR(__xludf.DUMMYFUNCTION("""COMPUTED_VALUE"""),256.47)</f>
        <v>256.47</v>
      </c>
    </row>
    <row r="74">
      <c r="A74" s="2">
        <f>IFERROR(__xludf.DUMMYFUNCTION("""COMPUTED_VALUE"""),44210.66666666667)</f>
        <v>44210.66667</v>
      </c>
      <c r="B74" s="1">
        <f>IFERROR(__xludf.DUMMYFUNCTION("""COMPUTED_VALUE"""),257.33)</f>
        <v>257.33</v>
      </c>
    </row>
    <row r="75">
      <c r="A75" s="2">
        <f>IFERROR(__xludf.DUMMYFUNCTION("""COMPUTED_VALUE"""),44211.66666666667)</f>
        <v>44211.66667</v>
      </c>
      <c r="B75" s="1">
        <f>IFERROR(__xludf.DUMMYFUNCTION("""COMPUTED_VALUE"""),255.17)</f>
        <v>255.17</v>
      </c>
    </row>
    <row r="76">
      <c r="A76" s="2">
        <f>IFERROR(__xludf.DUMMYFUNCTION("""COMPUTED_VALUE"""),44214.66666666667)</f>
        <v>44214.66667</v>
      </c>
      <c r="B76" s="1">
        <f>IFERROR(__xludf.DUMMYFUNCTION("""COMPUTED_VALUE"""),255.91)</f>
        <v>255.91</v>
      </c>
    </row>
    <row r="77">
      <c r="A77" s="2">
        <f>IFERROR(__xludf.DUMMYFUNCTION("""COMPUTED_VALUE"""),44215.66666666667)</f>
        <v>44215.66667</v>
      </c>
      <c r="B77" s="1">
        <f>IFERROR(__xludf.DUMMYFUNCTION("""COMPUTED_VALUE"""),257.82)</f>
        <v>257.82</v>
      </c>
    </row>
    <row r="78">
      <c r="A78" s="2">
        <f>IFERROR(__xludf.DUMMYFUNCTION("""COMPUTED_VALUE"""),44216.66666666667)</f>
        <v>44216.66667</v>
      </c>
      <c r="B78" s="1">
        <f>IFERROR(__xludf.DUMMYFUNCTION("""COMPUTED_VALUE"""),257.52)</f>
        <v>257.52</v>
      </c>
    </row>
    <row r="79">
      <c r="A79" s="2">
        <f>IFERROR(__xludf.DUMMYFUNCTION("""COMPUTED_VALUE"""),44217.66666666667)</f>
        <v>44217.66667</v>
      </c>
      <c r="B79" s="1">
        <f>IFERROR(__xludf.DUMMYFUNCTION("""COMPUTED_VALUE"""),260.17)</f>
        <v>260.17</v>
      </c>
    </row>
    <row r="80">
      <c r="A80" s="2">
        <f>IFERROR(__xludf.DUMMYFUNCTION("""COMPUTED_VALUE"""),44218.66666666667)</f>
        <v>44218.66667</v>
      </c>
      <c r="B80" s="1">
        <f>IFERROR(__xludf.DUMMYFUNCTION("""COMPUTED_VALUE"""),259.01)</f>
        <v>259.01</v>
      </c>
    </row>
    <row r="81">
      <c r="A81" s="2">
        <f>IFERROR(__xludf.DUMMYFUNCTION("""COMPUTED_VALUE"""),44221.66666666667)</f>
        <v>44221.66667</v>
      </c>
      <c r="B81" s="1">
        <f>IFERROR(__xludf.DUMMYFUNCTION("""COMPUTED_VALUE"""),260.6)</f>
        <v>260.6</v>
      </c>
    </row>
    <row r="82">
      <c r="A82" s="2">
        <f>IFERROR(__xludf.DUMMYFUNCTION("""COMPUTED_VALUE"""),44223.66666666667)</f>
        <v>44223.66667</v>
      </c>
      <c r="B82" s="1">
        <f>IFERROR(__xludf.DUMMYFUNCTION("""COMPUTED_VALUE"""),259.1)</f>
        <v>259.1</v>
      </c>
    </row>
    <row r="83">
      <c r="A83" s="2">
        <f>IFERROR(__xludf.DUMMYFUNCTION("""COMPUTED_VALUE"""),44224.66666666667)</f>
        <v>44224.66667</v>
      </c>
      <c r="B83" s="1">
        <f>IFERROR(__xludf.DUMMYFUNCTION("""COMPUTED_VALUE"""),255.6)</f>
        <v>255.6</v>
      </c>
    </row>
    <row r="84">
      <c r="A84" s="2">
        <f>IFERROR(__xludf.DUMMYFUNCTION("""COMPUTED_VALUE"""),44225.66666666667)</f>
        <v>44225.66667</v>
      </c>
      <c r="B84" s="1">
        <f>IFERROR(__xludf.DUMMYFUNCTION("""COMPUTED_VALUE"""),255.09)</f>
        <v>255.09</v>
      </c>
    </row>
    <row r="85">
      <c r="A85" s="2">
        <f>IFERROR(__xludf.DUMMYFUNCTION("""COMPUTED_VALUE"""),44228.66666666667)</f>
        <v>44228.66667</v>
      </c>
      <c r="B85" s="1">
        <f>IFERROR(__xludf.DUMMYFUNCTION("""COMPUTED_VALUE"""),254.48)</f>
        <v>254.48</v>
      </c>
    </row>
    <row r="86">
      <c r="A86" s="2">
        <f>IFERROR(__xludf.DUMMYFUNCTION("""COMPUTED_VALUE"""),44229.66666666667)</f>
        <v>44229.66667</v>
      </c>
      <c r="B86" s="1">
        <f>IFERROR(__xludf.DUMMYFUNCTION("""COMPUTED_VALUE"""),260.31)</f>
        <v>260.31</v>
      </c>
    </row>
    <row r="87">
      <c r="A87" s="2">
        <f>IFERROR(__xludf.DUMMYFUNCTION("""COMPUTED_VALUE"""),44230.66666666667)</f>
        <v>44230.66667</v>
      </c>
      <c r="B87" s="1">
        <f>IFERROR(__xludf.DUMMYFUNCTION("""COMPUTED_VALUE"""),263.73)</f>
        <v>263.73</v>
      </c>
    </row>
    <row r="88">
      <c r="A88" s="2">
        <f>IFERROR(__xludf.DUMMYFUNCTION("""COMPUTED_VALUE"""),44231.66666666667)</f>
        <v>44231.66667</v>
      </c>
      <c r="B88" s="1">
        <f>IFERROR(__xludf.DUMMYFUNCTION("""COMPUTED_VALUE"""),262.51)</f>
        <v>262.51</v>
      </c>
    </row>
    <row r="89">
      <c r="A89" s="2">
        <f>IFERROR(__xludf.DUMMYFUNCTION("""COMPUTED_VALUE"""),44232.66666666667)</f>
        <v>44232.66667</v>
      </c>
      <c r="B89" s="1">
        <f>IFERROR(__xludf.DUMMYFUNCTION("""COMPUTED_VALUE"""),267.82)</f>
        <v>267.82</v>
      </c>
    </row>
    <row r="90">
      <c r="A90" s="2">
        <f>IFERROR(__xludf.DUMMYFUNCTION("""COMPUTED_VALUE"""),44235.66666666667)</f>
        <v>44235.66667</v>
      </c>
      <c r="B90" s="1">
        <f>IFERROR(__xludf.DUMMYFUNCTION("""COMPUTED_VALUE"""),267.02)</f>
        <v>267.02</v>
      </c>
    </row>
    <row r="91">
      <c r="A91" s="2">
        <f>IFERROR(__xludf.DUMMYFUNCTION("""COMPUTED_VALUE"""),44236.66666666667)</f>
        <v>44236.66667</v>
      </c>
      <c r="B91" s="1">
        <f>IFERROR(__xludf.DUMMYFUNCTION("""COMPUTED_VALUE"""),266.39)</f>
        <v>266.39</v>
      </c>
    </row>
    <row r="92">
      <c r="A92" s="2">
        <f>IFERROR(__xludf.DUMMYFUNCTION("""COMPUTED_VALUE"""),44237.66666666667)</f>
        <v>44237.66667</v>
      </c>
      <c r="B92" s="1">
        <f>IFERROR(__xludf.DUMMYFUNCTION("""COMPUTED_VALUE"""),267.09)</f>
        <v>267.09</v>
      </c>
    </row>
    <row r="93">
      <c r="A93" s="2">
        <f>IFERROR(__xludf.DUMMYFUNCTION("""COMPUTED_VALUE"""),44238.66666666667)</f>
        <v>44238.66667</v>
      </c>
      <c r="B93" s="1">
        <f>IFERROR(__xludf.DUMMYFUNCTION("""COMPUTED_VALUE"""),266.48)</f>
        <v>266.48</v>
      </c>
    </row>
    <row r="94">
      <c r="A94" s="2">
        <f>IFERROR(__xludf.DUMMYFUNCTION("""COMPUTED_VALUE"""),44239.66666666667)</f>
        <v>44239.66667</v>
      </c>
      <c r="B94" s="1">
        <f>IFERROR(__xludf.DUMMYFUNCTION("""COMPUTED_VALUE"""),265.87)</f>
        <v>265.87</v>
      </c>
    </row>
    <row r="95">
      <c r="A95" s="2">
        <f>IFERROR(__xludf.DUMMYFUNCTION("""COMPUTED_VALUE"""),44242.66666666667)</f>
        <v>44242.66667</v>
      </c>
      <c r="B95" s="1">
        <f>IFERROR(__xludf.DUMMYFUNCTION("""COMPUTED_VALUE"""),267.98)</f>
        <v>267.98</v>
      </c>
    </row>
    <row r="96">
      <c r="A96" s="2">
        <f>IFERROR(__xludf.DUMMYFUNCTION("""COMPUTED_VALUE"""),44243.66666666667)</f>
        <v>44243.66667</v>
      </c>
      <c r="B96" s="1">
        <f>IFERROR(__xludf.DUMMYFUNCTION("""COMPUTED_VALUE"""),267.99)</f>
        <v>267.99</v>
      </c>
    </row>
    <row r="97">
      <c r="A97" s="2">
        <f>IFERROR(__xludf.DUMMYFUNCTION("""COMPUTED_VALUE"""),44244.66666666667)</f>
        <v>44244.66667</v>
      </c>
      <c r="B97" s="1">
        <f>IFERROR(__xludf.DUMMYFUNCTION("""COMPUTED_VALUE"""),266.93)</f>
        <v>266.93</v>
      </c>
    </row>
    <row r="98">
      <c r="A98" s="2">
        <f>IFERROR(__xludf.DUMMYFUNCTION("""COMPUTED_VALUE"""),44245.66666666667)</f>
        <v>44245.66667</v>
      </c>
      <c r="B98" s="1">
        <f>IFERROR(__xludf.DUMMYFUNCTION("""COMPUTED_VALUE"""),266.48)</f>
        <v>266.48</v>
      </c>
    </row>
    <row r="99">
      <c r="A99" s="2">
        <f>IFERROR(__xludf.DUMMYFUNCTION("""COMPUTED_VALUE"""),44246.66666666667)</f>
        <v>44246.66667</v>
      </c>
      <c r="B99" s="1">
        <f>IFERROR(__xludf.DUMMYFUNCTION("""COMPUTED_VALUE"""),264.0)</f>
        <v>264</v>
      </c>
    </row>
    <row r="100">
      <c r="A100" s="2">
        <f>IFERROR(__xludf.DUMMYFUNCTION("""COMPUTED_VALUE"""),44249.66666666667)</f>
        <v>44249.66667</v>
      </c>
      <c r="B100" s="1">
        <f>IFERROR(__xludf.DUMMYFUNCTION("""COMPUTED_VALUE"""),260.96)</f>
        <v>260.96</v>
      </c>
    </row>
    <row r="101">
      <c r="A101" s="2">
        <f>IFERROR(__xludf.DUMMYFUNCTION("""COMPUTED_VALUE"""),44250.66666666667)</f>
        <v>44250.66667</v>
      </c>
      <c r="B101" s="1">
        <f>IFERROR(__xludf.DUMMYFUNCTION("""COMPUTED_VALUE"""),258.95)</f>
        <v>258.95</v>
      </c>
    </row>
    <row r="102">
      <c r="A102" s="2">
        <f>IFERROR(__xludf.DUMMYFUNCTION("""COMPUTED_VALUE"""),44251.66666666667)</f>
        <v>44251.66667</v>
      </c>
      <c r="B102" s="1">
        <f>IFERROR(__xludf.DUMMYFUNCTION("""COMPUTED_VALUE"""),257.51)</f>
        <v>257.51</v>
      </c>
    </row>
    <row r="103">
      <c r="A103" s="2">
        <f>IFERROR(__xludf.DUMMYFUNCTION("""COMPUTED_VALUE"""),44252.66666666667)</f>
        <v>44252.66667</v>
      </c>
      <c r="B103" s="1">
        <f>IFERROR(__xludf.DUMMYFUNCTION("""COMPUTED_VALUE"""),259.74)</f>
        <v>259.74</v>
      </c>
    </row>
    <row r="104">
      <c r="A104" s="2">
        <f>IFERROR(__xludf.DUMMYFUNCTION("""COMPUTED_VALUE"""),44253.66666666667)</f>
        <v>44253.66667</v>
      </c>
      <c r="B104" s="1">
        <f>IFERROR(__xludf.DUMMYFUNCTION("""COMPUTED_VALUE"""),255.46)</f>
        <v>255.46</v>
      </c>
    </row>
    <row r="105">
      <c r="A105" s="2">
        <f>IFERROR(__xludf.DUMMYFUNCTION("""COMPUTED_VALUE"""),44256.66666666667)</f>
        <v>44256.66667</v>
      </c>
      <c r="B105" s="1">
        <f>IFERROR(__xludf.DUMMYFUNCTION("""COMPUTED_VALUE"""),260.82)</f>
        <v>260.82</v>
      </c>
    </row>
    <row r="106">
      <c r="A106" s="2">
        <f>IFERROR(__xludf.DUMMYFUNCTION("""COMPUTED_VALUE"""),44257.66666666667)</f>
        <v>44257.66667</v>
      </c>
      <c r="B106" s="1">
        <f>IFERROR(__xludf.DUMMYFUNCTION("""COMPUTED_VALUE"""),263.5)</f>
        <v>263.5</v>
      </c>
    </row>
    <row r="107">
      <c r="A107" s="2">
        <f>IFERROR(__xludf.DUMMYFUNCTION("""COMPUTED_VALUE"""),44258.66666666667)</f>
        <v>44258.66667</v>
      </c>
      <c r="B107" s="1">
        <f>IFERROR(__xludf.DUMMYFUNCTION("""COMPUTED_VALUE"""),261.05)</f>
        <v>261.05</v>
      </c>
    </row>
    <row r="108">
      <c r="A108" s="2">
        <f>IFERROR(__xludf.DUMMYFUNCTION("""COMPUTED_VALUE"""),44259.66666666667)</f>
        <v>44259.66667</v>
      </c>
      <c r="B108" s="1">
        <f>IFERROR(__xludf.DUMMYFUNCTION("""COMPUTED_VALUE"""),255.45)</f>
        <v>255.45</v>
      </c>
    </row>
    <row r="109">
      <c r="A109" s="2">
        <f>IFERROR(__xludf.DUMMYFUNCTION("""COMPUTED_VALUE"""),44260.66666666667)</f>
        <v>44260.66667</v>
      </c>
      <c r="B109" s="1">
        <f>IFERROR(__xludf.DUMMYFUNCTION("""COMPUTED_VALUE"""),254.95)</f>
        <v>254.95</v>
      </c>
    </row>
    <row r="110">
      <c r="A110" s="2">
        <f>IFERROR(__xludf.DUMMYFUNCTION("""COMPUTED_VALUE"""),44263.66666666667)</f>
        <v>44263.66667</v>
      </c>
      <c r="B110" s="1">
        <f>IFERROR(__xludf.DUMMYFUNCTION("""COMPUTED_VALUE"""),259.85)</f>
        <v>259.85</v>
      </c>
    </row>
    <row r="111">
      <c r="A111" s="2">
        <f>IFERROR(__xludf.DUMMYFUNCTION("""COMPUTED_VALUE"""),44264.66666666667)</f>
        <v>44264.66667</v>
      </c>
      <c r="B111" s="1">
        <f>IFERROR(__xludf.DUMMYFUNCTION("""COMPUTED_VALUE"""),262.72)</f>
        <v>262.72</v>
      </c>
    </row>
    <row r="112">
      <c r="A112" s="2">
        <f>IFERROR(__xludf.DUMMYFUNCTION("""COMPUTED_VALUE"""),44265.66666666667)</f>
        <v>44265.66667</v>
      </c>
      <c r="B112" s="1">
        <f>IFERROR(__xludf.DUMMYFUNCTION("""COMPUTED_VALUE"""),263.9)</f>
        <v>263.9</v>
      </c>
    </row>
    <row r="113">
      <c r="A113" s="2">
        <f>IFERROR(__xludf.DUMMYFUNCTION("""COMPUTED_VALUE"""),44266.66666666667)</f>
        <v>44266.66667</v>
      </c>
      <c r="B113" s="1">
        <f>IFERROR(__xludf.DUMMYFUNCTION("""COMPUTED_VALUE"""),264.92)</f>
        <v>264.92</v>
      </c>
    </row>
    <row r="114">
      <c r="A114" s="2">
        <f>IFERROR(__xludf.DUMMYFUNCTION("""COMPUTED_VALUE"""),44267.66666666667)</f>
        <v>44267.66667</v>
      </c>
      <c r="B114" s="1">
        <f>IFERROR(__xludf.DUMMYFUNCTION("""COMPUTED_VALUE"""),266.46)</f>
        <v>266.46</v>
      </c>
    </row>
    <row r="115">
      <c r="A115" s="2">
        <f>IFERROR(__xludf.DUMMYFUNCTION("""COMPUTED_VALUE"""),44270.66666666667)</f>
        <v>44270.66667</v>
      </c>
      <c r="B115" s="1">
        <f>IFERROR(__xludf.DUMMYFUNCTION("""COMPUTED_VALUE"""),268.0)</f>
        <v>268</v>
      </c>
    </row>
    <row r="116">
      <c r="A116" s="2">
        <f>IFERROR(__xludf.DUMMYFUNCTION("""COMPUTED_VALUE"""),44271.66666666667)</f>
        <v>44271.66667</v>
      </c>
      <c r="B116" s="1">
        <f>IFERROR(__xludf.DUMMYFUNCTION("""COMPUTED_VALUE"""),269.1)</f>
        <v>269.1</v>
      </c>
    </row>
    <row r="117">
      <c r="A117" s="2">
        <f>IFERROR(__xludf.DUMMYFUNCTION("""COMPUTED_VALUE"""),44272.66666666667)</f>
        <v>44272.66667</v>
      </c>
      <c r="B117" s="1">
        <f>IFERROR(__xludf.DUMMYFUNCTION("""COMPUTED_VALUE"""),268.66)</f>
        <v>268.66</v>
      </c>
    </row>
    <row r="118">
      <c r="A118" s="2">
        <f>IFERROR(__xludf.DUMMYFUNCTION("""COMPUTED_VALUE"""),44273.66666666667)</f>
        <v>44273.66667</v>
      </c>
      <c r="B118" s="1">
        <f>IFERROR(__xludf.DUMMYFUNCTION("""COMPUTED_VALUE"""),266.79)</f>
        <v>266.79</v>
      </c>
    </row>
    <row r="119">
      <c r="A119" s="2">
        <f>IFERROR(__xludf.DUMMYFUNCTION("""COMPUTED_VALUE"""),44274.66666666667)</f>
        <v>44274.66667</v>
      </c>
      <c r="B119" s="1">
        <f>IFERROR(__xludf.DUMMYFUNCTION("""COMPUTED_VALUE"""),265.2)</f>
        <v>265.2</v>
      </c>
    </row>
    <row r="120">
      <c r="A120" s="2">
        <f>IFERROR(__xludf.DUMMYFUNCTION("""COMPUTED_VALUE"""),44277.66666666667)</f>
        <v>44277.66667</v>
      </c>
      <c r="B120" s="1">
        <f>IFERROR(__xludf.DUMMYFUNCTION("""COMPUTED_VALUE"""),265.47)</f>
        <v>265.47</v>
      </c>
    </row>
    <row r="121">
      <c r="A121" s="2">
        <f>IFERROR(__xludf.DUMMYFUNCTION("""COMPUTED_VALUE"""),44278.66666666667)</f>
        <v>44278.66667</v>
      </c>
      <c r="B121" s="1">
        <f>IFERROR(__xludf.DUMMYFUNCTION("""COMPUTED_VALUE"""),267.5)</f>
        <v>267.5</v>
      </c>
    </row>
    <row r="122">
      <c r="A122" s="2">
        <f>IFERROR(__xludf.DUMMYFUNCTION("""COMPUTED_VALUE"""),44279.66666666667)</f>
        <v>44279.66667</v>
      </c>
      <c r="B122" s="1">
        <f>IFERROR(__xludf.DUMMYFUNCTION("""COMPUTED_VALUE"""),268.61)</f>
        <v>268.61</v>
      </c>
    </row>
    <row r="123">
      <c r="A123" s="2">
        <f>IFERROR(__xludf.DUMMYFUNCTION("""COMPUTED_VALUE"""),44280.66666666667)</f>
        <v>44280.66667</v>
      </c>
      <c r="B123" s="1">
        <f>IFERROR(__xludf.DUMMYFUNCTION("""COMPUTED_VALUE"""),268.59)</f>
        <v>268.59</v>
      </c>
    </row>
    <row r="124">
      <c r="A124" s="2">
        <f>IFERROR(__xludf.DUMMYFUNCTION("""COMPUTED_VALUE"""),44281.66666666667)</f>
        <v>44281.66667</v>
      </c>
      <c r="B124" s="1">
        <f>IFERROR(__xludf.DUMMYFUNCTION("""COMPUTED_VALUE"""),267.9)</f>
        <v>267.9</v>
      </c>
    </row>
    <row r="125">
      <c r="A125" s="2">
        <f>IFERROR(__xludf.DUMMYFUNCTION("""COMPUTED_VALUE"""),44284.66666666667)</f>
        <v>44284.66667</v>
      </c>
      <c r="B125" s="1">
        <f>IFERROR(__xludf.DUMMYFUNCTION("""COMPUTED_VALUE"""),268.88)</f>
        <v>268.88</v>
      </c>
    </row>
    <row r="126">
      <c r="A126" s="2">
        <f>IFERROR(__xludf.DUMMYFUNCTION("""COMPUTED_VALUE"""),44285.66666666667)</f>
        <v>44285.66667</v>
      </c>
      <c r="B126" s="1">
        <f>IFERROR(__xludf.DUMMYFUNCTION("""COMPUTED_VALUE"""),268.75)</f>
        <v>268.75</v>
      </c>
    </row>
    <row r="127">
      <c r="A127" s="2">
        <f>IFERROR(__xludf.DUMMYFUNCTION("""COMPUTED_VALUE"""),44286.66666666667)</f>
        <v>44286.66667</v>
      </c>
      <c r="B127" s="1">
        <f>IFERROR(__xludf.DUMMYFUNCTION("""COMPUTED_VALUE"""),270.29)</f>
        <v>270.29</v>
      </c>
    </row>
    <row r="128">
      <c r="A128" s="2">
        <f>IFERROR(__xludf.DUMMYFUNCTION("""COMPUTED_VALUE"""),44287.66666666667)</f>
        <v>44287.66667</v>
      </c>
      <c r="B128" s="1">
        <f>IFERROR(__xludf.DUMMYFUNCTION("""COMPUTED_VALUE"""),274.01)</f>
        <v>274.01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IFERROR(__xludf.DUMMYFUNCTION("""COMPUTED_VALUE"""),276.05)</f>
        <v>276.05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IFERROR(__xludf.DUMMYFUNCTION("""COMPUTED_VALUE"""),276.76)</f>
        <v>276.76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IFERROR(__xludf.DUMMYFUNCTION("""COMPUTED_VALUE"""),278.78)</f>
        <v>278.78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IFERROR(__xludf.DUMMYFUNCTION("""COMPUTED_VALUE"""),279.47)</f>
        <v>279.47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IFERROR(__xludf.DUMMYFUNCTION("""COMPUTED_VALUE"""),280.62)</f>
        <v>280.62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IFERROR(__xludf.DUMMYFUNCTION("""COMPUTED_VALUE"""),281.4)</f>
        <v>281.4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IFERROR(__xludf.DUMMYFUNCTION("""COMPUTED_VALUE"""),280.44)</f>
        <v>280.44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IFERROR(__xludf.DUMMYFUNCTION("""COMPUTED_VALUE"""),278.41)</f>
        <v>278.41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IFERROR(__xludf.DUMMYFUNCTION("""COMPUTED_VALUE"""),279.31)</f>
        <v>279.31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IFERROR(__xludf.DUMMYFUNCTION("""COMPUTED_VALUE"""),280.06)</f>
        <v>280.06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IFERROR(__xludf.DUMMYFUNCTION("""COMPUTED_VALUE"""),277.4)</f>
        <v>277.4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IFERROR(__xludf.DUMMYFUNCTION("""COMPUTED_VALUE"""),276.71)</f>
        <v>276.71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IFERROR(__xludf.DUMMYFUNCTION("""COMPUTED_VALUE"""),279.13)</f>
        <v>279.13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IFERROR(__xludf.DUMMYFUNCTION("""COMPUTED_VALUE"""),278.25)</f>
        <v>278.25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IFERROR(__xludf.DUMMYFUNCTION("""COMPUTED_VALUE"""),279.4)</f>
        <v>279.4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IFERROR(__xludf.DUMMYFUNCTION("""COMPUTED_VALUE"""),280.15)</f>
        <v>280.15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IFERROR(__xludf.DUMMYFUNCTION("""COMPUTED_VALUE"""),281.66)</f>
        <v>281.66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IFERROR(__xludf.DUMMYFUNCTION("""COMPUTED_VALUE"""),281.0)</f>
        <v>281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IFERROR(__xludf.DUMMYFUNCTION("""COMPUTED_VALUE"""),280.26)</f>
        <v>280.26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IFERROR(__xludf.DUMMYFUNCTION("""COMPUTED_VALUE"""),282.21)</f>
        <v>282.21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IFERROR(__xludf.DUMMYFUNCTION("""COMPUTED_VALUE"""),280.47)</f>
        <v>280.47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IFERROR(__xludf.DUMMYFUNCTION("""COMPUTED_VALUE"""),280.11)</f>
        <v>280.11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IFERROR(__xludf.DUMMYFUNCTION("""COMPUTED_VALUE"""),278.8)</f>
        <v>278.8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IFERROR(__xludf.DUMMYFUNCTION("""COMPUTED_VALUE"""),279.11)</f>
        <v>279.11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IFERROR(__xludf.DUMMYFUNCTION("""COMPUTED_VALUE"""),278.89)</f>
        <v>278.89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IFERROR(__xludf.DUMMYFUNCTION("""COMPUTED_VALUE"""),274.4)</f>
        <v>274.4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IFERROR(__xludf.DUMMYFUNCTION("""COMPUTED_VALUE"""),273.8)</f>
        <v>273.8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IFERROR(__xludf.DUMMYFUNCTION("""COMPUTED_VALUE"""),271.91)</f>
        <v>271.91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IFERROR(__xludf.DUMMYFUNCTION("""COMPUTED_VALUE"""),275.55)</f>
        <v>275.55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IFERROR(__xludf.DUMMYFUNCTION("""COMPUTED_VALUE"""),277.82)</f>
        <v>277.82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IFERROR(__xludf.DUMMYFUNCTION("""COMPUTED_VALUE"""),276.95)</f>
        <v>276.95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IFERROR(__xludf.DUMMYFUNCTION("""COMPUTED_VALUE"""),273.05)</f>
        <v>273.05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IFERROR(__xludf.DUMMYFUNCTION("""COMPUTED_VALUE"""),274.45)</f>
        <v>274.45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IFERROR(__xludf.DUMMYFUNCTION("""COMPUTED_VALUE"""),277.89)</f>
        <v>277.89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IFERROR(__xludf.DUMMYFUNCTION("""COMPUTED_VALUE"""),278.48)</f>
        <v>278.48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IFERROR(__xludf.DUMMYFUNCTION("""COMPUTED_VALUE"""),280.7)</f>
        <v>280.7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IFERROR(__xludf.DUMMYFUNCTION("""COMPUTED_VALUE"""),278.95)</f>
        <v>278.95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IFERROR(__xludf.DUMMYFUNCTION("""COMPUTED_VALUE"""),280.2)</f>
        <v>280.2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IFERROR(__xludf.DUMMYFUNCTION("""COMPUTED_VALUE"""),282.99)</f>
        <v>282.99</v>
      </c>
    </row>
    <row r="168">
      <c r="A168" s="2">
        <f>IFERROR(__xludf.DUMMYFUNCTION("""COMPUTED_VALUE"""),44347.66666666667)</f>
        <v>44347.66667</v>
      </c>
      <c r="B168" s="1">
        <f>IFERROR(__xludf.DUMMYFUNCTION("""COMPUTED_VALUE"""),282.61)</f>
        <v>282.61</v>
      </c>
    </row>
    <row r="169">
      <c r="A169" s="2">
        <f>IFERROR(__xludf.DUMMYFUNCTION("""COMPUTED_VALUE"""),44348.66666666667)</f>
        <v>44348.66667</v>
      </c>
      <c r="B169" s="1">
        <f>IFERROR(__xludf.DUMMYFUNCTION("""COMPUTED_VALUE"""),282.09)</f>
        <v>282.09</v>
      </c>
    </row>
    <row r="170">
      <c r="A170" s="2">
        <f>IFERROR(__xludf.DUMMYFUNCTION("""COMPUTED_VALUE"""),44349.66666666667)</f>
        <v>44349.66667</v>
      </c>
      <c r="B170" s="1">
        <f>IFERROR(__xludf.DUMMYFUNCTION("""COMPUTED_VALUE"""),281.91)</f>
        <v>281.91</v>
      </c>
    </row>
    <row r="171">
      <c r="A171" s="2">
        <f>IFERROR(__xludf.DUMMYFUNCTION("""COMPUTED_VALUE"""),44350.66666666667)</f>
        <v>44350.66667</v>
      </c>
      <c r="B171" s="1">
        <f>IFERROR(__xludf.DUMMYFUNCTION("""COMPUTED_VALUE"""),282.99)</f>
        <v>282.99</v>
      </c>
    </row>
    <row r="172">
      <c r="A172" s="2">
        <f>IFERROR(__xludf.DUMMYFUNCTION("""COMPUTED_VALUE"""),44351.66666666667)</f>
        <v>44351.66667</v>
      </c>
      <c r="B172" s="1">
        <f>IFERROR(__xludf.DUMMYFUNCTION("""COMPUTED_VALUE"""),284.0)</f>
        <v>284</v>
      </c>
    </row>
    <row r="173">
      <c r="A173" s="2">
        <f>IFERROR(__xludf.DUMMYFUNCTION("""COMPUTED_VALUE"""),44354.66666666667)</f>
        <v>44354.66667</v>
      </c>
      <c r="B173" s="1">
        <f>IFERROR(__xludf.DUMMYFUNCTION("""COMPUTED_VALUE"""),283.1)</f>
        <v>283.1</v>
      </c>
    </row>
    <row r="174">
      <c r="A174" s="2">
        <f>IFERROR(__xludf.DUMMYFUNCTION("""COMPUTED_VALUE"""),44355.66666666667)</f>
        <v>44355.66667</v>
      </c>
      <c r="B174" s="1">
        <f>IFERROR(__xludf.DUMMYFUNCTION("""COMPUTED_VALUE"""),283.89)</f>
        <v>283.89</v>
      </c>
    </row>
    <row r="175">
      <c r="A175" s="2">
        <f>IFERROR(__xludf.DUMMYFUNCTION("""COMPUTED_VALUE"""),44356.66666666667)</f>
        <v>44356.66667</v>
      </c>
      <c r="B175" s="1">
        <f>IFERROR(__xludf.DUMMYFUNCTION("""COMPUTED_VALUE"""),284.09)</f>
        <v>284.09</v>
      </c>
    </row>
    <row r="176">
      <c r="A176" s="2">
        <f>IFERROR(__xludf.DUMMYFUNCTION("""COMPUTED_VALUE"""),44357.66666666667)</f>
        <v>44357.66667</v>
      </c>
      <c r="B176" s="1">
        <f>IFERROR(__xludf.DUMMYFUNCTION("""COMPUTED_VALUE"""),283.87)</f>
        <v>283.87</v>
      </c>
    </row>
    <row r="177">
      <c r="A177" s="2">
        <f>IFERROR(__xludf.DUMMYFUNCTION("""COMPUTED_VALUE"""),44358.66666666667)</f>
        <v>44358.66667</v>
      </c>
      <c r="B177" s="1">
        <f>IFERROR(__xludf.DUMMYFUNCTION("""COMPUTED_VALUE"""),284.3)</f>
        <v>284.3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IFERROR(__xludf.DUMMYFUNCTION("""COMPUTED_VALUE"""),287.49)</f>
        <v>287.49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IFERROR(__xludf.DUMMYFUNCTION("""COMPUTED_VALUE"""),286.83)</f>
        <v>286.83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IFERROR(__xludf.DUMMYFUNCTION("""COMPUTED_VALUE"""),287.03)</f>
        <v>287.03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IFERROR(__xludf.DUMMYFUNCTION("""COMPUTED_VALUE"""),291.32)</f>
        <v>291.32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IFERROR(__xludf.DUMMYFUNCTION("""COMPUTED_VALUE"""),287.7)</f>
        <v>287.7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IFERROR(__xludf.DUMMYFUNCTION("""COMPUTED_VALUE"""),292.75)</f>
        <v>292.75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IFERROR(__xludf.DUMMYFUNCTION("""COMPUTED_VALUE"""),293.5)</f>
        <v>293.5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IFERROR(__xludf.DUMMYFUNCTION("""COMPUTED_VALUE"""),292.39)</f>
        <v>292.39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IFERROR(__xludf.DUMMYFUNCTION("""COMPUTED_VALUE"""),292.5)</f>
        <v>292.5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IFERROR(__xludf.DUMMYFUNCTION("""COMPUTED_VALUE"""),293.65)</f>
        <v>293.65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IFERROR(__xludf.DUMMYFUNCTION("""COMPUTED_VALUE"""),294.44)</f>
        <v>294.44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IFERROR(__xludf.DUMMYFUNCTION("""COMPUTED_VALUE"""),296.61)</f>
        <v>296.61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IFERROR(__xludf.DUMMYFUNCTION("""COMPUTED_VALUE"""),298.64)</f>
        <v>298.64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IFERROR(__xludf.DUMMYFUNCTION("""COMPUTED_VALUE"""),300.2)</f>
        <v>300.2</v>
      </c>
    </row>
    <row r="192">
      <c r="A192" s="2">
        <f>IFERROR(__xludf.DUMMYFUNCTION("""COMPUTED_VALUE"""),44382.66666666667)</f>
        <v>44382.66667</v>
      </c>
      <c r="B192" s="1">
        <f>IFERROR(__xludf.DUMMYFUNCTION("""COMPUTED_VALUE"""),299.33)</f>
        <v>299.33</v>
      </c>
    </row>
    <row r="193">
      <c r="A193" s="2">
        <f>IFERROR(__xludf.DUMMYFUNCTION("""COMPUTED_VALUE"""),44383.66666666667)</f>
        <v>44383.66667</v>
      </c>
      <c r="B193" s="1">
        <f>IFERROR(__xludf.DUMMYFUNCTION("""COMPUTED_VALUE"""),296.89)</f>
        <v>296.89</v>
      </c>
    </row>
    <row r="194">
      <c r="A194" s="2">
        <f>IFERROR(__xludf.DUMMYFUNCTION("""COMPUTED_VALUE"""),44384.66666666667)</f>
        <v>44384.66667</v>
      </c>
      <c r="B194" s="1">
        <f>IFERROR(__xludf.DUMMYFUNCTION("""COMPUTED_VALUE"""),299.35)</f>
        <v>299.35</v>
      </c>
    </row>
    <row r="195">
      <c r="A195" s="2">
        <f>IFERROR(__xludf.DUMMYFUNCTION("""COMPUTED_VALUE"""),44385.66666666667)</f>
        <v>44385.66667</v>
      </c>
      <c r="B195" s="1">
        <f>IFERROR(__xludf.DUMMYFUNCTION("""COMPUTED_VALUE"""),301.1)</f>
        <v>301.1</v>
      </c>
    </row>
    <row r="196">
      <c r="A196" s="2">
        <f>IFERROR(__xludf.DUMMYFUNCTION("""COMPUTED_VALUE"""),44386.66666666667)</f>
        <v>44386.66667</v>
      </c>
      <c r="B196" s="1">
        <f>IFERROR(__xludf.DUMMYFUNCTION("""COMPUTED_VALUE"""),300.4)</f>
        <v>300.4</v>
      </c>
    </row>
    <row r="197">
      <c r="A197" s="2">
        <f>IFERROR(__xludf.DUMMYFUNCTION("""COMPUTED_VALUE"""),44389.66666666667)</f>
        <v>44389.66667</v>
      </c>
      <c r="B197" s="1">
        <f>IFERROR(__xludf.DUMMYFUNCTION("""COMPUTED_VALUE"""),301.99)</f>
        <v>301.99</v>
      </c>
    </row>
    <row r="198">
      <c r="A198" s="2">
        <f>IFERROR(__xludf.DUMMYFUNCTION("""COMPUTED_VALUE"""),44390.66666666667)</f>
        <v>44390.66667</v>
      </c>
      <c r="B198" s="1">
        <f>IFERROR(__xludf.DUMMYFUNCTION("""COMPUTED_VALUE"""),302.42)</f>
        <v>302.42</v>
      </c>
    </row>
    <row r="199">
      <c r="A199" s="2">
        <f>IFERROR(__xludf.DUMMYFUNCTION("""COMPUTED_VALUE"""),44391.66666666667)</f>
        <v>44391.66667</v>
      </c>
      <c r="B199" s="1">
        <f>IFERROR(__xludf.DUMMYFUNCTION("""COMPUTED_VALUE"""),301.38)</f>
        <v>301.38</v>
      </c>
    </row>
    <row r="200">
      <c r="A200" s="2">
        <f>IFERROR(__xludf.DUMMYFUNCTION("""COMPUTED_VALUE"""),44392.66666666667)</f>
        <v>44392.66667</v>
      </c>
      <c r="B200" s="1">
        <f>IFERROR(__xludf.DUMMYFUNCTION("""COMPUTED_VALUE"""),300.39)</f>
        <v>300.39</v>
      </c>
    </row>
    <row r="201">
      <c r="A201" s="2">
        <f>IFERROR(__xludf.DUMMYFUNCTION("""COMPUTED_VALUE"""),44393.66666666667)</f>
        <v>44393.66667</v>
      </c>
      <c r="B201" s="1">
        <f>IFERROR(__xludf.DUMMYFUNCTION("""COMPUTED_VALUE"""),301.4)</f>
        <v>301.4</v>
      </c>
    </row>
    <row r="202">
      <c r="A202" s="2">
        <f>IFERROR(__xludf.DUMMYFUNCTION("""COMPUTED_VALUE"""),44396.66666666667)</f>
        <v>44396.66667</v>
      </c>
      <c r="B202" s="1">
        <f>IFERROR(__xludf.DUMMYFUNCTION("""COMPUTED_VALUE"""),300.02)</f>
        <v>300.02</v>
      </c>
    </row>
    <row r="203">
      <c r="A203" s="2">
        <f>IFERROR(__xludf.DUMMYFUNCTION("""COMPUTED_VALUE"""),44397.66666666667)</f>
        <v>44397.66667</v>
      </c>
      <c r="B203" s="1">
        <f>IFERROR(__xludf.DUMMYFUNCTION("""COMPUTED_VALUE"""),300.25)</f>
        <v>300.25</v>
      </c>
    </row>
    <row r="204">
      <c r="A204" s="2">
        <f>IFERROR(__xludf.DUMMYFUNCTION("""COMPUTED_VALUE"""),44398.66666666667)</f>
        <v>44398.66667</v>
      </c>
      <c r="B204" s="1">
        <f>IFERROR(__xludf.DUMMYFUNCTION("""COMPUTED_VALUE"""),305.77)</f>
        <v>305.77</v>
      </c>
    </row>
    <row r="205">
      <c r="A205" s="2">
        <f>IFERROR(__xludf.DUMMYFUNCTION("""COMPUTED_VALUE"""),44399.66666666667)</f>
        <v>44399.66667</v>
      </c>
      <c r="B205" s="1">
        <f>IFERROR(__xludf.DUMMYFUNCTION("""COMPUTED_VALUE"""),306.05)</f>
        <v>306.05</v>
      </c>
    </row>
    <row r="206">
      <c r="A206" s="2">
        <f>IFERROR(__xludf.DUMMYFUNCTION("""COMPUTED_VALUE"""),44400.66666666667)</f>
        <v>44400.66667</v>
      </c>
      <c r="B206" s="1">
        <f>IFERROR(__xludf.DUMMYFUNCTION("""COMPUTED_VALUE"""),306.49)</f>
        <v>306.49</v>
      </c>
    </row>
    <row r="207">
      <c r="A207" s="2">
        <f>IFERROR(__xludf.DUMMYFUNCTION("""COMPUTED_VALUE"""),44403.66666666667)</f>
        <v>44403.66667</v>
      </c>
      <c r="B207" s="1">
        <f>IFERROR(__xludf.DUMMYFUNCTION("""COMPUTED_VALUE"""),308.46)</f>
        <v>308.46</v>
      </c>
    </row>
    <row r="208">
      <c r="A208" s="2">
        <f>IFERROR(__xludf.DUMMYFUNCTION("""COMPUTED_VALUE"""),44404.66666666667)</f>
        <v>44404.66667</v>
      </c>
      <c r="B208" s="1">
        <f>IFERROR(__xludf.DUMMYFUNCTION("""COMPUTED_VALUE"""),308.67)</f>
        <v>308.67</v>
      </c>
    </row>
    <row r="209">
      <c r="A209" s="2">
        <f>IFERROR(__xludf.DUMMYFUNCTION("""COMPUTED_VALUE"""),44405.66666666667)</f>
        <v>44405.66667</v>
      </c>
      <c r="B209" s="1">
        <f>IFERROR(__xludf.DUMMYFUNCTION("""COMPUTED_VALUE"""),307.99)</f>
        <v>307.99</v>
      </c>
    </row>
    <row r="210">
      <c r="A210" s="2">
        <f>IFERROR(__xludf.DUMMYFUNCTION("""COMPUTED_VALUE"""),44406.66666666667)</f>
        <v>44406.66667</v>
      </c>
      <c r="B210" s="1">
        <f>IFERROR(__xludf.DUMMYFUNCTION("""COMPUTED_VALUE"""),307.58)</f>
        <v>307.58</v>
      </c>
    </row>
    <row r="211">
      <c r="A211" s="2">
        <f>IFERROR(__xludf.DUMMYFUNCTION("""COMPUTED_VALUE"""),44407.66666666667)</f>
        <v>44407.66667</v>
      </c>
      <c r="B211" s="1">
        <f>IFERROR(__xludf.DUMMYFUNCTION("""COMPUTED_VALUE"""),306.53)</f>
        <v>306.53</v>
      </c>
    </row>
    <row r="212">
      <c r="A212" s="2">
        <f>IFERROR(__xludf.DUMMYFUNCTION("""COMPUTED_VALUE"""),44410.66666666667)</f>
        <v>44410.66667</v>
      </c>
      <c r="B212" s="1">
        <f>IFERROR(__xludf.DUMMYFUNCTION("""COMPUTED_VALUE"""),310.48)</f>
        <v>310.48</v>
      </c>
    </row>
    <row r="213">
      <c r="A213" s="2">
        <f>IFERROR(__xludf.DUMMYFUNCTION("""COMPUTED_VALUE"""),44411.66666666667)</f>
        <v>44411.66667</v>
      </c>
      <c r="B213" s="1">
        <f>IFERROR(__xludf.DUMMYFUNCTION("""COMPUTED_VALUE"""),306.9)</f>
        <v>306.9</v>
      </c>
    </row>
    <row r="214">
      <c r="A214" s="2">
        <f>IFERROR(__xludf.DUMMYFUNCTION("""COMPUTED_VALUE"""),44412.66666666667)</f>
        <v>44412.66667</v>
      </c>
      <c r="B214" s="1">
        <f>IFERROR(__xludf.DUMMYFUNCTION("""COMPUTED_VALUE"""),308.03)</f>
        <v>308.03</v>
      </c>
    </row>
    <row r="215">
      <c r="A215" s="2">
        <f>IFERROR(__xludf.DUMMYFUNCTION("""COMPUTED_VALUE"""),44413.66666666667)</f>
        <v>44413.66667</v>
      </c>
      <c r="B215" s="1">
        <f>IFERROR(__xludf.DUMMYFUNCTION("""COMPUTED_VALUE"""),307.13)</f>
        <v>307.13</v>
      </c>
    </row>
    <row r="216">
      <c r="A216" s="2">
        <f>IFERROR(__xludf.DUMMYFUNCTION("""COMPUTED_VALUE"""),44414.66666666667)</f>
        <v>44414.66667</v>
      </c>
      <c r="B216" s="1">
        <f>IFERROR(__xludf.DUMMYFUNCTION("""COMPUTED_VALUE"""),309.27)</f>
        <v>309.27</v>
      </c>
    </row>
    <row r="217">
      <c r="A217" s="2">
        <f>IFERROR(__xludf.DUMMYFUNCTION("""COMPUTED_VALUE"""),44417.66666666667)</f>
        <v>44417.66667</v>
      </c>
      <c r="B217" s="1">
        <f>IFERROR(__xludf.DUMMYFUNCTION("""COMPUTED_VALUE"""),310.09)</f>
        <v>310.09</v>
      </c>
    </row>
    <row r="218">
      <c r="A218" s="2">
        <f>IFERROR(__xludf.DUMMYFUNCTION("""COMPUTED_VALUE"""),44418.66666666667)</f>
        <v>44418.66667</v>
      </c>
      <c r="B218" s="1">
        <f>IFERROR(__xludf.DUMMYFUNCTION("""COMPUTED_VALUE"""),311.67)</f>
        <v>311.67</v>
      </c>
    </row>
    <row r="219">
      <c r="A219" s="2">
        <f>IFERROR(__xludf.DUMMYFUNCTION("""COMPUTED_VALUE"""),44419.66666666667)</f>
        <v>44419.66667</v>
      </c>
      <c r="B219" s="1">
        <f>IFERROR(__xludf.DUMMYFUNCTION("""COMPUTED_VALUE"""),311.44)</f>
        <v>311.44</v>
      </c>
    </row>
    <row r="220">
      <c r="A220" s="2">
        <f>IFERROR(__xludf.DUMMYFUNCTION("""COMPUTED_VALUE"""),44420.66666666667)</f>
        <v>44420.66667</v>
      </c>
      <c r="B220" s="1">
        <f>IFERROR(__xludf.DUMMYFUNCTION("""COMPUTED_VALUE"""),311.31)</f>
        <v>311.31</v>
      </c>
    </row>
    <row r="221">
      <c r="A221" s="2">
        <f>IFERROR(__xludf.DUMMYFUNCTION("""COMPUTED_VALUE"""),44421.66666666667)</f>
        <v>44421.66667</v>
      </c>
      <c r="B221" s="1">
        <f>IFERROR(__xludf.DUMMYFUNCTION("""COMPUTED_VALUE"""),313.32)</f>
        <v>313.32</v>
      </c>
    </row>
    <row r="222">
      <c r="A222" s="2">
        <f>IFERROR(__xludf.DUMMYFUNCTION("""COMPUTED_VALUE"""),44424.66666666667)</f>
        <v>44424.66667</v>
      </c>
      <c r="B222" s="1">
        <f>IFERROR(__xludf.DUMMYFUNCTION("""COMPUTED_VALUE"""),312.8)</f>
        <v>312.8</v>
      </c>
    </row>
    <row r="223">
      <c r="A223" s="2">
        <f>IFERROR(__xludf.DUMMYFUNCTION("""COMPUTED_VALUE"""),44425.66666666667)</f>
        <v>44425.66667</v>
      </c>
      <c r="B223" s="1">
        <f>IFERROR(__xludf.DUMMYFUNCTION("""COMPUTED_VALUE"""),314.04)</f>
        <v>314.04</v>
      </c>
    </row>
    <row r="224">
      <c r="A224" s="2">
        <f>IFERROR(__xludf.DUMMYFUNCTION("""COMPUTED_VALUE"""),44426.66666666667)</f>
        <v>44426.66667</v>
      </c>
      <c r="B224" s="1">
        <f>IFERROR(__xludf.DUMMYFUNCTION("""COMPUTED_VALUE"""),315.35)</f>
        <v>315.35</v>
      </c>
    </row>
    <row r="225">
      <c r="A225" s="2">
        <f>IFERROR(__xludf.DUMMYFUNCTION("""COMPUTED_VALUE"""),44427.66666666667)</f>
        <v>44427.66667</v>
      </c>
      <c r="B225" s="1">
        <f>IFERROR(__xludf.DUMMYFUNCTION("""COMPUTED_VALUE"""),313.68)</f>
        <v>313.68</v>
      </c>
    </row>
    <row r="226">
      <c r="A226" s="2">
        <f>IFERROR(__xludf.DUMMYFUNCTION("""COMPUTED_VALUE"""),44428.66666666667)</f>
        <v>44428.66667</v>
      </c>
      <c r="B226" s="1">
        <f>IFERROR(__xludf.DUMMYFUNCTION("""COMPUTED_VALUE"""),316.48)</f>
        <v>316.48</v>
      </c>
    </row>
    <row r="227">
      <c r="A227" s="2">
        <f>IFERROR(__xludf.DUMMYFUNCTION("""COMPUTED_VALUE"""),44431.66666666667)</f>
        <v>44431.66667</v>
      </c>
      <c r="B227" s="1">
        <f>IFERROR(__xludf.DUMMYFUNCTION("""COMPUTED_VALUE"""),319.98)</f>
        <v>319.98</v>
      </c>
    </row>
    <row r="228">
      <c r="A228" s="2">
        <f>IFERROR(__xludf.DUMMYFUNCTION("""COMPUTED_VALUE"""),44432.66666666667)</f>
        <v>44432.66667</v>
      </c>
      <c r="B228" s="1">
        <f>IFERROR(__xludf.DUMMYFUNCTION("""COMPUTED_VALUE"""),319.29)</f>
        <v>319.29</v>
      </c>
    </row>
    <row r="229">
      <c r="A229" s="2">
        <f>IFERROR(__xludf.DUMMYFUNCTION("""COMPUTED_VALUE"""),44433.66666666667)</f>
        <v>44433.66667</v>
      </c>
      <c r="B229" s="1">
        <f>IFERROR(__xludf.DUMMYFUNCTION("""COMPUTED_VALUE"""),319.28)</f>
        <v>319.28</v>
      </c>
    </row>
    <row r="230">
      <c r="A230" s="2">
        <f>IFERROR(__xludf.DUMMYFUNCTION("""COMPUTED_VALUE"""),44434.66666666667)</f>
        <v>44434.66667</v>
      </c>
      <c r="B230" s="1">
        <f>IFERROR(__xludf.DUMMYFUNCTION("""COMPUTED_VALUE"""),318.85)</f>
        <v>318.85</v>
      </c>
    </row>
    <row r="231">
      <c r="A231" s="2">
        <f>IFERROR(__xludf.DUMMYFUNCTION("""COMPUTED_VALUE"""),44435.66666666667)</f>
        <v>44435.66667</v>
      </c>
      <c r="B231" s="1">
        <f>IFERROR(__xludf.DUMMYFUNCTION("""COMPUTED_VALUE"""),318.42)</f>
        <v>318.42</v>
      </c>
    </row>
    <row r="232">
      <c r="A232" s="2">
        <f>IFERROR(__xludf.DUMMYFUNCTION("""COMPUTED_VALUE"""),44438.66666666667)</f>
        <v>44438.66667</v>
      </c>
      <c r="B232" s="1">
        <f>IFERROR(__xludf.DUMMYFUNCTION("""COMPUTED_VALUE"""),319.29)</f>
        <v>319.29</v>
      </c>
    </row>
    <row r="233">
      <c r="A233" s="2">
        <f>IFERROR(__xludf.DUMMYFUNCTION("""COMPUTED_VALUE"""),44439.66666666667)</f>
        <v>44439.66667</v>
      </c>
      <c r="B233" s="1">
        <f>IFERROR(__xludf.DUMMYFUNCTION("""COMPUTED_VALUE"""),319.51)</f>
        <v>319.51</v>
      </c>
    </row>
    <row r="234">
      <c r="A234" s="2">
        <f>IFERROR(__xludf.DUMMYFUNCTION("""COMPUTED_VALUE"""),44440.66666666667)</f>
        <v>44440.66667</v>
      </c>
      <c r="B234" s="1">
        <f>IFERROR(__xludf.DUMMYFUNCTION("""COMPUTED_VALUE"""),319.3)</f>
        <v>319.3</v>
      </c>
    </row>
    <row r="235">
      <c r="A235" s="2">
        <f>IFERROR(__xludf.DUMMYFUNCTION("""COMPUTED_VALUE"""),44441.66666666667)</f>
        <v>44441.66667</v>
      </c>
      <c r="B235" s="1">
        <f>IFERROR(__xludf.DUMMYFUNCTION("""COMPUTED_VALUE"""),316.4)</f>
        <v>316.4</v>
      </c>
    </row>
    <row r="236">
      <c r="A236" s="2">
        <f>IFERROR(__xludf.DUMMYFUNCTION("""COMPUTED_VALUE"""),44442.66666666667)</f>
        <v>44442.66667</v>
      </c>
      <c r="B236" s="1">
        <f>IFERROR(__xludf.DUMMYFUNCTION("""COMPUTED_VALUE"""),316.58)</f>
        <v>316.58</v>
      </c>
    </row>
    <row r="237">
      <c r="A237" s="2">
        <f>IFERROR(__xludf.DUMMYFUNCTION("""COMPUTED_VALUE"""),44445.66666666667)</f>
        <v>44445.66667</v>
      </c>
      <c r="B237" s="1">
        <f>IFERROR(__xludf.DUMMYFUNCTION("""COMPUTED_VALUE"""),315.32)</f>
        <v>315.32</v>
      </c>
    </row>
    <row r="238">
      <c r="A238" s="2">
        <f>IFERROR(__xludf.DUMMYFUNCTION("""COMPUTED_VALUE"""),44446.66666666667)</f>
        <v>44446.66667</v>
      </c>
      <c r="B238" s="1">
        <f>IFERROR(__xludf.DUMMYFUNCTION("""COMPUTED_VALUE"""),315.87)</f>
        <v>315.87</v>
      </c>
    </row>
    <row r="239">
      <c r="A239" s="2">
        <f>IFERROR(__xludf.DUMMYFUNCTION("""COMPUTED_VALUE"""),44447.66666666667)</f>
        <v>44447.66667</v>
      </c>
      <c r="B239" s="1">
        <f>IFERROR(__xludf.DUMMYFUNCTION("""COMPUTED_VALUE"""),316.15)</f>
        <v>316.15</v>
      </c>
    </row>
    <row r="240">
      <c r="A240" s="2">
        <f>IFERROR(__xludf.DUMMYFUNCTION("""COMPUTED_VALUE"""),44448.66666666667)</f>
        <v>44448.66667</v>
      </c>
      <c r="B240" s="1">
        <f>IFERROR(__xludf.DUMMYFUNCTION("""COMPUTED_VALUE"""),315.13)</f>
        <v>315.13</v>
      </c>
    </row>
    <row r="241">
      <c r="A241" s="2">
        <f>IFERROR(__xludf.DUMMYFUNCTION("""COMPUTED_VALUE"""),44449.66666666667)</f>
        <v>44449.66667</v>
      </c>
      <c r="B241" s="1">
        <f>IFERROR(__xludf.DUMMYFUNCTION("""COMPUTED_VALUE"""),315.1)</f>
        <v>315.1</v>
      </c>
    </row>
    <row r="242">
      <c r="A242" s="2">
        <f>IFERROR(__xludf.DUMMYFUNCTION("""COMPUTED_VALUE"""),44452.66666666667)</f>
        <v>44452.66667</v>
      </c>
      <c r="B242" s="1">
        <f>IFERROR(__xludf.DUMMYFUNCTION("""COMPUTED_VALUE"""),313.86)</f>
        <v>313.86</v>
      </c>
    </row>
    <row r="243">
      <c r="A243" s="2">
        <f>IFERROR(__xludf.DUMMYFUNCTION("""COMPUTED_VALUE"""),44453.66666666667)</f>
        <v>44453.66667</v>
      </c>
      <c r="B243" s="1">
        <f>IFERROR(__xludf.DUMMYFUNCTION("""COMPUTED_VALUE"""),314.73)</f>
        <v>314.73</v>
      </c>
    </row>
    <row r="244">
      <c r="A244" s="2">
        <f>IFERROR(__xludf.DUMMYFUNCTION("""COMPUTED_VALUE"""),44454.66666666667)</f>
        <v>44454.66667</v>
      </c>
      <c r="B244" s="1">
        <f>IFERROR(__xludf.DUMMYFUNCTION("""COMPUTED_VALUE"""),313.21)</f>
        <v>313.21</v>
      </c>
    </row>
    <row r="245">
      <c r="A245" s="2">
        <f>IFERROR(__xludf.DUMMYFUNCTION("""COMPUTED_VALUE"""),44455.66666666667)</f>
        <v>44455.66667</v>
      </c>
      <c r="B245" s="1">
        <f>IFERROR(__xludf.DUMMYFUNCTION("""COMPUTED_VALUE"""),315.3)</f>
        <v>315.3</v>
      </c>
    </row>
    <row r="246">
      <c r="A246" s="2">
        <f>IFERROR(__xludf.DUMMYFUNCTION("""COMPUTED_VALUE"""),44456.66666666667)</f>
        <v>44456.66667</v>
      </c>
      <c r="B246" s="1">
        <f>IFERROR(__xludf.DUMMYFUNCTION("""COMPUTED_VALUE"""),316.41)</f>
        <v>316.41</v>
      </c>
    </row>
    <row r="247">
      <c r="A247" s="2">
        <f>IFERROR(__xludf.DUMMYFUNCTION("""COMPUTED_VALUE"""),44459.66666666667)</f>
        <v>44459.66667</v>
      </c>
      <c r="B247" s="1">
        <f>IFERROR(__xludf.DUMMYFUNCTION("""COMPUTED_VALUE"""),313.73)</f>
        <v>313.73</v>
      </c>
    </row>
    <row r="248">
      <c r="A248" s="2">
        <f>IFERROR(__xludf.DUMMYFUNCTION("""COMPUTED_VALUE"""),44460.66666666667)</f>
        <v>44460.66667</v>
      </c>
      <c r="B248" s="1">
        <f>IFERROR(__xludf.DUMMYFUNCTION("""COMPUTED_VALUE"""),311.21)</f>
        <v>311.21</v>
      </c>
    </row>
    <row r="249">
      <c r="A249" s="2">
        <f>IFERROR(__xludf.DUMMYFUNCTION("""COMPUTED_VALUE"""),44461.66666666667)</f>
        <v>44461.66667</v>
      </c>
      <c r="B249" s="1">
        <f>IFERROR(__xludf.DUMMYFUNCTION("""COMPUTED_VALUE"""),311.34)</f>
        <v>311.34</v>
      </c>
    </row>
    <row r="250">
      <c r="A250" s="2">
        <f>IFERROR(__xludf.DUMMYFUNCTION("""COMPUTED_VALUE"""),44462.66666666667)</f>
        <v>44462.66667</v>
      </c>
      <c r="B250" s="1">
        <f>IFERROR(__xludf.DUMMYFUNCTION("""COMPUTED_VALUE"""),314.82)</f>
        <v>314.82</v>
      </c>
    </row>
    <row r="251">
      <c r="A251" s="2">
        <f>IFERROR(__xludf.DUMMYFUNCTION("""COMPUTED_VALUE"""),44463.66666666667)</f>
        <v>44463.66667</v>
      </c>
      <c r="B251" s="1">
        <f>IFERROR(__xludf.DUMMYFUNCTION("""COMPUTED_VALUE"""),315.42)</f>
        <v>315.42</v>
      </c>
    </row>
    <row r="252">
      <c r="A252" s="2">
        <f>IFERROR(__xludf.DUMMYFUNCTION("""COMPUTED_VALUE"""),44466.66666666667)</f>
        <v>44466.66667</v>
      </c>
      <c r="B252" s="1">
        <f>IFERROR(__xludf.DUMMYFUNCTION("""COMPUTED_VALUE"""),316.95)</f>
        <v>316.95</v>
      </c>
    </row>
    <row r="253">
      <c r="A253" s="2">
        <f>IFERROR(__xludf.DUMMYFUNCTION("""COMPUTED_VALUE"""),44467.66666666667)</f>
        <v>44467.66667</v>
      </c>
      <c r="B253" s="1">
        <f>IFERROR(__xludf.DUMMYFUNCTION("""COMPUTED_VALUE"""),314.15)</f>
        <v>314.15</v>
      </c>
    </row>
    <row r="254">
      <c r="A254" s="2">
        <f>IFERROR(__xludf.DUMMYFUNCTION("""COMPUTED_VALUE"""),44468.66666666667)</f>
        <v>44468.66667</v>
      </c>
      <c r="B254" s="1">
        <f>IFERROR(__xludf.DUMMYFUNCTION("""COMPUTED_VALUE"""),310.95)</f>
        <v>310.95</v>
      </c>
    </row>
    <row r="255">
      <c r="A255" s="2">
        <f>IFERROR(__xludf.DUMMYFUNCTION("""COMPUTED_VALUE"""),44469.66666666667)</f>
        <v>44469.66667</v>
      </c>
      <c r="B255" s="1">
        <f>IFERROR(__xludf.DUMMYFUNCTION("""COMPUTED_VALUE"""),313.46)</f>
        <v>313.46</v>
      </c>
    </row>
    <row r="256">
      <c r="A256" s="2">
        <f>IFERROR(__xludf.DUMMYFUNCTION("""COMPUTED_VALUE"""),44470.66666666667)</f>
        <v>44470.66667</v>
      </c>
      <c r="B256" s="1">
        <f>IFERROR(__xludf.DUMMYFUNCTION("""COMPUTED_VALUE"""),306.83)</f>
        <v>306.83</v>
      </c>
    </row>
    <row r="257">
      <c r="A257" s="2">
        <f>IFERROR(__xludf.DUMMYFUNCTION("""COMPUTED_VALUE"""),44473.66666666667)</f>
        <v>44473.66667</v>
      </c>
      <c r="B257" s="1">
        <f>IFERROR(__xludf.DUMMYFUNCTION("""COMPUTED_VALUE"""),308.77)</f>
        <v>308.77</v>
      </c>
    </row>
    <row r="258">
      <c r="A258" s="2">
        <f>IFERROR(__xludf.DUMMYFUNCTION("""COMPUTED_VALUE"""),44474.66666666667)</f>
        <v>44474.66667</v>
      </c>
      <c r="B258" s="1">
        <f>IFERROR(__xludf.DUMMYFUNCTION("""COMPUTED_VALUE"""),305.59)</f>
        <v>305.59</v>
      </c>
    </row>
    <row r="259">
      <c r="A259" s="2">
        <f>IFERROR(__xludf.DUMMYFUNCTION("""COMPUTED_VALUE"""),44475.66666666667)</f>
        <v>44475.66667</v>
      </c>
      <c r="B259" s="1">
        <f>IFERROR(__xludf.DUMMYFUNCTION("""COMPUTED_VALUE"""),306.75)</f>
        <v>306.75</v>
      </c>
    </row>
    <row r="260">
      <c r="A260" s="2">
        <f>IFERROR(__xludf.DUMMYFUNCTION("""COMPUTED_VALUE"""),44476.66666666667)</f>
        <v>44476.66667</v>
      </c>
      <c r="B260" s="1">
        <f>IFERROR(__xludf.DUMMYFUNCTION("""COMPUTED_VALUE"""),309.91)</f>
        <v>309.91</v>
      </c>
    </row>
    <row r="261">
      <c r="A261" s="2">
        <f>IFERROR(__xludf.DUMMYFUNCTION("""COMPUTED_VALUE"""),44477.66666666667)</f>
        <v>44477.66667</v>
      </c>
      <c r="B261" s="1">
        <f>IFERROR(__xludf.DUMMYFUNCTION("""COMPUTED_VALUE"""),310.91)</f>
        <v>310.91</v>
      </c>
    </row>
    <row r="262">
      <c r="A262" s="2">
        <f>IFERROR(__xludf.DUMMYFUNCTION("""COMPUTED_VALUE"""),44480.66666666667)</f>
        <v>44480.66667</v>
      </c>
      <c r="B262" s="1">
        <f>IFERROR(__xludf.DUMMYFUNCTION("""COMPUTED_VALUE"""),309.01)</f>
        <v>309.01</v>
      </c>
    </row>
    <row r="263">
      <c r="A263" s="2">
        <f>IFERROR(__xludf.DUMMYFUNCTION("""COMPUTED_VALUE"""),44481.66666666667)</f>
        <v>44481.66667</v>
      </c>
      <c r="B263" s="1">
        <f>IFERROR(__xludf.DUMMYFUNCTION("""COMPUTED_VALUE"""),304.45)</f>
        <v>304.45</v>
      </c>
    </row>
    <row r="264">
      <c r="A264" s="2">
        <f>IFERROR(__xludf.DUMMYFUNCTION("""COMPUTED_VALUE"""),44482.66666666667)</f>
        <v>44482.66667</v>
      </c>
      <c r="B264" s="1">
        <f>IFERROR(__xludf.DUMMYFUNCTION("""COMPUTED_VALUE"""),305.9)</f>
        <v>305.9</v>
      </c>
    </row>
    <row r="265">
      <c r="A265" s="2">
        <f>IFERROR(__xludf.DUMMYFUNCTION("""COMPUTED_VALUE"""),44483.66666666667)</f>
        <v>44483.66667</v>
      </c>
      <c r="B265" s="1">
        <f>IFERROR(__xludf.DUMMYFUNCTION("""COMPUTED_VALUE"""),306.48)</f>
        <v>306.48</v>
      </c>
    </row>
    <row r="266">
      <c r="A266" s="2">
        <f>IFERROR(__xludf.DUMMYFUNCTION("""COMPUTED_VALUE"""),44484.66666666667)</f>
        <v>44484.66667</v>
      </c>
      <c r="B266" s="1">
        <f>IFERROR(__xludf.DUMMYFUNCTION("""COMPUTED_VALUE"""),310.26)</f>
        <v>310.26</v>
      </c>
    </row>
    <row r="267">
      <c r="A267" s="2">
        <f>IFERROR(__xludf.DUMMYFUNCTION("""COMPUTED_VALUE"""),44487.66666666667)</f>
        <v>44487.66667</v>
      </c>
      <c r="B267" s="1">
        <f>IFERROR(__xludf.DUMMYFUNCTION("""COMPUTED_VALUE"""),311.44)</f>
        <v>311.44</v>
      </c>
    </row>
    <row r="268">
      <c r="A268" s="2">
        <f>IFERROR(__xludf.DUMMYFUNCTION("""COMPUTED_VALUE"""),44488.66666666667)</f>
        <v>44488.66667</v>
      </c>
      <c r="B268" s="1">
        <f>IFERROR(__xludf.DUMMYFUNCTION("""COMPUTED_VALUE"""),310.67)</f>
        <v>310.67</v>
      </c>
    </row>
    <row r="269">
      <c r="A269" s="2">
        <f>IFERROR(__xludf.DUMMYFUNCTION("""COMPUTED_VALUE"""),44489.66666666667)</f>
        <v>44489.66667</v>
      </c>
      <c r="B269" s="1">
        <f>IFERROR(__xludf.DUMMYFUNCTION("""COMPUTED_VALUE"""),310.87)</f>
        <v>310.87</v>
      </c>
    </row>
    <row r="270">
      <c r="A270" s="2">
        <f>IFERROR(__xludf.DUMMYFUNCTION("""COMPUTED_VALUE"""),44490.66666666667)</f>
        <v>44490.66667</v>
      </c>
      <c r="B270" s="1">
        <f>IFERROR(__xludf.DUMMYFUNCTION("""COMPUTED_VALUE"""),311.2)</f>
        <v>311.2</v>
      </c>
    </row>
    <row r="271">
      <c r="A271" s="2">
        <f>IFERROR(__xludf.DUMMYFUNCTION("""COMPUTED_VALUE"""),44491.66666666667)</f>
        <v>44491.66667</v>
      </c>
      <c r="B271" s="1">
        <f>IFERROR(__xludf.DUMMYFUNCTION("""COMPUTED_VALUE"""),313.88)</f>
        <v>313.88</v>
      </c>
    </row>
    <row r="272">
      <c r="A272" s="2">
        <f>IFERROR(__xludf.DUMMYFUNCTION("""COMPUTED_VALUE"""),44494.66666666667)</f>
        <v>44494.66667</v>
      </c>
      <c r="B272" s="1">
        <f>IFERROR(__xludf.DUMMYFUNCTION("""COMPUTED_VALUE"""),313.41)</f>
        <v>313.41</v>
      </c>
    </row>
    <row r="273">
      <c r="A273" s="2">
        <f>IFERROR(__xludf.DUMMYFUNCTION("""COMPUTED_VALUE"""),44495.66666666667)</f>
        <v>44495.66667</v>
      </c>
      <c r="B273" s="1">
        <f>IFERROR(__xludf.DUMMYFUNCTION("""COMPUTED_VALUE"""),314.49)</f>
        <v>314.49</v>
      </c>
    </row>
    <row r="274">
      <c r="A274" s="2">
        <f>IFERROR(__xludf.DUMMYFUNCTION("""COMPUTED_VALUE"""),44496.66666666667)</f>
        <v>44496.66667</v>
      </c>
      <c r="B274" s="1">
        <f>IFERROR(__xludf.DUMMYFUNCTION("""COMPUTED_VALUE"""),313.44)</f>
        <v>313.44</v>
      </c>
    </row>
    <row r="275">
      <c r="A275" s="2">
        <f>IFERROR(__xludf.DUMMYFUNCTION("""COMPUTED_VALUE"""),44497.66666666667)</f>
        <v>44497.66667</v>
      </c>
      <c r="B275" s="1">
        <f>IFERROR(__xludf.DUMMYFUNCTION("""COMPUTED_VALUE"""),312.27)</f>
        <v>312.27</v>
      </c>
    </row>
    <row r="276">
      <c r="A276" s="2">
        <f>IFERROR(__xludf.DUMMYFUNCTION("""COMPUTED_VALUE"""),44498.66666666667)</f>
        <v>44498.66667</v>
      </c>
      <c r="B276" s="1">
        <f>IFERROR(__xludf.DUMMYFUNCTION("""COMPUTED_VALUE"""),312.38)</f>
        <v>312.38</v>
      </c>
    </row>
    <row r="277">
      <c r="A277" s="2">
        <f>IFERROR(__xludf.DUMMYFUNCTION("""COMPUTED_VALUE"""),44501.66666666667)</f>
        <v>44501.66667</v>
      </c>
      <c r="B277" s="1">
        <f>IFERROR(__xludf.DUMMYFUNCTION("""COMPUTED_VALUE"""),316.41)</f>
        <v>316.41</v>
      </c>
    </row>
    <row r="278">
      <c r="A278" s="2">
        <f>IFERROR(__xludf.DUMMYFUNCTION("""COMPUTED_VALUE"""),44502.66666666667)</f>
        <v>44502.66667</v>
      </c>
      <c r="B278" s="1">
        <f>IFERROR(__xludf.DUMMYFUNCTION("""COMPUTED_VALUE"""),316.92)</f>
        <v>316.92</v>
      </c>
    </row>
    <row r="279">
      <c r="A279" s="2">
        <f>IFERROR(__xludf.DUMMYFUNCTION("""COMPUTED_VALUE"""),44503.66666666667)</f>
        <v>44503.66667</v>
      </c>
      <c r="B279" s="1">
        <f>IFERROR(__xludf.DUMMYFUNCTION("""COMPUTED_VALUE"""),320.84)</f>
        <v>320.84</v>
      </c>
    </row>
    <row r="280">
      <c r="A280" s="2">
        <f>IFERROR(__xludf.DUMMYFUNCTION("""COMPUTED_VALUE"""),44504.66666666667)</f>
        <v>44504.66667</v>
      </c>
      <c r="B280" s="1">
        <f>IFERROR(__xludf.DUMMYFUNCTION("""COMPUTED_VALUE"""),323.11)</f>
        <v>323.11</v>
      </c>
    </row>
    <row r="281">
      <c r="A281" s="2">
        <f>IFERROR(__xludf.DUMMYFUNCTION("""COMPUTED_VALUE"""),44505.66666666667)</f>
        <v>44505.66667</v>
      </c>
      <c r="B281" s="1">
        <f>IFERROR(__xludf.DUMMYFUNCTION("""COMPUTED_VALUE"""),326.5)</f>
        <v>326.5</v>
      </c>
    </row>
    <row r="282">
      <c r="A282" s="2">
        <f>IFERROR(__xludf.DUMMYFUNCTION("""COMPUTED_VALUE"""),44508.66666666667)</f>
        <v>44508.66667</v>
      </c>
      <c r="B282" s="1">
        <f>IFERROR(__xludf.DUMMYFUNCTION("""COMPUTED_VALUE"""),326.91)</f>
        <v>326.91</v>
      </c>
    </row>
    <row r="283">
      <c r="A283" s="2">
        <f>IFERROR(__xludf.DUMMYFUNCTION("""COMPUTED_VALUE"""),44509.66666666667)</f>
        <v>44509.66667</v>
      </c>
      <c r="B283" s="1">
        <f>IFERROR(__xludf.DUMMYFUNCTION("""COMPUTED_VALUE"""),326.66)</f>
        <v>326.66</v>
      </c>
    </row>
    <row r="284">
      <c r="A284" s="2">
        <f>IFERROR(__xludf.DUMMYFUNCTION("""COMPUTED_VALUE"""),44510.66666666667)</f>
        <v>44510.66667</v>
      </c>
      <c r="B284" s="1">
        <f>IFERROR(__xludf.DUMMYFUNCTION("""COMPUTED_VALUE"""),327.48)</f>
        <v>327.48</v>
      </c>
    </row>
    <row r="285">
      <c r="A285" s="2">
        <f>IFERROR(__xludf.DUMMYFUNCTION("""COMPUTED_VALUE"""),44511.66666666667)</f>
        <v>44511.66667</v>
      </c>
      <c r="B285" s="1">
        <f>IFERROR(__xludf.DUMMYFUNCTION("""COMPUTED_VALUE"""),328.36)</f>
        <v>328.36</v>
      </c>
    </row>
    <row r="286">
      <c r="A286" s="2">
        <f>IFERROR(__xludf.DUMMYFUNCTION("""COMPUTED_VALUE"""),44512.66666666667)</f>
        <v>44512.66667</v>
      </c>
      <c r="B286" s="1">
        <f>IFERROR(__xludf.DUMMYFUNCTION("""COMPUTED_VALUE"""),329.65)</f>
        <v>329.65</v>
      </c>
    </row>
    <row r="287">
      <c r="A287" s="2">
        <f>IFERROR(__xludf.DUMMYFUNCTION("""COMPUTED_VALUE"""),44515.66666666667)</f>
        <v>44515.66667</v>
      </c>
      <c r="B287" s="1">
        <f>IFERROR(__xludf.DUMMYFUNCTION("""COMPUTED_VALUE"""),329.3)</f>
        <v>329.3</v>
      </c>
    </row>
    <row r="288">
      <c r="A288" s="2">
        <f>IFERROR(__xludf.DUMMYFUNCTION("""COMPUTED_VALUE"""),44516.66666666667)</f>
        <v>44516.66667</v>
      </c>
      <c r="B288" s="1">
        <f>IFERROR(__xludf.DUMMYFUNCTION("""COMPUTED_VALUE"""),328.78)</f>
        <v>328.78</v>
      </c>
    </row>
    <row r="289">
      <c r="A289" s="2">
        <f>IFERROR(__xludf.DUMMYFUNCTION("""COMPUTED_VALUE"""),44517.66666666667)</f>
        <v>44517.66667</v>
      </c>
      <c r="B289" s="1">
        <f>IFERROR(__xludf.DUMMYFUNCTION("""COMPUTED_VALUE"""),333.12)</f>
        <v>333.12</v>
      </c>
    </row>
    <row r="290">
      <c r="A290" s="2">
        <f>IFERROR(__xludf.DUMMYFUNCTION("""COMPUTED_VALUE"""),44518.66666666667)</f>
        <v>44518.66667</v>
      </c>
      <c r="B290" s="1">
        <f>IFERROR(__xludf.DUMMYFUNCTION("""COMPUTED_VALUE"""),332.71)</f>
        <v>332.71</v>
      </c>
    </row>
    <row r="291">
      <c r="A291" s="2">
        <f>IFERROR(__xludf.DUMMYFUNCTION("""COMPUTED_VALUE"""),44519.66666666667)</f>
        <v>44519.66667</v>
      </c>
      <c r="B291" s="1">
        <f>IFERROR(__xludf.DUMMYFUNCTION("""COMPUTED_VALUE"""),334.25)</f>
        <v>334.25</v>
      </c>
    </row>
    <row r="292">
      <c r="A292" s="2">
        <f>IFERROR(__xludf.DUMMYFUNCTION("""COMPUTED_VALUE"""),44522.66666666667)</f>
        <v>44522.66667</v>
      </c>
      <c r="B292" s="1">
        <f>IFERROR(__xludf.DUMMYFUNCTION("""COMPUTED_VALUE"""),334.08)</f>
        <v>334.08</v>
      </c>
    </row>
    <row r="293">
      <c r="A293" s="2">
        <f>IFERROR(__xludf.DUMMYFUNCTION("""COMPUTED_VALUE"""),44523.66666666667)</f>
        <v>44523.66667</v>
      </c>
      <c r="B293" s="1">
        <f>IFERROR(__xludf.DUMMYFUNCTION("""COMPUTED_VALUE"""),332.99)</f>
        <v>332.99</v>
      </c>
    </row>
    <row r="294">
      <c r="A294" s="2">
        <f>IFERROR(__xludf.DUMMYFUNCTION("""COMPUTED_VALUE"""),44524.66666666667)</f>
        <v>44524.66667</v>
      </c>
      <c r="B294" s="1">
        <f>IFERROR(__xludf.DUMMYFUNCTION("""COMPUTED_VALUE"""),332.98)</f>
        <v>332.98</v>
      </c>
    </row>
    <row r="295">
      <c r="A295" s="2">
        <f>IFERROR(__xludf.DUMMYFUNCTION("""COMPUTED_VALUE"""),44525.66666666667)</f>
        <v>44525.66667</v>
      </c>
      <c r="B295" s="1">
        <f>IFERROR(__xludf.DUMMYFUNCTION("""COMPUTED_VALUE"""),335.98)</f>
        <v>335.98</v>
      </c>
    </row>
    <row r="296">
      <c r="A296" s="2">
        <f>IFERROR(__xludf.DUMMYFUNCTION("""COMPUTED_VALUE"""),44526.66666666667)</f>
        <v>44526.66667</v>
      </c>
      <c r="B296" s="1">
        <f>IFERROR(__xludf.DUMMYFUNCTION("""COMPUTED_VALUE"""),334.15)</f>
        <v>334.15</v>
      </c>
    </row>
    <row r="297">
      <c r="A297" s="2">
        <f>IFERROR(__xludf.DUMMYFUNCTION("""COMPUTED_VALUE"""),44529.66666666667)</f>
        <v>44529.66667</v>
      </c>
      <c r="B297" s="1">
        <f>IFERROR(__xludf.DUMMYFUNCTION("""COMPUTED_VALUE"""),332.9)</f>
        <v>332.9</v>
      </c>
    </row>
    <row r="298">
      <c r="A298" s="2">
        <f>IFERROR(__xludf.DUMMYFUNCTION("""COMPUTED_VALUE"""),44530.66666666667)</f>
        <v>44530.66667</v>
      </c>
      <c r="B298" s="1">
        <f>IFERROR(__xludf.DUMMYFUNCTION("""COMPUTED_VALUE"""),333.96)</f>
        <v>333.96</v>
      </c>
    </row>
    <row r="299">
      <c r="A299" s="2">
        <f>IFERROR(__xludf.DUMMYFUNCTION("""COMPUTED_VALUE"""),44531.66666666667)</f>
        <v>44531.66667</v>
      </c>
      <c r="B299" s="1">
        <f>IFERROR(__xludf.DUMMYFUNCTION("""COMPUTED_VALUE"""),328.97)</f>
        <v>328.97</v>
      </c>
    </row>
    <row r="300">
      <c r="A300" s="2">
        <f>IFERROR(__xludf.DUMMYFUNCTION("""COMPUTED_VALUE"""),44532.66666666667)</f>
        <v>44532.66667</v>
      </c>
      <c r="B300" s="1">
        <f>IFERROR(__xludf.DUMMYFUNCTION("""COMPUTED_VALUE"""),326.1)</f>
        <v>326.1</v>
      </c>
    </row>
    <row r="301">
      <c r="A301" s="2">
        <f>IFERROR(__xludf.DUMMYFUNCTION("""COMPUTED_VALUE"""),44533.66666666667)</f>
        <v>44533.66667</v>
      </c>
      <c r="B301" s="1">
        <f>IFERROR(__xludf.DUMMYFUNCTION("""COMPUTED_VALUE"""),330.42)</f>
        <v>330.42</v>
      </c>
    </row>
    <row r="302">
      <c r="A302" s="2">
        <f>IFERROR(__xludf.DUMMYFUNCTION("""COMPUTED_VALUE"""),44536.66666666667)</f>
        <v>44536.66667</v>
      </c>
      <c r="B302" s="1">
        <f>IFERROR(__xludf.DUMMYFUNCTION("""COMPUTED_VALUE"""),331.0)</f>
        <v>331</v>
      </c>
    </row>
    <row r="303">
      <c r="A303" s="2">
        <f>IFERROR(__xludf.DUMMYFUNCTION("""COMPUTED_VALUE"""),44537.66666666667)</f>
        <v>44537.66667</v>
      </c>
      <c r="B303" s="1">
        <f>IFERROR(__xludf.DUMMYFUNCTION("""COMPUTED_VALUE"""),332.29)</f>
        <v>332.29</v>
      </c>
    </row>
    <row r="304">
      <c r="A304" s="2">
        <f>IFERROR(__xludf.DUMMYFUNCTION("""COMPUTED_VALUE"""),44538.66666666667)</f>
        <v>44538.66667</v>
      </c>
      <c r="B304" s="1">
        <f>IFERROR(__xludf.DUMMYFUNCTION("""COMPUTED_VALUE"""),336.5)</f>
        <v>336.5</v>
      </c>
    </row>
    <row r="305">
      <c r="A305" s="2">
        <f>IFERROR(__xludf.DUMMYFUNCTION("""COMPUTED_VALUE"""),44539.66666666667)</f>
        <v>44539.66667</v>
      </c>
      <c r="B305" s="1">
        <f>IFERROR(__xludf.DUMMYFUNCTION("""COMPUTED_VALUE"""),334.28)</f>
        <v>334.28</v>
      </c>
    </row>
    <row r="306">
      <c r="A306" s="2">
        <f>IFERROR(__xludf.DUMMYFUNCTION("""COMPUTED_VALUE"""),44540.66666666667)</f>
        <v>44540.66667</v>
      </c>
      <c r="B306" s="1">
        <f>IFERROR(__xludf.DUMMYFUNCTION("""COMPUTED_VALUE"""),332.65)</f>
        <v>332.65</v>
      </c>
    </row>
    <row r="307">
      <c r="A307" s="2">
        <f>IFERROR(__xludf.DUMMYFUNCTION("""COMPUTED_VALUE"""),44543.66666666667)</f>
        <v>44543.66667</v>
      </c>
      <c r="B307" s="1">
        <f>IFERROR(__xludf.DUMMYFUNCTION("""COMPUTED_VALUE"""),334.99)</f>
        <v>334.99</v>
      </c>
    </row>
    <row r="308">
      <c r="A308" s="2">
        <f>IFERROR(__xludf.DUMMYFUNCTION("""COMPUTED_VALUE"""),44544.66666666667)</f>
        <v>44544.66667</v>
      </c>
      <c r="B308" s="1">
        <f>IFERROR(__xludf.DUMMYFUNCTION("""COMPUTED_VALUE"""),334.43)</f>
        <v>334.43</v>
      </c>
    </row>
    <row r="309">
      <c r="A309" s="2">
        <f>IFERROR(__xludf.DUMMYFUNCTION("""COMPUTED_VALUE"""),44545.66666666667)</f>
        <v>44545.66667</v>
      </c>
      <c r="B309" s="1">
        <f>IFERROR(__xludf.DUMMYFUNCTION("""COMPUTED_VALUE"""),331.7)</f>
        <v>331.7</v>
      </c>
    </row>
    <row r="310">
      <c r="A310" s="2">
        <f>IFERROR(__xludf.DUMMYFUNCTION("""COMPUTED_VALUE"""),44546.66666666667)</f>
        <v>44546.66667</v>
      </c>
      <c r="B310" s="1">
        <f>IFERROR(__xludf.DUMMYFUNCTION("""COMPUTED_VALUE"""),334.75)</f>
        <v>334.75</v>
      </c>
    </row>
    <row r="311">
      <c r="A311" s="2">
        <f>IFERROR(__xludf.DUMMYFUNCTION("""COMPUTED_VALUE"""),44547.66666666667)</f>
        <v>44547.66667</v>
      </c>
      <c r="B311" s="1">
        <f>IFERROR(__xludf.DUMMYFUNCTION("""COMPUTED_VALUE"""),329.68)</f>
        <v>329.68</v>
      </c>
    </row>
    <row r="312">
      <c r="A312" s="2">
        <f>IFERROR(__xludf.DUMMYFUNCTION("""COMPUTED_VALUE"""),44550.66666666667)</f>
        <v>44550.66667</v>
      </c>
      <c r="B312" s="1">
        <f>IFERROR(__xludf.DUMMYFUNCTION("""COMPUTED_VALUE"""),327.4)</f>
        <v>327.4</v>
      </c>
    </row>
    <row r="313">
      <c r="A313" s="2">
        <f>IFERROR(__xludf.DUMMYFUNCTION("""COMPUTED_VALUE"""),44551.66666666667)</f>
        <v>44551.66667</v>
      </c>
      <c r="B313" s="1">
        <f>IFERROR(__xludf.DUMMYFUNCTION("""COMPUTED_VALUE"""),328.55)</f>
        <v>328.55</v>
      </c>
    </row>
    <row r="314">
      <c r="A314" s="2">
        <f>IFERROR(__xludf.DUMMYFUNCTION("""COMPUTED_VALUE"""),44552.66666666667)</f>
        <v>44552.66667</v>
      </c>
      <c r="B314" s="1">
        <f>IFERROR(__xludf.DUMMYFUNCTION("""COMPUTED_VALUE"""),332.04)</f>
        <v>332.04</v>
      </c>
    </row>
    <row r="315">
      <c r="A315" s="2">
        <f>IFERROR(__xludf.DUMMYFUNCTION("""COMPUTED_VALUE"""),44553.66666666667)</f>
        <v>44553.66667</v>
      </c>
      <c r="B315" s="1">
        <f>IFERROR(__xludf.DUMMYFUNCTION("""COMPUTED_VALUE"""),331.77)</f>
        <v>331.77</v>
      </c>
    </row>
    <row r="316">
      <c r="A316" s="2">
        <f>IFERROR(__xludf.DUMMYFUNCTION("""COMPUTED_VALUE"""),44554.59027777778)</f>
        <v>44554.59028</v>
      </c>
      <c r="B316" s="1">
        <f>IFERROR(__xludf.DUMMYFUNCTION("""COMPUTED_VALUE"""),332.27)</f>
        <v>332.27</v>
      </c>
    </row>
    <row r="317">
      <c r="A317" s="2">
        <f>IFERROR(__xludf.DUMMYFUNCTION("""COMPUTED_VALUE"""),44559.66666666667)</f>
        <v>44559.66667</v>
      </c>
      <c r="B317" s="1">
        <f>IFERROR(__xludf.DUMMYFUNCTION("""COMPUTED_VALUE"""),335.05)</f>
        <v>335.05</v>
      </c>
    </row>
    <row r="318">
      <c r="A318" s="2">
        <f>IFERROR(__xludf.DUMMYFUNCTION("""COMPUTED_VALUE"""),44560.66666666667)</f>
        <v>44560.66667</v>
      </c>
      <c r="B318" s="1">
        <f>IFERROR(__xludf.DUMMYFUNCTION("""COMPUTED_VALUE"""),334.3)</f>
        <v>334.3</v>
      </c>
    </row>
    <row r="319">
      <c r="A319" s="2">
        <f>IFERROR(__xludf.DUMMYFUNCTION("""COMPUTED_VALUE"""),44561.59027777778)</f>
        <v>44561.59028</v>
      </c>
      <c r="B319" s="1">
        <f>IFERROR(__xludf.DUMMYFUNCTION("""COMPUTED_VALUE"""),333.63)</f>
        <v>333.63</v>
      </c>
    </row>
    <row r="320">
      <c r="A320" s="2">
        <f>IFERROR(__xludf.DUMMYFUNCTION("""COMPUTED_VALUE"""),44565.66666666667)</f>
        <v>44565.66667</v>
      </c>
      <c r="B320" s="1">
        <f>IFERROR(__xludf.DUMMYFUNCTION("""COMPUTED_VALUE"""),337.57)</f>
        <v>337.57</v>
      </c>
    </row>
    <row r="321">
      <c r="A321" s="2">
        <f>IFERROR(__xludf.DUMMYFUNCTION("""COMPUTED_VALUE"""),44566.66666666667)</f>
        <v>44566.66667</v>
      </c>
      <c r="B321" s="1">
        <f>IFERROR(__xludf.DUMMYFUNCTION("""COMPUTED_VALUE"""),334.35)</f>
        <v>334.35</v>
      </c>
    </row>
    <row r="322">
      <c r="A322" s="2">
        <f>IFERROR(__xludf.DUMMYFUNCTION("""COMPUTED_VALUE"""),44567.66666666667)</f>
        <v>44567.66667</v>
      </c>
      <c r="B322" s="1">
        <f>IFERROR(__xludf.DUMMYFUNCTION("""COMPUTED_VALUE"""),329.14)</f>
        <v>329.14</v>
      </c>
    </row>
    <row r="323">
      <c r="A323" s="2">
        <f>IFERROR(__xludf.DUMMYFUNCTION("""COMPUTED_VALUE"""),44568.66666666667)</f>
        <v>44568.66667</v>
      </c>
      <c r="B323" s="1">
        <f>IFERROR(__xludf.DUMMYFUNCTION("""COMPUTED_VALUE"""),332.0)</f>
        <v>332</v>
      </c>
    </row>
    <row r="324">
      <c r="A324" s="2">
        <f>IFERROR(__xludf.DUMMYFUNCTION("""COMPUTED_VALUE"""),44571.66666666667)</f>
        <v>44571.66667</v>
      </c>
      <c r="B324" s="1">
        <f>IFERROR(__xludf.DUMMYFUNCTION("""COMPUTED_VALUE"""),328.62)</f>
        <v>328.62</v>
      </c>
    </row>
    <row r="325">
      <c r="A325" s="2">
        <f>IFERROR(__xludf.DUMMYFUNCTION("""COMPUTED_VALUE"""),44572.66666666667)</f>
        <v>44572.66667</v>
      </c>
      <c r="B325" s="1">
        <f>IFERROR(__xludf.DUMMYFUNCTION("""COMPUTED_VALUE"""),328.21)</f>
        <v>328.21</v>
      </c>
    </row>
    <row r="326">
      <c r="A326" s="2">
        <f>IFERROR(__xludf.DUMMYFUNCTION("""COMPUTED_VALUE"""),44573.66666666667)</f>
        <v>44573.66667</v>
      </c>
      <c r="B326" s="1">
        <f>IFERROR(__xludf.DUMMYFUNCTION("""COMPUTED_VALUE"""),330.38)</f>
        <v>330.38</v>
      </c>
    </row>
    <row r="327">
      <c r="A327" s="2">
        <f>IFERROR(__xludf.DUMMYFUNCTION("""COMPUTED_VALUE"""),44574.66666666667)</f>
        <v>44574.66667</v>
      </c>
      <c r="B327" s="1">
        <f>IFERROR(__xludf.DUMMYFUNCTION("""COMPUTED_VALUE"""),326.38)</f>
        <v>326.38</v>
      </c>
    </row>
    <row r="328">
      <c r="A328" s="2">
        <f>IFERROR(__xludf.DUMMYFUNCTION("""COMPUTED_VALUE"""),44575.66666666667)</f>
        <v>44575.66667</v>
      </c>
      <c r="B328" s="1">
        <f>IFERROR(__xludf.DUMMYFUNCTION("""COMPUTED_VALUE"""),323.0)</f>
        <v>323</v>
      </c>
    </row>
    <row r="329">
      <c r="A329" s="2">
        <f>IFERROR(__xludf.DUMMYFUNCTION("""COMPUTED_VALUE"""),44578.66666666667)</f>
        <v>44578.66667</v>
      </c>
      <c r="B329" s="1">
        <f>IFERROR(__xludf.DUMMYFUNCTION("""COMPUTED_VALUE"""),325.5)</f>
        <v>325.5</v>
      </c>
    </row>
    <row r="330">
      <c r="A330" s="2">
        <f>IFERROR(__xludf.DUMMYFUNCTION("""COMPUTED_VALUE"""),44579.66666666667)</f>
        <v>44579.66667</v>
      </c>
      <c r="B330" s="1">
        <f>IFERROR(__xludf.DUMMYFUNCTION("""COMPUTED_VALUE"""),325.49)</f>
        <v>325.49</v>
      </c>
    </row>
    <row r="331">
      <c r="A331" s="2">
        <f>IFERROR(__xludf.DUMMYFUNCTION("""COMPUTED_VALUE"""),44580.66666666667)</f>
        <v>44580.66667</v>
      </c>
      <c r="B331" s="1">
        <f>IFERROR(__xludf.DUMMYFUNCTION("""COMPUTED_VALUE"""),318.7)</f>
        <v>318.7</v>
      </c>
    </row>
    <row r="332">
      <c r="A332" s="2">
        <f>IFERROR(__xludf.DUMMYFUNCTION("""COMPUTED_VALUE"""),44581.66666666667)</f>
        <v>44581.66667</v>
      </c>
      <c r="B332" s="1">
        <f>IFERROR(__xludf.DUMMYFUNCTION("""COMPUTED_VALUE"""),316.47)</f>
        <v>316.47</v>
      </c>
    </row>
    <row r="333">
      <c r="A333" s="2">
        <f>IFERROR(__xludf.DUMMYFUNCTION("""COMPUTED_VALUE"""),44582.66666666667)</f>
        <v>44582.66667</v>
      </c>
      <c r="B333" s="1">
        <f>IFERROR(__xludf.DUMMYFUNCTION("""COMPUTED_VALUE"""),311.5)</f>
        <v>311.5</v>
      </c>
    </row>
    <row r="334">
      <c r="A334" s="2">
        <f>IFERROR(__xludf.DUMMYFUNCTION("""COMPUTED_VALUE"""),44585.66666666667)</f>
        <v>44585.66667</v>
      </c>
      <c r="B334" s="1">
        <f>IFERROR(__xludf.DUMMYFUNCTION("""COMPUTED_VALUE"""),310.01)</f>
        <v>310.01</v>
      </c>
    </row>
    <row r="335">
      <c r="A335" s="2">
        <f>IFERROR(__xludf.DUMMYFUNCTION("""COMPUTED_VALUE"""),44586.66666666667)</f>
        <v>44586.66667</v>
      </c>
      <c r="B335" s="1">
        <f>IFERROR(__xludf.DUMMYFUNCTION("""COMPUTED_VALUE"""),307.66)</f>
        <v>307.66</v>
      </c>
    </row>
    <row r="336">
      <c r="A336" s="2">
        <f>IFERROR(__xludf.DUMMYFUNCTION("""COMPUTED_VALUE"""),44588.66666666667)</f>
        <v>44588.66667</v>
      </c>
      <c r="B336" s="1">
        <f>IFERROR(__xludf.DUMMYFUNCTION("""COMPUTED_VALUE"""),304.31)</f>
        <v>304.31</v>
      </c>
    </row>
    <row r="337">
      <c r="A337" s="2">
        <f>IFERROR(__xludf.DUMMYFUNCTION("""COMPUTED_VALUE"""),44589.66666666667)</f>
        <v>44589.66667</v>
      </c>
      <c r="B337" s="1">
        <f>IFERROR(__xludf.DUMMYFUNCTION("""COMPUTED_VALUE"""),309.52)</f>
        <v>309.52</v>
      </c>
    </row>
    <row r="338">
      <c r="A338" s="2">
        <f>IFERROR(__xludf.DUMMYFUNCTION("""COMPUTED_VALUE"""),44592.66666666667)</f>
        <v>44592.66667</v>
      </c>
      <c r="B338" s="1">
        <f>IFERROR(__xludf.DUMMYFUNCTION("""COMPUTED_VALUE"""),317.3)</f>
        <v>317.3</v>
      </c>
    </row>
    <row r="339">
      <c r="A339" s="2">
        <f>IFERROR(__xludf.DUMMYFUNCTION("""COMPUTED_VALUE"""),44593.66666666667)</f>
        <v>44593.66667</v>
      </c>
      <c r="B339" s="1">
        <f>IFERROR(__xludf.DUMMYFUNCTION("""COMPUTED_VALUE"""),320.58)</f>
        <v>320.58</v>
      </c>
    </row>
    <row r="340">
      <c r="A340" s="2">
        <f>IFERROR(__xludf.DUMMYFUNCTION("""COMPUTED_VALUE"""),44594.66666666667)</f>
        <v>44594.66667</v>
      </c>
      <c r="B340" s="1">
        <f>IFERROR(__xludf.DUMMYFUNCTION("""COMPUTED_VALUE"""),321.95)</f>
        <v>321.95</v>
      </c>
    </row>
    <row r="341">
      <c r="A341" s="2">
        <f>IFERROR(__xludf.DUMMYFUNCTION("""COMPUTED_VALUE"""),44595.66666666667)</f>
        <v>44595.66667</v>
      </c>
      <c r="B341" s="1">
        <f>IFERROR(__xludf.DUMMYFUNCTION("""COMPUTED_VALUE"""),320.45)</f>
        <v>320.45</v>
      </c>
    </row>
    <row r="342">
      <c r="A342" s="2">
        <f>IFERROR(__xludf.DUMMYFUNCTION("""COMPUTED_VALUE"""),44596.66666666667)</f>
        <v>44596.66667</v>
      </c>
      <c r="B342" s="1">
        <f>IFERROR(__xludf.DUMMYFUNCTION("""COMPUTED_VALUE"""),318.0)</f>
        <v>318</v>
      </c>
    </row>
    <row r="343">
      <c r="A343" s="2">
        <f>IFERROR(__xludf.DUMMYFUNCTION("""COMPUTED_VALUE"""),44599.66666666667)</f>
        <v>44599.66667</v>
      </c>
      <c r="B343" s="1">
        <f>IFERROR(__xludf.DUMMYFUNCTION("""COMPUTED_VALUE"""),319.3)</f>
        <v>319.3</v>
      </c>
    </row>
    <row r="344">
      <c r="A344" s="2">
        <f>IFERROR(__xludf.DUMMYFUNCTION("""COMPUTED_VALUE"""),44600.66666666667)</f>
        <v>44600.66667</v>
      </c>
      <c r="B344" s="1">
        <f>IFERROR(__xludf.DUMMYFUNCTION("""COMPUTED_VALUE"""),316.76)</f>
        <v>316.76</v>
      </c>
    </row>
    <row r="345">
      <c r="A345" s="2">
        <f>IFERROR(__xludf.DUMMYFUNCTION("""COMPUTED_VALUE"""),44601.66666666667)</f>
        <v>44601.66667</v>
      </c>
      <c r="B345" s="1">
        <f>IFERROR(__xludf.DUMMYFUNCTION("""COMPUTED_VALUE"""),319.03)</f>
        <v>319.03</v>
      </c>
    </row>
    <row r="346">
      <c r="A346" s="2">
        <f>IFERROR(__xludf.DUMMYFUNCTION("""COMPUTED_VALUE"""),44602.66666666667)</f>
        <v>44602.66667</v>
      </c>
      <c r="B346" s="1">
        <f>IFERROR(__xludf.DUMMYFUNCTION("""COMPUTED_VALUE"""),321.55)</f>
        <v>321.55</v>
      </c>
    </row>
    <row r="347">
      <c r="A347" s="2">
        <f>IFERROR(__xludf.DUMMYFUNCTION("""COMPUTED_VALUE"""),44603.66666666667)</f>
        <v>44603.66667</v>
      </c>
      <c r="B347" s="1">
        <f>IFERROR(__xludf.DUMMYFUNCTION("""COMPUTED_VALUE"""),316.96)</f>
        <v>316.96</v>
      </c>
    </row>
    <row r="348">
      <c r="A348" s="2">
        <f>IFERROR(__xludf.DUMMYFUNCTION("""COMPUTED_VALUE"""),44606.66666666667)</f>
        <v>44606.66667</v>
      </c>
      <c r="B348" s="1">
        <f>IFERROR(__xludf.DUMMYFUNCTION("""COMPUTED_VALUE"""),313.89)</f>
        <v>313.89</v>
      </c>
    </row>
    <row r="349">
      <c r="A349" s="2">
        <f>IFERROR(__xludf.DUMMYFUNCTION("""COMPUTED_VALUE"""),44607.66666666667)</f>
        <v>44607.66667</v>
      </c>
      <c r="B349" s="1">
        <f>IFERROR(__xludf.DUMMYFUNCTION("""COMPUTED_VALUE"""),311.95)</f>
        <v>311.95</v>
      </c>
    </row>
    <row r="350">
      <c r="A350" s="2">
        <f>IFERROR(__xludf.DUMMYFUNCTION("""COMPUTED_VALUE"""),44608.66666666667)</f>
        <v>44608.66667</v>
      </c>
      <c r="B350" s="1">
        <f>IFERROR(__xludf.DUMMYFUNCTION("""COMPUTED_VALUE"""),315.17)</f>
        <v>315.17</v>
      </c>
    </row>
    <row r="351">
      <c r="A351" s="2">
        <f>IFERROR(__xludf.DUMMYFUNCTION("""COMPUTED_VALUE"""),44609.66666666667)</f>
        <v>44609.66667</v>
      </c>
      <c r="B351" s="1">
        <f>IFERROR(__xludf.DUMMYFUNCTION("""COMPUTED_VALUE"""),313.79)</f>
        <v>313.79</v>
      </c>
    </row>
    <row r="352">
      <c r="A352" s="2">
        <f>IFERROR(__xludf.DUMMYFUNCTION("""COMPUTED_VALUE"""),44610.66666666667)</f>
        <v>44610.66667</v>
      </c>
      <c r="B352" s="1">
        <f>IFERROR(__xludf.DUMMYFUNCTION("""COMPUTED_VALUE"""),308.94)</f>
        <v>308.94</v>
      </c>
    </row>
    <row r="353">
      <c r="A353" s="2">
        <f>IFERROR(__xludf.DUMMYFUNCTION("""COMPUTED_VALUE"""),44613.66666666667)</f>
        <v>44613.66667</v>
      </c>
      <c r="B353" s="1">
        <f>IFERROR(__xludf.DUMMYFUNCTION("""COMPUTED_VALUE"""),306.15)</f>
        <v>306.15</v>
      </c>
    </row>
    <row r="354">
      <c r="A354" s="2">
        <f>IFERROR(__xludf.DUMMYFUNCTION("""COMPUTED_VALUE"""),44614.66666666667)</f>
        <v>44614.66667</v>
      </c>
      <c r="B354" s="1">
        <f>IFERROR(__xludf.DUMMYFUNCTION("""COMPUTED_VALUE"""),299.94)</f>
        <v>299.94</v>
      </c>
    </row>
    <row r="355">
      <c r="A355" s="2">
        <f>IFERROR(__xludf.DUMMYFUNCTION("""COMPUTED_VALUE"""),44615.66666666667)</f>
        <v>44615.66667</v>
      </c>
      <c r="B355" s="1">
        <f>IFERROR(__xludf.DUMMYFUNCTION("""COMPUTED_VALUE"""),301.91)</f>
        <v>301.91</v>
      </c>
    </row>
    <row r="356">
      <c r="A356" s="2">
        <f>IFERROR(__xludf.DUMMYFUNCTION("""COMPUTED_VALUE"""),44616.66666666667)</f>
        <v>44616.66667</v>
      </c>
      <c r="B356" s="1">
        <f>IFERROR(__xludf.DUMMYFUNCTION("""COMPUTED_VALUE"""),290.02)</f>
        <v>290.02</v>
      </c>
    </row>
    <row r="357">
      <c r="A357" s="2">
        <f>IFERROR(__xludf.DUMMYFUNCTION("""COMPUTED_VALUE"""),44617.66666666667)</f>
        <v>44617.66667</v>
      </c>
      <c r="B357" s="1">
        <f>IFERROR(__xludf.DUMMYFUNCTION("""COMPUTED_VALUE"""),299.26)</f>
        <v>299.26</v>
      </c>
    </row>
    <row r="358">
      <c r="A358" s="2">
        <f>IFERROR(__xludf.DUMMYFUNCTION("""COMPUTED_VALUE"""),44620.66666666667)</f>
        <v>44620.66667</v>
      </c>
      <c r="B358" s="1">
        <f>IFERROR(__xludf.DUMMYFUNCTION("""COMPUTED_VALUE"""),301.16)</f>
        <v>301.16</v>
      </c>
    </row>
    <row r="359">
      <c r="A359" s="2">
        <f>IFERROR(__xludf.DUMMYFUNCTION("""COMPUTED_VALUE"""),44621.66666666667)</f>
        <v>44621.66667</v>
      </c>
      <c r="B359" s="1">
        <f>IFERROR(__xludf.DUMMYFUNCTION("""COMPUTED_VALUE"""),304.78)</f>
        <v>304.78</v>
      </c>
    </row>
    <row r="360">
      <c r="A360" s="2">
        <f>IFERROR(__xludf.DUMMYFUNCTION("""COMPUTED_VALUE"""),44622.66666666667)</f>
        <v>44622.66667</v>
      </c>
      <c r="B360" s="1">
        <f>IFERROR(__xludf.DUMMYFUNCTION("""COMPUTED_VALUE"""),300.79)</f>
        <v>300.79</v>
      </c>
    </row>
    <row r="361">
      <c r="A361" s="2">
        <f>IFERROR(__xludf.DUMMYFUNCTION("""COMPUTED_VALUE"""),44623.66666666667)</f>
        <v>44623.66667</v>
      </c>
      <c r="B361" s="1">
        <f>IFERROR(__xludf.DUMMYFUNCTION("""COMPUTED_VALUE"""),303.65)</f>
        <v>303.65</v>
      </c>
    </row>
    <row r="362">
      <c r="A362" s="2">
        <f>IFERROR(__xludf.DUMMYFUNCTION("""COMPUTED_VALUE"""),44624.66666666667)</f>
        <v>44624.66667</v>
      </c>
      <c r="B362" s="1">
        <f>IFERROR(__xludf.DUMMYFUNCTION("""COMPUTED_VALUE"""),297.08)</f>
        <v>297.08</v>
      </c>
    </row>
    <row r="363">
      <c r="A363" s="2">
        <f>IFERROR(__xludf.DUMMYFUNCTION("""COMPUTED_VALUE"""),44627.66666666667)</f>
        <v>44627.66667</v>
      </c>
      <c r="B363" s="1">
        <f>IFERROR(__xludf.DUMMYFUNCTION("""COMPUTED_VALUE"""),290.49)</f>
        <v>290.49</v>
      </c>
    </row>
    <row r="364">
      <c r="A364" s="2">
        <f>IFERROR(__xludf.DUMMYFUNCTION("""COMPUTED_VALUE"""),44628.66666666667)</f>
        <v>44628.66667</v>
      </c>
      <c r="B364" s="1">
        <f>IFERROR(__xludf.DUMMYFUNCTION("""COMPUTED_VALUE"""),288.93)</f>
        <v>288.93</v>
      </c>
    </row>
    <row r="365">
      <c r="A365" s="2">
        <f>IFERROR(__xludf.DUMMYFUNCTION("""COMPUTED_VALUE"""),44629.66666666667)</f>
        <v>44629.66667</v>
      </c>
      <c r="B365" s="1">
        <f>IFERROR(__xludf.DUMMYFUNCTION("""COMPUTED_VALUE"""),290.54)</f>
        <v>290.54</v>
      </c>
    </row>
    <row r="366">
      <c r="A366" s="2">
        <f>IFERROR(__xludf.DUMMYFUNCTION("""COMPUTED_VALUE"""),44630.66666666667)</f>
        <v>44630.66667</v>
      </c>
      <c r="B366" s="1">
        <f>IFERROR(__xludf.DUMMYFUNCTION("""COMPUTED_VALUE"""),294.28)</f>
        <v>294.28</v>
      </c>
    </row>
    <row r="367">
      <c r="A367" s="2">
        <f>IFERROR(__xludf.DUMMYFUNCTION("""COMPUTED_VALUE"""),44631.66666666667)</f>
        <v>44631.66667</v>
      </c>
      <c r="B367" s="1">
        <f>IFERROR(__xludf.DUMMYFUNCTION("""COMPUTED_VALUE"""),291.74)</f>
        <v>291.74</v>
      </c>
    </row>
    <row r="368">
      <c r="A368" s="2">
        <f>IFERROR(__xludf.DUMMYFUNCTION("""COMPUTED_VALUE"""),44634.66666666667)</f>
        <v>44634.66667</v>
      </c>
      <c r="B368" s="1">
        <f>IFERROR(__xludf.DUMMYFUNCTION("""COMPUTED_VALUE"""),294.44)</f>
        <v>294.44</v>
      </c>
    </row>
    <row r="369">
      <c r="A369" s="2">
        <f>IFERROR(__xludf.DUMMYFUNCTION("""COMPUTED_VALUE"""),44635.66666666667)</f>
        <v>44635.66667</v>
      </c>
      <c r="B369" s="1">
        <f>IFERROR(__xludf.DUMMYFUNCTION("""COMPUTED_VALUE"""),292.84)</f>
        <v>292.84</v>
      </c>
    </row>
    <row r="370">
      <c r="A370" s="2">
        <f>IFERROR(__xludf.DUMMYFUNCTION("""COMPUTED_VALUE"""),44636.66666666667)</f>
        <v>44636.66667</v>
      </c>
      <c r="B370" s="1">
        <f>IFERROR(__xludf.DUMMYFUNCTION("""COMPUTED_VALUE"""),297.05)</f>
        <v>297.05</v>
      </c>
    </row>
    <row r="371">
      <c r="A371" s="2">
        <f>IFERROR(__xludf.DUMMYFUNCTION("""COMPUTED_VALUE"""),44637.66666666667)</f>
        <v>44637.66667</v>
      </c>
      <c r="B371" s="1">
        <f>IFERROR(__xludf.DUMMYFUNCTION("""COMPUTED_VALUE"""),300.12)</f>
        <v>300.12</v>
      </c>
    </row>
    <row r="372">
      <c r="A372" s="2">
        <f>IFERROR(__xludf.DUMMYFUNCTION("""COMPUTED_VALUE"""),44638.66666666667)</f>
        <v>44638.66667</v>
      </c>
      <c r="B372" s="1">
        <f>IFERROR(__xludf.DUMMYFUNCTION("""COMPUTED_VALUE"""),299.59)</f>
        <v>299.59</v>
      </c>
    </row>
    <row r="373">
      <c r="A373" s="2">
        <f>IFERROR(__xludf.DUMMYFUNCTION("""COMPUTED_VALUE"""),44641.66666666667)</f>
        <v>44641.66667</v>
      </c>
      <c r="B373" s="1">
        <f>IFERROR(__xludf.DUMMYFUNCTION("""COMPUTED_VALUE"""),303.7)</f>
        <v>303.7</v>
      </c>
    </row>
    <row r="374">
      <c r="A374" s="2">
        <f>IFERROR(__xludf.DUMMYFUNCTION("""COMPUTED_VALUE"""),44642.66666666667)</f>
        <v>44642.66667</v>
      </c>
      <c r="B374" s="1">
        <f>IFERROR(__xludf.DUMMYFUNCTION("""COMPUTED_VALUE"""),303.56)</f>
        <v>303.56</v>
      </c>
    </row>
    <row r="375">
      <c r="A375" s="2">
        <f>IFERROR(__xludf.DUMMYFUNCTION("""COMPUTED_VALUE"""),44643.66666666667)</f>
        <v>44643.66667</v>
      </c>
      <c r="B375" s="1">
        <f>IFERROR(__xludf.DUMMYFUNCTION("""COMPUTED_VALUE"""),305.8)</f>
        <v>305.8</v>
      </c>
    </row>
    <row r="376">
      <c r="A376" s="2">
        <f>IFERROR(__xludf.DUMMYFUNCTION("""COMPUTED_VALUE"""),44644.66666666667)</f>
        <v>44644.66667</v>
      </c>
      <c r="B376" s="1">
        <f>IFERROR(__xludf.DUMMYFUNCTION("""COMPUTED_VALUE"""),301.0)</f>
        <v>301</v>
      </c>
    </row>
    <row r="377">
      <c r="A377" s="2">
        <f>IFERROR(__xludf.DUMMYFUNCTION("""COMPUTED_VALUE"""),44645.66666666667)</f>
        <v>44645.66667</v>
      </c>
      <c r="B377" s="1">
        <f>IFERROR(__xludf.DUMMYFUNCTION("""COMPUTED_VALUE"""),303.27)</f>
        <v>303.27</v>
      </c>
    </row>
    <row r="378">
      <c r="A378" s="2">
        <f>IFERROR(__xludf.DUMMYFUNCTION("""COMPUTED_VALUE"""),44648.66666666667)</f>
        <v>44648.66667</v>
      </c>
      <c r="B378" s="1">
        <f>IFERROR(__xludf.DUMMYFUNCTION("""COMPUTED_VALUE"""),302.27)</f>
        <v>302.27</v>
      </c>
    </row>
    <row r="379">
      <c r="A379" s="2">
        <f>IFERROR(__xludf.DUMMYFUNCTION("""COMPUTED_VALUE"""),44649.66666666667)</f>
        <v>44649.66667</v>
      </c>
      <c r="B379" s="1">
        <f>IFERROR(__xludf.DUMMYFUNCTION("""COMPUTED_VALUE"""),306.97)</f>
        <v>306.97</v>
      </c>
    </row>
    <row r="380">
      <c r="A380" s="2">
        <f>IFERROR(__xludf.DUMMYFUNCTION("""COMPUTED_VALUE"""),44650.66666666667)</f>
        <v>44650.66667</v>
      </c>
      <c r="B380" s="1">
        <f>IFERROR(__xludf.DUMMYFUNCTION("""COMPUTED_VALUE"""),309.32)</f>
        <v>309.32</v>
      </c>
    </row>
    <row r="381">
      <c r="A381" s="2">
        <f>IFERROR(__xludf.DUMMYFUNCTION("""COMPUTED_VALUE"""),44651.66666666667)</f>
        <v>44651.66667</v>
      </c>
      <c r="B381" s="1">
        <f>IFERROR(__xludf.DUMMYFUNCTION("""COMPUTED_VALUE"""),309.74)</f>
        <v>309.74</v>
      </c>
    </row>
    <row r="382">
      <c r="A382" s="2">
        <f>IFERROR(__xludf.DUMMYFUNCTION("""COMPUTED_VALUE"""),44652.66666666667)</f>
        <v>44652.66667</v>
      </c>
      <c r="B382" s="1">
        <f>IFERROR(__xludf.DUMMYFUNCTION("""COMPUTED_VALUE"""),305.61)</f>
        <v>305.61</v>
      </c>
    </row>
    <row r="383">
      <c r="A383" s="2">
        <f>IFERROR(__xludf.DUMMYFUNCTION("""COMPUTED_VALUE"""),44655.66666666667)</f>
        <v>44655.66667</v>
      </c>
      <c r="B383" s="1">
        <f>IFERROR(__xludf.DUMMYFUNCTION("""COMPUTED_VALUE"""),304.99)</f>
        <v>304.99</v>
      </c>
    </row>
    <row r="384">
      <c r="A384" s="2">
        <f>IFERROR(__xludf.DUMMYFUNCTION("""COMPUTED_VALUE"""),44656.66666666667)</f>
        <v>44656.66667</v>
      </c>
      <c r="B384" s="1">
        <f>IFERROR(__xludf.DUMMYFUNCTION("""COMPUTED_VALUE"""),303.0)</f>
        <v>303</v>
      </c>
    </row>
    <row r="385">
      <c r="A385" s="2">
        <f>IFERROR(__xludf.DUMMYFUNCTION("""COMPUTED_VALUE"""),44657.66666666667)</f>
        <v>44657.66667</v>
      </c>
      <c r="B385" s="1">
        <f>IFERROR(__xludf.DUMMYFUNCTION("""COMPUTED_VALUE"""),300.18)</f>
        <v>300.18</v>
      </c>
    </row>
    <row r="386">
      <c r="A386" s="2">
        <f>IFERROR(__xludf.DUMMYFUNCTION("""COMPUTED_VALUE"""),44658.66666666667)</f>
        <v>44658.66667</v>
      </c>
      <c r="B386" s="1">
        <f>IFERROR(__xludf.DUMMYFUNCTION("""COMPUTED_VALUE"""),299.49)</f>
        <v>299.49</v>
      </c>
    </row>
    <row r="387">
      <c r="A387" s="2">
        <f>IFERROR(__xludf.DUMMYFUNCTION("""COMPUTED_VALUE"""),44659.66666666667)</f>
        <v>44659.66667</v>
      </c>
      <c r="B387" s="1">
        <f>IFERROR(__xludf.DUMMYFUNCTION("""COMPUTED_VALUE"""),301.8)</f>
        <v>301.8</v>
      </c>
    </row>
    <row r="388">
      <c r="A388" s="2">
        <f>IFERROR(__xludf.DUMMYFUNCTION("""COMPUTED_VALUE"""),44662.66666666667)</f>
        <v>44662.66667</v>
      </c>
      <c r="B388" s="1">
        <f>IFERROR(__xludf.DUMMYFUNCTION("""COMPUTED_VALUE"""),299.96)</f>
        <v>299.96</v>
      </c>
    </row>
    <row r="389">
      <c r="A389" s="2">
        <f>IFERROR(__xludf.DUMMYFUNCTION("""COMPUTED_VALUE"""),44663.66666666667)</f>
        <v>44663.66667</v>
      </c>
      <c r="B389" s="1">
        <f>IFERROR(__xludf.DUMMYFUNCTION("""COMPUTED_VALUE"""),296.65)</f>
        <v>296.65</v>
      </c>
    </row>
    <row r="390">
      <c r="A390" s="2">
        <f>IFERROR(__xludf.DUMMYFUNCTION("""COMPUTED_VALUE"""),44664.66666666667)</f>
        <v>44664.66667</v>
      </c>
      <c r="B390" s="1">
        <f>IFERROR(__xludf.DUMMYFUNCTION("""COMPUTED_VALUE"""),298.04)</f>
        <v>298.04</v>
      </c>
    </row>
    <row r="391">
      <c r="A391" s="2">
        <f>IFERROR(__xludf.DUMMYFUNCTION("""COMPUTED_VALUE"""),44665.66666666667)</f>
        <v>44665.66667</v>
      </c>
      <c r="B391" s="1">
        <f>IFERROR(__xludf.DUMMYFUNCTION("""COMPUTED_VALUE"""),300.15)</f>
        <v>300.15</v>
      </c>
    </row>
    <row r="392">
      <c r="A392" s="2">
        <f>IFERROR(__xludf.DUMMYFUNCTION("""COMPUTED_VALUE"""),44670.66666666667)</f>
        <v>44670.66667</v>
      </c>
      <c r="B392" s="1">
        <f>IFERROR(__xludf.DUMMYFUNCTION("""COMPUTED_VALUE"""),300.1)</f>
        <v>300.1</v>
      </c>
    </row>
    <row r="393">
      <c r="A393" s="2">
        <f>IFERROR(__xludf.DUMMYFUNCTION("""COMPUTED_VALUE"""),44671.66666666667)</f>
        <v>44671.66667</v>
      </c>
      <c r="B393" s="1">
        <f>IFERROR(__xludf.DUMMYFUNCTION("""COMPUTED_VALUE"""),301.56)</f>
        <v>301.56</v>
      </c>
    </row>
    <row r="394">
      <c r="A394" s="2">
        <f>IFERROR(__xludf.DUMMYFUNCTION("""COMPUTED_VALUE"""),44672.66666666667)</f>
        <v>44672.66667</v>
      </c>
      <c r="B394" s="1">
        <f>IFERROR(__xludf.DUMMYFUNCTION("""COMPUTED_VALUE"""),302.04)</f>
        <v>302.04</v>
      </c>
    </row>
    <row r="395">
      <c r="A395" s="2">
        <f>IFERROR(__xludf.DUMMYFUNCTION("""COMPUTED_VALUE"""),44673.66666666667)</f>
        <v>44673.66667</v>
      </c>
      <c r="B395" s="1">
        <f>IFERROR(__xludf.DUMMYFUNCTION("""COMPUTED_VALUE"""),299.55)</f>
        <v>299.55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IFERROR(__xludf.DUMMYFUNCTION("""COMPUTED_VALUE"""),298.96)</f>
        <v>298.96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IFERROR(__xludf.DUMMYFUNCTION("""COMPUTED_VALUE"""),293.55)</f>
        <v>293.55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IFERROR(__xludf.DUMMYFUNCTION("""COMPUTED_VALUE"""),297.9)</f>
        <v>297.9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IFERROR(__xludf.DUMMYFUNCTION("""COMPUTED_VALUE"""),299.49)</f>
        <v>299.49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IFERROR(__xludf.DUMMYFUNCTION("""COMPUTED_VALUE"""),295.0)</f>
        <v>295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IFERROR(__xludf.DUMMYFUNCTION("""COMPUTED_VALUE"""),295.0)</f>
        <v>295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IFERROR(__xludf.DUMMYFUNCTION("""COMPUTED_VALUE"""),294.84)</f>
        <v>294.84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IFERROR(__xludf.DUMMYFUNCTION("""COMPUTED_VALUE"""),297.67)</f>
        <v>297.67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IFERROR(__xludf.DUMMYFUNCTION("""COMPUTED_VALUE"""),292.99)</f>
        <v>292.99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IFERROR(__xludf.DUMMYFUNCTION("""COMPUTED_VALUE"""),291.22)</f>
        <v>291.22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IFERROR(__xludf.DUMMYFUNCTION("""COMPUTED_VALUE"""),287.0)</f>
        <v>287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IFERROR(__xludf.DUMMYFUNCTION("""COMPUTED_VALUE"""),287.45)</f>
        <v>287.45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IFERROR(__xludf.DUMMYFUNCTION("""COMPUTED_VALUE"""),283.43)</f>
        <v>283.43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IFERROR(__xludf.DUMMYFUNCTION("""COMPUTED_VALUE"""),287.19)</f>
        <v>287.19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IFERROR(__xludf.DUMMYFUNCTION("""COMPUTED_VALUE"""),290.4)</f>
        <v>290.4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IFERROR(__xludf.DUMMYFUNCTION("""COMPUTED_VALUE"""),286.99)</f>
        <v>286.99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IFERROR(__xludf.DUMMYFUNCTION("""COMPUTED_VALUE"""),289.88)</f>
        <v>289.88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IFERROR(__xludf.DUMMYFUNCTION("""COMPUTED_VALUE"""),280.73)</f>
        <v>280.73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IFERROR(__xludf.DUMMYFUNCTION("""COMPUTED_VALUE"""),279.79)</f>
        <v>279.79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IFERROR(__xludf.DUMMYFUNCTION("""COMPUTED_VALUE"""),278.32)</f>
        <v>278.32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IFERROR(__xludf.DUMMYFUNCTION("""COMPUTED_VALUE"""),277.22)</f>
        <v>277.22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IFERROR(__xludf.DUMMYFUNCTION("""COMPUTED_VALUE"""),277.82)</f>
        <v>277.82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IFERROR(__xludf.DUMMYFUNCTION("""COMPUTED_VALUE"""),280.83)</f>
        <v>280.83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IFERROR(__xludf.DUMMYFUNCTION("""COMPUTED_VALUE"""),283.58)</f>
        <v>283.58</v>
      </c>
    </row>
    <row r="420">
      <c r="A420" s="2">
        <f>IFERROR(__xludf.DUMMYFUNCTION("""COMPUTED_VALUE"""),44711.66666666667)</f>
        <v>44711.66667</v>
      </c>
      <c r="B420" s="1">
        <f>IFERROR(__xludf.DUMMYFUNCTION("""COMPUTED_VALUE"""),291.99)</f>
        <v>291.99</v>
      </c>
    </row>
    <row r="421">
      <c r="A421" s="2">
        <f>IFERROR(__xludf.DUMMYFUNCTION("""COMPUTED_VALUE"""),44712.66666666667)</f>
        <v>44712.66667</v>
      </c>
      <c r="B421" s="1">
        <f>IFERROR(__xludf.DUMMYFUNCTION("""COMPUTED_VALUE"""),290.4)</f>
        <v>290.4</v>
      </c>
    </row>
    <row r="422">
      <c r="A422" s="2">
        <f>IFERROR(__xludf.DUMMYFUNCTION("""COMPUTED_VALUE"""),44713.66666666667)</f>
        <v>44713.66667</v>
      </c>
      <c r="B422" s="1">
        <f>IFERROR(__xludf.DUMMYFUNCTION("""COMPUTED_VALUE"""),288.45)</f>
        <v>288.45</v>
      </c>
    </row>
    <row r="423">
      <c r="A423" s="2">
        <f>IFERROR(__xludf.DUMMYFUNCTION("""COMPUTED_VALUE"""),44714.66666666667)</f>
        <v>44714.66667</v>
      </c>
      <c r="B423" s="1">
        <f>IFERROR(__xludf.DUMMYFUNCTION("""COMPUTED_VALUE"""),286.93)</f>
        <v>286.93</v>
      </c>
    </row>
    <row r="424">
      <c r="A424" s="2">
        <f>IFERROR(__xludf.DUMMYFUNCTION("""COMPUTED_VALUE"""),44715.66666666667)</f>
        <v>44715.66667</v>
      </c>
      <c r="B424" s="1">
        <f>IFERROR(__xludf.DUMMYFUNCTION("""COMPUTED_VALUE"""),288.91)</f>
        <v>288.91</v>
      </c>
    </row>
    <row r="425">
      <c r="A425" s="2">
        <f>IFERROR(__xludf.DUMMYFUNCTION("""COMPUTED_VALUE"""),44718.66666666667)</f>
        <v>44718.66667</v>
      </c>
      <c r="B425" s="1">
        <f>IFERROR(__xludf.DUMMYFUNCTION("""COMPUTED_VALUE"""),287.59)</f>
        <v>287.59</v>
      </c>
    </row>
    <row r="426">
      <c r="A426" s="2">
        <f>IFERROR(__xludf.DUMMYFUNCTION("""COMPUTED_VALUE"""),44719.66666666667)</f>
        <v>44719.66667</v>
      </c>
      <c r="B426" s="1">
        <f>IFERROR(__xludf.DUMMYFUNCTION("""COMPUTED_VALUE"""),285.77)</f>
        <v>285.77</v>
      </c>
    </row>
    <row r="427">
      <c r="A427" s="2">
        <f>IFERROR(__xludf.DUMMYFUNCTION("""COMPUTED_VALUE"""),44720.66666666667)</f>
        <v>44720.66667</v>
      </c>
      <c r="B427" s="1">
        <f>IFERROR(__xludf.DUMMYFUNCTION("""COMPUTED_VALUE"""),288.73)</f>
        <v>288.73</v>
      </c>
    </row>
    <row r="428">
      <c r="A428" s="2">
        <f>IFERROR(__xludf.DUMMYFUNCTION("""COMPUTED_VALUE"""),44721.66666666667)</f>
        <v>44721.66667</v>
      </c>
      <c r="B428" s="1">
        <f>IFERROR(__xludf.DUMMYFUNCTION("""COMPUTED_VALUE"""),287.39)</f>
        <v>287.39</v>
      </c>
    </row>
    <row r="429">
      <c r="A429" s="2">
        <f>IFERROR(__xludf.DUMMYFUNCTION("""COMPUTED_VALUE"""),44722.66666666667)</f>
        <v>44722.66667</v>
      </c>
      <c r="B429" s="1">
        <f>IFERROR(__xludf.DUMMYFUNCTION("""COMPUTED_VALUE"""),283.31)</f>
        <v>283.31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IFERROR(__xludf.DUMMYFUNCTION("""COMPUTED_VALUE"""),272.99)</f>
        <v>272.99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IFERROR(__xludf.DUMMYFUNCTION("""COMPUTED_VALUE"""),271.71)</f>
        <v>271.71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IFERROR(__xludf.DUMMYFUNCTION("""COMPUTED_VALUE"""),270.17)</f>
        <v>270.17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IFERROR(__xludf.DUMMYFUNCTION("""COMPUTED_VALUE"""),262.41)</f>
        <v>262.41</v>
      </c>
    </row>
    <row r="434">
      <c r="A434" s="2">
        <f>IFERROR(__xludf.DUMMYFUNCTION("""COMPUTED_VALUE"""),44732.66666666667)</f>
        <v>44732.66667</v>
      </c>
      <c r="B434" s="1">
        <f>IFERROR(__xludf.DUMMYFUNCTION("""COMPUTED_VALUE"""),264.0)</f>
        <v>264</v>
      </c>
    </row>
    <row r="435">
      <c r="A435" s="2">
        <f>IFERROR(__xludf.DUMMYFUNCTION("""COMPUTED_VALUE"""),44733.66666666667)</f>
        <v>44733.66667</v>
      </c>
      <c r="B435" s="1">
        <f>IFERROR(__xludf.DUMMYFUNCTION("""COMPUTED_VALUE"""),267.61)</f>
        <v>267.61</v>
      </c>
    </row>
    <row r="436">
      <c r="A436" s="2">
        <f>IFERROR(__xludf.DUMMYFUNCTION("""COMPUTED_VALUE"""),44734.66666666667)</f>
        <v>44734.66667</v>
      </c>
      <c r="B436" s="1">
        <f>IFERROR(__xludf.DUMMYFUNCTION("""COMPUTED_VALUE"""),269.0)</f>
        <v>269</v>
      </c>
    </row>
    <row r="437">
      <c r="A437" s="2">
        <f>IFERROR(__xludf.DUMMYFUNCTION("""COMPUTED_VALUE"""),44735.66666666667)</f>
        <v>44735.66667</v>
      </c>
      <c r="B437" s="1">
        <f>IFERROR(__xludf.DUMMYFUNCTION("""COMPUTED_VALUE"""),272.26)</f>
        <v>272.26</v>
      </c>
    </row>
    <row r="438">
      <c r="A438" s="2">
        <f>IFERROR(__xludf.DUMMYFUNCTION("""COMPUTED_VALUE"""),44736.66666666667)</f>
        <v>44736.66667</v>
      </c>
      <c r="B438" s="1">
        <f>IFERROR(__xludf.DUMMYFUNCTION("""COMPUTED_VALUE"""),275.87)</f>
        <v>275.87</v>
      </c>
    </row>
    <row r="439">
      <c r="A439" s="2">
        <f>IFERROR(__xludf.DUMMYFUNCTION("""COMPUTED_VALUE"""),44739.66666666667)</f>
        <v>44739.66667</v>
      </c>
      <c r="B439" s="1">
        <f>IFERROR(__xludf.DUMMYFUNCTION("""COMPUTED_VALUE"""),281.99)</f>
        <v>281.99</v>
      </c>
    </row>
    <row r="440">
      <c r="A440" s="2">
        <f>IFERROR(__xludf.DUMMYFUNCTION("""COMPUTED_VALUE"""),44740.66666666667)</f>
        <v>44740.66667</v>
      </c>
      <c r="B440" s="1">
        <f>IFERROR(__xludf.DUMMYFUNCTION("""COMPUTED_VALUE"""),281.07)</f>
        <v>281.07</v>
      </c>
    </row>
    <row r="441">
      <c r="A441" s="2">
        <f>IFERROR(__xludf.DUMMYFUNCTION("""COMPUTED_VALUE"""),44741.66666666667)</f>
        <v>44741.66667</v>
      </c>
      <c r="B441" s="1">
        <f>IFERROR(__xludf.DUMMYFUNCTION("""COMPUTED_VALUE"""),277.0)</f>
        <v>277</v>
      </c>
    </row>
    <row r="442">
      <c r="A442" s="2">
        <f>IFERROR(__xludf.DUMMYFUNCTION("""COMPUTED_VALUE"""),44742.66666666667)</f>
        <v>44742.66667</v>
      </c>
      <c r="B442" s="1">
        <f>IFERROR(__xludf.DUMMYFUNCTION("""COMPUTED_VALUE"""),273.52)</f>
        <v>273.52</v>
      </c>
    </row>
    <row r="443">
      <c r="A443" s="2">
        <f>IFERROR(__xludf.DUMMYFUNCTION("""COMPUTED_VALUE"""),44743.66666666667)</f>
        <v>44743.66667</v>
      </c>
      <c r="B443" s="1">
        <f>IFERROR(__xludf.DUMMYFUNCTION("""COMPUTED_VALUE"""),273.47)</f>
        <v>273.47</v>
      </c>
    </row>
    <row r="444">
      <c r="A444" s="2">
        <f>IFERROR(__xludf.DUMMYFUNCTION("""COMPUTED_VALUE"""),44746.66666666667)</f>
        <v>44746.66667</v>
      </c>
      <c r="B444" s="1">
        <f>IFERROR(__xludf.DUMMYFUNCTION("""COMPUTED_VALUE"""),277.39)</f>
        <v>277.39</v>
      </c>
    </row>
    <row r="445">
      <c r="A445" s="2">
        <f>IFERROR(__xludf.DUMMYFUNCTION("""COMPUTED_VALUE"""),44747.66666666667)</f>
        <v>44747.66667</v>
      </c>
      <c r="B445" s="1">
        <f>IFERROR(__xludf.DUMMYFUNCTION("""COMPUTED_VALUE"""),278.47)</f>
        <v>278.47</v>
      </c>
    </row>
    <row r="446">
      <c r="A446" s="2">
        <f>IFERROR(__xludf.DUMMYFUNCTION("""COMPUTED_VALUE"""),44748.66666666667)</f>
        <v>44748.66667</v>
      </c>
      <c r="B446" s="1">
        <f>IFERROR(__xludf.DUMMYFUNCTION("""COMPUTED_VALUE"""),280.6)</f>
        <v>280.6</v>
      </c>
    </row>
    <row r="447">
      <c r="A447" s="2">
        <f>IFERROR(__xludf.DUMMYFUNCTION("""COMPUTED_VALUE"""),44749.66666666667)</f>
        <v>44749.66667</v>
      </c>
      <c r="B447" s="1">
        <f>IFERROR(__xludf.DUMMYFUNCTION("""COMPUTED_VALUE"""),281.78)</f>
        <v>281.78</v>
      </c>
    </row>
    <row r="448">
      <c r="A448" s="2">
        <f>IFERROR(__xludf.DUMMYFUNCTION("""COMPUTED_VALUE"""),44750.66666666667)</f>
        <v>44750.66667</v>
      </c>
      <c r="B448" s="1">
        <f>IFERROR(__xludf.DUMMYFUNCTION("""COMPUTED_VALUE"""),284.09)</f>
        <v>284.09</v>
      </c>
    </row>
    <row r="449">
      <c r="A449" s="2">
        <f>IFERROR(__xludf.DUMMYFUNCTION("""COMPUTED_VALUE"""),44753.66666666667)</f>
        <v>44753.66667</v>
      </c>
      <c r="B449" s="1">
        <f>IFERROR(__xludf.DUMMYFUNCTION("""COMPUTED_VALUE"""),283.74)</f>
        <v>283.74</v>
      </c>
    </row>
    <row r="450">
      <c r="A450" s="2">
        <f>IFERROR(__xludf.DUMMYFUNCTION("""COMPUTED_VALUE"""),44754.66666666667)</f>
        <v>44754.66667</v>
      </c>
      <c r="B450" s="1">
        <f>IFERROR(__xludf.DUMMYFUNCTION("""COMPUTED_VALUE"""),283.89)</f>
        <v>283.89</v>
      </c>
    </row>
    <row r="451">
      <c r="A451" s="2">
        <f>IFERROR(__xludf.DUMMYFUNCTION("""COMPUTED_VALUE"""),44755.66666666667)</f>
        <v>44755.66667</v>
      </c>
      <c r="B451" s="1">
        <f>IFERROR(__xludf.DUMMYFUNCTION("""COMPUTED_VALUE"""),282.16)</f>
        <v>282.16</v>
      </c>
    </row>
    <row r="452">
      <c r="A452" s="2">
        <f>IFERROR(__xludf.DUMMYFUNCTION("""COMPUTED_VALUE"""),44756.66666666667)</f>
        <v>44756.66667</v>
      </c>
      <c r="B452" s="1">
        <f>IFERROR(__xludf.DUMMYFUNCTION("""COMPUTED_VALUE"""),279.98)</f>
        <v>279.98</v>
      </c>
    </row>
    <row r="453">
      <c r="A453" s="2">
        <f>IFERROR(__xludf.DUMMYFUNCTION("""COMPUTED_VALUE"""),44757.66666666667)</f>
        <v>44757.66667</v>
      </c>
      <c r="B453" s="1">
        <f>IFERROR(__xludf.DUMMYFUNCTION("""COMPUTED_VALUE"""),280.74)</f>
        <v>280.74</v>
      </c>
    </row>
    <row r="454">
      <c r="A454" s="2">
        <f>IFERROR(__xludf.DUMMYFUNCTION("""COMPUTED_VALUE"""),44760.66666666667)</f>
        <v>44760.66667</v>
      </c>
      <c r="B454" s="1">
        <f>IFERROR(__xludf.DUMMYFUNCTION("""COMPUTED_VALUE"""),284.69)</f>
        <v>284.69</v>
      </c>
    </row>
    <row r="455">
      <c r="A455" s="2">
        <f>IFERROR(__xludf.DUMMYFUNCTION("""COMPUTED_VALUE"""),44761.66666666667)</f>
        <v>44761.66667</v>
      </c>
      <c r="B455" s="1">
        <f>IFERROR(__xludf.DUMMYFUNCTION("""COMPUTED_VALUE"""),279.93)</f>
        <v>279.93</v>
      </c>
    </row>
    <row r="456">
      <c r="A456" s="2">
        <f>IFERROR(__xludf.DUMMYFUNCTION("""COMPUTED_VALUE"""),44762.66666666667)</f>
        <v>44762.66667</v>
      </c>
      <c r="B456" s="1">
        <f>IFERROR(__xludf.DUMMYFUNCTION("""COMPUTED_VALUE"""),285.44)</f>
        <v>285.44</v>
      </c>
    </row>
    <row r="457">
      <c r="A457" s="2">
        <f>IFERROR(__xludf.DUMMYFUNCTION("""COMPUTED_VALUE"""),44763.66666666667)</f>
        <v>44763.66667</v>
      </c>
      <c r="B457" s="1">
        <f>IFERROR(__xludf.DUMMYFUNCTION("""COMPUTED_VALUE"""),287.11)</f>
        <v>287.11</v>
      </c>
    </row>
    <row r="458">
      <c r="A458" s="2">
        <f>IFERROR(__xludf.DUMMYFUNCTION("""COMPUTED_VALUE"""),44764.66666666667)</f>
        <v>44764.66667</v>
      </c>
      <c r="B458" s="1">
        <f>IFERROR(__xludf.DUMMYFUNCTION("""COMPUTED_VALUE"""),288.3)</f>
        <v>288.3</v>
      </c>
    </row>
    <row r="459">
      <c r="A459" s="2">
        <f>IFERROR(__xludf.DUMMYFUNCTION("""COMPUTED_VALUE"""),44767.66666666667)</f>
        <v>44767.66667</v>
      </c>
      <c r="B459" s="1">
        <f>IFERROR(__xludf.DUMMYFUNCTION("""COMPUTED_VALUE"""),286.22)</f>
        <v>286.22</v>
      </c>
    </row>
    <row r="460">
      <c r="A460" s="2">
        <f>IFERROR(__xludf.DUMMYFUNCTION("""COMPUTED_VALUE"""),44768.66666666667)</f>
        <v>44768.66667</v>
      </c>
      <c r="B460" s="1">
        <f>IFERROR(__xludf.DUMMYFUNCTION("""COMPUTED_VALUE"""),284.09)</f>
        <v>284.09</v>
      </c>
    </row>
    <row r="461">
      <c r="A461" s="2">
        <f>IFERROR(__xludf.DUMMYFUNCTION("""COMPUTED_VALUE"""),44769.66666666667)</f>
        <v>44769.66667</v>
      </c>
      <c r="B461" s="1">
        <f>IFERROR(__xludf.DUMMYFUNCTION("""COMPUTED_VALUE"""),284.8)</f>
        <v>284.8</v>
      </c>
    </row>
    <row r="462">
      <c r="A462" s="2">
        <f>IFERROR(__xludf.DUMMYFUNCTION("""COMPUTED_VALUE"""),44770.66666666667)</f>
        <v>44770.66667</v>
      </c>
      <c r="B462" s="1">
        <f>IFERROR(__xludf.DUMMYFUNCTION("""COMPUTED_VALUE"""),286.61)</f>
        <v>286.61</v>
      </c>
    </row>
    <row r="463">
      <c r="A463" s="2">
        <f>IFERROR(__xludf.DUMMYFUNCTION("""COMPUTED_VALUE"""),44771.66666666667)</f>
        <v>44771.66667</v>
      </c>
      <c r="B463" s="1">
        <f>IFERROR(__xludf.DUMMYFUNCTION("""COMPUTED_VALUE"""),292.03)</f>
        <v>292.03</v>
      </c>
    </row>
    <row r="464">
      <c r="A464" s="2">
        <f>IFERROR(__xludf.DUMMYFUNCTION("""COMPUTED_VALUE"""),44774.66666666667)</f>
        <v>44774.66667</v>
      </c>
      <c r="B464" s="1">
        <f>IFERROR(__xludf.DUMMYFUNCTION("""COMPUTED_VALUE"""),293.94)</f>
        <v>293.94</v>
      </c>
    </row>
    <row r="465">
      <c r="A465" s="2">
        <f>IFERROR(__xludf.DUMMYFUNCTION("""COMPUTED_VALUE"""),44775.66666666667)</f>
        <v>44775.66667</v>
      </c>
      <c r="B465" s="1">
        <f>IFERROR(__xludf.DUMMYFUNCTION("""COMPUTED_VALUE"""),294.57)</f>
        <v>294.57</v>
      </c>
    </row>
    <row r="466">
      <c r="A466" s="2">
        <f>IFERROR(__xludf.DUMMYFUNCTION("""COMPUTED_VALUE"""),44776.66666666667)</f>
        <v>44776.66667</v>
      </c>
      <c r="B466" s="1">
        <f>IFERROR(__xludf.DUMMYFUNCTION("""COMPUTED_VALUE"""),296.82)</f>
        <v>296.82</v>
      </c>
    </row>
    <row r="467">
      <c r="A467" s="2">
        <f>IFERROR(__xludf.DUMMYFUNCTION("""COMPUTED_VALUE"""),44777.66666666667)</f>
        <v>44777.66667</v>
      </c>
      <c r="B467" s="1">
        <f>IFERROR(__xludf.DUMMYFUNCTION("""COMPUTED_VALUE"""),298.19)</f>
        <v>298.19</v>
      </c>
    </row>
    <row r="468">
      <c r="A468" s="2">
        <f>IFERROR(__xludf.DUMMYFUNCTION("""COMPUTED_VALUE"""),44778.66666666667)</f>
        <v>44778.66667</v>
      </c>
      <c r="B468" s="1">
        <f>IFERROR(__xludf.DUMMYFUNCTION("""COMPUTED_VALUE"""),299.04)</f>
        <v>299.04</v>
      </c>
    </row>
    <row r="469">
      <c r="A469" s="2">
        <f>IFERROR(__xludf.DUMMYFUNCTION("""COMPUTED_VALUE"""),44781.66666666667)</f>
        <v>44781.66667</v>
      </c>
      <c r="B469" s="1">
        <f>IFERROR(__xludf.DUMMYFUNCTION("""COMPUTED_VALUE"""),299.85)</f>
        <v>299.85</v>
      </c>
    </row>
    <row r="470">
      <c r="A470" s="2">
        <f>IFERROR(__xludf.DUMMYFUNCTION("""COMPUTED_VALUE"""),44782.66666666667)</f>
        <v>44782.66667</v>
      </c>
      <c r="B470" s="1">
        <f>IFERROR(__xludf.DUMMYFUNCTION("""COMPUTED_VALUE"""),298.7)</f>
        <v>298.7</v>
      </c>
    </row>
    <row r="471">
      <c r="A471" s="2">
        <f>IFERROR(__xludf.DUMMYFUNCTION("""COMPUTED_VALUE"""),44783.66666666667)</f>
        <v>44783.66667</v>
      </c>
      <c r="B471" s="1">
        <f>IFERROR(__xludf.DUMMYFUNCTION("""COMPUTED_VALUE"""),296.74)</f>
        <v>296.74</v>
      </c>
    </row>
    <row r="472">
      <c r="A472" s="2">
        <f>IFERROR(__xludf.DUMMYFUNCTION("""COMPUTED_VALUE"""),44784.66666666667)</f>
        <v>44784.66667</v>
      </c>
      <c r="B472" s="1">
        <f>IFERROR(__xludf.DUMMYFUNCTION("""COMPUTED_VALUE"""),299.12)</f>
        <v>299.12</v>
      </c>
    </row>
    <row r="473">
      <c r="A473" s="2">
        <f>IFERROR(__xludf.DUMMYFUNCTION("""COMPUTED_VALUE"""),44785.66666666667)</f>
        <v>44785.66667</v>
      </c>
      <c r="B473" s="1">
        <f>IFERROR(__xludf.DUMMYFUNCTION("""COMPUTED_VALUE"""),297.61)</f>
        <v>297.61</v>
      </c>
    </row>
    <row r="474">
      <c r="A474" s="2">
        <f>IFERROR(__xludf.DUMMYFUNCTION("""COMPUTED_VALUE"""),44788.66666666667)</f>
        <v>44788.66667</v>
      </c>
      <c r="B474" s="1">
        <f>IFERROR(__xludf.DUMMYFUNCTION("""COMPUTED_VALUE"""),302.86)</f>
        <v>302.86</v>
      </c>
    </row>
    <row r="475">
      <c r="A475" s="2">
        <f>IFERROR(__xludf.DUMMYFUNCTION("""COMPUTED_VALUE"""),44789.66666666667)</f>
        <v>44789.66667</v>
      </c>
      <c r="B475" s="1">
        <f>IFERROR(__xludf.DUMMYFUNCTION("""COMPUTED_VALUE"""),306.6)</f>
        <v>306.6</v>
      </c>
    </row>
    <row r="476">
      <c r="A476" s="2">
        <f>IFERROR(__xludf.DUMMYFUNCTION("""COMPUTED_VALUE"""),44790.66666666667)</f>
        <v>44790.66667</v>
      </c>
      <c r="B476" s="1">
        <f>IFERROR(__xludf.DUMMYFUNCTION("""COMPUTED_VALUE"""),308.65)</f>
        <v>308.65</v>
      </c>
    </row>
    <row r="477">
      <c r="A477" s="2">
        <f>IFERROR(__xludf.DUMMYFUNCTION("""COMPUTED_VALUE"""),44791.66666666667)</f>
        <v>44791.66667</v>
      </c>
      <c r="B477" s="1">
        <f>IFERROR(__xludf.DUMMYFUNCTION("""COMPUTED_VALUE"""),309.12)</f>
        <v>309.12</v>
      </c>
    </row>
    <row r="478">
      <c r="A478" s="2">
        <f>IFERROR(__xludf.DUMMYFUNCTION("""COMPUTED_VALUE"""),44792.66666666667)</f>
        <v>44792.66667</v>
      </c>
      <c r="B478" s="1">
        <f>IFERROR(__xludf.DUMMYFUNCTION("""COMPUTED_VALUE"""),309.99)</f>
        <v>309.99</v>
      </c>
    </row>
    <row r="479">
      <c r="A479" s="2">
        <f>IFERROR(__xludf.DUMMYFUNCTION("""COMPUTED_VALUE"""),44795.66666666667)</f>
        <v>44795.66667</v>
      </c>
      <c r="B479" s="1">
        <f>IFERROR(__xludf.DUMMYFUNCTION("""COMPUTED_VALUE"""),305.56)</f>
        <v>305.56</v>
      </c>
    </row>
    <row r="480">
      <c r="A480" s="2">
        <f>IFERROR(__xludf.DUMMYFUNCTION("""COMPUTED_VALUE"""),44796.66666666667)</f>
        <v>44796.66667</v>
      </c>
      <c r="B480" s="1">
        <f>IFERROR(__xludf.DUMMYFUNCTION("""COMPUTED_VALUE"""),301.45)</f>
        <v>301.45</v>
      </c>
    </row>
    <row r="481">
      <c r="A481" s="2">
        <f>IFERROR(__xludf.DUMMYFUNCTION("""COMPUTED_VALUE"""),44797.66666666667)</f>
        <v>44797.66667</v>
      </c>
      <c r="B481" s="1">
        <f>IFERROR(__xludf.DUMMYFUNCTION("""COMPUTED_VALUE"""),299.71)</f>
        <v>299.71</v>
      </c>
    </row>
    <row r="482">
      <c r="A482" s="2">
        <f>IFERROR(__xludf.DUMMYFUNCTION("""COMPUTED_VALUE"""),44798.66666666667)</f>
        <v>44798.66667</v>
      </c>
      <c r="B482" s="1">
        <f>IFERROR(__xludf.DUMMYFUNCTION("""COMPUTED_VALUE"""),300.07)</f>
        <v>300.07</v>
      </c>
    </row>
    <row r="483">
      <c r="A483" s="2">
        <f>IFERROR(__xludf.DUMMYFUNCTION("""COMPUTED_VALUE"""),44799.66666666667)</f>
        <v>44799.66667</v>
      </c>
      <c r="B483" s="1">
        <f>IFERROR(__xludf.DUMMYFUNCTION("""COMPUTED_VALUE"""),302.08)</f>
        <v>302.08</v>
      </c>
    </row>
    <row r="484">
      <c r="A484" s="2">
        <f>IFERROR(__xludf.DUMMYFUNCTION("""COMPUTED_VALUE"""),44802.66666666667)</f>
        <v>44802.66667</v>
      </c>
      <c r="B484" s="1">
        <f>IFERROR(__xludf.DUMMYFUNCTION("""COMPUTED_VALUE"""),294.49)</f>
        <v>294.49</v>
      </c>
    </row>
    <row r="485">
      <c r="A485" s="2">
        <f>IFERROR(__xludf.DUMMYFUNCTION("""COMPUTED_VALUE"""),44803.66666666667)</f>
        <v>44803.66667</v>
      </c>
      <c r="B485" s="1">
        <f>IFERROR(__xludf.DUMMYFUNCTION("""COMPUTED_VALUE"""),293.88)</f>
        <v>293.88</v>
      </c>
    </row>
    <row r="486">
      <c r="A486" s="2">
        <f>IFERROR(__xludf.DUMMYFUNCTION("""COMPUTED_VALUE"""),44804.66666666667)</f>
        <v>44804.66667</v>
      </c>
      <c r="B486" s="1">
        <f>IFERROR(__xludf.DUMMYFUNCTION("""COMPUTED_VALUE"""),292.1)</f>
        <v>292.1</v>
      </c>
    </row>
    <row r="487">
      <c r="A487" s="2">
        <f>IFERROR(__xludf.DUMMYFUNCTION("""COMPUTED_VALUE"""),44805.66666666667)</f>
        <v>44805.66667</v>
      </c>
      <c r="B487" s="1">
        <f>IFERROR(__xludf.DUMMYFUNCTION("""COMPUTED_VALUE"""),288.7)</f>
        <v>288.7</v>
      </c>
    </row>
    <row r="488">
      <c r="A488" s="2">
        <f>IFERROR(__xludf.DUMMYFUNCTION("""COMPUTED_VALUE"""),44806.66666666667)</f>
        <v>44806.66667</v>
      </c>
      <c r="B488" s="1">
        <f>IFERROR(__xludf.DUMMYFUNCTION("""COMPUTED_VALUE"""),292.12)</f>
        <v>292.12</v>
      </c>
    </row>
    <row r="489">
      <c r="A489" s="2">
        <f>IFERROR(__xludf.DUMMYFUNCTION("""COMPUTED_VALUE"""),44809.66666666667)</f>
        <v>44809.66667</v>
      </c>
      <c r="B489" s="1">
        <f>IFERROR(__xludf.DUMMYFUNCTION("""COMPUTED_VALUE"""),290.68)</f>
        <v>290.68</v>
      </c>
    </row>
    <row r="490">
      <c r="A490" s="2">
        <f>IFERROR(__xludf.DUMMYFUNCTION("""COMPUTED_VALUE"""),44810.66666666667)</f>
        <v>44810.66667</v>
      </c>
      <c r="B490" s="1">
        <f>IFERROR(__xludf.DUMMYFUNCTION("""COMPUTED_VALUE"""),290.77)</f>
        <v>290.77</v>
      </c>
    </row>
    <row r="491">
      <c r="A491" s="2">
        <f>IFERROR(__xludf.DUMMYFUNCTION("""COMPUTED_VALUE"""),44811.66666666667)</f>
        <v>44811.66667</v>
      </c>
      <c r="B491" s="1">
        <f>IFERROR(__xludf.DUMMYFUNCTION("""COMPUTED_VALUE"""),290.82)</f>
        <v>290.82</v>
      </c>
    </row>
    <row r="492">
      <c r="A492" s="2">
        <f>IFERROR(__xludf.DUMMYFUNCTION("""COMPUTED_VALUE"""),44812.66666666667)</f>
        <v>44812.66667</v>
      </c>
      <c r="B492" s="1">
        <f>IFERROR(__xludf.DUMMYFUNCTION("""COMPUTED_VALUE"""),296.72)</f>
        <v>296.72</v>
      </c>
    </row>
    <row r="493">
      <c r="A493" s="2">
        <f>IFERROR(__xludf.DUMMYFUNCTION("""COMPUTED_VALUE"""),44813.66666666667)</f>
        <v>44813.66667</v>
      </c>
      <c r="B493" s="1">
        <f>IFERROR(__xludf.DUMMYFUNCTION("""COMPUTED_VALUE"""),295.57)</f>
        <v>295.57</v>
      </c>
    </row>
    <row r="494">
      <c r="A494" s="2">
        <f>IFERROR(__xludf.DUMMYFUNCTION("""COMPUTED_VALUE"""),44816.66666666667)</f>
        <v>44816.66667</v>
      </c>
      <c r="B494" s="1">
        <f>IFERROR(__xludf.DUMMYFUNCTION("""COMPUTED_VALUE"""),298.72)</f>
        <v>298.72</v>
      </c>
    </row>
    <row r="495">
      <c r="A495" s="2">
        <f>IFERROR(__xludf.DUMMYFUNCTION("""COMPUTED_VALUE"""),44817.66666666667)</f>
        <v>44817.66667</v>
      </c>
      <c r="B495" s="1">
        <f>IFERROR(__xludf.DUMMYFUNCTION("""COMPUTED_VALUE"""),301.63)</f>
        <v>301.63</v>
      </c>
    </row>
    <row r="496">
      <c r="A496" s="2">
        <f>IFERROR(__xludf.DUMMYFUNCTION("""COMPUTED_VALUE"""),44818.66666666667)</f>
        <v>44818.66667</v>
      </c>
      <c r="B496" s="1">
        <f>IFERROR(__xludf.DUMMYFUNCTION("""COMPUTED_VALUE"""),294.49)</f>
        <v>294.49</v>
      </c>
    </row>
    <row r="497">
      <c r="A497" s="2">
        <f>IFERROR(__xludf.DUMMYFUNCTION("""COMPUTED_VALUE"""),44819.66666666667)</f>
        <v>44819.66667</v>
      </c>
      <c r="B497" s="1">
        <f>IFERROR(__xludf.DUMMYFUNCTION("""COMPUTED_VALUE"""),294.58)</f>
        <v>294.58</v>
      </c>
    </row>
    <row r="498">
      <c r="A498" s="2">
        <f>IFERROR(__xludf.DUMMYFUNCTION("""COMPUTED_VALUE"""),44820.66666666667)</f>
        <v>44820.66667</v>
      </c>
      <c r="B498" s="1">
        <f>IFERROR(__xludf.DUMMYFUNCTION("""COMPUTED_VALUE"""),291.16)</f>
        <v>291.16</v>
      </c>
    </row>
    <row r="499">
      <c r="A499" s="2">
        <f>IFERROR(__xludf.DUMMYFUNCTION("""COMPUTED_VALUE"""),44823.66666666667)</f>
        <v>44823.66667</v>
      </c>
      <c r="B499" s="1">
        <f>IFERROR(__xludf.DUMMYFUNCTION("""COMPUTED_VALUE"""),289.59)</f>
        <v>289.59</v>
      </c>
    </row>
    <row r="500">
      <c r="A500" s="2">
        <f>IFERROR(__xludf.DUMMYFUNCTION("""COMPUTED_VALUE"""),44824.66666666667)</f>
        <v>44824.66667</v>
      </c>
      <c r="B500" s="1">
        <f>IFERROR(__xludf.DUMMYFUNCTION("""COMPUTED_VALUE"""),292.89)</f>
        <v>292.89</v>
      </c>
    </row>
    <row r="501">
      <c r="A501" s="2">
        <f>IFERROR(__xludf.DUMMYFUNCTION("""COMPUTED_VALUE"""),44825.66666666667)</f>
        <v>44825.66667</v>
      </c>
      <c r="B501" s="1">
        <f>IFERROR(__xludf.DUMMYFUNCTION("""COMPUTED_VALUE"""),290.79)</f>
        <v>290.79</v>
      </c>
    </row>
    <row r="502">
      <c r="A502" s="2">
        <f>IFERROR(__xludf.DUMMYFUNCTION("""COMPUTED_VALUE"""),44827.66666666667)</f>
        <v>44827.66667</v>
      </c>
      <c r="B502" s="1">
        <f>IFERROR(__xludf.DUMMYFUNCTION("""COMPUTED_VALUE"""),284.36)</f>
        <v>284.36</v>
      </c>
    </row>
    <row r="503">
      <c r="A503" s="2">
        <f>IFERROR(__xludf.DUMMYFUNCTION("""COMPUTED_VALUE"""),44830.66666666667)</f>
        <v>44830.66667</v>
      </c>
      <c r="B503" s="1">
        <f>IFERROR(__xludf.DUMMYFUNCTION("""COMPUTED_VALUE"""),281.37)</f>
        <v>281.37</v>
      </c>
    </row>
    <row r="504">
      <c r="A504" s="2">
        <f>IFERROR(__xludf.DUMMYFUNCTION("""COMPUTED_VALUE"""),44831.66666666667)</f>
        <v>44831.66667</v>
      </c>
      <c r="B504" s="1">
        <f>IFERROR(__xludf.DUMMYFUNCTION("""COMPUTED_VALUE"""),283.02)</f>
        <v>283.02</v>
      </c>
    </row>
    <row r="505">
      <c r="A505" s="2">
        <f>IFERROR(__xludf.DUMMYFUNCTION("""COMPUTED_VALUE"""),44832.66666666667)</f>
        <v>44832.66667</v>
      </c>
      <c r="B505" s="1">
        <f>IFERROR(__xludf.DUMMYFUNCTION("""COMPUTED_VALUE"""),283.29)</f>
        <v>283.29</v>
      </c>
    </row>
    <row r="506">
      <c r="A506" s="2">
        <f>IFERROR(__xludf.DUMMYFUNCTION("""COMPUTED_VALUE"""),44833.66666666667)</f>
        <v>44833.66667</v>
      </c>
      <c r="B506" s="1">
        <f>IFERROR(__xludf.DUMMYFUNCTION("""COMPUTED_VALUE"""),286.3)</f>
        <v>286.3</v>
      </c>
    </row>
    <row r="507">
      <c r="A507" s="2">
        <f>IFERROR(__xludf.DUMMYFUNCTION("""COMPUTED_VALUE"""),44834.66666666667)</f>
        <v>44834.66667</v>
      </c>
      <c r="B507" s="1">
        <f>IFERROR(__xludf.DUMMYFUNCTION("""COMPUTED_VALUE"""),280.43)</f>
        <v>280.43</v>
      </c>
    </row>
    <row r="508">
      <c r="A508" s="2">
        <f>IFERROR(__xludf.DUMMYFUNCTION("""COMPUTED_VALUE"""),44837.66666666667)</f>
        <v>44837.66667</v>
      </c>
      <c r="B508" s="1">
        <f>IFERROR(__xludf.DUMMYFUNCTION("""COMPUTED_VALUE"""),278.75)</f>
        <v>278.75</v>
      </c>
    </row>
    <row r="509">
      <c r="A509" s="2">
        <f>IFERROR(__xludf.DUMMYFUNCTION("""COMPUTED_VALUE"""),44838.66666666667)</f>
        <v>44838.66667</v>
      </c>
      <c r="B509" s="1">
        <f>IFERROR(__xludf.DUMMYFUNCTION("""COMPUTED_VALUE"""),286.96)</f>
        <v>286.96</v>
      </c>
    </row>
    <row r="510">
      <c r="A510" s="2">
        <f>IFERROR(__xludf.DUMMYFUNCTION("""COMPUTED_VALUE"""),44839.66666666667)</f>
        <v>44839.66667</v>
      </c>
      <c r="B510" s="1">
        <f>IFERROR(__xludf.DUMMYFUNCTION("""COMPUTED_VALUE"""),291.54)</f>
        <v>291.54</v>
      </c>
    </row>
    <row r="511">
      <c r="A511" s="2">
        <f>IFERROR(__xludf.DUMMYFUNCTION("""COMPUTED_VALUE"""),44840.66666666667)</f>
        <v>44840.66667</v>
      </c>
      <c r="B511" s="1">
        <f>IFERROR(__xludf.DUMMYFUNCTION("""COMPUTED_VALUE"""),291.88)</f>
        <v>291.88</v>
      </c>
    </row>
    <row r="512">
      <c r="A512" s="2">
        <f>IFERROR(__xludf.DUMMYFUNCTION("""COMPUTED_VALUE"""),44841.66666666667)</f>
        <v>44841.66667</v>
      </c>
      <c r="B512" s="1">
        <f>IFERROR(__xludf.DUMMYFUNCTION("""COMPUTED_VALUE"""),292.22)</f>
        <v>292.22</v>
      </c>
    </row>
    <row r="513">
      <c r="A513" s="2">
        <f>IFERROR(__xludf.DUMMYFUNCTION("""COMPUTED_VALUE"""),44844.66666666667)</f>
        <v>44844.66667</v>
      </c>
      <c r="B513" s="1">
        <f>IFERROR(__xludf.DUMMYFUNCTION("""COMPUTED_VALUE"""),286.84)</f>
        <v>286.84</v>
      </c>
    </row>
    <row r="514">
      <c r="A514" s="2">
        <f>IFERROR(__xludf.DUMMYFUNCTION("""COMPUTED_VALUE"""),44845.66666666667)</f>
        <v>44845.66667</v>
      </c>
      <c r="B514" s="1">
        <f>IFERROR(__xludf.DUMMYFUNCTION("""COMPUTED_VALUE"""),287.96)</f>
        <v>287.96</v>
      </c>
    </row>
    <row r="515">
      <c r="A515" s="2">
        <f>IFERROR(__xludf.DUMMYFUNCTION("""COMPUTED_VALUE"""),44846.66666666667)</f>
        <v>44846.66667</v>
      </c>
      <c r="B515" s="1">
        <f>IFERROR(__xludf.DUMMYFUNCTION("""COMPUTED_VALUE"""),288.17)</f>
        <v>288.17</v>
      </c>
    </row>
    <row r="516">
      <c r="A516" s="2">
        <f>IFERROR(__xludf.DUMMYFUNCTION("""COMPUTED_VALUE"""),44847.66666666667)</f>
        <v>44847.66667</v>
      </c>
      <c r="B516" s="1">
        <f>IFERROR(__xludf.DUMMYFUNCTION("""COMPUTED_VALUE"""),286.12)</f>
        <v>286.12</v>
      </c>
    </row>
    <row r="517">
      <c r="A517" s="2">
        <f>IFERROR(__xludf.DUMMYFUNCTION("""COMPUTED_VALUE"""),44848.66666666667)</f>
        <v>44848.66667</v>
      </c>
      <c r="B517" s="1">
        <f>IFERROR(__xludf.DUMMYFUNCTION("""COMPUTED_VALUE"""),291.9)</f>
        <v>291.9</v>
      </c>
    </row>
    <row r="518">
      <c r="A518" s="2">
        <f>IFERROR(__xludf.DUMMYFUNCTION("""COMPUTED_VALUE"""),44851.66666666667)</f>
        <v>44851.66667</v>
      </c>
      <c r="B518" s="1">
        <f>IFERROR(__xludf.DUMMYFUNCTION("""COMPUTED_VALUE"""),289.63)</f>
        <v>289.63</v>
      </c>
    </row>
    <row r="519">
      <c r="A519" s="2">
        <f>IFERROR(__xludf.DUMMYFUNCTION("""COMPUTED_VALUE"""),44852.66666666667)</f>
        <v>44852.66667</v>
      </c>
      <c r="B519" s="1">
        <f>IFERROR(__xludf.DUMMYFUNCTION("""COMPUTED_VALUE"""),296.51)</f>
        <v>296.51</v>
      </c>
    </row>
    <row r="520">
      <c r="A520" s="2">
        <f>IFERROR(__xludf.DUMMYFUNCTION("""COMPUTED_VALUE"""),44853.66666666667)</f>
        <v>44853.66667</v>
      </c>
      <c r="B520" s="1">
        <f>IFERROR(__xludf.DUMMYFUNCTION("""COMPUTED_VALUE"""),297.39)</f>
        <v>297.39</v>
      </c>
    </row>
    <row r="521">
      <c r="A521" s="2">
        <f>IFERROR(__xludf.DUMMYFUNCTION("""COMPUTED_VALUE"""),44854.66666666667)</f>
        <v>44854.66667</v>
      </c>
      <c r="B521" s="1">
        <f>IFERROR(__xludf.DUMMYFUNCTION("""COMPUTED_VALUE"""),294.93)</f>
        <v>294.93</v>
      </c>
    </row>
    <row r="522">
      <c r="A522" s="2">
        <f>IFERROR(__xludf.DUMMYFUNCTION("""COMPUTED_VALUE"""),44855.66666666667)</f>
        <v>44855.66667</v>
      </c>
      <c r="B522" s="1">
        <f>IFERROR(__xludf.DUMMYFUNCTION("""COMPUTED_VALUE"""),292.0)</f>
        <v>292</v>
      </c>
    </row>
    <row r="523">
      <c r="A523" s="2">
        <f>IFERROR(__xludf.DUMMYFUNCTION("""COMPUTED_VALUE"""),44858.66666666667)</f>
        <v>44858.66667</v>
      </c>
      <c r="B523" s="1">
        <f>IFERROR(__xludf.DUMMYFUNCTION("""COMPUTED_VALUE"""),296.6)</f>
        <v>296.6</v>
      </c>
    </row>
    <row r="524">
      <c r="A524" s="2">
        <f>IFERROR(__xludf.DUMMYFUNCTION("""COMPUTED_VALUE"""),44859.66666666667)</f>
        <v>44859.66667</v>
      </c>
      <c r="B524" s="1">
        <f>IFERROR(__xludf.DUMMYFUNCTION("""COMPUTED_VALUE"""),299.47)</f>
        <v>299.47</v>
      </c>
    </row>
    <row r="525">
      <c r="A525" s="2">
        <f>IFERROR(__xludf.DUMMYFUNCTION("""COMPUTED_VALUE"""),44860.66666666667)</f>
        <v>44860.66667</v>
      </c>
      <c r="B525" s="1">
        <f>IFERROR(__xludf.DUMMYFUNCTION("""COMPUTED_VALUE"""),299.26)</f>
        <v>299.26</v>
      </c>
    </row>
    <row r="526">
      <c r="A526" s="2">
        <f>IFERROR(__xludf.DUMMYFUNCTION("""COMPUTED_VALUE"""),44861.66666666667)</f>
        <v>44861.66667</v>
      </c>
      <c r="B526" s="1">
        <f>IFERROR(__xludf.DUMMYFUNCTION("""COMPUTED_VALUE"""),295.93)</f>
        <v>295.93</v>
      </c>
    </row>
    <row r="527">
      <c r="A527" s="2">
        <f>IFERROR(__xludf.DUMMYFUNCTION("""COMPUTED_VALUE"""),44862.66666666667)</f>
        <v>44862.66667</v>
      </c>
      <c r="B527" s="1">
        <f>IFERROR(__xludf.DUMMYFUNCTION("""COMPUTED_VALUE"""),293.92)</f>
        <v>293.92</v>
      </c>
    </row>
    <row r="528">
      <c r="A528" s="2">
        <f>IFERROR(__xludf.DUMMYFUNCTION("""COMPUTED_VALUE"""),44865.66666666667)</f>
        <v>44865.66667</v>
      </c>
      <c r="B528" s="1">
        <f>IFERROR(__xludf.DUMMYFUNCTION("""COMPUTED_VALUE"""),303.98)</f>
        <v>303.98</v>
      </c>
    </row>
    <row r="529">
      <c r="A529" s="2">
        <f>IFERROR(__xludf.DUMMYFUNCTION("""COMPUTED_VALUE"""),44866.66666666667)</f>
        <v>44866.66667</v>
      </c>
      <c r="B529" s="1">
        <f>IFERROR(__xludf.DUMMYFUNCTION("""COMPUTED_VALUE"""),303.05)</f>
        <v>303.05</v>
      </c>
    </row>
    <row r="530">
      <c r="A530" s="2">
        <f>IFERROR(__xludf.DUMMYFUNCTION("""COMPUTED_VALUE"""),44867.66666666667)</f>
        <v>44867.66667</v>
      </c>
      <c r="B530" s="1">
        <f>IFERROR(__xludf.DUMMYFUNCTION("""COMPUTED_VALUE"""),302.42)</f>
        <v>302.42</v>
      </c>
    </row>
    <row r="531">
      <c r="A531" s="2">
        <f>IFERROR(__xludf.DUMMYFUNCTION("""COMPUTED_VALUE"""),44868.66666666667)</f>
        <v>44868.66667</v>
      </c>
      <c r="B531" s="1">
        <f>IFERROR(__xludf.DUMMYFUNCTION("""COMPUTED_VALUE"""),296.59)</f>
        <v>296.59</v>
      </c>
    </row>
    <row r="532">
      <c r="A532" s="2">
        <f>IFERROR(__xludf.DUMMYFUNCTION("""COMPUTED_VALUE"""),44869.66666666667)</f>
        <v>44869.66667</v>
      </c>
      <c r="B532" s="1">
        <f>IFERROR(__xludf.DUMMYFUNCTION("""COMPUTED_VALUE"""),294.6)</f>
        <v>294.6</v>
      </c>
    </row>
    <row r="533">
      <c r="A533" s="2">
        <f>IFERROR(__xludf.DUMMYFUNCTION("""COMPUTED_VALUE"""),44872.66666666667)</f>
        <v>44872.66667</v>
      </c>
      <c r="B533" s="1">
        <f>IFERROR(__xludf.DUMMYFUNCTION("""COMPUTED_VALUE"""),293.33)</f>
        <v>293.33</v>
      </c>
    </row>
    <row r="534">
      <c r="A534" s="2">
        <f>IFERROR(__xludf.DUMMYFUNCTION("""COMPUTED_VALUE"""),44873.66666666667)</f>
        <v>44873.66667</v>
      </c>
      <c r="B534" s="1">
        <f>IFERROR(__xludf.DUMMYFUNCTION("""COMPUTED_VALUE"""),294.84)</f>
        <v>294.84</v>
      </c>
    </row>
    <row r="535">
      <c r="A535" s="2">
        <f>IFERROR(__xludf.DUMMYFUNCTION("""COMPUTED_VALUE"""),44874.66666666667)</f>
        <v>44874.66667</v>
      </c>
      <c r="B535" s="1">
        <f>IFERROR(__xludf.DUMMYFUNCTION("""COMPUTED_VALUE"""),295.24)</f>
        <v>295.24</v>
      </c>
    </row>
    <row r="536">
      <c r="A536" s="2">
        <f>IFERROR(__xludf.DUMMYFUNCTION("""COMPUTED_VALUE"""),44875.66666666667)</f>
        <v>44875.66667</v>
      </c>
      <c r="B536" s="1">
        <f>IFERROR(__xludf.DUMMYFUNCTION("""COMPUTED_VALUE"""),292.96)</f>
        <v>292.96</v>
      </c>
    </row>
    <row r="537">
      <c r="A537" s="2">
        <f>IFERROR(__xludf.DUMMYFUNCTION("""COMPUTED_VALUE"""),44876.66666666667)</f>
        <v>44876.66667</v>
      </c>
      <c r="B537" s="1">
        <f>IFERROR(__xludf.DUMMYFUNCTION("""COMPUTED_VALUE"""),299.7)</f>
        <v>299.7</v>
      </c>
    </row>
    <row r="538">
      <c r="A538" s="2">
        <f>IFERROR(__xludf.DUMMYFUNCTION("""COMPUTED_VALUE"""),44879.66666666667)</f>
        <v>44879.66667</v>
      </c>
      <c r="B538" s="1">
        <f>IFERROR(__xludf.DUMMYFUNCTION("""COMPUTED_VALUE"""),298.98)</f>
        <v>298.98</v>
      </c>
    </row>
    <row r="539">
      <c r="A539" s="2">
        <f>IFERROR(__xludf.DUMMYFUNCTION("""COMPUTED_VALUE"""),44880.66666666667)</f>
        <v>44880.66667</v>
      </c>
      <c r="B539" s="1">
        <f>IFERROR(__xludf.DUMMYFUNCTION("""COMPUTED_VALUE"""),297.28)</f>
        <v>297.28</v>
      </c>
    </row>
    <row r="540">
      <c r="A540" s="2">
        <f>IFERROR(__xludf.DUMMYFUNCTION("""COMPUTED_VALUE"""),44881.66666666667)</f>
        <v>44881.66667</v>
      </c>
      <c r="B540" s="1">
        <f>IFERROR(__xludf.DUMMYFUNCTION("""COMPUTED_VALUE"""),296.29)</f>
        <v>296.29</v>
      </c>
    </row>
    <row r="541">
      <c r="A541" s="2">
        <f>IFERROR(__xludf.DUMMYFUNCTION("""COMPUTED_VALUE"""),44882.66666666667)</f>
        <v>44882.66667</v>
      </c>
      <c r="B541" s="1">
        <f>IFERROR(__xludf.DUMMYFUNCTION("""COMPUTED_VALUE"""),296.46)</f>
        <v>296.46</v>
      </c>
    </row>
    <row r="542">
      <c r="A542" s="2">
        <f>IFERROR(__xludf.DUMMYFUNCTION("""COMPUTED_VALUE"""),44883.66666666667)</f>
        <v>44883.66667</v>
      </c>
      <c r="B542" s="1">
        <f>IFERROR(__xludf.DUMMYFUNCTION("""COMPUTED_VALUE"""),294.62)</f>
        <v>294.62</v>
      </c>
    </row>
    <row r="543">
      <c r="A543" s="2">
        <f>IFERROR(__xludf.DUMMYFUNCTION("""COMPUTED_VALUE"""),44886.66666666667)</f>
        <v>44886.66667</v>
      </c>
      <c r="B543" s="1">
        <f>IFERROR(__xludf.DUMMYFUNCTION("""COMPUTED_VALUE"""),297.62)</f>
        <v>297.62</v>
      </c>
    </row>
    <row r="544">
      <c r="A544" s="2">
        <f>IFERROR(__xludf.DUMMYFUNCTION("""COMPUTED_VALUE"""),44887.66666666667)</f>
        <v>44887.66667</v>
      </c>
      <c r="B544" s="1">
        <f>IFERROR(__xludf.DUMMYFUNCTION("""COMPUTED_VALUE"""),298.64)</f>
        <v>298.64</v>
      </c>
    </row>
    <row r="545">
      <c r="A545" s="2">
        <f>IFERROR(__xludf.DUMMYFUNCTION("""COMPUTED_VALUE"""),44888.66666666667)</f>
        <v>44888.66667</v>
      </c>
      <c r="B545" s="1">
        <f>IFERROR(__xludf.DUMMYFUNCTION("""COMPUTED_VALUE"""),301.48)</f>
        <v>301.48</v>
      </c>
    </row>
    <row r="546">
      <c r="A546" s="2">
        <f>IFERROR(__xludf.DUMMYFUNCTION("""COMPUTED_VALUE"""),44889.66666666667)</f>
        <v>44889.66667</v>
      </c>
      <c r="B546" s="1">
        <f>IFERROR(__xludf.DUMMYFUNCTION("""COMPUTED_VALUE"""),298.24)</f>
        <v>298.24</v>
      </c>
    </row>
    <row r="547">
      <c r="A547" s="2">
        <f>IFERROR(__xludf.DUMMYFUNCTION("""COMPUTED_VALUE"""),44893.66666666667)</f>
        <v>44893.66667</v>
      </c>
      <c r="B547" s="1">
        <f>IFERROR(__xludf.DUMMYFUNCTION("""COMPUTED_VALUE"""),298.89)</f>
        <v>298.89</v>
      </c>
    </row>
    <row r="548">
      <c r="A548" s="2">
        <f>IFERROR(__xludf.DUMMYFUNCTION("""COMPUTED_VALUE"""),44894.66666666667)</f>
        <v>44894.66667</v>
      </c>
      <c r="B548" s="1">
        <f>IFERROR(__xludf.DUMMYFUNCTION("""COMPUTED_VALUE"""),296.97)</f>
        <v>296.97</v>
      </c>
    </row>
    <row r="549">
      <c r="A549" s="2">
        <f>IFERROR(__xludf.DUMMYFUNCTION("""COMPUTED_VALUE"""),44895.66666666667)</f>
        <v>44895.66667</v>
      </c>
      <c r="B549" s="1">
        <f>IFERROR(__xludf.DUMMYFUNCTION("""COMPUTED_VALUE"""),296.2)</f>
        <v>296.2</v>
      </c>
    </row>
    <row r="550">
      <c r="A550" s="2">
        <f>IFERROR(__xludf.DUMMYFUNCTION("""COMPUTED_VALUE"""),44896.66666666667)</f>
        <v>44896.66667</v>
      </c>
      <c r="B550" s="1">
        <f>IFERROR(__xludf.DUMMYFUNCTION("""COMPUTED_VALUE"""),300.27)</f>
        <v>300.27</v>
      </c>
    </row>
    <row r="551">
      <c r="A551" s="2">
        <f>IFERROR(__xludf.DUMMYFUNCTION("""COMPUTED_VALUE"""),44897.66666666667)</f>
        <v>44897.66667</v>
      </c>
      <c r="B551" s="1">
        <f>IFERROR(__xludf.DUMMYFUNCTION("""COMPUTED_VALUE"""),299.0)</f>
        <v>299</v>
      </c>
    </row>
    <row r="552">
      <c r="A552" s="2">
        <f>IFERROR(__xludf.DUMMYFUNCTION("""COMPUTED_VALUE"""),44900.66666666667)</f>
        <v>44900.66667</v>
      </c>
      <c r="B552" s="1">
        <f>IFERROR(__xludf.DUMMYFUNCTION("""COMPUTED_VALUE"""),297.51)</f>
        <v>297.51</v>
      </c>
    </row>
    <row r="553">
      <c r="A553" s="2">
        <f>IFERROR(__xludf.DUMMYFUNCTION("""COMPUTED_VALUE"""),44901.66666666667)</f>
        <v>44901.66667</v>
      </c>
      <c r="B553" s="1">
        <f>IFERROR(__xludf.DUMMYFUNCTION("""COMPUTED_VALUE"""),297.44)</f>
        <v>297.44</v>
      </c>
    </row>
    <row r="554">
      <c r="A554" s="2">
        <f>IFERROR(__xludf.DUMMYFUNCTION("""COMPUTED_VALUE"""),44902.66666666667)</f>
        <v>44902.66667</v>
      </c>
      <c r="B554" s="1">
        <f>IFERROR(__xludf.DUMMYFUNCTION("""COMPUTED_VALUE"""),294.87)</f>
        <v>294.87</v>
      </c>
    </row>
    <row r="555">
      <c r="A555" s="2">
        <f>IFERROR(__xludf.DUMMYFUNCTION("""COMPUTED_VALUE"""),44903.66666666667)</f>
        <v>44903.66667</v>
      </c>
      <c r="B555" s="1">
        <f>IFERROR(__xludf.DUMMYFUNCTION("""COMPUTED_VALUE"""),292.54)</f>
        <v>292.54</v>
      </c>
    </row>
    <row r="556">
      <c r="A556" s="2">
        <f>IFERROR(__xludf.DUMMYFUNCTION("""COMPUTED_VALUE"""),44904.66666666667)</f>
        <v>44904.66667</v>
      </c>
      <c r="B556" s="1">
        <f>IFERROR(__xludf.DUMMYFUNCTION("""COMPUTED_VALUE"""),292.65)</f>
        <v>292.65</v>
      </c>
    </row>
    <row r="557">
      <c r="A557" s="2">
        <f>IFERROR(__xludf.DUMMYFUNCTION("""COMPUTED_VALUE"""),44907.66666666667)</f>
        <v>44907.66667</v>
      </c>
      <c r="B557" s="1">
        <f>IFERROR(__xludf.DUMMYFUNCTION("""COMPUTED_VALUE"""),289.89)</f>
        <v>289.89</v>
      </c>
    </row>
    <row r="558">
      <c r="A558" s="2">
        <f>IFERROR(__xludf.DUMMYFUNCTION("""COMPUTED_VALUE"""),44908.66666666667)</f>
        <v>44908.66667</v>
      </c>
      <c r="B558" s="1">
        <f>IFERROR(__xludf.DUMMYFUNCTION("""COMPUTED_VALUE"""),295.08)</f>
        <v>295.08</v>
      </c>
    </row>
    <row r="559">
      <c r="A559" s="2">
        <f>IFERROR(__xludf.DUMMYFUNCTION("""COMPUTED_VALUE"""),44909.66666666667)</f>
        <v>44909.66667</v>
      </c>
      <c r="B559" s="1">
        <f>IFERROR(__xludf.DUMMYFUNCTION("""COMPUTED_VALUE"""),294.87)</f>
        <v>294.87</v>
      </c>
    </row>
    <row r="560">
      <c r="A560" s="2">
        <f>IFERROR(__xludf.DUMMYFUNCTION("""COMPUTED_VALUE"""),44910.66666666667)</f>
        <v>44910.66667</v>
      </c>
      <c r="B560" s="1">
        <f>IFERROR(__xludf.DUMMYFUNCTION("""COMPUTED_VALUE"""),293.06)</f>
        <v>293.06</v>
      </c>
    </row>
    <row r="561">
      <c r="A561" s="2">
        <f>IFERROR(__xludf.DUMMYFUNCTION("""COMPUTED_VALUE"""),44911.66666666667)</f>
        <v>44911.66667</v>
      </c>
      <c r="B561" s="1">
        <f>IFERROR(__xludf.DUMMYFUNCTION("""COMPUTED_VALUE"""),290.72)</f>
        <v>290.72</v>
      </c>
    </row>
    <row r="562">
      <c r="A562" s="2">
        <f>IFERROR(__xludf.DUMMYFUNCTION("""COMPUTED_VALUE"""),44914.66666666667)</f>
        <v>44914.66667</v>
      </c>
      <c r="B562" s="1">
        <f>IFERROR(__xludf.DUMMYFUNCTION("""COMPUTED_VALUE"""),287.63)</f>
        <v>287.63</v>
      </c>
    </row>
    <row r="563">
      <c r="A563" s="2">
        <f>IFERROR(__xludf.DUMMYFUNCTION("""COMPUTED_VALUE"""),44915.66666666667)</f>
        <v>44915.66667</v>
      </c>
      <c r="B563" s="1">
        <f>IFERROR(__xludf.DUMMYFUNCTION("""COMPUTED_VALUE"""),284.79)</f>
        <v>284.79</v>
      </c>
    </row>
    <row r="564">
      <c r="A564" s="2">
        <f>IFERROR(__xludf.DUMMYFUNCTION("""COMPUTED_VALUE"""),44916.66666666667)</f>
        <v>44916.66667</v>
      </c>
      <c r="B564" s="1">
        <f>IFERROR(__xludf.DUMMYFUNCTION("""COMPUTED_VALUE"""),287.84)</f>
        <v>287.84</v>
      </c>
    </row>
    <row r="565">
      <c r="A565" s="2">
        <f>IFERROR(__xludf.DUMMYFUNCTION("""COMPUTED_VALUE"""),44917.66666666667)</f>
        <v>44917.66667</v>
      </c>
      <c r="B565" s="1">
        <f>IFERROR(__xludf.DUMMYFUNCTION("""COMPUTED_VALUE"""),288.32)</f>
        <v>288.32</v>
      </c>
    </row>
    <row r="566">
      <c r="A566" s="2">
        <f>IFERROR(__xludf.DUMMYFUNCTION("""COMPUTED_VALUE"""),44918.66666666667)</f>
        <v>44918.66667</v>
      </c>
      <c r="B566" s="1">
        <f>IFERROR(__xludf.DUMMYFUNCTION("""COMPUTED_VALUE"""),285.69)</f>
        <v>285.69</v>
      </c>
    </row>
    <row r="567">
      <c r="A567" s="2">
        <f>IFERROR(__xludf.DUMMYFUNCTION("""COMPUTED_VALUE"""),44923.66666666667)</f>
        <v>44923.66667</v>
      </c>
      <c r="B567" s="1">
        <f>IFERROR(__xludf.DUMMYFUNCTION("""COMPUTED_VALUE"""),282.85)</f>
        <v>282.85</v>
      </c>
    </row>
    <row r="568">
      <c r="A568" s="2">
        <f>IFERROR(__xludf.DUMMYFUNCTION("""COMPUTED_VALUE"""),44924.66666666667)</f>
        <v>44924.66667</v>
      </c>
      <c r="B568" s="1">
        <f>IFERROR(__xludf.DUMMYFUNCTION("""COMPUTED_VALUE"""),279.22)</f>
        <v>279.22</v>
      </c>
    </row>
    <row r="569">
      <c r="A569" s="2">
        <f>IFERROR(__xludf.DUMMYFUNCTION("""COMPUTED_VALUE"""),44925.66666666667)</f>
        <v>44925.66667</v>
      </c>
      <c r="B569" s="1">
        <f>IFERROR(__xludf.DUMMYFUNCTION("""COMPUTED_VALUE"""),282.68)</f>
        <v>282.68</v>
      </c>
    </row>
    <row r="570">
      <c r="A570" s="2">
        <f>IFERROR(__xludf.DUMMYFUNCTION("""COMPUTED_VALUE"""),44929.66666666667)</f>
        <v>44929.66667</v>
      </c>
      <c r="B570" s="1">
        <f>IFERROR(__xludf.DUMMYFUNCTION("""COMPUTED_VALUE"""),280.43)</f>
        <v>280.43</v>
      </c>
    </row>
    <row r="571">
      <c r="A571" s="2">
        <f>IFERROR(__xludf.DUMMYFUNCTION("""COMPUTED_VALUE"""),44930.66666666667)</f>
        <v>44930.66667</v>
      </c>
      <c r="B571" s="1">
        <f>IFERROR(__xludf.DUMMYFUNCTION("""COMPUTED_VALUE"""),280.04)</f>
        <v>280.04</v>
      </c>
    </row>
    <row r="572">
      <c r="A572" s="2">
        <f>IFERROR(__xludf.DUMMYFUNCTION("""COMPUTED_VALUE"""),44931.66666666667)</f>
        <v>44931.66667</v>
      </c>
      <c r="B572" s="1">
        <f>IFERROR(__xludf.DUMMYFUNCTION("""COMPUTED_VALUE"""),281.77)</f>
        <v>281.77</v>
      </c>
    </row>
    <row r="573">
      <c r="A573" s="2">
        <f>IFERROR(__xludf.DUMMYFUNCTION("""COMPUTED_VALUE"""),44932.66666666667)</f>
        <v>44932.66667</v>
      </c>
      <c r="B573" s="1">
        <f>IFERROR(__xludf.DUMMYFUNCTION("""COMPUTED_VALUE"""),281.97)</f>
        <v>281.97</v>
      </c>
    </row>
    <row r="574">
      <c r="A574" s="2">
        <f>IFERROR(__xludf.DUMMYFUNCTION("""COMPUTED_VALUE"""),44935.66666666667)</f>
        <v>44935.66667</v>
      </c>
      <c r="B574" s="1">
        <f>IFERROR(__xludf.DUMMYFUNCTION("""COMPUTED_VALUE"""),281.21)</f>
        <v>281.21</v>
      </c>
    </row>
    <row r="575">
      <c r="A575" s="2">
        <f>IFERROR(__xludf.DUMMYFUNCTION("""COMPUTED_VALUE"""),44936.66666666667)</f>
        <v>44936.66667</v>
      </c>
      <c r="B575" s="1">
        <f>IFERROR(__xludf.DUMMYFUNCTION("""COMPUTED_VALUE"""),280.14)</f>
        <v>280.14</v>
      </c>
    </row>
    <row r="576">
      <c r="A576" s="2">
        <f>IFERROR(__xludf.DUMMYFUNCTION("""COMPUTED_VALUE"""),44937.66666666667)</f>
        <v>44937.66667</v>
      </c>
      <c r="B576" s="1">
        <f>IFERROR(__xludf.DUMMYFUNCTION("""COMPUTED_VALUE"""),283.21)</f>
        <v>283.21</v>
      </c>
    </row>
    <row r="577">
      <c r="A577" s="2">
        <f>IFERROR(__xludf.DUMMYFUNCTION("""COMPUTED_VALUE"""),44938.66666666667)</f>
        <v>44938.66667</v>
      </c>
      <c r="B577" s="1">
        <f>IFERROR(__xludf.DUMMYFUNCTION("""COMPUTED_VALUE"""),286.85)</f>
        <v>286.85</v>
      </c>
    </row>
    <row r="578">
      <c r="A578" s="2">
        <f>IFERROR(__xludf.DUMMYFUNCTION("""COMPUTED_VALUE"""),44939.66666666667)</f>
        <v>44939.66667</v>
      </c>
      <c r="B578" s="1">
        <f>IFERROR(__xludf.DUMMYFUNCTION("""COMPUTED_VALUE"""),285.71)</f>
        <v>285.71</v>
      </c>
    </row>
    <row r="579">
      <c r="A579" s="2">
        <f>IFERROR(__xludf.DUMMYFUNCTION("""COMPUTED_VALUE"""),44942.66666666667)</f>
        <v>44942.66667</v>
      </c>
      <c r="B579" s="1">
        <f>IFERROR(__xludf.DUMMYFUNCTION("""COMPUTED_VALUE"""),286.62)</f>
        <v>286.62</v>
      </c>
    </row>
    <row r="580">
      <c r="A580" s="2">
        <f>IFERROR(__xludf.DUMMYFUNCTION("""COMPUTED_VALUE"""),44943.66666666667)</f>
        <v>44943.66667</v>
      </c>
      <c r="B580" s="1">
        <f>IFERROR(__xludf.DUMMYFUNCTION("""COMPUTED_VALUE"""),286.0)</f>
        <v>286</v>
      </c>
    </row>
    <row r="581">
      <c r="A581" s="2">
        <f>IFERROR(__xludf.DUMMYFUNCTION("""COMPUTED_VALUE"""),44944.66666666667)</f>
        <v>44944.66667</v>
      </c>
      <c r="B581" s="1">
        <f>IFERROR(__xludf.DUMMYFUNCTION("""COMPUTED_VALUE"""),286.08)</f>
        <v>286.08</v>
      </c>
    </row>
    <row r="582">
      <c r="A582" s="2">
        <f>IFERROR(__xludf.DUMMYFUNCTION("""COMPUTED_VALUE"""),44945.66666666667)</f>
        <v>44945.66667</v>
      </c>
      <c r="B582" s="1">
        <f>IFERROR(__xludf.DUMMYFUNCTION("""COMPUTED_VALUE"""),284.77)</f>
        <v>284.77</v>
      </c>
    </row>
    <row r="583">
      <c r="A583" s="2">
        <f>IFERROR(__xludf.DUMMYFUNCTION("""COMPUTED_VALUE"""),44946.66666666667)</f>
        <v>44946.66667</v>
      </c>
      <c r="B583" s="1">
        <f>IFERROR(__xludf.DUMMYFUNCTION("""COMPUTED_VALUE"""),282.71)</f>
        <v>282.71</v>
      </c>
    </row>
    <row r="584">
      <c r="A584" s="2">
        <f>IFERROR(__xludf.DUMMYFUNCTION("""COMPUTED_VALUE"""),44949.66666666667)</f>
        <v>44949.66667</v>
      </c>
      <c r="B584" s="1">
        <f>IFERROR(__xludf.DUMMYFUNCTION("""COMPUTED_VALUE"""),284.5)</f>
        <v>284.5</v>
      </c>
    </row>
    <row r="585">
      <c r="A585" s="2">
        <f>IFERROR(__xludf.DUMMYFUNCTION("""COMPUTED_VALUE"""),44950.66666666667)</f>
        <v>44950.66667</v>
      </c>
      <c r="B585" s="1">
        <f>IFERROR(__xludf.DUMMYFUNCTION("""COMPUTED_VALUE"""),286.09)</f>
        <v>286.09</v>
      </c>
    </row>
    <row r="586">
      <c r="A586" s="2">
        <f>IFERROR(__xludf.DUMMYFUNCTION("""COMPUTED_VALUE"""),44951.66666666667)</f>
        <v>44951.66667</v>
      </c>
      <c r="B586" s="1">
        <f>IFERROR(__xludf.DUMMYFUNCTION("""COMPUTED_VALUE"""),282.0)</f>
        <v>282</v>
      </c>
    </row>
    <row r="587">
      <c r="A587" s="2">
        <f>IFERROR(__xludf.DUMMYFUNCTION("""COMPUTED_VALUE"""),44953.66666666667)</f>
        <v>44953.66667</v>
      </c>
      <c r="B587" s="1">
        <f>IFERROR(__xludf.DUMMYFUNCTION("""COMPUTED_VALUE"""),285.24)</f>
        <v>285.24</v>
      </c>
    </row>
    <row r="588">
      <c r="A588" s="2">
        <f>IFERROR(__xludf.DUMMYFUNCTION("""COMPUTED_VALUE"""),44956.66666666667)</f>
        <v>44956.66667</v>
      </c>
      <c r="B588" s="1">
        <f>IFERROR(__xludf.DUMMYFUNCTION("""COMPUTED_VALUE"""),286.78)</f>
        <v>286.78</v>
      </c>
    </row>
    <row r="589">
      <c r="A589" s="2">
        <f>IFERROR(__xludf.DUMMYFUNCTION("""COMPUTED_VALUE"""),44957.66666666667)</f>
        <v>44957.66667</v>
      </c>
      <c r="B589" s="1">
        <f>IFERROR(__xludf.DUMMYFUNCTION("""COMPUTED_VALUE"""),285.76)</f>
        <v>285.76</v>
      </c>
    </row>
    <row r="590">
      <c r="A590" s="2">
        <f>IFERROR(__xludf.DUMMYFUNCTION("""COMPUTED_VALUE"""),44958.66666666667)</f>
        <v>44958.66667</v>
      </c>
      <c r="B590" s="1">
        <f>IFERROR(__xludf.DUMMYFUNCTION("""COMPUTED_VALUE"""),288.64)</f>
        <v>288.64</v>
      </c>
    </row>
    <row r="591">
      <c r="A591" s="2">
        <f>IFERROR(__xludf.DUMMYFUNCTION("""COMPUTED_VALUE"""),44959.66666666667)</f>
        <v>44959.66667</v>
      </c>
      <c r="B591" s="1">
        <f>IFERROR(__xludf.DUMMYFUNCTION("""COMPUTED_VALUE"""),290.53)</f>
        <v>290.53</v>
      </c>
    </row>
    <row r="592">
      <c r="A592" s="2">
        <f>IFERROR(__xludf.DUMMYFUNCTION("""COMPUTED_VALUE"""),44960.66666666667)</f>
        <v>44960.66667</v>
      </c>
      <c r="B592" s="1">
        <f>IFERROR(__xludf.DUMMYFUNCTION("""COMPUTED_VALUE"""),296.02)</f>
        <v>296.02</v>
      </c>
    </row>
    <row r="593">
      <c r="A593" s="2">
        <f>IFERROR(__xludf.DUMMYFUNCTION("""COMPUTED_VALUE"""),44963.66666666667)</f>
        <v>44963.66667</v>
      </c>
      <c r="B593" s="1">
        <f>IFERROR(__xludf.DUMMYFUNCTION("""COMPUTED_VALUE"""),298.36)</f>
        <v>298.36</v>
      </c>
    </row>
    <row r="594">
      <c r="A594" s="2">
        <f>IFERROR(__xludf.DUMMYFUNCTION("""COMPUTED_VALUE"""),44964.66666666667)</f>
        <v>44964.66667</v>
      </c>
      <c r="B594" s="1">
        <f>IFERROR(__xludf.DUMMYFUNCTION("""COMPUTED_VALUE"""),298.13)</f>
        <v>298.13</v>
      </c>
    </row>
    <row r="595">
      <c r="A595" s="2">
        <f>IFERROR(__xludf.DUMMYFUNCTION("""COMPUTED_VALUE"""),44965.66666666667)</f>
        <v>44965.66667</v>
      </c>
      <c r="B595" s="1">
        <f>IFERROR(__xludf.DUMMYFUNCTION("""COMPUTED_VALUE"""),300.22)</f>
        <v>300.22</v>
      </c>
    </row>
    <row r="596">
      <c r="A596" s="2">
        <f>IFERROR(__xludf.DUMMYFUNCTION("""COMPUTED_VALUE"""),44966.66666666667)</f>
        <v>44966.66667</v>
      </c>
      <c r="B596" s="1">
        <f>IFERROR(__xludf.DUMMYFUNCTION("""COMPUTED_VALUE"""),298.38)</f>
        <v>298.38</v>
      </c>
    </row>
    <row r="597">
      <c r="A597" s="2">
        <f>IFERROR(__xludf.DUMMYFUNCTION("""COMPUTED_VALUE"""),44967.66666666667)</f>
        <v>44967.66667</v>
      </c>
      <c r="B597" s="1">
        <f>IFERROR(__xludf.DUMMYFUNCTION("""COMPUTED_VALUE"""),295.28)</f>
        <v>295.28</v>
      </c>
    </row>
    <row r="598">
      <c r="A598" s="2">
        <f>IFERROR(__xludf.DUMMYFUNCTION("""COMPUTED_VALUE"""),44970.66666666667)</f>
        <v>44970.66667</v>
      </c>
      <c r="B598" s="1">
        <f>IFERROR(__xludf.DUMMYFUNCTION("""COMPUTED_VALUE"""),295.37)</f>
        <v>295.37</v>
      </c>
    </row>
    <row r="599">
      <c r="A599" s="2">
        <f>IFERROR(__xludf.DUMMYFUNCTION("""COMPUTED_VALUE"""),44971.66666666667)</f>
        <v>44971.66667</v>
      </c>
      <c r="B599" s="1">
        <f>IFERROR(__xludf.DUMMYFUNCTION("""COMPUTED_VALUE"""),297.14)</f>
        <v>297.14</v>
      </c>
    </row>
    <row r="600">
      <c r="A600" s="2">
        <f>IFERROR(__xludf.DUMMYFUNCTION("""COMPUTED_VALUE"""),44972.66666666667)</f>
        <v>44972.66667</v>
      </c>
      <c r="B600" s="1">
        <f>IFERROR(__xludf.DUMMYFUNCTION("""COMPUTED_VALUE"""),297.95)</f>
        <v>297.95</v>
      </c>
    </row>
    <row r="601">
      <c r="A601" s="2">
        <f>IFERROR(__xludf.DUMMYFUNCTION("""COMPUTED_VALUE"""),44973.66666666667)</f>
        <v>44973.66667</v>
      </c>
      <c r="B601" s="1">
        <f>IFERROR(__xludf.DUMMYFUNCTION("""COMPUTED_VALUE"""),301.66)</f>
        <v>301.66</v>
      </c>
    </row>
    <row r="602">
      <c r="A602" s="2">
        <f>IFERROR(__xludf.DUMMYFUNCTION("""COMPUTED_VALUE"""),44974.66666666667)</f>
        <v>44974.66667</v>
      </c>
      <c r="B602" s="1">
        <f>IFERROR(__xludf.DUMMYFUNCTION("""COMPUTED_VALUE"""),299.34)</f>
        <v>299.34</v>
      </c>
    </row>
    <row r="603">
      <c r="A603" s="2">
        <f>IFERROR(__xludf.DUMMYFUNCTION("""COMPUTED_VALUE"""),44977.66666666667)</f>
        <v>44977.66667</v>
      </c>
      <c r="B603" s="1">
        <f>IFERROR(__xludf.DUMMYFUNCTION("""COMPUTED_VALUE"""),297.73)</f>
        <v>297.73</v>
      </c>
    </row>
    <row r="604">
      <c r="A604" s="2">
        <f>IFERROR(__xludf.DUMMYFUNCTION("""COMPUTED_VALUE"""),44978.66666666667)</f>
        <v>44978.66667</v>
      </c>
      <c r="B604" s="1">
        <f>IFERROR(__xludf.DUMMYFUNCTION("""COMPUTED_VALUE"""),296.07)</f>
        <v>296.07</v>
      </c>
    </row>
    <row r="605">
      <c r="A605" s="2">
        <f>IFERROR(__xludf.DUMMYFUNCTION("""COMPUTED_VALUE"""),44979.66666666667)</f>
        <v>44979.66667</v>
      </c>
      <c r="B605" s="1">
        <f>IFERROR(__xludf.DUMMYFUNCTION("""COMPUTED_VALUE"""),294.69)</f>
        <v>294.69</v>
      </c>
    </row>
    <row r="606">
      <c r="A606" s="2">
        <f>IFERROR(__xludf.DUMMYFUNCTION("""COMPUTED_VALUE"""),44980.66666666667)</f>
        <v>44980.66667</v>
      </c>
      <c r="B606" s="1">
        <f>IFERROR(__xludf.DUMMYFUNCTION("""COMPUTED_VALUE"""),295.38)</f>
        <v>295.38</v>
      </c>
    </row>
    <row r="607">
      <c r="A607" s="2">
        <f>IFERROR(__xludf.DUMMYFUNCTION("""COMPUTED_VALUE"""),44981.66666666667)</f>
        <v>44981.66667</v>
      </c>
      <c r="B607" s="1">
        <f>IFERROR(__xludf.DUMMYFUNCTION("""COMPUTED_VALUE"""),295.91)</f>
        <v>295.91</v>
      </c>
    </row>
    <row r="608">
      <c r="A608" s="2">
        <f>IFERROR(__xludf.DUMMYFUNCTION("""COMPUTED_VALUE"""),44984.66666666667)</f>
        <v>44984.66667</v>
      </c>
      <c r="B608" s="1">
        <f>IFERROR(__xludf.DUMMYFUNCTION("""COMPUTED_VALUE"""),297.88)</f>
        <v>297.88</v>
      </c>
    </row>
    <row r="609">
      <c r="A609" s="2">
        <f>IFERROR(__xludf.DUMMYFUNCTION("""COMPUTED_VALUE"""),44985.66666666667)</f>
        <v>44985.66667</v>
      </c>
      <c r="B609" s="1">
        <f>IFERROR(__xludf.DUMMYFUNCTION("""COMPUTED_VALUE"""),297.77)</f>
        <v>297.77</v>
      </c>
    </row>
    <row r="610">
      <c r="A610" s="2">
        <f>IFERROR(__xludf.DUMMYFUNCTION("""COMPUTED_VALUE"""),44986.66666666667)</f>
        <v>44986.66667</v>
      </c>
      <c r="B610" s="1">
        <f>IFERROR(__xludf.DUMMYFUNCTION("""COMPUTED_VALUE"""),295.9)</f>
        <v>295.9</v>
      </c>
    </row>
    <row r="611">
      <c r="A611" s="2">
        <f>IFERROR(__xludf.DUMMYFUNCTION("""COMPUTED_VALUE"""),44987.66666666667)</f>
        <v>44987.66667</v>
      </c>
      <c r="B611" s="1">
        <f>IFERROR(__xludf.DUMMYFUNCTION("""COMPUTED_VALUE"""),293.99)</f>
        <v>293.99</v>
      </c>
    </row>
    <row r="612">
      <c r="A612" s="2">
        <f>IFERROR(__xludf.DUMMYFUNCTION("""COMPUTED_VALUE"""),44988.66666666667)</f>
        <v>44988.66667</v>
      </c>
      <c r="B612" s="1">
        <f>IFERROR(__xludf.DUMMYFUNCTION("""COMPUTED_VALUE"""),296.64)</f>
        <v>296.64</v>
      </c>
    </row>
    <row r="613">
      <c r="A613" s="2">
        <f>IFERROR(__xludf.DUMMYFUNCTION("""COMPUTED_VALUE"""),44991.66666666667)</f>
        <v>44991.66667</v>
      </c>
      <c r="B613" s="1">
        <f>IFERROR(__xludf.DUMMYFUNCTION("""COMPUTED_VALUE"""),301.93)</f>
        <v>301.93</v>
      </c>
    </row>
    <row r="614">
      <c r="A614" s="2">
        <f>IFERROR(__xludf.DUMMYFUNCTION("""COMPUTED_VALUE"""),44992.66666666667)</f>
        <v>44992.66667</v>
      </c>
      <c r="B614" s="1">
        <f>IFERROR(__xludf.DUMMYFUNCTION("""COMPUTED_VALUE"""),303.58)</f>
        <v>303.58</v>
      </c>
    </row>
    <row r="615">
      <c r="A615" s="2">
        <f>IFERROR(__xludf.DUMMYFUNCTION("""COMPUTED_VALUE"""),44993.66666666667)</f>
        <v>44993.66667</v>
      </c>
      <c r="B615" s="1">
        <f>IFERROR(__xludf.DUMMYFUNCTION("""COMPUTED_VALUE"""),303.81)</f>
        <v>303.81</v>
      </c>
    </row>
    <row r="616">
      <c r="A616" s="2">
        <f>IFERROR(__xludf.DUMMYFUNCTION("""COMPUTED_VALUE"""),44994.66666666667)</f>
        <v>44994.66667</v>
      </c>
      <c r="B616" s="1">
        <f>IFERROR(__xludf.DUMMYFUNCTION("""COMPUTED_VALUE"""),303.3)</f>
        <v>303.3</v>
      </c>
    </row>
    <row r="617">
      <c r="A617" s="2">
        <f>IFERROR(__xludf.DUMMYFUNCTION("""COMPUTED_VALUE"""),44995.66666666667)</f>
        <v>44995.66667</v>
      </c>
      <c r="B617" s="1">
        <f>IFERROR(__xludf.DUMMYFUNCTION("""COMPUTED_VALUE"""),296.0)</f>
        <v>296</v>
      </c>
    </row>
    <row r="618">
      <c r="A618" s="2">
        <f>IFERROR(__xludf.DUMMYFUNCTION("""COMPUTED_VALUE"""),44998.66666666667)</f>
        <v>44998.66667</v>
      </c>
      <c r="B618" s="1">
        <f>IFERROR(__xludf.DUMMYFUNCTION("""COMPUTED_VALUE"""),294.95)</f>
        <v>294.95</v>
      </c>
    </row>
    <row r="619">
      <c r="A619" s="2">
        <f>IFERROR(__xludf.DUMMYFUNCTION("""COMPUTED_VALUE"""),44999.66666666667)</f>
        <v>44999.66667</v>
      </c>
      <c r="B619" s="1">
        <f>IFERROR(__xludf.DUMMYFUNCTION("""COMPUTED_VALUE"""),291.37)</f>
        <v>291.37</v>
      </c>
    </row>
    <row r="620">
      <c r="A620" s="2">
        <f>IFERROR(__xludf.DUMMYFUNCTION("""COMPUTED_VALUE"""),45000.66666666667)</f>
        <v>45000.66667</v>
      </c>
      <c r="B620" s="1">
        <f>IFERROR(__xludf.DUMMYFUNCTION("""COMPUTED_VALUE"""),293.2)</f>
        <v>293.2</v>
      </c>
    </row>
    <row r="621">
      <c r="A621" s="2">
        <f>IFERROR(__xludf.DUMMYFUNCTION("""COMPUTED_VALUE"""),45001.66666666667)</f>
        <v>45001.66667</v>
      </c>
      <c r="B621" s="1">
        <f>IFERROR(__xludf.DUMMYFUNCTION("""COMPUTED_VALUE"""),294.51)</f>
        <v>294.51</v>
      </c>
    </row>
    <row r="622">
      <c r="A622" s="2">
        <f>IFERROR(__xludf.DUMMYFUNCTION("""COMPUTED_VALUE"""),45002.66666666667)</f>
        <v>45002.66667</v>
      </c>
      <c r="B622" s="1">
        <f>IFERROR(__xludf.DUMMYFUNCTION("""COMPUTED_VALUE"""),294.91)</f>
        <v>294.91</v>
      </c>
    </row>
    <row r="623">
      <c r="A623" s="2">
        <f>IFERROR(__xludf.DUMMYFUNCTION("""COMPUTED_VALUE"""),45005.66666666667)</f>
        <v>45005.66667</v>
      </c>
      <c r="B623" s="1">
        <f>IFERROR(__xludf.DUMMYFUNCTION("""COMPUTED_VALUE"""),291.98)</f>
        <v>291.98</v>
      </c>
    </row>
    <row r="624">
      <c r="A624" s="2">
        <f>IFERROR(__xludf.DUMMYFUNCTION("""COMPUTED_VALUE"""),45006.66666666667)</f>
        <v>45006.66667</v>
      </c>
      <c r="B624" s="1">
        <f>IFERROR(__xludf.DUMMYFUNCTION("""COMPUTED_VALUE"""),294.72)</f>
        <v>294.72</v>
      </c>
    </row>
    <row r="625">
      <c r="A625" s="2">
        <f>IFERROR(__xludf.DUMMYFUNCTION("""COMPUTED_VALUE"""),45007.66666666667)</f>
        <v>45007.66667</v>
      </c>
      <c r="B625" s="1">
        <f>IFERROR(__xludf.DUMMYFUNCTION("""COMPUTED_VALUE"""),298.52)</f>
        <v>298.52</v>
      </c>
    </row>
    <row r="626">
      <c r="A626" s="2">
        <f>IFERROR(__xludf.DUMMYFUNCTION("""COMPUTED_VALUE"""),45008.66666666667)</f>
        <v>45008.66667</v>
      </c>
      <c r="B626" s="1">
        <f>IFERROR(__xludf.DUMMYFUNCTION("""COMPUTED_VALUE"""),292.9)</f>
        <v>292.9</v>
      </c>
    </row>
    <row r="627">
      <c r="A627" s="2">
        <f>IFERROR(__xludf.DUMMYFUNCTION("""COMPUTED_VALUE"""),45009.66666666667)</f>
        <v>45009.66667</v>
      </c>
      <c r="B627" s="1">
        <f>IFERROR(__xludf.DUMMYFUNCTION("""COMPUTED_VALUE"""),293.09)</f>
        <v>293.09</v>
      </c>
    </row>
    <row r="628">
      <c r="A628" s="2">
        <f>IFERROR(__xludf.DUMMYFUNCTION("""COMPUTED_VALUE"""),45012.66666666667)</f>
        <v>45012.66667</v>
      </c>
      <c r="B628" s="1">
        <f>IFERROR(__xludf.DUMMYFUNCTION("""COMPUTED_VALUE"""),297.47)</f>
        <v>297.47</v>
      </c>
    </row>
    <row r="629">
      <c r="A629" s="2">
        <f>IFERROR(__xludf.DUMMYFUNCTION("""COMPUTED_VALUE"""),45013.66666666667)</f>
        <v>45013.66667</v>
      </c>
      <c r="B629" s="1">
        <f>IFERROR(__xludf.DUMMYFUNCTION("""COMPUTED_VALUE"""),295.7)</f>
        <v>295.7</v>
      </c>
    </row>
    <row r="630">
      <c r="A630" s="2">
        <f>IFERROR(__xludf.DUMMYFUNCTION("""COMPUTED_VALUE"""),45014.66666666667)</f>
        <v>45014.66667</v>
      </c>
      <c r="B630" s="1">
        <f>IFERROR(__xludf.DUMMYFUNCTION("""COMPUTED_VALUE"""),295.8)</f>
        <v>295.8</v>
      </c>
    </row>
    <row r="631">
      <c r="A631" s="2">
        <f>IFERROR(__xludf.DUMMYFUNCTION("""COMPUTED_VALUE"""),45015.66666666667)</f>
        <v>45015.66667</v>
      </c>
      <c r="B631" s="1">
        <f>IFERROR(__xludf.DUMMYFUNCTION("""COMPUTED_VALUE"""),299.25)</f>
        <v>299.25</v>
      </c>
    </row>
    <row r="632">
      <c r="A632" s="2">
        <f>IFERROR(__xludf.DUMMYFUNCTION("""COMPUTED_VALUE"""),45016.66666666667)</f>
        <v>45016.66667</v>
      </c>
      <c r="B632" s="1">
        <f>IFERROR(__xludf.DUMMYFUNCTION("""COMPUTED_VALUE"""),300.33)</f>
        <v>300.33</v>
      </c>
    </row>
    <row r="633">
      <c r="A633" s="2">
        <f>IFERROR(__xludf.DUMMYFUNCTION("""COMPUTED_VALUE"""),45019.66666666667)</f>
        <v>45019.66667</v>
      </c>
      <c r="B633" s="1">
        <f>IFERROR(__xludf.DUMMYFUNCTION("""COMPUTED_VALUE"""),305.34)</f>
        <v>305.34</v>
      </c>
    </row>
    <row r="634">
      <c r="A634" s="2">
        <f>IFERROR(__xludf.DUMMYFUNCTION("""COMPUTED_VALUE"""),45020.66666666667)</f>
        <v>45020.66667</v>
      </c>
      <c r="B634" s="1">
        <f>IFERROR(__xludf.DUMMYFUNCTION("""COMPUTED_VALUE"""),302.31)</f>
        <v>302.31</v>
      </c>
    </row>
    <row r="635">
      <c r="A635" s="2">
        <f>IFERROR(__xludf.DUMMYFUNCTION("""COMPUTED_VALUE"""),45021.66666666667)</f>
        <v>45021.66667</v>
      </c>
      <c r="B635" s="1">
        <f>IFERROR(__xludf.DUMMYFUNCTION("""COMPUTED_VALUE"""),301.83)</f>
        <v>301.83</v>
      </c>
    </row>
    <row r="636">
      <c r="A636" s="2">
        <f>IFERROR(__xludf.DUMMYFUNCTION("""COMPUTED_VALUE"""),45022.66666666667)</f>
        <v>45022.66667</v>
      </c>
      <c r="B636" s="1">
        <f>IFERROR(__xludf.DUMMYFUNCTION("""COMPUTED_VALUE"""),302.09)</f>
        <v>302.09</v>
      </c>
    </row>
    <row r="637">
      <c r="A637" s="2">
        <f>IFERROR(__xludf.DUMMYFUNCTION("""COMPUTED_VALUE"""),45027.66666666667)</f>
        <v>45027.66667</v>
      </c>
      <c r="B637" s="1">
        <f>IFERROR(__xludf.DUMMYFUNCTION("""COMPUTED_VALUE"""),305.39)</f>
        <v>305.39</v>
      </c>
    </row>
    <row r="638">
      <c r="A638" s="2">
        <f>IFERROR(__xludf.DUMMYFUNCTION("""COMPUTED_VALUE"""),45028.66666666667)</f>
        <v>45028.66667</v>
      </c>
      <c r="B638" s="1">
        <f>IFERROR(__xludf.DUMMYFUNCTION("""COMPUTED_VALUE"""),305.84)</f>
        <v>305.84</v>
      </c>
    </row>
    <row r="639">
      <c r="A639" s="2">
        <f>IFERROR(__xludf.DUMMYFUNCTION("""COMPUTED_VALUE"""),45029.66666666667)</f>
        <v>45029.66667</v>
      </c>
      <c r="B639" s="1">
        <f>IFERROR(__xludf.DUMMYFUNCTION("""COMPUTED_VALUE"""),303.61)</f>
        <v>303.61</v>
      </c>
    </row>
    <row r="640">
      <c r="A640" s="2">
        <f>IFERROR(__xludf.DUMMYFUNCTION("""COMPUTED_VALUE"""),45030.66666666667)</f>
        <v>45030.66667</v>
      </c>
      <c r="B640" s="1">
        <f>IFERROR(__xludf.DUMMYFUNCTION("""COMPUTED_VALUE"""),303.0)</f>
        <v>303</v>
      </c>
    </row>
    <row r="641">
      <c r="A641" s="2">
        <f>IFERROR(__xludf.DUMMYFUNCTION("""COMPUTED_VALUE"""),45033.66666666667)</f>
        <v>45033.66667</v>
      </c>
      <c r="B641" s="1">
        <f>IFERROR(__xludf.DUMMYFUNCTION("""COMPUTED_VALUE"""),306.41)</f>
        <v>306.41</v>
      </c>
    </row>
    <row r="642">
      <c r="A642" s="2">
        <f>IFERROR(__xludf.DUMMYFUNCTION("""COMPUTED_VALUE"""),45034.66666666667)</f>
        <v>45034.66667</v>
      </c>
      <c r="B642" s="1">
        <f>IFERROR(__xludf.DUMMYFUNCTION("""COMPUTED_VALUE"""),305.97)</f>
        <v>305.97</v>
      </c>
    </row>
    <row r="643">
      <c r="A643" s="2">
        <f>IFERROR(__xludf.DUMMYFUNCTION("""COMPUTED_VALUE"""),45035.66666666667)</f>
        <v>45035.66667</v>
      </c>
      <c r="B643" s="1">
        <f>IFERROR(__xludf.DUMMYFUNCTION("""COMPUTED_VALUE"""),306.21)</f>
        <v>306.21</v>
      </c>
    </row>
    <row r="644">
      <c r="A644" s="2">
        <f>IFERROR(__xludf.DUMMYFUNCTION("""COMPUTED_VALUE"""),45036.66666666667)</f>
        <v>45036.66667</v>
      </c>
      <c r="B644" s="1">
        <f>IFERROR(__xludf.DUMMYFUNCTION("""COMPUTED_VALUE"""),306.01)</f>
        <v>306.01</v>
      </c>
    </row>
    <row r="645">
      <c r="A645" s="2">
        <f>IFERROR(__xludf.DUMMYFUNCTION("""COMPUTED_VALUE"""),45037.66666666667)</f>
        <v>45037.66667</v>
      </c>
      <c r="B645" s="1">
        <f>IFERROR(__xludf.DUMMYFUNCTION("""COMPUTED_VALUE"""),305.67)</f>
        <v>305.67</v>
      </c>
    </row>
    <row r="646">
      <c r="A646" s="2">
        <f>IFERROR(__xludf.DUMMYFUNCTION("""COMPUTED_VALUE"""),45040.66666666667)</f>
        <v>45040.66667</v>
      </c>
      <c r="B646" s="1">
        <f>IFERROR(__xludf.DUMMYFUNCTION("""COMPUTED_VALUE"""),305.72)</f>
        <v>305.72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IFERROR(__xludf.DUMMYFUNCTION("""COMPUTED_VALUE"""),306.62)</f>
        <v>306.62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IFERROR(__xludf.DUMMYFUNCTION("""COMPUTED_VALUE"""),303.91)</f>
        <v>303.91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IFERROR(__xludf.DUMMYFUNCTION("""COMPUTED_VALUE"""),308.99)</f>
        <v>308.99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IFERROR(__xludf.DUMMYFUNCTION("""COMPUTED_VALUE"""),310.96)</f>
        <v>310.96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IFERROR(__xludf.DUMMYFUNCTION("""COMPUTED_VALUE"""),306.98)</f>
        <v>306.98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IFERROR(__xludf.DUMMYFUNCTION("""COMPUTED_VALUE"""),306.35)</f>
        <v>306.35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IFERROR(__xludf.DUMMYFUNCTION("""COMPUTED_VALUE"""),303.27)</f>
        <v>303.27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IFERROR(__xludf.DUMMYFUNCTION("""COMPUTED_VALUE"""),299.34)</f>
        <v>299.34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IFERROR(__xludf.DUMMYFUNCTION("""COMPUTED_VALUE"""),301.86)</f>
        <v>301.86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IFERROR(__xludf.DUMMYFUNCTION("""COMPUTED_VALUE"""),302.52)</f>
        <v>302.52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IFERROR(__xludf.DUMMYFUNCTION("""COMPUTED_VALUE"""),301.91)</f>
        <v>301.91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IFERROR(__xludf.DUMMYFUNCTION("""COMPUTED_VALUE"""),303.68)</f>
        <v>303.68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IFERROR(__xludf.DUMMYFUNCTION("""COMPUTED_VALUE"""),306.39)</f>
        <v>306.39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IFERROR(__xludf.DUMMYFUNCTION("""COMPUTED_VALUE"""),306.25)</f>
        <v>306.25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IFERROR(__xludf.DUMMYFUNCTION("""COMPUTED_VALUE"""),306.65)</f>
        <v>306.65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IFERROR(__xludf.DUMMYFUNCTION("""COMPUTED_VALUE"""),307.01)</f>
        <v>307.01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IFERROR(__xludf.DUMMYFUNCTION("""COMPUTED_VALUE"""),310.12)</f>
        <v>310.12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IFERROR(__xludf.DUMMYFUNCTION("""COMPUTED_VALUE"""),314.0)</f>
        <v>314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IFERROR(__xludf.DUMMYFUNCTION("""COMPUTED_VALUE"""),312.7)</f>
        <v>312.7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IFERROR(__xludf.DUMMYFUNCTION("""COMPUTED_VALUE"""),313.26)</f>
        <v>313.26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IFERROR(__xludf.DUMMYFUNCTION("""COMPUTED_VALUE"""),312.07)</f>
        <v>312.07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IFERROR(__xludf.DUMMYFUNCTION("""COMPUTED_VALUE"""),313.98)</f>
        <v>313.98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IFERROR(__xludf.DUMMYFUNCTION("""COMPUTED_VALUE"""),315.36)</f>
        <v>315.36</v>
      </c>
    </row>
    <row r="670">
      <c r="A670" s="2">
        <f>IFERROR(__xludf.DUMMYFUNCTION("""COMPUTED_VALUE"""),45075.66666666667)</f>
        <v>45075.66667</v>
      </c>
      <c r="B670" s="1">
        <f>IFERROR(__xludf.DUMMYFUNCTION("""COMPUTED_VALUE"""),319.3)</f>
        <v>319.3</v>
      </c>
    </row>
    <row r="671">
      <c r="A671" s="2">
        <f>IFERROR(__xludf.DUMMYFUNCTION("""COMPUTED_VALUE"""),45076.66666666667)</f>
        <v>45076.66667</v>
      </c>
      <c r="B671" s="1">
        <f>IFERROR(__xludf.DUMMYFUNCTION("""COMPUTED_VALUE"""),320.9)</f>
        <v>320.9</v>
      </c>
    </row>
    <row r="672">
      <c r="A672" s="2">
        <f>IFERROR(__xludf.DUMMYFUNCTION("""COMPUTED_VALUE"""),45077.66666666667)</f>
        <v>45077.66667</v>
      </c>
      <c r="B672" s="1">
        <f>IFERROR(__xludf.DUMMYFUNCTION("""COMPUTED_VALUE"""),319.84)</f>
        <v>319.84</v>
      </c>
    </row>
    <row r="673">
      <c r="A673" s="2">
        <f>IFERROR(__xludf.DUMMYFUNCTION("""COMPUTED_VALUE"""),45078.66666666667)</f>
        <v>45078.66667</v>
      </c>
      <c r="B673" s="1">
        <f>IFERROR(__xludf.DUMMYFUNCTION("""COMPUTED_VALUE"""),318.51)</f>
        <v>318.51</v>
      </c>
    </row>
    <row r="674">
      <c r="A674" s="2">
        <f>IFERROR(__xludf.DUMMYFUNCTION("""COMPUTED_VALUE"""),45079.66666666667)</f>
        <v>45079.66667</v>
      </c>
      <c r="B674" s="1">
        <f>IFERROR(__xludf.DUMMYFUNCTION("""COMPUTED_VALUE"""),316.97)</f>
        <v>316.97</v>
      </c>
    </row>
    <row r="675">
      <c r="A675" s="2">
        <f>IFERROR(__xludf.DUMMYFUNCTION("""COMPUTED_VALUE"""),45082.66666666667)</f>
        <v>45082.66667</v>
      </c>
      <c r="B675" s="1">
        <f>IFERROR(__xludf.DUMMYFUNCTION("""COMPUTED_VALUE"""),321.88)</f>
        <v>321.88</v>
      </c>
    </row>
    <row r="676">
      <c r="A676" s="2">
        <f>IFERROR(__xludf.DUMMYFUNCTION("""COMPUTED_VALUE"""),45083.66666666667)</f>
        <v>45083.66667</v>
      </c>
      <c r="B676" s="1">
        <f>IFERROR(__xludf.DUMMYFUNCTION("""COMPUTED_VALUE"""),318.31)</f>
        <v>318.31</v>
      </c>
    </row>
    <row r="677">
      <c r="A677" s="2">
        <f>IFERROR(__xludf.DUMMYFUNCTION("""COMPUTED_VALUE"""),45084.66666666667)</f>
        <v>45084.66667</v>
      </c>
      <c r="B677" s="1">
        <f>IFERROR(__xludf.DUMMYFUNCTION("""COMPUTED_VALUE"""),319.0)</f>
        <v>319</v>
      </c>
    </row>
    <row r="678">
      <c r="A678" s="2">
        <f>IFERROR(__xludf.DUMMYFUNCTION("""COMPUTED_VALUE"""),45085.66666666667)</f>
        <v>45085.66667</v>
      </c>
      <c r="B678" s="1">
        <f>IFERROR(__xludf.DUMMYFUNCTION("""COMPUTED_VALUE"""),319.04)</f>
        <v>319.04</v>
      </c>
    </row>
    <row r="679">
      <c r="A679" s="2">
        <f>IFERROR(__xludf.DUMMYFUNCTION("""COMPUTED_VALUE"""),45086.66666666667)</f>
        <v>45086.66667</v>
      </c>
      <c r="B679" s="1">
        <f>IFERROR(__xludf.DUMMYFUNCTION("""COMPUTED_VALUE"""),318.48)</f>
        <v>318.48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IFERROR(__xludf.DUMMYFUNCTION("""COMPUTED_VALUE"""),320.05)</f>
        <v>320.05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IFERROR(__xludf.DUMMYFUNCTION("""COMPUTED_VALUE"""),321.24)</f>
        <v>321.24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IFERROR(__xludf.DUMMYFUNCTION("""COMPUTED_VALUE"""),318.8)</f>
        <v>318.8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IFERROR(__xludf.DUMMYFUNCTION("""COMPUTED_VALUE"""),319.2)</f>
        <v>319.2</v>
      </c>
    </row>
    <row r="684">
      <c r="A684" s="2">
        <f>IFERROR(__xludf.DUMMYFUNCTION("""COMPUTED_VALUE"""),45096.66666666667)</f>
        <v>45096.66667</v>
      </c>
      <c r="B684" s="1">
        <f>IFERROR(__xludf.DUMMYFUNCTION("""COMPUTED_VALUE"""),319.49)</f>
        <v>319.49</v>
      </c>
    </row>
    <row r="685">
      <c r="A685" s="2">
        <f>IFERROR(__xludf.DUMMYFUNCTION("""COMPUTED_VALUE"""),45097.66666666667)</f>
        <v>45097.66667</v>
      </c>
      <c r="B685" s="1">
        <f>IFERROR(__xludf.DUMMYFUNCTION("""COMPUTED_VALUE"""),321.55)</f>
        <v>321.55</v>
      </c>
    </row>
    <row r="686">
      <c r="A686" s="2">
        <f>IFERROR(__xludf.DUMMYFUNCTION("""COMPUTED_VALUE"""),45098.66666666667)</f>
        <v>45098.66667</v>
      </c>
      <c r="B686" s="1">
        <f>IFERROR(__xludf.DUMMYFUNCTION("""COMPUTED_VALUE"""),321.57)</f>
        <v>321.57</v>
      </c>
    </row>
    <row r="687">
      <c r="A687" s="2">
        <f>IFERROR(__xludf.DUMMYFUNCTION("""COMPUTED_VALUE"""),45099.66666666667)</f>
        <v>45099.66667</v>
      </c>
      <c r="B687" s="1">
        <f>IFERROR(__xludf.DUMMYFUNCTION("""COMPUTED_VALUE"""),320.3)</f>
        <v>320.3</v>
      </c>
    </row>
    <row r="688">
      <c r="A688" s="2">
        <f>IFERROR(__xludf.DUMMYFUNCTION("""COMPUTED_VALUE"""),45100.66666666667)</f>
        <v>45100.66667</v>
      </c>
      <c r="B688" s="1">
        <f>IFERROR(__xludf.DUMMYFUNCTION("""COMPUTED_VALUE"""),323.0)</f>
        <v>323</v>
      </c>
    </row>
    <row r="689">
      <c r="A689" s="2">
        <f>IFERROR(__xludf.DUMMYFUNCTION("""COMPUTED_VALUE"""),45103.66666666667)</f>
        <v>45103.66667</v>
      </c>
      <c r="B689" s="1">
        <f>IFERROR(__xludf.DUMMYFUNCTION("""COMPUTED_VALUE"""),322.42)</f>
        <v>322.42</v>
      </c>
    </row>
    <row r="690">
      <c r="A690" s="2">
        <f>IFERROR(__xludf.DUMMYFUNCTION("""COMPUTED_VALUE"""),45104.66666666667)</f>
        <v>45104.66667</v>
      </c>
      <c r="B690" s="1">
        <f>IFERROR(__xludf.DUMMYFUNCTION("""COMPUTED_VALUE"""),320.07)</f>
        <v>320.07</v>
      </c>
    </row>
    <row r="691">
      <c r="A691" s="2">
        <f>IFERROR(__xludf.DUMMYFUNCTION("""COMPUTED_VALUE"""),45105.66666666667)</f>
        <v>45105.66667</v>
      </c>
      <c r="B691" s="1">
        <f>IFERROR(__xludf.DUMMYFUNCTION("""COMPUTED_VALUE"""),326.02)</f>
        <v>326.02</v>
      </c>
    </row>
    <row r="692">
      <c r="A692" s="2">
        <f>IFERROR(__xludf.DUMMYFUNCTION("""COMPUTED_VALUE"""),45106.66666666667)</f>
        <v>45106.66667</v>
      </c>
      <c r="B692" s="1">
        <f>IFERROR(__xludf.DUMMYFUNCTION("""COMPUTED_VALUE"""),328.32)</f>
        <v>328.32</v>
      </c>
    </row>
    <row r="693">
      <c r="A693" s="2">
        <f>IFERROR(__xludf.DUMMYFUNCTION("""COMPUTED_VALUE"""),45107.66666666667)</f>
        <v>45107.66667</v>
      </c>
      <c r="B693" s="1">
        <f>IFERROR(__xludf.DUMMYFUNCTION("""COMPUTED_VALUE"""),329.34)</f>
        <v>329.34</v>
      </c>
    </row>
    <row r="694">
      <c r="A694" s="2">
        <f>IFERROR(__xludf.DUMMYFUNCTION("""COMPUTED_VALUE"""),45110.66666666667)</f>
        <v>45110.66667</v>
      </c>
      <c r="B694" s="1">
        <f>IFERROR(__xludf.DUMMYFUNCTION("""COMPUTED_VALUE"""),330.72)</f>
        <v>330.72</v>
      </c>
    </row>
    <row r="695">
      <c r="A695" s="2">
        <f>IFERROR(__xludf.DUMMYFUNCTION("""COMPUTED_VALUE"""),45111.66666666667)</f>
        <v>45111.66667</v>
      </c>
      <c r="B695" s="1">
        <f>IFERROR(__xludf.DUMMYFUNCTION("""COMPUTED_VALUE"""),331.68)</f>
        <v>331.68</v>
      </c>
    </row>
    <row r="696">
      <c r="A696" s="2">
        <f>IFERROR(__xludf.DUMMYFUNCTION("""COMPUTED_VALUE"""),45112.66666666667)</f>
        <v>45112.66667</v>
      </c>
      <c r="B696" s="1">
        <f>IFERROR(__xludf.DUMMYFUNCTION("""COMPUTED_VALUE"""),330.02)</f>
        <v>330.02</v>
      </c>
    </row>
    <row r="697">
      <c r="A697" s="2">
        <f>IFERROR(__xludf.DUMMYFUNCTION("""COMPUTED_VALUE"""),45113.66666666667)</f>
        <v>45113.66667</v>
      </c>
      <c r="B697" s="1">
        <f>IFERROR(__xludf.DUMMYFUNCTION("""COMPUTED_VALUE"""),329.56)</f>
        <v>329.56</v>
      </c>
    </row>
    <row r="698">
      <c r="A698" s="2">
        <f>IFERROR(__xludf.DUMMYFUNCTION("""COMPUTED_VALUE"""),45114.66666666667)</f>
        <v>45114.66667</v>
      </c>
      <c r="B698" s="1">
        <f>IFERROR(__xludf.DUMMYFUNCTION("""COMPUTED_VALUE"""),328.91)</f>
        <v>328.91</v>
      </c>
    </row>
    <row r="699">
      <c r="A699" s="2">
        <f>IFERROR(__xludf.DUMMYFUNCTION("""COMPUTED_VALUE"""),45117.66666666667)</f>
        <v>45117.66667</v>
      </c>
      <c r="B699" s="1">
        <f>IFERROR(__xludf.DUMMYFUNCTION("""COMPUTED_VALUE"""),326.1)</f>
        <v>326.1</v>
      </c>
    </row>
    <row r="700">
      <c r="A700" s="2">
        <f>IFERROR(__xludf.DUMMYFUNCTION("""COMPUTED_VALUE"""),45118.66666666667)</f>
        <v>45118.66667</v>
      </c>
      <c r="B700" s="1">
        <f>IFERROR(__xludf.DUMMYFUNCTION("""COMPUTED_VALUE"""),328.22)</f>
        <v>328.22</v>
      </c>
    </row>
    <row r="701">
      <c r="A701" s="2">
        <f>IFERROR(__xludf.DUMMYFUNCTION("""COMPUTED_VALUE"""),45119.66666666667)</f>
        <v>45119.66667</v>
      </c>
      <c r="B701" s="1">
        <f>IFERROR(__xludf.DUMMYFUNCTION("""COMPUTED_VALUE"""),329.38)</f>
        <v>329.38</v>
      </c>
    </row>
    <row r="702">
      <c r="A702" s="2">
        <f>IFERROR(__xludf.DUMMYFUNCTION("""COMPUTED_VALUE"""),45120.66666666667)</f>
        <v>45120.66667</v>
      </c>
      <c r="B702" s="1">
        <f>IFERROR(__xludf.DUMMYFUNCTION("""COMPUTED_VALUE"""),327.48)</f>
        <v>327.48</v>
      </c>
    </row>
    <row r="703">
      <c r="A703" s="2">
        <f>IFERROR(__xludf.DUMMYFUNCTION("""COMPUTED_VALUE"""),45121.66666666667)</f>
        <v>45121.66667</v>
      </c>
      <c r="B703" s="1">
        <f>IFERROR(__xludf.DUMMYFUNCTION("""COMPUTED_VALUE"""),325.7)</f>
        <v>325.7</v>
      </c>
    </row>
    <row r="704">
      <c r="A704" s="2">
        <f>IFERROR(__xludf.DUMMYFUNCTION("""COMPUTED_VALUE"""),45124.66666666667)</f>
        <v>45124.66667</v>
      </c>
      <c r="B704" s="1">
        <f>IFERROR(__xludf.DUMMYFUNCTION("""COMPUTED_VALUE"""),328.5)</f>
        <v>328.5</v>
      </c>
    </row>
    <row r="705">
      <c r="A705" s="2">
        <f>IFERROR(__xludf.DUMMYFUNCTION("""COMPUTED_VALUE"""),45125.66666666667)</f>
        <v>45125.66667</v>
      </c>
      <c r="B705" s="1">
        <f>IFERROR(__xludf.DUMMYFUNCTION("""COMPUTED_VALUE"""),329.71)</f>
        <v>329.71</v>
      </c>
    </row>
    <row r="706">
      <c r="A706" s="2">
        <f>IFERROR(__xludf.DUMMYFUNCTION("""COMPUTED_VALUE"""),45126.66666666667)</f>
        <v>45126.66667</v>
      </c>
      <c r="B706" s="1">
        <f>IFERROR(__xludf.DUMMYFUNCTION("""COMPUTED_VALUE"""),333.95)</f>
        <v>333.95</v>
      </c>
    </row>
    <row r="707">
      <c r="A707" s="2">
        <f>IFERROR(__xludf.DUMMYFUNCTION("""COMPUTED_VALUE"""),45127.66666666667)</f>
        <v>45127.66667</v>
      </c>
      <c r="B707" s="1">
        <f>IFERROR(__xludf.DUMMYFUNCTION("""COMPUTED_VALUE"""),332.94)</f>
        <v>332.94</v>
      </c>
    </row>
    <row r="708">
      <c r="A708" s="2">
        <f>IFERROR(__xludf.DUMMYFUNCTION("""COMPUTED_VALUE"""),45128.66666666667)</f>
        <v>45128.66667</v>
      </c>
      <c r="B708" s="1">
        <f>IFERROR(__xludf.DUMMYFUNCTION("""COMPUTED_VALUE"""),333.5)</f>
        <v>333.5</v>
      </c>
    </row>
    <row r="709">
      <c r="A709" s="2">
        <f>IFERROR(__xludf.DUMMYFUNCTION("""COMPUTED_VALUE"""),45131.66666666667)</f>
        <v>45131.66667</v>
      </c>
      <c r="B709" s="1">
        <f>IFERROR(__xludf.DUMMYFUNCTION("""COMPUTED_VALUE"""),334.8)</f>
        <v>334.8</v>
      </c>
    </row>
    <row r="710">
      <c r="A710" s="2">
        <f>IFERROR(__xludf.DUMMYFUNCTION("""COMPUTED_VALUE"""),45132.66666666667)</f>
        <v>45132.66667</v>
      </c>
      <c r="B710" s="1">
        <f>IFERROR(__xludf.DUMMYFUNCTION("""COMPUTED_VALUE"""),334.37)</f>
        <v>334.37</v>
      </c>
    </row>
    <row r="711">
      <c r="A711" s="2">
        <f>IFERROR(__xludf.DUMMYFUNCTION("""COMPUTED_VALUE"""),45133.66666666667)</f>
        <v>45133.66667</v>
      </c>
      <c r="B711" s="1">
        <f>IFERROR(__xludf.DUMMYFUNCTION("""COMPUTED_VALUE"""),335.51)</f>
        <v>335.51</v>
      </c>
    </row>
    <row r="712">
      <c r="A712" s="2">
        <f>IFERROR(__xludf.DUMMYFUNCTION("""COMPUTED_VALUE"""),45134.66666666667)</f>
        <v>45134.66667</v>
      </c>
      <c r="B712" s="1">
        <f>IFERROR(__xludf.DUMMYFUNCTION("""COMPUTED_VALUE"""),335.29)</f>
        <v>335.29</v>
      </c>
    </row>
    <row r="713">
      <c r="A713" s="2">
        <f>IFERROR(__xludf.DUMMYFUNCTION("""COMPUTED_VALUE"""),45135.66666666667)</f>
        <v>45135.66667</v>
      </c>
      <c r="B713" s="1">
        <f>IFERROR(__xludf.DUMMYFUNCTION("""COMPUTED_VALUE"""),339.23)</f>
        <v>339.23</v>
      </c>
    </row>
    <row r="714">
      <c r="A714" s="2">
        <f>IFERROR(__xludf.DUMMYFUNCTION("""COMPUTED_VALUE"""),45138.66666666667)</f>
        <v>45138.66667</v>
      </c>
      <c r="B714" s="1">
        <f>IFERROR(__xludf.DUMMYFUNCTION("""COMPUTED_VALUE"""),340.33)</f>
        <v>340.33</v>
      </c>
    </row>
    <row r="715">
      <c r="A715" s="2">
        <f>IFERROR(__xludf.DUMMYFUNCTION("""COMPUTED_VALUE"""),45139.66666666667)</f>
        <v>45139.66667</v>
      </c>
      <c r="B715" s="1">
        <f>IFERROR(__xludf.DUMMYFUNCTION("""COMPUTED_VALUE"""),342.58)</f>
        <v>342.58</v>
      </c>
    </row>
    <row r="716">
      <c r="A716" s="2">
        <f>IFERROR(__xludf.DUMMYFUNCTION("""COMPUTED_VALUE"""),45140.66666666667)</f>
        <v>45140.66667</v>
      </c>
      <c r="B716" s="1">
        <f>IFERROR(__xludf.DUMMYFUNCTION("""COMPUTED_VALUE"""),344.81)</f>
        <v>344.81</v>
      </c>
    </row>
    <row r="717">
      <c r="A717" s="2">
        <f>IFERROR(__xludf.DUMMYFUNCTION("""COMPUTED_VALUE"""),45141.66666666667)</f>
        <v>45141.66667</v>
      </c>
      <c r="B717" s="1">
        <f>IFERROR(__xludf.DUMMYFUNCTION("""COMPUTED_VALUE"""),343.81)</f>
        <v>343.81</v>
      </c>
    </row>
    <row r="718">
      <c r="A718" s="2">
        <f>IFERROR(__xludf.DUMMYFUNCTION("""COMPUTED_VALUE"""),45142.66666666667)</f>
        <v>45142.66667</v>
      </c>
      <c r="B718" s="1">
        <f>IFERROR(__xludf.DUMMYFUNCTION("""COMPUTED_VALUE"""),342.53)</f>
        <v>342.53</v>
      </c>
    </row>
    <row r="719">
      <c r="A719" s="2">
        <f>IFERROR(__xludf.DUMMYFUNCTION("""COMPUTED_VALUE"""),45145.66666666667)</f>
        <v>45145.66667</v>
      </c>
      <c r="B719" s="1">
        <f>IFERROR(__xludf.DUMMYFUNCTION("""COMPUTED_VALUE"""),340.28)</f>
        <v>340.28</v>
      </c>
    </row>
    <row r="720">
      <c r="A720" s="2">
        <f>IFERROR(__xludf.DUMMYFUNCTION("""COMPUTED_VALUE"""),45146.66666666667)</f>
        <v>45146.66667</v>
      </c>
      <c r="B720" s="1">
        <f>IFERROR(__xludf.DUMMYFUNCTION("""COMPUTED_VALUE"""),342.95)</f>
        <v>342.95</v>
      </c>
    </row>
    <row r="721">
      <c r="A721" s="2">
        <f>IFERROR(__xludf.DUMMYFUNCTION("""COMPUTED_VALUE"""),45147.66666666667)</f>
        <v>45147.66667</v>
      </c>
      <c r="B721" s="1">
        <f>IFERROR(__xludf.DUMMYFUNCTION("""COMPUTED_VALUE"""),341.46)</f>
        <v>341.46</v>
      </c>
    </row>
    <row r="722">
      <c r="A722" s="2">
        <f>IFERROR(__xludf.DUMMYFUNCTION("""COMPUTED_VALUE"""),45148.66666666667)</f>
        <v>45148.66667</v>
      </c>
      <c r="B722" s="1">
        <f>IFERROR(__xludf.DUMMYFUNCTION("""COMPUTED_VALUE"""),340.7)</f>
        <v>340.7</v>
      </c>
    </row>
    <row r="723">
      <c r="A723" s="2">
        <f>IFERROR(__xludf.DUMMYFUNCTION("""COMPUTED_VALUE"""),45149.66666666667)</f>
        <v>45149.66667</v>
      </c>
      <c r="B723" s="1">
        <f>IFERROR(__xludf.DUMMYFUNCTION("""COMPUTED_VALUE"""),340.74)</f>
        <v>340.74</v>
      </c>
    </row>
    <row r="724">
      <c r="A724" s="2">
        <f>IFERROR(__xludf.DUMMYFUNCTION("""COMPUTED_VALUE"""),45152.66666666667)</f>
        <v>45152.66667</v>
      </c>
      <c r="B724" s="1">
        <f>IFERROR(__xludf.DUMMYFUNCTION("""COMPUTED_VALUE"""),342.23)</f>
        <v>342.23</v>
      </c>
    </row>
    <row r="725">
      <c r="A725" s="2">
        <f>IFERROR(__xludf.DUMMYFUNCTION("""COMPUTED_VALUE"""),45153.66666666667)</f>
        <v>45153.66667</v>
      </c>
      <c r="B725" s="1">
        <f>IFERROR(__xludf.DUMMYFUNCTION("""COMPUTED_VALUE"""),343.13)</f>
        <v>343.13</v>
      </c>
    </row>
    <row r="726">
      <c r="A726" s="2">
        <f>IFERROR(__xludf.DUMMYFUNCTION("""COMPUTED_VALUE"""),45154.66666666667)</f>
        <v>45154.66667</v>
      </c>
      <c r="B726" s="1">
        <f>IFERROR(__xludf.DUMMYFUNCTION("""COMPUTED_VALUE"""),341.48)</f>
        <v>341.48</v>
      </c>
    </row>
    <row r="727">
      <c r="A727" s="2">
        <f>IFERROR(__xludf.DUMMYFUNCTION("""COMPUTED_VALUE"""),45155.66666666667)</f>
        <v>45155.66667</v>
      </c>
      <c r="B727" s="1">
        <f>IFERROR(__xludf.DUMMYFUNCTION("""COMPUTED_VALUE"""),342.13)</f>
        <v>342.13</v>
      </c>
    </row>
    <row r="728">
      <c r="A728" s="2">
        <f>IFERROR(__xludf.DUMMYFUNCTION("""COMPUTED_VALUE"""),45156.66666666667)</f>
        <v>45156.66667</v>
      </c>
      <c r="B728" s="1">
        <f>IFERROR(__xludf.DUMMYFUNCTION("""COMPUTED_VALUE"""),338.39)</f>
        <v>338.39</v>
      </c>
    </row>
    <row r="729">
      <c r="A729" s="2">
        <f>IFERROR(__xludf.DUMMYFUNCTION("""COMPUTED_VALUE"""),45159.66666666667)</f>
        <v>45159.66667</v>
      </c>
      <c r="B729" s="1">
        <f>IFERROR(__xludf.DUMMYFUNCTION("""COMPUTED_VALUE"""),338.7)</f>
        <v>338.7</v>
      </c>
    </row>
    <row r="730">
      <c r="A730" s="2">
        <f>IFERROR(__xludf.DUMMYFUNCTION("""COMPUTED_VALUE"""),45160.66666666667)</f>
        <v>45160.66667</v>
      </c>
      <c r="B730" s="1">
        <f>IFERROR(__xludf.DUMMYFUNCTION("""COMPUTED_VALUE"""),339.81)</f>
        <v>339.81</v>
      </c>
    </row>
    <row r="731">
      <c r="A731" s="2">
        <f>IFERROR(__xludf.DUMMYFUNCTION("""COMPUTED_VALUE"""),45161.66666666667)</f>
        <v>45161.66667</v>
      </c>
      <c r="B731" s="1">
        <f>IFERROR(__xludf.DUMMYFUNCTION("""COMPUTED_VALUE"""),339.15)</f>
        <v>339.15</v>
      </c>
    </row>
    <row r="732">
      <c r="A732" s="2">
        <f>IFERROR(__xludf.DUMMYFUNCTION("""COMPUTED_VALUE"""),45162.66666666667)</f>
        <v>45162.66667</v>
      </c>
      <c r="B732" s="1">
        <f>IFERROR(__xludf.DUMMYFUNCTION("""COMPUTED_VALUE"""),342.25)</f>
        <v>342.25</v>
      </c>
    </row>
    <row r="733">
      <c r="A733" s="2">
        <f>IFERROR(__xludf.DUMMYFUNCTION("""COMPUTED_VALUE"""),45163.66666666667)</f>
        <v>45163.66667</v>
      </c>
      <c r="B733" s="1">
        <f>IFERROR(__xludf.DUMMYFUNCTION("""COMPUTED_VALUE"""),338.76)</f>
        <v>338.76</v>
      </c>
    </row>
    <row r="734">
      <c r="A734" s="2">
        <f>IFERROR(__xludf.DUMMYFUNCTION("""COMPUTED_VALUE"""),45166.66666666667)</f>
        <v>45166.66667</v>
      </c>
      <c r="B734" s="1">
        <f>IFERROR(__xludf.DUMMYFUNCTION("""COMPUTED_VALUE"""),340.56)</f>
        <v>340.56</v>
      </c>
    </row>
    <row r="735">
      <c r="A735" s="2">
        <f>IFERROR(__xludf.DUMMYFUNCTION("""COMPUTED_VALUE"""),45167.66666666667)</f>
        <v>45167.66667</v>
      </c>
      <c r="B735" s="1">
        <f>IFERROR(__xludf.DUMMYFUNCTION("""COMPUTED_VALUE"""),341.69)</f>
        <v>341.69</v>
      </c>
    </row>
    <row r="736">
      <c r="A736" s="2">
        <f>IFERROR(__xludf.DUMMYFUNCTION("""COMPUTED_VALUE"""),45168.66666666667)</f>
        <v>45168.66667</v>
      </c>
      <c r="B736" s="1">
        <f>IFERROR(__xludf.DUMMYFUNCTION("""COMPUTED_VALUE"""),345.1)</f>
        <v>345.1</v>
      </c>
    </row>
    <row r="737">
      <c r="A737" s="2">
        <f>IFERROR(__xludf.DUMMYFUNCTION("""COMPUTED_VALUE"""),45169.66666666667)</f>
        <v>45169.66667</v>
      </c>
      <c r="B737" s="1">
        <f>IFERROR(__xludf.DUMMYFUNCTION("""COMPUTED_VALUE"""),346.25)</f>
        <v>346.25</v>
      </c>
    </row>
    <row r="738">
      <c r="A738" s="2">
        <f>IFERROR(__xludf.DUMMYFUNCTION("""COMPUTED_VALUE"""),45170.66666666667)</f>
        <v>45170.66667</v>
      </c>
      <c r="B738" s="1">
        <f>IFERROR(__xludf.DUMMYFUNCTION("""COMPUTED_VALUE"""),346.85)</f>
        <v>346.85</v>
      </c>
    </row>
    <row r="739">
      <c r="A739" s="2">
        <f>IFERROR(__xludf.DUMMYFUNCTION("""COMPUTED_VALUE"""),45173.66666666667)</f>
        <v>45173.66667</v>
      </c>
      <c r="B739" s="1">
        <f>IFERROR(__xludf.DUMMYFUNCTION("""COMPUTED_VALUE"""),347.03)</f>
        <v>347.03</v>
      </c>
    </row>
    <row r="740">
      <c r="A740" s="2">
        <f>IFERROR(__xludf.DUMMYFUNCTION("""COMPUTED_VALUE"""),45174.66666666667)</f>
        <v>45174.66667</v>
      </c>
      <c r="B740" s="1">
        <f>IFERROR(__xludf.DUMMYFUNCTION("""COMPUTED_VALUE"""),350.23)</f>
        <v>350.23</v>
      </c>
    </row>
    <row r="741">
      <c r="A741" s="2">
        <f>IFERROR(__xludf.DUMMYFUNCTION("""COMPUTED_VALUE"""),45175.66666666667)</f>
        <v>45175.66667</v>
      </c>
      <c r="B741" s="1">
        <f>IFERROR(__xludf.DUMMYFUNCTION("""COMPUTED_VALUE"""),349.06)</f>
        <v>349.06</v>
      </c>
    </row>
    <row r="742">
      <c r="A742" s="2">
        <f>IFERROR(__xludf.DUMMYFUNCTION("""COMPUTED_VALUE"""),45176.66666666667)</f>
        <v>45176.66667</v>
      </c>
      <c r="B742" s="1">
        <f>IFERROR(__xludf.DUMMYFUNCTION("""COMPUTED_VALUE"""),346.87)</f>
        <v>346.87</v>
      </c>
    </row>
    <row r="743">
      <c r="A743" s="2">
        <f>IFERROR(__xludf.DUMMYFUNCTION("""COMPUTED_VALUE"""),45177.66666666667)</f>
        <v>45177.66667</v>
      </c>
      <c r="B743" s="1">
        <f>IFERROR(__xludf.DUMMYFUNCTION("""COMPUTED_VALUE"""),345.99)</f>
        <v>345.99</v>
      </c>
    </row>
    <row r="744">
      <c r="A744" s="2">
        <f>IFERROR(__xludf.DUMMYFUNCTION("""COMPUTED_VALUE"""),45180.66666666667)</f>
        <v>45180.66667</v>
      </c>
      <c r="B744" s="1">
        <f>IFERROR(__xludf.DUMMYFUNCTION("""COMPUTED_VALUE"""),345.25)</f>
        <v>345.25</v>
      </c>
    </row>
    <row r="745">
      <c r="A745" s="2">
        <f>IFERROR(__xludf.DUMMYFUNCTION("""COMPUTED_VALUE"""),45181.66666666667)</f>
        <v>45181.66667</v>
      </c>
      <c r="B745" s="1">
        <f>IFERROR(__xludf.DUMMYFUNCTION("""COMPUTED_VALUE"""),346.36)</f>
        <v>346.36</v>
      </c>
    </row>
    <row r="746">
      <c r="A746" s="2">
        <f>IFERROR(__xludf.DUMMYFUNCTION("""COMPUTED_VALUE"""),45182.66666666667)</f>
        <v>45182.66667</v>
      </c>
      <c r="B746" s="1">
        <f>IFERROR(__xludf.DUMMYFUNCTION("""COMPUTED_VALUE"""),345.51)</f>
        <v>345.51</v>
      </c>
    </row>
    <row r="747">
      <c r="A747" s="2">
        <f>IFERROR(__xludf.DUMMYFUNCTION("""COMPUTED_VALUE"""),45183.66666666667)</f>
        <v>45183.66667</v>
      </c>
      <c r="B747" s="1">
        <f>IFERROR(__xludf.DUMMYFUNCTION("""COMPUTED_VALUE"""),345.65)</f>
        <v>345.65</v>
      </c>
    </row>
    <row r="748">
      <c r="A748" s="2">
        <f>IFERROR(__xludf.DUMMYFUNCTION("""COMPUTED_VALUE"""),45184.66666666667)</f>
        <v>45184.66667</v>
      </c>
      <c r="B748" s="1">
        <f>IFERROR(__xludf.DUMMYFUNCTION("""COMPUTED_VALUE"""),346.56)</f>
        <v>346.56</v>
      </c>
    </row>
    <row r="749">
      <c r="A749" s="2">
        <f>IFERROR(__xludf.DUMMYFUNCTION("""COMPUTED_VALUE"""),45187.66666666667)</f>
        <v>45187.66667</v>
      </c>
      <c r="B749" s="1">
        <f>IFERROR(__xludf.DUMMYFUNCTION("""COMPUTED_VALUE"""),343.61)</f>
        <v>343.61</v>
      </c>
    </row>
    <row r="750">
      <c r="A750" s="2">
        <f>IFERROR(__xludf.DUMMYFUNCTION("""COMPUTED_VALUE"""),45188.66666666667)</f>
        <v>45188.66667</v>
      </c>
      <c r="B750" s="1">
        <f>IFERROR(__xludf.DUMMYFUNCTION("""COMPUTED_VALUE"""),343.5)</f>
        <v>343.5</v>
      </c>
    </row>
    <row r="751">
      <c r="A751" s="2">
        <f>IFERROR(__xludf.DUMMYFUNCTION("""COMPUTED_VALUE"""),45189.66666666667)</f>
        <v>45189.66667</v>
      </c>
      <c r="B751" s="1">
        <f>IFERROR(__xludf.DUMMYFUNCTION("""COMPUTED_VALUE"""),341.78)</f>
        <v>341.78</v>
      </c>
    </row>
    <row r="752">
      <c r="A752" s="2">
        <f>IFERROR(__xludf.DUMMYFUNCTION("""COMPUTED_VALUE"""),45190.66666666667)</f>
        <v>45190.66667</v>
      </c>
      <c r="B752" s="1">
        <f>IFERROR(__xludf.DUMMYFUNCTION("""COMPUTED_VALUE"""),340.11)</f>
        <v>340.11</v>
      </c>
    </row>
    <row r="753">
      <c r="A753" s="2">
        <f>IFERROR(__xludf.DUMMYFUNCTION("""COMPUTED_VALUE"""),45191.66666666667)</f>
        <v>45191.66667</v>
      </c>
      <c r="B753" s="1">
        <f>IFERROR(__xludf.DUMMYFUNCTION("""COMPUTED_VALUE"""),334.33)</f>
        <v>334.33</v>
      </c>
    </row>
    <row r="754">
      <c r="A754" s="2">
        <f>IFERROR(__xludf.DUMMYFUNCTION("""COMPUTED_VALUE"""),45194.66666666667)</f>
        <v>45194.66667</v>
      </c>
      <c r="B754" s="1">
        <f>IFERROR(__xludf.DUMMYFUNCTION("""COMPUTED_VALUE"""),333.65)</f>
        <v>333.65</v>
      </c>
    </row>
    <row r="755">
      <c r="A755" s="2">
        <f>IFERROR(__xludf.DUMMYFUNCTION("""COMPUTED_VALUE"""),45195.66666666667)</f>
        <v>45195.66667</v>
      </c>
      <c r="B755" s="1">
        <f>IFERROR(__xludf.DUMMYFUNCTION("""COMPUTED_VALUE"""),332.91)</f>
        <v>332.91</v>
      </c>
    </row>
    <row r="756">
      <c r="A756" s="2">
        <f>IFERROR(__xludf.DUMMYFUNCTION("""COMPUTED_VALUE"""),45196.66666666667)</f>
        <v>45196.66667</v>
      </c>
      <c r="B756" s="1">
        <f>IFERROR(__xludf.DUMMYFUNCTION("""COMPUTED_VALUE"""),332.49)</f>
        <v>332.49</v>
      </c>
    </row>
    <row r="757">
      <c r="A757" s="2">
        <f>IFERROR(__xludf.DUMMYFUNCTION("""COMPUTED_VALUE"""),45197.66666666667)</f>
        <v>45197.66667</v>
      </c>
      <c r="B757" s="1">
        <f>IFERROR(__xludf.DUMMYFUNCTION("""COMPUTED_VALUE"""),332.59)</f>
        <v>332.59</v>
      </c>
    </row>
    <row r="758">
      <c r="A758" s="2">
        <f>IFERROR(__xludf.DUMMYFUNCTION("""COMPUTED_VALUE"""),45198.66666666667)</f>
        <v>45198.66667</v>
      </c>
      <c r="B758" s="1">
        <f>IFERROR(__xludf.DUMMYFUNCTION("""COMPUTED_VALUE"""),330.13)</f>
        <v>330.13</v>
      </c>
    </row>
    <row r="759">
      <c r="A759" s="2">
        <f>IFERROR(__xludf.DUMMYFUNCTION("""COMPUTED_VALUE"""),45201.66666666667)</f>
        <v>45201.66667</v>
      </c>
      <c r="B759" s="1">
        <f>IFERROR(__xludf.DUMMYFUNCTION("""COMPUTED_VALUE"""),333.39)</f>
        <v>333.39</v>
      </c>
    </row>
    <row r="760">
      <c r="A760" s="2">
        <f>IFERROR(__xludf.DUMMYFUNCTION("""COMPUTED_VALUE"""),45202.66666666667)</f>
        <v>45202.66667</v>
      </c>
      <c r="B760" s="1">
        <f>IFERROR(__xludf.DUMMYFUNCTION("""COMPUTED_VALUE"""),335.03)</f>
        <v>335.03</v>
      </c>
    </row>
    <row r="761">
      <c r="A761" s="2">
        <f>IFERROR(__xludf.DUMMYFUNCTION("""COMPUTED_VALUE"""),45203.66666666667)</f>
        <v>45203.66667</v>
      </c>
      <c r="B761" s="1">
        <f>IFERROR(__xludf.DUMMYFUNCTION("""COMPUTED_VALUE"""),329.91)</f>
        <v>329.91</v>
      </c>
    </row>
    <row r="762">
      <c r="A762" s="2">
        <f>IFERROR(__xludf.DUMMYFUNCTION("""COMPUTED_VALUE"""),45204.66666666667)</f>
        <v>45204.66667</v>
      </c>
      <c r="B762" s="1">
        <f>IFERROR(__xludf.DUMMYFUNCTION("""COMPUTED_VALUE"""),330.79)</f>
        <v>330.79</v>
      </c>
    </row>
    <row r="763">
      <c r="A763" s="2">
        <f>IFERROR(__xludf.DUMMYFUNCTION("""COMPUTED_VALUE"""),45205.66666666667)</f>
        <v>45205.66667</v>
      </c>
      <c r="B763" s="1">
        <f>IFERROR(__xludf.DUMMYFUNCTION("""COMPUTED_VALUE"""),330.23)</f>
        <v>330.23</v>
      </c>
    </row>
    <row r="764">
      <c r="A764" s="2">
        <f>IFERROR(__xludf.DUMMYFUNCTION("""COMPUTED_VALUE"""),45208.66666666667)</f>
        <v>45208.66667</v>
      </c>
      <c r="B764" s="1">
        <f>IFERROR(__xludf.DUMMYFUNCTION("""COMPUTED_VALUE"""),332.84)</f>
        <v>332.84</v>
      </c>
    </row>
    <row r="765">
      <c r="A765" s="2">
        <f>IFERROR(__xludf.DUMMYFUNCTION("""COMPUTED_VALUE"""),45209.66666666667)</f>
        <v>45209.66667</v>
      </c>
      <c r="B765" s="1">
        <f>IFERROR(__xludf.DUMMYFUNCTION("""COMPUTED_VALUE"""),334.56)</f>
        <v>334.56</v>
      </c>
    </row>
    <row r="766">
      <c r="A766" s="2">
        <f>IFERROR(__xludf.DUMMYFUNCTION("""COMPUTED_VALUE"""),45210.66666666667)</f>
        <v>45210.66667</v>
      </c>
      <c r="B766" s="1">
        <f>IFERROR(__xludf.DUMMYFUNCTION("""COMPUTED_VALUE"""),335.94)</f>
        <v>335.94</v>
      </c>
    </row>
    <row r="767">
      <c r="A767" s="2">
        <f>IFERROR(__xludf.DUMMYFUNCTION("""COMPUTED_VALUE"""),45211.66666666667)</f>
        <v>45211.66667</v>
      </c>
      <c r="B767" s="1">
        <f>IFERROR(__xludf.DUMMYFUNCTION("""COMPUTED_VALUE"""),338.34)</f>
        <v>338.34</v>
      </c>
    </row>
    <row r="768">
      <c r="A768" s="2">
        <f>IFERROR(__xludf.DUMMYFUNCTION("""COMPUTED_VALUE"""),45212.66666666667)</f>
        <v>45212.66667</v>
      </c>
      <c r="B768" s="1">
        <f>IFERROR(__xludf.DUMMYFUNCTION("""COMPUTED_VALUE"""),340.32)</f>
        <v>340.32</v>
      </c>
    </row>
    <row r="769">
      <c r="A769" s="2">
        <f>IFERROR(__xludf.DUMMYFUNCTION("""COMPUTED_VALUE"""),45215.66666666667)</f>
        <v>45215.66667</v>
      </c>
      <c r="B769" s="1">
        <f>IFERROR(__xludf.DUMMYFUNCTION("""COMPUTED_VALUE"""),338.37)</f>
        <v>338.37</v>
      </c>
    </row>
    <row r="770">
      <c r="A770" s="2">
        <f>IFERROR(__xludf.DUMMYFUNCTION("""COMPUTED_VALUE"""),45216.66666666667)</f>
        <v>45216.66667</v>
      </c>
      <c r="B770" s="1">
        <f>IFERROR(__xludf.DUMMYFUNCTION("""COMPUTED_VALUE"""),339.25)</f>
        <v>339.25</v>
      </c>
    </row>
    <row r="771">
      <c r="A771" s="2">
        <f>IFERROR(__xludf.DUMMYFUNCTION("""COMPUTED_VALUE"""),45217.66666666667)</f>
        <v>45217.66667</v>
      </c>
      <c r="B771" s="1">
        <f>IFERROR(__xludf.DUMMYFUNCTION("""COMPUTED_VALUE"""),338.6)</f>
        <v>338.6</v>
      </c>
    </row>
    <row r="772">
      <c r="A772" s="2">
        <f>IFERROR(__xludf.DUMMYFUNCTION("""COMPUTED_VALUE"""),45218.66666666667)</f>
        <v>45218.66667</v>
      </c>
      <c r="B772" s="1">
        <f>IFERROR(__xludf.DUMMYFUNCTION("""COMPUTED_VALUE"""),337.65)</f>
        <v>337.65</v>
      </c>
    </row>
    <row r="773">
      <c r="A773" s="2">
        <f>IFERROR(__xludf.DUMMYFUNCTION("""COMPUTED_VALUE"""),45219.66666666667)</f>
        <v>45219.66667</v>
      </c>
      <c r="B773" s="1">
        <f>IFERROR(__xludf.DUMMYFUNCTION("""COMPUTED_VALUE"""),334.01)</f>
        <v>334.01</v>
      </c>
    </row>
    <row r="774">
      <c r="A774" s="2">
        <f>IFERROR(__xludf.DUMMYFUNCTION("""COMPUTED_VALUE"""),45222.66666666667)</f>
        <v>45222.66667</v>
      </c>
      <c r="B774" s="1">
        <f>IFERROR(__xludf.DUMMYFUNCTION("""COMPUTED_VALUE"""),331.12)</f>
        <v>331.12</v>
      </c>
    </row>
    <row r="775">
      <c r="A775" s="2">
        <f>IFERROR(__xludf.DUMMYFUNCTION("""COMPUTED_VALUE"""),45223.66666666667)</f>
        <v>45223.66667</v>
      </c>
      <c r="B775" s="1">
        <f>IFERROR(__xludf.DUMMYFUNCTION("""COMPUTED_VALUE"""),328.15)</f>
        <v>328.15</v>
      </c>
    </row>
    <row r="776">
      <c r="A776" s="2">
        <f>IFERROR(__xludf.DUMMYFUNCTION("""COMPUTED_VALUE"""),45224.66666666667)</f>
        <v>45224.66667</v>
      </c>
      <c r="B776" s="1">
        <f>IFERROR(__xludf.DUMMYFUNCTION("""COMPUTED_VALUE"""),327.64)</f>
        <v>327.64</v>
      </c>
    </row>
    <row r="777">
      <c r="A777" s="2">
        <f>IFERROR(__xludf.DUMMYFUNCTION("""COMPUTED_VALUE"""),45225.66666666667)</f>
        <v>45225.66667</v>
      </c>
      <c r="B777" s="1">
        <f>IFERROR(__xludf.DUMMYFUNCTION("""COMPUTED_VALUE"""),326.37)</f>
        <v>326.37</v>
      </c>
    </row>
    <row r="778">
      <c r="A778" s="2">
        <f>IFERROR(__xludf.DUMMYFUNCTION("""COMPUTED_VALUE"""),45226.66666666667)</f>
        <v>45226.66667</v>
      </c>
      <c r="B778" s="1">
        <f>IFERROR(__xludf.DUMMYFUNCTION("""COMPUTED_VALUE"""),323.99)</f>
        <v>323.99</v>
      </c>
    </row>
    <row r="779">
      <c r="A779" s="2">
        <f>IFERROR(__xludf.DUMMYFUNCTION("""COMPUTED_VALUE"""),45229.66666666667)</f>
        <v>45229.66667</v>
      </c>
      <c r="B779" s="1">
        <f>IFERROR(__xludf.DUMMYFUNCTION("""COMPUTED_VALUE"""),320.8)</f>
        <v>320.8</v>
      </c>
    </row>
    <row r="780">
      <c r="A780" s="2">
        <f>IFERROR(__xludf.DUMMYFUNCTION("""COMPUTED_VALUE"""),45230.66666666667)</f>
        <v>45230.66667</v>
      </c>
      <c r="B780" s="1">
        <f>IFERROR(__xludf.DUMMYFUNCTION("""COMPUTED_VALUE"""),322.69)</f>
        <v>322.69</v>
      </c>
    </row>
    <row r="781">
      <c r="A781" s="2">
        <f>IFERROR(__xludf.DUMMYFUNCTION("""COMPUTED_VALUE"""),45231.66666666667)</f>
        <v>45231.66667</v>
      </c>
      <c r="B781" s="1">
        <f>IFERROR(__xludf.DUMMYFUNCTION("""COMPUTED_VALUE"""),326.21)</f>
        <v>326.21</v>
      </c>
    </row>
    <row r="782">
      <c r="A782" s="2">
        <f>IFERROR(__xludf.DUMMYFUNCTION("""COMPUTED_VALUE"""),45232.66666666667)</f>
        <v>45232.66667</v>
      </c>
      <c r="B782" s="1">
        <f>IFERROR(__xludf.DUMMYFUNCTION("""COMPUTED_VALUE"""),326.09)</f>
        <v>326.09</v>
      </c>
    </row>
    <row r="783">
      <c r="A783" s="2">
        <f>IFERROR(__xludf.DUMMYFUNCTION("""COMPUTED_VALUE"""),45233.66666666667)</f>
        <v>45233.66667</v>
      </c>
      <c r="B783" s="1">
        <f>IFERROR(__xludf.DUMMYFUNCTION("""COMPUTED_VALUE"""),331.01)</f>
        <v>331.01</v>
      </c>
    </row>
    <row r="784">
      <c r="A784" s="2">
        <f>IFERROR(__xludf.DUMMYFUNCTION("""COMPUTED_VALUE"""),45236.66666666667)</f>
        <v>45236.66667</v>
      </c>
      <c r="B784" s="1">
        <f>IFERROR(__xludf.DUMMYFUNCTION("""COMPUTED_VALUE"""),331.2)</f>
        <v>331.2</v>
      </c>
    </row>
    <row r="785">
      <c r="A785" s="2">
        <f>IFERROR(__xludf.DUMMYFUNCTION("""COMPUTED_VALUE"""),45237.66666666667)</f>
        <v>45237.66667</v>
      </c>
      <c r="B785" s="1">
        <f>IFERROR(__xludf.DUMMYFUNCTION("""COMPUTED_VALUE"""),334.21)</f>
        <v>334.21</v>
      </c>
    </row>
    <row r="786">
      <c r="A786" s="2">
        <f>IFERROR(__xludf.DUMMYFUNCTION("""COMPUTED_VALUE"""),45238.66666666667)</f>
        <v>45238.66667</v>
      </c>
      <c r="B786" s="1">
        <f>IFERROR(__xludf.DUMMYFUNCTION("""COMPUTED_VALUE"""),335.36)</f>
        <v>335.36</v>
      </c>
    </row>
    <row r="787">
      <c r="A787" s="2">
        <f>IFERROR(__xludf.DUMMYFUNCTION("""COMPUTED_VALUE"""),45239.66666666667)</f>
        <v>45239.66667</v>
      </c>
      <c r="B787" s="1">
        <f>IFERROR(__xludf.DUMMYFUNCTION("""COMPUTED_VALUE"""),336.74)</f>
        <v>336.74</v>
      </c>
    </row>
    <row r="788">
      <c r="A788" s="2">
        <f>IFERROR(__xludf.DUMMYFUNCTION("""COMPUTED_VALUE"""),45240.66666666667)</f>
        <v>45240.66667</v>
      </c>
      <c r="B788" s="1">
        <f>IFERROR(__xludf.DUMMYFUNCTION("""COMPUTED_VALUE"""),337.29)</f>
        <v>337.29</v>
      </c>
    </row>
    <row r="789">
      <c r="A789" s="2">
        <f>IFERROR(__xludf.DUMMYFUNCTION("""COMPUTED_VALUE"""),45243.66666666667)</f>
        <v>45243.66667</v>
      </c>
      <c r="B789" s="1">
        <f>IFERROR(__xludf.DUMMYFUNCTION("""COMPUTED_VALUE"""),340.27)</f>
        <v>340.27</v>
      </c>
    </row>
    <row r="790">
      <c r="A790" s="2">
        <f>IFERROR(__xludf.DUMMYFUNCTION("""COMPUTED_VALUE"""),45244.66666666667)</f>
        <v>45244.66667</v>
      </c>
      <c r="B790" s="1">
        <f>IFERROR(__xludf.DUMMYFUNCTION("""COMPUTED_VALUE"""),341.41)</f>
        <v>341.41</v>
      </c>
    </row>
    <row r="791">
      <c r="A791" s="2">
        <f>IFERROR(__xludf.DUMMYFUNCTION("""COMPUTED_VALUE"""),45245.66666666667)</f>
        <v>45245.66667</v>
      </c>
      <c r="B791" s="1">
        <f>IFERROR(__xludf.DUMMYFUNCTION("""COMPUTED_VALUE"""),342.67)</f>
        <v>342.67</v>
      </c>
    </row>
    <row r="792">
      <c r="A792" s="2">
        <f>IFERROR(__xludf.DUMMYFUNCTION("""COMPUTED_VALUE"""),45246.66666666667)</f>
        <v>45246.66667</v>
      </c>
      <c r="B792" s="1">
        <f>IFERROR(__xludf.DUMMYFUNCTION("""COMPUTED_VALUE"""),344.18)</f>
        <v>344.18</v>
      </c>
    </row>
    <row r="793">
      <c r="A793" s="2">
        <f>IFERROR(__xludf.DUMMYFUNCTION("""COMPUTED_VALUE"""),45247.66666666667)</f>
        <v>45247.66667</v>
      </c>
      <c r="B793" s="1">
        <f>IFERROR(__xludf.DUMMYFUNCTION("""COMPUTED_VALUE"""),344.78)</f>
        <v>344.78</v>
      </c>
    </row>
    <row r="794">
      <c r="A794" s="2">
        <f>IFERROR(__xludf.DUMMYFUNCTION("""COMPUTED_VALUE"""),45250.66666666667)</f>
        <v>45250.66667</v>
      </c>
      <c r="B794" s="1">
        <f>IFERROR(__xludf.DUMMYFUNCTION("""COMPUTED_VALUE"""),340.6)</f>
        <v>340.6</v>
      </c>
    </row>
    <row r="795">
      <c r="A795" s="2">
        <f>IFERROR(__xludf.DUMMYFUNCTION("""COMPUTED_VALUE"""),45251.66666666667)</f>
        <v>45251.66667</v>
      </c>
      <c r="B795" s="1">
        <f>IFERROR(__xludf.DUMMYFUNCTION("""COMPUTED_VALUE"""),341.99)</f>
        <v>341.99</v>
      </c>
    </row>
    <row r="796">
      <c r="A796" s="2">
        <f>IFERROR(__xludf.DUMMYFUNCTION("""COMPUTED_VALUE"""),45252.66666666667)</f>
        <v>45252.66667</v>
      </c>
      <c r="B796" s="1">
        <f>IFERROR(__xludf.DUMMYFUNCTION("""COMPUTED_VALUE"""),342.18)</f>
        <v>342.18</v>
      </c>
    </row>
    <row r="797">
      <c r="A797" s="2">
        <f>IFERROR(__xludf.DUMMYFUNCTION("""COMPUTED_VALUE"""),45253.66666666667)</f>
        <v>45253.66667</v>
      </c>
      <c r="B797" s="1">
        <f>IFERROR(__xludf.DUMMYFUNCTION("""COMPUTED_VALUE"""),343.43)</f>
        <v>343.43</v>
      </c>
    </row>
    <row r="798">
      <c r="A798" s="2">
        <f>IFERROR(__xludf.DUMMYFUNCTION("""COMPUTED_VALUE"""),45254.66666666667)</f>
        <v>45254.66667</v>
      </c>
      <c r="B798" s="1">
        <f>IFERROR(__xludf.DUMMYFUNCTION("""COMPUTED_VALUE"""),343.15)</f>
        <v>343.15</v>
      </c>
    </row>
    <row r="799">
      <c r="A799" s="2">
        <f>IFERROR(__xludf.DUMMYFUNCTION("""COMPUTED_VALUE"""),45257.66666666667)</f>
        <v>45257.66667</v>
      </c>
      <c r="B799" s="1">
        <f>IFERROR(__xludf.DUMMYFUNCTION("""COMPUTED_VALUE"""),341.73)</f>
        <v>341.73</v>
      </c>
    </row>
    <row r="800">
      <c r="A800" s="2">
        <f>IFERROR(__xludf.DUMMYFUNCTION("""COMPUTED_VALUE"""),45258.66666666667)</f>
        <v>45258.66667</v>
      </c>
      <c r="B800" s="1">
        <f>IFERROR(__xludf.DUMMYFUNCTION("""COMPUTED_VALUE"""),340.09)</f>
        <v>340.09</v>
      </c>
    </row>
    <row r="801">
      <c r="A801" s="2">
        <f>IFERROR(__xludf.DUMMYFUNCTION("""COMPUTED_VALUE"""),45259.66666666667)</f>
        <v>45259.66667</v>
      </c>
      <c r="B801" s="1">
        <f>IFERROR(__xludf.DUMMYFUNCTION("""COMPUTED_VALUE"""),339.06)</f>
        <v>339.06</v>
      </c>
    </row>
    <row r="802">
      <c r="A802" s="2">
        <f>IFERROR(__xludf.DUMMYFUNCTION("""COMPUTED_VALUE"""),45260.66666666667)</f>
        <v>45260.66667</v>
      </c>
      <c r="B802" s="1">
        <f>IFERROR(__xludf.DUMMYFUNCTION("""COMPUTED_VALUE"""),339.66)</f>
        <v>339.66</v>
      </c>
    </row>
    <row r="803">
      <c r="A803" s="2">
        <f>IFERROR(__xludf.DUMMYFUNCTION("""COMPUTED_VALUE"""),45261.66666666667)</f>
        <v>45261.66667</v>
      </c>
      <c r="B803" s="1">
        <f>IFERROR(__xludf.DUMMYFUNCTION("""COMPUTED_VALUE"""),342.3)</f>
        <v>342.3</v>
      </c>
    </row>
    <row r="804">
      <c r="A804" s="2">
        <f>IFERROR(__xludf.DUMMYFUNCTION("""COMPUTED_VALUE"""),45264.66666666667)</f>
        <v>45264.66667</v>
      </c>
      <c r="B804" s="1">
        <f>IFERROR(__xludf.DUMMYFUNCTION("""COMPUTED_VALUE"""),342.47)</f>
        <v>342.47</v>
      </c>
    </row>
    <row r="805">
      <c r="A805" s="2">
        <f>IFERROR(__xludf.DUMMYFUNCTION("""COMPUTED_VALUE"""),45265.66666666667)</f>
        <v>45265.66667</v>
      </c>
      <c r="B805" s="1">
        <f>IFERROR(__xludf.DUMMYFUNCTION("""COMPUTED_VALUE"""),344.51)</f>
        <v>344.51</v>
      </c>
    </row>
    <row r="806">
      <c r="A806" s="2">
        <f>IFERROR(__xludf.DUMMYFUNCTION("""COMPUTED_VALUE"""),45266.66666666667)</f>
        <v>45266.66667</v>
      </c>
      <c r="B806" s="1">
        <f>IFERROR(__xludf.DUMMYFUNCTION("""COMPUTED_VALUE"""),346.04)</f>
        <v>346.04</v>
      </c>
    </row>
    <row r="807">
      <c r="A807" s="2">
        <f>IFERROR(__xludf.DUMMYFUNCTION("""COMPUTED_VALUE"""),45267.66666666667)</f>
        <v>45267.66667</v>
      </c>
      <c r="B807" s="1">
        <f>IFERROR(__xludf.DUMMYFUNCTION("""COMPUTED_VALUE"""),346.07)</f>
        <v>346.07</v>
      </c>
    </row>
    <row r="808">
      <c r="A808" s="2">
        <f>IFERROR(__xludf.DUMMYFUNCTION("""COMPUTED_VALUE"""),45268.66666666667)</f>
        <v>45268.66667</v>
      </c>
      <c r="B808" s="1">
        <f>IFERROR(__xludf.DUMMYFUNCTION("""COMPUTED_VALUE"""),344.47)</f>
        <v>344.47</v>
      </c>
    </row>
    <row r="809">
      <c r="A809" s="2">
        <f>IFERROR(__xludf.DUMMYFUNCTION("""COMPUTED_VALUE"""),45271.66666666667)</f>
        <v>45271.66667</v>
      </c>
      <c r="B809" s="1">
        <f>IFERROR(__xludf.DUMMYFUNCTION("""COMPUTED_VALUE"""),348.94)</f>
        <v>348.94</v>
      </c>
    </row>
    <row r="810">
      <c r="A810" s="2">
        <f>IFERROR(__xludf.DUMMYFUNCTION("""COMPUTED_VALUE"""),45272.66666666667)</f>
        <v>45272.66667</v>
      </c>
      <c r="B810" s="1">
        <f>IFERROR(__xludf.DUMMYFUNCTION("""COMPUTED_VALUE"""),349.0)</f>
        <v>349</v>
      </c>
    </row>
    <row r="811">
      <c r="A811" s="2">
        <f>IFERROR(__xludf.DUMMYFUNCTION("""COMPUTED_VALUE"""),45273.66666666667)</f>
        <v>45273.66667</v>
      </c>
      <c r="B811" s="1">
        <f>IFERROR(__xludf.DUMMYFUNCTION("""COMPUTED_VALUE"""),352.27)</f>
        <v>352.27</v>
      </c>
    </row>
    <row r="812">
      <c r="A812" s="2">
        <f>IFERROR(__xludf.DUMMYFUNCTION("""COMPUTED_VALUE"""),45274.66666666667)</f>
        <v>45274.66667</v>
      </c>
      <c r="B812" s="1">
        <f>IFERROR(__xludf.DUMMYFUNCTION("""COMPUTED_VALUE"""),350.86)</f>
        <v>350.86</v>
      </c>
    </row>
    <row r="813">
      <c r="A813" s="2">
        <f>IFERROR(__xludf.DUMMYFUNCTION("""COMPUTED_VALUE"""),45275.66666666667)</f>
        <v>45275.66667</v>
      </c>
      <c r="B813" s="1">
        <f>IFERROR(__xludf.DUMMYFUNCTION("""COMPUTED_VALUE"""),351.69)</f>
        <v>351.69</v>
      </c>
    </row>
    <row r="814">
      <c r="A814" s="2">
        <f>IFERROR(__xludf.DUMMYFUNCTION("""COMPUTED_VALUE"""),45278.66666666667)</f>
        <v>45278.66667</v>
      </c>
      <c r="B814" s="1">
        <f>IFERROR(__xludf.DUMMYFUNCTION("""COMPUTED_VALUE"""),351.52)</f>
        <v>351.52</v>
      </c>
    </row>
    <row r="815">
      <c r="A815" s="2">
        <f>IFERROR(__xludf.DUMMYFUNCTION("""COMPUTED_VALUE"""),45279.66666666667)</f>
        <v>45279.66667</v>
      </c>
      <c r="B815" s="1">
        <f>IFERROR(__xludf.DUMMYFUNCTION("""COMPUTED_VALUE"""),351.81)</f>
        <v>351.81</v>
      </c>
    </row>
    <row r="816">
      <c r="A816" s="2">
        <f>IFERROR(__xludf.DUMMYFUNCTION("""COMPUTED_VALUE"""),45280.66666666667)</f>
        <v>45280.66667</v>
      </c>
      <c r="B816" s="1">
        <f>IFERROR(__xludf.DUMMYFUNCTION("""COMPUTED_VALUE"""),351.9)</f>
        <v>351.9</v>
      </c>
    </row>
    <row r="817">
      <c r="A817" s="2">
        <f>IFERROR(__xludf.DUMMYFUNCTION("""COMPUTED_VALUE"""),45281.66666666667)</f>
        <v>45281.66667</v>
      </c>
      <c r="B817" s="1">
        <f>IFERROR(__xludf.DUMMYFUNCTION("""COMPUTED_VALUE"""),348.52)</f>
        <v>348.52</v>
      </c>
    </row>
    <row r="818">
      <c r="A818" s="2">
        <f>IFERROR(__xludf.DUMMYFUNCTION("""COMPUTED_VALUE"""),45282.66666666667)</f>
        <v>45282.66667</v>
      </c>
      <c r="B818" s="1">
        <f>IFERROR(__xludf.DUMMYFUNCTION("""COMPUTED_VALUE"""),347.74)</f>
        <v>347.74</v>
      </c>
    </row>
    <row r="819">
      <c r="A819" s="2">
        <f>IFERROR(__xludf.DUMMYFUNCTION("""COMPUTED_VALUE"""),45287.66666666667)</f>
        <v>45287.66667</v>
      </c>
      <c r="B819" s="1">
        <f>IFERROR(__xludf.DUMMYFUNCTION("""COMPUTED_VALUE"""),347.98)</f>
        <v>347.98</v>
      </c>
    </row>
    <row r="820">
      <c r="A820" s="2">
        <f>IFERROR(__xludf.DUMMYFUNCTION("""COMPUTED_VALUE"""),45288.66666666667)</f>
        <v>45288.66667</v>
      </c>
      <c r="B820" s="1">
        <f>IFERROR(__xludf.DUMMYFUNCTION("""COMPUTED_VALUE"""),348.75)</f>
        <v>348.75</v>
      </c>
    </row>
    <row r="821">
      <c r="A821" s="2">
        <f>IFERROR(__xludf.DUMMYFUNCTION("""COMPUTED_VALUE"""),45289.66666666667)</f>
        <v>45289.66667</v>
      </c>
      <c r="B821" s="1">
        <f>IFERROR(__xludf.DUMMYFUNCTION("""COMPUTED_VALUE"""),348.8)</f>
        <v>348.8</v>
      </c>
    </row>
    <row r="822">
      <c r="A822" s="2">
        <f>IFERROR(__xludf.DUMMYFUNCTION("""COMPUTED_VALUE"""),45293.66666666667)</f>
        <v>45293.66667</v>
      </c>
      <c r="B822" s="1">
        <f>IFERROR(__xludf.DUMMYFUNCTION("""COMPUTED_VALUE"""),348.5)</f>
        <v>348.5</v>
      </c>
    </row>
    <row r="823">
      <c r="A823" s="2">
        <f>IFERROR(__xludf.DUMMYFUNCTION("""COMPUTED_VALUE"""),45294.66666666667)</f>
        <v>45294.66667</v>
      </c>
      <c r="B823" s="1">
        <f>IFERROR(__xludf.DUMMYFUNCTION("""COMPUTED_VALUE"""),348.53)</f>
        <v>348.53</v>
      </c>
    </row>
    <row r="824">
      <c r="A824" s="2">
        <f>IFERROR(__xludf.DUMMYFUNCTION("""COMPUTED_VALUE"""),45295.66666666667)</f>
        <v>45295.66667</v>
      </c>
      <c r="B824" s="1">
        <f>IFERROR(__xludf.DUMMYFUNCTION("""COMPUTED_VALUE"""),346.87)</f>
        <v>346.87</v>
      </c>
    </row>
    <row r="825">
      <c r="A825" s="2">
        <f>IFERROR(__xludf.DUMMYFUNCTION("""COMPUTED_VALUE"""),45296.66666666667)</f>
        <v>45296.66667</v>
      </c>
      <c r="B825" s="1">
        <f>IFERROR(__xludf.DUMMYFUNCTION("""COMPUTED_VALUE"""),348.17)</f>
        <v>348.17</v>
      </c>
    </row>
    <row r="826">
      <c r="A826" s="2">
        <f>IFERROR(__xludf.DUMMYFUNCTION("""COMPUTED_VALUE"""),45299.66666666667)</f>
        <v>45299.66667</v>
      </c>
      <c r="B826" s="1">
        <f>IFERROR(__xludf.DUMMYFUNCTION("""COMPUTED_VALUE"""),347.88)</f>
        <v>347.88</v>
      </c>
    </row>
    <row r="827">
      <c r="A827" s="2">
        <f>IFERROR(__xludf.DUMMYFUNCTION("""COMPUTED_VALUE"""),45300.66666666667)</f>
        <v>45300.66667</v>
      </c>
      <c r="B827" s="1">
        <f>IFERROR(__xludf.DUMMYFUNCTION("""COMPUTED_VALUE"""),351.87)</f>
        <v>351.87</v>
      </c>
    </row>
    <row r="828">
      <c r="A828" s="2">
        <f>IFERROR(__xludf.DUMMYFUNCTION("""COMPUTED_VALUE"""),45301.66666666667)</f>
        <v>45301.66667</v>
      </c>
      <c r="B828" s="1">
        <f>IFERROR(__xludf.DUMMYFUNCTION("""COMPUTED_VALUE"""),351.95)</f>
        <v>351.95</v>
      </c>
    </row>
    <row r="829">
      <c r="A829" s="2">
        <f>IFERROR(__xludf.DUMMYFUNCTION("""COMPUTED_VALUE"""),45302.66666666667)</f>
        <v>45302.66667</v>
      </c>
      <c r="B829" s="1">
        <f>IFERROR(__xludf.DUMMYFUNCTION("""COMPUTED_VALUE"""),353.86)</f>
        <v>353.86</v>
      </c>
    </row>
    <row r="830">
      <c r="A830" s="2">
        <f>IFERROR(__xludf.DUMMYFUNCTION("""COMPUTED_VALUE"""),45303.66666666667)</f>
        <v>45303.66667</v>
      </c>
      <c r="B830" s="1">
        <f>IFERROR(__xludf.DUMMYFUNCTION("""COMPUTED_VALUE"""),353.09)</f>
        <v>353.09</v>
      </c>
    </row>
    <row r="831">
      <c r="A831" s="2">
        <f>IFERROR(__xludf.DUMMYFUNCTION("""COMPUTED_VALUE"""),45306.66666666667)</f>
        <v>45306.66667</v>
      </c>
      <c r="B831" s="1">
        <f>IFERROR(__xludf.DUMMYFUNCTION("""COMPUTED_VALUE"""),354.61)</f>
        <v>354.61</v>
      </c>
    </row>
    <row r="832">
      <c r="A832" s="2">
        <f>IFERROR(__xludf.DUMMYFUNCTION("""COMPUTED_VALUE"""),45307.66666666667)</f>
        <v>45307.66667</v>
      </c>
      <c r="B832" s="1">
        <f>IFERROR(__xludf.DUMMYFUNCTION("""COMPUTED_VALUE"""),357.16)</f>
        <v>357.16</v>
      </c>
    </row>
    <row r="833">
      <c r="A833" s="2">
        <f>IFERROR(__xludf.DUMMYFUNCTION("""COMPUTED_VALUE"""),45308.66666666667)</f>
        <v>45308.66667</v>
      </c>
      <c r="B833" s="1">
        <f>IFERROR(__xludf.DUMMYFUNCTION("""COMPUTED_VALUE"""),358.72)</f>
        <v>358.72</v>
      </c>
    </row>
    <row r="834">
      <c r="A834" s="2">
        <f>IFERROR(__xludf.DUMMYFUNCTION("""COMPUTED_VALUE"""),45309.66666666667)</f>
        <v>45309.66667</v>
      </c>
      <c r="B834" s="1">
        <f>IFERROR(__xludf.DUMMYFUNCTION("""COMPUTED_VALUE"""),358.05)</f>
        <v>358.05</v>
      </c>
    </row>
    <row r="835">
      <c r="A835" s="2">
        <f>IFERROR(__xludf.DUMMYFUNCTION("""COMPUTED_VALUE"""),45310.66666666667)</f>
        <v>45310.66667</v>
      </c>
      <c r="B835" s="1">
        <f>IFERROR(__xludf.DUMMYFUNCTION("""COMPUTED_VALUE"""),360.41)</f>
        <v>360.41</v>
      </c>
    </row>
    <row r="836">
      <c r="A836" s="2">
        <f>IFERROR(__xludf.DUMMYFUNCTION("""COMPUTED_VALUE"""),45313.66666666667)</f>
        <v>45313.66667</v>
      </c>
      <c r="B836" s="1">
        <f>IFERROR(__xludf.DUMMYFUNCTION("""COMPUTED_VALUE"""),364.44)</f>
        <v>364.44</v>
      </c>
    </row>
    <row r="837">
      <c r="A837" s="2">
        <f>IFERROR(__xludf.DUMMYFUNCTION("""COMPUTED_VALUE"""),45314.66666666667)</f>
        <v>45314.66667</v>
      </c>
      <c r="B837" s="1">
        <f>IFERROR(__xludf.DUMMYFUNCTION("""COMPUTED_VALUE"""),364.77)</f>
        <v>364.77</v>
      </c>
    </row>
    <row r="838">
      <c r="A838" s="2">
        <f>IFERROR(__xludf.DUMMYFUNCTION("""COMPUTED_VALUE"""),45315.66666666667)</f>
        <v>45315.66667</v>
      </c>
      <c r="B838" s="1">
        <f>IFERROR(__xludf.DUMMYFUNCTION("""COMPUTED_VALUE"""),368.05)</f>
        <v>368.05</v>
      </c>
    </row>
    <row r="839">
      <c r="A839" s="2">
        <f>IFERROR(__xludf.DUMMYFUNCTION("""COMPUTED_VALUE"""),45316.66666666667)</f>
        <v>45316.66667</v>
      </c>
      <c r="B839" s="1">
        <f>IFERROR(__xludf.DUMMYFUNCTION("""COMPUTED_VALUE"""),366.9)</f>
        <v>366.9</v>
      </c>
    </row>
    <row r="840">
      <c r="A840" s="2">
        <f>IFERROR(__xludf.DUMMYFUNCTION("""COMPUTED_VALUE"""),45320.66666666667)</f>
        <v>45320.66667</v>
      </c>
      <c r="B840" s="1">
        <f>IFERROR(__xludf.DUMMYFUNCTION("""COMPUTED_VALUE"""),367.41)</f>
        <v>367.41</v>
      </c>
    </row>
    <row r="841">
      <c r="A841" s="2">
        <f>IFERROR(__xludf.DUMMYFUNCTION("""COMPUTED_VALUE"""),45321.66666666667)</f>
        <v>45321.66667</v>
      </c>
      <c r="B841" s="1">
        <f>IFERROR(__xludf.DUMMYFUNCTION("""COMPUTED_VALUE"""),369.79)</f>
        <v>369.79</v>
      </c>
    </row>
    <row r="842">
      <c r="A842" s="2">
        <f>IFERROR(__xludf.DUMMYFUNCTION("""COMPUTED_VALUE"""),45322.66666666667)</f>
        <v>45322.66667</v>
      </c>
      <c r="B842" s="1">
        <f>IFERROR(__xludf.DUMMYFUNCTION("""COMPUTED_VALUE"""),370.54)</f>
        <v>370.54</v>
      </c>
    </row>
    <row r="843">
      <c r="A843" s="2">
        <f>IFERROR(__xludf.DUMMYFUNCTION("""COMPUTED_VALUE"""),45323.66666666667)</f>
        <v>45323.66667</v>
      </c>
      <c r="B843" s="1">
        <f>IFERROR(__xludf.DUMMYFUNCTION("""COMPUTED_VALUE"""),367.9)</f>
        <v>367.9</v>
      </c>
    </row>
    <row r="844">
      <c r="A844" s="2">
        <f>IFERROR(__xludf.DUMMYFUNCTION("""COMPUTED_VALUE"""),45324.66666666667)</f>
        <v>45324.66667</v>
      </c>
      <c r="B844" s="1">
        <f>IFERROR(__xludf.DUMMYFUNCTION("""COMPUTED_VALUE"""),370.33)</f>
        <v>370.33</v>
      </c>
    </row>
    <row r="845">
      <c r="A845" s="2">
        <f>IFERROR(__xludf.DUMMYFUNCTION("""COMPUTED_VALUE"""),45327.66666666667)</f>
        <v>45327.66667</v>
      </c>
      <c r="B845" s="1">
        <f>IFERROR(__xludf.DUMMYFUNCTION("""COMPUTED_VALUE"""),376.26)</f>
        <v>376.26</v>
      </c>
    </row>
    <row r="846">
      <c r="A846" s="2">
        <f>IFERROR(__xludf.DUMMYFUNCTION("""COMPUTED_VALUE"""),45328.66666666667)</f>
        <v>45328.66667</v>
      </c>
      <c r="B846" s="1">
        <f>IFERROR(__xludf.DUMMYFUNCTION("""COMPUTED_VALUE"""),374.97)</f>
        <v>374.97</v>
      </c>
    </row>
    <row r="847">
      <c r="A847" s="2">
        <f>IFERROR(__xludf.DUMMYFUNCTION("""COMPUTED_VALUE"""),45329.66666666667)</f>
        <v>45329.66667</v>
      </c>
      <c r="B847" s="1">
        <f>IFERROR(__xludf.DUMMYFUNCTION("""COMPUTED_VALUE"""),375.2)</f>
        <v>375.2</v>
      </c>
    </row>
    <row r="848">
      <c r="A848" s="2">
        <f>IFERROR(__xludf.DUMMYFUNCTION("""COMPUTED_VALUE"""),45330.66666666667)</f>
        <v>45330.66667</v>
      </c>
      <c r="B848" s="1">
        <f>IFERROR(__xludf.DUMMYFUNCTION("""COMPUTED_VALUE"""),378.35)</f>
        <v>378.35</v>
      </c>
    </row>
    <row r="849">
      <c r="A849" s="2">
        <f>IFERROR(__xludf.DUMMYFUNCTION("""COMPUTED_VALUE"""),45331.66666666667)</f>
        <v>45331.66667</v>
      </c>
      <c r="B849" s="1">
        <f>IFERROR(__xludf.DUMMYFUNCTION("""COMPUTED_VALUE"""),381.1)</f>
        <v>381.1</v>
      </c>
    </row>
    <row r="850">
      <c r="A850" s="2">
        <f>IFERROR(__xludf.DUMMYFUNCTION("""COMPUTED_VALUE"""),45334.66666666667)</f>
        <v>45334.66667</v>
      </c>
      <c r="B850" s="1">
        <f>IFERROR(__xludf.DUMMYFUNCTION("""COMPUTED_VALUE"""),381.91)</f>
        <v>381.91</v>
      </c>
    </row>
    <row r="851">
      <c r="A851" s="2">
        <f>IFERROR(__xludf.DUMMYFUNCTION("""COMPUTED_VALUE"""),45335.66666666667)</f>
        <v>45335.66667</v>
      </c>
      <c r="B851" s="1">
        <f>IFERROR(__xludf.DUMMYFUNCTION("""COMPUTED_VALUE"""),381.99)</f>
        <v>381.99</v>
      </c>
    </row>
    <row r="852">
      <c r="A852" s="2">
        <f>IFERROR(__xludf.DUMMYFUNCTION("""COMPUTED_VALUE"""),45336.66666666667)</f>
        <v>45336.66667</v>
      </c>
      <c r="B852" s="1">
        <f>IFERROR(__xludf.DUMMYFUNCTION("""COMPUTED_VALUE"""),379.93)</f>
        <v>379.93</v>
      </c>
    </row>
    <row r="853">
      <c r="A853" s="2">
        <f>IFERROR(__xludf.DUMMYFUNCTION("""COMPUTED_VALUE"""),45337.66666666667)</f>
        <v>45337.66667</v>
      </c>
      <c r="B853" s="1">
        <f>IFERROR(__xludf.DUMMYFUNCTION("""COMPUTED_VALUE"""),382.72)</f>
        <v>382.72</v>
      </c>
    </row>
    <row r="854">
      <c r="A854" s="2">
        <f>IFERROR(__xludf.DUMMYFUNCTION("""COMPUTED_VALUE"""),45338.66666666667)</f>
        <v>45338.66667</v>
      </c>
      <c r="B854" s="1">
        <f>IFERROR(__xludf.DUMMYFUNCTION("""COMPUTED_VALUE"""),383.18)</f>
        <v>383.18</v>
      </c>
    </row>
    <row r="855">
      <c r="A855" s="2">
        <f>IFERROR(__xludf.DUMMYFUNCTION("""COMPUTED_VALUE"""),45341.66666666667)</f>
        <v>45341.66667</v>
      </c>
      <c r="B855" s="1">
        <f>IFERROR(__xludf.DUMMYFUNCTION("""COMPUTED_VALUE"""),380.05)</f>
        <v>380.05</v>
      </c>
    </row>
    <row r="856">
      <c r="A856" s="2">
        <f>IFERROR(__xludf.DUMMYFUNCTION("""COMPUTED_VALUE"""),45342.66666666667)</f>
        <v>45342.66667</v>
      </c>
      <c r="B856" s="1">
        <f>IFERROR(__xludf.DUMMYFUNCTION("""COMPUTED_VALUE"""),379.18)</f>
        <v>379.18</v>
      </c>
    </row>
    <row r="857">
      <c r="A857" s="2">
        <f>IFERROR(__xludf.DUMMYFUNCTION("""COMPUTED_VALUE"""),45343.66666666667)</f>
        <v>45343.66667</v>
      </c>
      <c r="B857" s="1">
        <f>IFERROR(__xludf.DUMMYFUNCTION("""COMPUTED_VALUE"""),375.66)</f>
        <v>375.66</v>
      </c>
    </row>
    <row r="858">
      <c r="A858" s="2">
        <f>IFERROR(__xludf.DUMMYFUNCTION("""COMPUTED_VALUE"""),45344.66666666667)</f>
        <v>45344.66667</v>
      </c>
      <c r="B858" s="1">
        <f>IFERROR(__xludf.DUMMYFUNCTION("""COMPUTED_VALUE"""),379.6)</f>
        <v>379.6</v>
      </c>
    </row>
    <row r="859">
      <c r="A859" s="2">
        <f>IFERROR(__xludf.DUMMYFUNCTION("""COMPUTED_VALUE"""),45345.66666666667)</f>
        <v>45345.66667</v>
      </c>
      <c r="B859" s="1">
        <f>IFERROR(__xludf.DUMMYFUNCTION("""COMPUTED_VALUE"""),383.47)</f>
        <v>383.47</v>
      </c>
    </row>
    <row r="860">
      <c r="A860" s="2">
        <f>IFERROR(__xludf.DUMMYFUNCTION("""COMPUTED_VALUE"""),45348.66666666667)</f>
        <v>45348.66667</v>
      </c>
      <c r="B860" s="1">
        <f>IFERROR(__xludf.DUMMYFUNCTION("""COMPUTED_VALUE"""),383.69)</f>
        <v>383.69</v>
      </c>
    </row>
    <row r="861">
      <c r="A861" s="2">
        <f>IFERROR(__xludf.DUMMYFUNCTION("""COMPUTED_VALUE"""),45349.66666666667)</f>
        <v>45349.66667</v>
      </c>
      <c r="B861" s="1">
        <f>IFERROR(__xludf.DUMMYFUNCTION("""COMPUTED_VALUE"""),383.9)</f>
        <v>383.9</v>
      </c>
    </row>
    <row r="862">
      <c r="A862" s="2">
        <f>IFERROR(__xludf.DUMMYFUNCTION("""COMPUTED_VALUE"""),45350.66666666667)</f>
        <v>45350.66667</v>
      </c>
      <c r="B862" s="1">
        <f>IFERROR(__xludf.DUMMYFUNCTION("""COMPUTED_VALUE"""),386.57)</f>
        <v>386.57</v>
      </c>
    </row>
    <row r="863">
      <c r="A863" s="2">
        <f>IFERROR(__xludf.DUMMYFUNCTION("""COMPUTED_VALUE"""),45351.66666666667)</f>
        <v>45351.66667</v>
      </c>
      <c r="B863" s="1">
        <f>IFERROR(__xludf.DUMMYFUNCTION("""COMPUTED_VALUE"""),386.37)</f>
        <v>386.37</v>
      </c>
    </row>
    <row r="864">
      <c r="A864" s="2">
        <f>IFERROR(__xludf.DUMMYFUNCTION("""COMPUTED_VALUE"""),45352.66666666667)</f>
        <v>45352.66667</v>
      </c>
      <c r="B864" s="1">
        <f>IFERROR(__xludf.DUMMYFUNCTION("""COMPUTED_VALUE"""),388.81)</f>
        <v>388.81</v>
      </c>
    </row>
    <row r="865">
      <c r="A865" s="2">
        <f>IFERROR(__xludf.DUMMYFUNCTION("""COMPUTED_VALUE"""),45355.66666666667)</f>
        <v>45355.66667</v>
      </c>
      <c r="B865" s="1">
        <f>IFERROR(__xludf.DUMMYFUNCTION("""COMPUTED_VALUE"""),390.62)</f>
        <v>390.62</v>
      </c>
    </row>
    <row r="866">
      <c r="A866" s="2">
        <f>IFERROR(__xludf.DUMMYFUNCTION("""COMPUTED_VALUE"""),45356.66666666667)</f>
        <v>45356.66667</v>
      </c>
      <c r="B866" s="1">
        <f>IFERROR(__xludf.DUMMYFUNCTION("""COMPUTED_VALUE"""),391.12)</f>
        <v>391.12</v>
      </c>
    </row>
    <row r="867">
      <c r="A867" s="2">
        <f>IFERROR(__xludf.DUMMYFUNCTION("""COMPUTED_VALUE"""),45357.66666666667)</f>
        <v>45357.66667</v>
      </c>
      <c r="B867" s="1">
        <f>IFERROR(__xludf.DUMMYFUNCTION("""COMPUTED_VALUE"""),387.52)</f>
        <v>387.52</v>
      </c>
    </row>
    <row r="868">
      <c r="A868" s="2">
        <f>IFERROR(__xludf.DUMMYFUNCTION("""COMPUTED_VALUE"""),45358.66666666667)</f>
        <v>45358.66667</v>
      </c>
      <c r="B868" s="1">
        <f>IFERROR(__xludf.DUMMYFUNCTION("""COMPUTED_VALUE"""),384.45)</f>
        <v>384.45</v>
      </c>
    </row>
    <row r="869">
      <c r="A869" s="2">
        <f>IFERROR(__xludf.DUMMYFUNCTION("""COMPUTED_VALUE"""),45359.66666666667)</f>
        <v>45359.66667</v>
      </c>
      <c r="B869" s="1">
        <f>IFERROR(__xludf.DUMMYFUNCTION("""COMPUTED_VALUE"""),386.33)</f>
        <v>386.33</v>
      </c>
    </row>
    <row r="870">
      <c r="A870" s="2">
        <f>IFERROR(__xludf.DUMMYFUNCTION("""COMPUTED_VALUE"""),45362.66666666667)</f>
        <v>45362.66667</v>
      </c>
      <c r="B870" s="1">
        <f>IFERROR(__xludf.DUMMYFUNCTION("""COMPUTED_VALUE"""),384.18)</f>
        <v>384.18</v>
      </c>
    </row>
    <row r="871">
      <c r="A871" s="2">
        <f>IFERROR(__xludf.DUMMYFUNCTION("""COMPUTED_VALUE"""),45363.66666666667)</f>
        <v>45363.66667</v>
      </c>
      <c r="B871" s="1">
        <f>IFERROR(__xludf.DUMMYFUNCTION("""COMPUTED_VALUE"""),385.67)</f>
        <v>385.67</v>
      </c>
    </row>
    <row r="872">
      <c r="A872" s="2">
        <f>IFERROR(__xludf.DUMMYFUNCTION("""COMPUTED_VALUE"""),45364.66666666667)</f>
        <v>45364.66667</v>
      </c>
      <c r="B872" s="1">
        <f>IFERROR(__xludf.DUMMYFUNCTION("""COMPUTED_VALUE"""),387.81)</f>
        <v>387.81</v>
      </c>
    </row>
    <row r="873">
      <c r="A873" s="2">
        <f>IFERROR(__xludf.DUMMYFUNCTION("""COMPUTED_VALUE"""),45365.66666666667)</f>
        <v>45365.66667</v>
      </c>
      <c r="B873" s="1">
        <f>IFERROR(__xludf.DUMMYFUNCTION("""COMPUTED_VALUE"""),388.03)</f>
        <v>388.03</v>
      </c>
    </row>
    <row r="874">
      <c r="A874" s="2">
        <f>IFERROR(__xludf.DUMMYFUNCTION("""COMPUTED_VALUE"""),45366.66666666667)</f>
        <v>45366.66667</v>
      </c>
      <c r="B874" s="1">
        <f>IFERROR(__xludf.DUMMYFUNCTION("""COMPUTED_VALUE"""),388.6)</f>
        <v>388.6</v>
      </c>
    </row>
    <row r="875">
      <c r="A875" s="2">
        <f>IFERROR(__xludf.DUMMYFUNCTION("""COMPUTED_VALUE"""),45369.66666666667)</f>
        <v>45369.66667</v>
      </c>
      <c r="B875" s="1">
        <f>IFERROR(__xludf.DUMMYFUNCTION("""COMPUTED_VALUE"""),387.53)</f>
        <v>387.53</v>
      </c>
    </row>
    <row r="876">
      <c r="A876" s="2">
        <f>IFERROR(__xludf.DUMMYFUNCTION("""COMPUTED_VALUE"""),45370.66666666667)</f>
        <v>45370.66667</v>
      </c>
      <c r="B876" s="1">
        <f>IFERROR(__xludf.DUMMYFUNCTION("""COMPUTED_VALUE"""),390.42)</f>
        <v>390.42</v>
      </c>
    </row>
    <row r="877">
      <c r="A877" s="2">
        <f>IFERROR(__xludf.DUMMYFUNCTION("""COMPUTED_VALUE"""),45371.66666666667)</f>
        <v>45371.66667</v>
      </c>
      <c r="B877" s="1">
        <f>IFERROR(__xludf.DUMMYFUNCTION("""COMPUTED_VALUE"""),392.4)</f>
        <v>392.4</v>
      </c>
    </row>
    <row r="878">
      <c r="A878" s="2">
        <f>IFERROR(__xludf.DUMMYFUNCTION("""COMPUTED_VALUE"""),45372.66666666667)</f>
        <v>45372.66667</v>
      </c>
      <c r="B878" s="1">
        <f>IFERROR(__xludf.DUMMYFUNCTION("""COMPUTED_VALUE"""),393.1)</f>
        <v>393.1</v>
      </c>
    </row>
    <row r="879">
      <c r="A879" s="2">
        <f>IFERROR(__xludf.DUMMYFUNCTION("""COMPUTED_VALUE"""),45373.66666666667)</f>
        <v>45373.66667</v>
      </c>
      <c r="B879" s="1">
        <f>IFERROR(__xludf.DUMMYFUNCTION("""COMPUTED_VALUE"""),397.69)</f>
        <v>397.69</v>
      </c>
    </row>
    <row r="880">
      <c r="A880" s="2">
        <f>IFERROR(__xludf.DUMMYFUNCTION("""COMPUTED_VALUE"""),45376.66666666667)</f>
        <v>45376.66667</v>
      </c>
      <c r="B880" s="1">
        <f>IFERROR(__xludf.DUMMYFUNCTION("""COMPUTED_VALUE"""),396.48)</f>
        <v>396.48</v>
      </c>
    </row>
    <row r="881">
      <c r="A881" s="2">
        <f>IFERROR(__xludf.DUMMYFUNCTION("""COMPUTED_VALUE"""),45377.66666666667)</f>
        <v>45377.66667</v>
      </c>
      <c r="B881" s="1">
        <f>IFERROR(__xludf.DUMMYFUNCTION("""COMPUTED_VALUE"""),395.53)</f>
        <v>395.53</v>
      </c>
    </row>
    <row r="882">
      <c r="A882" s="2">
        <f>IFERROR(__xludf.DUMMYFUNCTION("""COMPUTED_VALUE"""),45378.66666666667)</f>
        <v>45378.66667</v>
      </c>
      <c r="B882" s="1">
        <f>IFERROR(__xludf.DUMMYFUNCTION("""COMPUTED_VALUE"""),396.19)</f>
        <v>396.19</v>
      </c>
    </row>
    <row r="883">
      <c r="A883" s="2">
        <f>IFERROR(__xludf.DUMMYFUNCTION("""COMPUTED_VALUE"""),45379.66666666667)</f>
        <v>45379.66667</v>
      </c>
      <c r="B883" s="1">
        <f>IFERROR(__xludf.DUMMYFUNCTION("""COMPUTED_VALUE"""),397.71)</f>
        <v>397.71</v>
      </c>
    </row>
    <row r="884">
      <c r="A884" s="2">
        <f>IFERROR(__xludf.DUMMYFUNCTION("""COMPUTED_VALUE"""),45384.66666666667)</f>
        <v>45384.66667</v>
      </c>
      <c r="B884" s="1">
        <f>IFERROR(__xludf.DUMMYFUNCTION("""COMPUTED_VALUE"""),399.31)</f>
        <v>399.31</v>
      </c>
    </row>
    <row r="885">
      <c r="A885" s="2">
        <f>IFERROR(__xludf.DUMMYFUNCTION("""COMPUTED_VALUE"""),45385.66666666667)</f>
        <v>45385.66667</v>
      </c>
      <c r="B885" s="1">
        <f>IFERROR(__xludf.DUMMYFUNCTION("""COMPUTED_VALUE"""),394.64)</f>
        <v>394.64</v>
      </c>
    </row>
    <row r="886">
      <c r="A886" s="2">
        <f>IFERROR(__xludf.DUMMYFUNCTION("""COMPUTED_VALUE"""),45386.66666666667)</f>
        <v>45386.66667</v>
      </c>
      <c r="B886" s="1">
        <f>IFERROR(__xludf.DUMMYFUNCTION("""COMPUTED_VALUE"""),392.65)</f>
        <v>392.65</v>
      </c>
    </row>
    <row r="887">
      <c r="A887" s="2">
        <f>IFERROR(__xludf.DUMMYFUNCTION("""COMPUTED_VALUE"""),45387.66666666667)</f>
        <v>45387.66667</v>
      </c>
      <c r="B887" s="1">
        <f>IFERROR(__xludf.DUMMYFUNCTION("""COMPUTED_VALUE"""),388.4)</f>
        <v>388.4</v>
      </c>
    </row>
    <row r="888">
      <c r="A888" s="2">
        <f>IFERROR(__xludf.DUMMYFUNCTION("""COMPUTED_VALUE"""),45390.66666666667)</f>
        <v>45390.66667</v>
      </c>
      <c r="B888" s="1">
        <f>IFERROR(__xludf.DUMMYFUNCTION("""COMPUTED_VALUE"""),390.84)</f>
        <v>390.84</v>
      </c>
    </row>
    <row r="889">
      <c r="A889" s="2">
        <f>IFERROR(__xludf.DUMMYFUNCTION("""COMPUTED_VALUE"""),45391.66666666667)</f>
        <v>45391.66667</v>
      </c>
      <c r="B889" s="1">
        <f>IFERROR(__xludf.DUMMYFUNCTION("""COMPUTED_VALUE"""),389.92)</f>
        <v>389.92</v>
      </c>
    </row>
    <row r="890">
      <c r="A890" s="2">
        <f>IFERROR(__xludf.DUMMYFUNCTION("""COMPUTED_VALUE"""),45392.66666666667)</f>
        <v>45392.66667</v>
      </c>
      <c r="B890" s="1">
        <f>IFERROR(__xludf.DUMMYFUNCTION("""COMPUTED_VALUE"""),389.52)</f>
        <v>389.52</v>
      </c>
    </row>
    <row r="891">
      <c r="A891" s="2">
        <f>IFERROR(__xludf.DUMMYFUNCTION("""COMPUTED_VALUE"""),45393.66666666667)</f>
        <v>45393.66667</v>
      </c>
      <c r="B891" s="1">
        <f>IFERROR(__xludf.DUMMYFUNCTION("""COMPUTED_VALUE"""),391.28)</f>
        <v>391.28</v>
      </c>
    </row>
    <row r="892">
      <c r="A892" s="2">
        <f>IFERROR(__xludf.DUMMYFUNCTION("""COMPUTED_VALUE"""),45394.66666666667)</f>
        <v>45394.66667</v>
      </c>
      <c r="B892" s="1">
        <f>IFERROR(__xludf.DUMMYFUNCTION("""COMPUTED_VALUE"""),393.88)</f>
        <v>393.88</v>
      </c>
    </row>
    <row r="893">
      <c r="A893" s="2">
        <f>IFERROR(__xludf.DUMMYFUNCTION("""COMPUTED_VALUE"""),45397.66666666667)</f>
        <v>45397.66667</v>
      </c>
      <c r="B893" s="1">
        <f>IFERROR(__xludf.DUMMYFUNCTION("""COMPUTED_VALUE"""),391.92)</f>
        <v>391.92</v>
      </c>
    </row>
    <row r="894">
      <c r="A894" s="2">
        <f>IFERROR(__xludf.DUMMYFUNCTION("""COMPUTED_VALUE"""),45398.66666666667)</f>
        <v>45398.66667</v>
      </c>
      <c r="B894" s="1">
        <f>IFERROR(__xludf.DUMMYFUNCTION("""COMPUTED_VALUE"""),388.59)</f>
        <v>388.59</v>
      </c>
    </row>
    <row r="895">
      <c r="A895" s="2">
        <f>IFERROR(__xludf.DUMMYFUNCTION("""COMPUTED_VALUE"""),45399.66666666667)</f>
        <v>45399.66667</v>
      </c>
      <c r="B895" s="1">
        <f>IFERROR(__xludf.DUMMYFUNCTION("""COMPUTED_VALUE"""),388.01)</f>
        <v>388.01</v>
      </c>
    </row>
    <row r="896">
      <c r="A896" s="2">
        <f>IFERROR(__xludf.DUMMYFUNCTION("""COMPUTED_VALUE"""),45400.66666666667)</f>
        <v>45400.66667</v>
      </c>
      <c r="B896" s="1">
        <f>IFERROR(__xludf.DUMMYFUNCTION("""COMPUTED_VALUE"""),385.83)</f>
        <v>385.83</v>
      </c>
    </row>
    <row r="897">
      <c r="A897" s="2">
        <f>IFERROR(__xludf.DUMMYFUNCTION("""COMPUTED_VALUE"""),45401.66666666667)</f>
        <v>45401.66667</v>
      </c>
      <c r="B897" s="1">
        <f>IFERROR(__xludf.DUMMYFUNCTION("""COMPUTED_VALUE"""),383.5)</f>
        <v>383.5</v>
      </c>
    </row>
    <row r="898">
      <c r="A898" s="2">
        <f>IFERROR(__xludf.DUMMYFUNCTION("""COMPUTED_VALUE"""),45404.66666666667)</f>
        <v>45404.66667</v>
      </c>
      <c r="B898" s="1">
        <f>IFERROR(__xludf.DUMMYFUNCTION("""COMPUTED_VALUE"""),382.75)</f>
        <v>382.75</v>
      </c>
    </row>
    <row r="899">
      <c r="A899" s="2">
        <f>IFERROR(__xludf.DUMMYFUNCTION("""COMPUTED_VALUE"""),45405.66666666667)</f>
        <v>45405.66667</v>
      </c>
      <c r="B899" s="1">
        <f>IFERROR(__xludf.DUMMYFUNCTION("""COMPUTED_VALUE"""),383.42)</f>
        <v>383.42</v>
      </c>
    </row>
    <row r="900">
      <c r="A900" s="2">
        <f>IFERROR(__xludf.DUMMYFUNCTION("""COMPUTED_VALUE"""),45406.66666666667)</f>
        <v>45406.66667</v>
      </c>
      <c r="B900" s="1">
        <f>IFERROR(__xludf.DUMMYFUNCTION("""COMPUTED_VALUE"""),386.19)</f>
        <v>386.19</v>
      </c>
    </row>
    <row r="901">
      <c r="A901" s="2">
        <f>IFERROR(__xludf.DUMMYFUNCTION("""COMPUTED_VALUE"""),45408.66666666667)</f>
        <v>45408.66667</v>
      </c>
      <c r="B901" s="1">
        <f>IFERROR(__xludf.DUMMYFUNCTION("""COMPUTED_VALUE"""),384.7)</f>
        <v>384.7</v>
      </c>
    </row>
    <row r="902">
      <c r="A902" s="2">
        <f>IFERROR(__xludf.DUMMYFUNCTION("""COMPUTED_VALUE"""),45411.66666666667)</f>
        <v>45411.66667</v>
      </c>
      <c r="B902" s="1">
        <f>IFERROR(__xludf.DUMMYFUNCTION("""COMPUTED_VALUE"""),384.69)</f>
        <v>384.69</v>
      </c>
    </row>
    <row r="903">
      <c r="A903" s="2">
        <f>IFERROR(__xludf.DUMMYFUNCTION("""COMPUTED_VALUE"""),45412.66666666667)</f>
        <v>45412.66667</v>
      </c>
      <c r="B903" s="1">
        <f>IFERROR(__xludf.DUMMYFUNCTION("""COMPUTED_VALUE"""),387.29)</f>
        <v>387.29</v>
      </c>
    </row>
    <row r="904">
      <c r="A904" s="2">
        <f>IFERROR(__xludf.DUMMYFUNCTION("""COMPUTED_VALUE"""),45413.66666666667)</f>
        <v>45413.66667</v>
      </c>
      <c r="B904" s="1">
        <f>IFERROR(__xludf.DUMMYFUNCTION("""COMPUTED_VALUE"""),383.76)</f>
        <v>383.76</v>
      </c>
    </row>
    <row r="905">
      <c r="A905" s="2">
        <f>IFERROR(__xludf.DUMMYFUNCTION("""COMPUTED_VALUE"""),45414.66666666667)</f>
        <v>45414.66667</v>
      </c>
      <c r="B905" s="1">
        <f>IFERROR(__xludf.DUMMYFUNCTION("""COMPUTED_VALUE"""),381.31)</f>
        <v>381.31</v>
      </c>
    </row>
    <row r="906">
      <c r="A906" s="2">
        <f>IFERROR(__xludf.DUMMYFUNCTION("""COMPUTED_VALUE"""),45415.66666666667)</f>
        <v>45415.66667</v>
      </c>
      <c r="B906" s="1">
        <f>IFERROR(__xludf.DUMMYFUNCTION("""COMPUTED_VALUE"""),381.88)</f>
        <v>381.88</v>
      </c>
    </row>
    <row r="907">
      <c r="A907" s="2">
        <f>IFERROR(__xludf.DUMMYFUNCTION("""COMPUTED_VALUE"""),45418.66666666667)</f>
        <v>45418.66667</v>
      </c>
      <c r="B907" s="1">
        <f>IFERROR(__xludf.DUMMYFUNCTION("""COMPUTED_VALUE"""),383.7)</f>
        <v>383.7</v>
      </c>
    </row>
    <row r="908">
      <c r="A908" s="2">
        <f>IFERROR(__xludf.DUMMYFUNCTION("""COMPUTED_VALUE"""),45419.66666666667)</f>
        <v>45419.66667</v>
      </c>
      <c r="B908" s="1">
        <f>IFERROR(__xludf.DUMMYFUNCTION("""COMPUTED_VALUE"""),388.83)</f>
        <v>388.83</v>
      </c>
    </row>
    <row r="909">
      <c r="A909" s="2">
        <f>IFERROR(__xludf.DUMMYFUNCTION("""COMPUTED_VALUE"""),45420.66666666667)</f>
        <v>45420.66667</v>
      </c>
      <c r="B909" s="1">
        <f>IFERROR(__xludf.DUMMYFUNCTION("""COMPUTED_VALUE"""),389.98)</f>
        <v>389.98</v>
      </c>
    </row>
    <row r="910">
      <c r="A910" s="2">
        <f>IFERROR(__xludf.DUMMYFUNCTION("""COMPUTED_VALUE"""),45421.66666666667)</f>
        <v>45421.66667</v>
      </c>
      <c r="B910" s="1">
        <f>IFERROR(__xludf.DUMMYFUNCTION("""COMPUTED_VALUE"""),389.65)</f>
        <v>389.65</v>
      </c>
    </row>
    <row r="911">
      <c r="A911" s="2">
        <f>IFERROR(__xludf.DUMMYFUNCTION("""COMPUTED_VALUE"""),45422.66666666667)</f>
        <v>45422.66667</v>
      </c>
      <c r="B911" s="1">
        <f>IFERROR(__xludf.DUMMYFUNCTION("""COMPUTED_VALUE"""),390.48)</f>
        <v>390.48</v>
      </c>
    </row>
    <row r="912">
      <c r="A912" s="2">
        <f>IFERROR(__xludf.DUMMYFUNCTION("""COMPUTED_VALUE"""),45425.66666666667)</f>
        <v>45425.66667</v>
      </c>
      <c r="B912" s="1">
        <f>IFERROR(__xludf.DUMMYFUNCTION("""COMPUTED_VALUE"""),391.86)</f>
        <v>391.86</v>
      </c>
    </row>
    <row r="913">
      <c r="A913" s="2">
        <f>IFERROR(__xludf.DUMMYFUNCTION("""COMPUTED_VALUE"""),45426.66666666667)</f>
        <v>45426.66667</v>
      </c>
      <c r="B913" s="1">
        <f>IFERROR(__xludf.DUMMYFUNCTION("""COMPUTED_VALUE"""),391.28)</f>
        <v>391.28</v>
      </c>
    </row>
    <row r="914">
      <c r="A914" s="2">
        <f>IFERROR(__xludf.DUMMYFUNCTION("""COMPUTED_VALUE"""),45427.66666666667)</f>
        <v>45427.66667</v>
      </c>
      <c r="B914" s="1">
        <f>IFERROR(__xludf.DUMMYFUNCTION("""COMPUTED_VALUE"""),391.22)</f>
        <v>391.22</v>
      </c>
    </row>
    <row r="915">
      <c r="A915" s="2">
        <f>IFERROR(__xludf.DUMMYFUNCTION("""COMPUTED_VALUE"""),45428.66666666667)</f>
        <v>45428.66667</v>
      </c>
      <c r="B915" s="1">
        <f>IFERROR(__xludf.DUMMYFUNCTION("""COMPUTED_VALUE"""),393.57)</f>
        <v>393.57</v>
      </c>
    </row>
    <row r="916">
      <c r="A916" s="2">
        <f>IFERROR(__xludf.DUMMYFUNCTION("""COMPUTED_VALUE"""),45429.66666666667)</f>
        <v>45429.66667</v>
      </c>
      <c r="B916" s="1">
        <f>IFERROR(__xludf.DUMMYFUNCTION("""COMPUTED_VALUE"""),392.8)</f>
        <v>392.8</v>
      </c>
    </row>
    <row r="917">
      <c r="A917" s="2">
        <f>IFERROR(__xludf.DUMMYFUNCTION("""COMPUTED_VALUE"""),45432.66666666667)</f>
        <v>45432.66667</v>
      </c>
      <c r="B917" s="1">
        <f>IFERROR(__xludf.DUMMYFUNCTION("""COMPUTED_VALUE"""),392.08)</f>
        <v>392.08</v>
      </c>
    </row>
    <row r="918">
      <c r="A918" s="2">
        <f>IFERROR(__xludf.DUMMYFUNCTION("""COMPUTED_VALUE"""),45433.66666666667)</f>
        <v>45433.66667</v>
      </c>
      <c r="B918" s="1">
        <f>IFERROR(__xludf.DUMMYFUNCTION("""COMPUTED_VALUE"""),394.61)</f>
        <v>394.61</v>
      </c>
    </row>
    <row r="919">
      <c r="A919" s="2">
        <f>IFERROR(__xludf.DUMMYFUNCTION("""COMPUTED_VALUE"""),45434.66666666667)</f>
        <v>45434.66667</v>
      </c>
      <c r="B919" s="1">
        <f>IFERROR(__xludf.DUMMYFUNCTION("""COMPUTED_VALUE"""),394.53)</f>
        <v>394.53</v>
      </c>
    </row>
    <row r="920">
      <c r="A920" s="2">
        <f>IFERROR(__xludf.DUMMYFUNCTION("""COMPUTED_VALUE"""),45435.66666666667)</f>
        <v>45435.66667</v>
      </c>
      <c r="B920" s="1">
        <f>IFERROR(__xludf.DUMMYFUNCTION("""COMPUTED_VALUE"""),398.36)</f>
        <v>398.36</v>
      </c>
    </row>
    <row r="921">
      <c r="A921" s="2">
        <f>IFERROR(__xludf.DUMMYFUNCTION("""COMPUTED_VALUE"""),45436.66666666667)</f>
        <v>45436.66667</v>
      </c>
      <c r="B921" s="1">
        <f>IFERROR(__xludf.DUMMYFUNCTION("""COMPUTED_VALUE"""),394.4)</f>
        <v>394.4</v>
      </c>
    </row>
    <row r="922">
      <c r="A922" s="2">
        <f>IFERROR(__xludf.DUMMYFUNCTION("""COMPUTED_VALUE"""),45439.66666666667)</f>
        <v>45439.66667</v>
      </c>
      <c r="B922" s="1">
        <f>IFERROR(__xludf.DUMMYFUNCTION("""COMPUTED_VALUE"""),394.83)</f>
        <v>394.83</v>
      </c>
    </row>
    <row r="923">
      <c r="A923" s="2">
        <f>IFERROR(__xludf.DUMMYFUNCTION("""COMPUTED_VALUE"""),45440.66666666667)</f>
        <v>45440.66667</v>
      </c>
      <c r="B923" s="1">
        <f>IFERROR(__xludf.DUMMYFUNCTION("""COMPUTED_VALUE"""),393.64)</f>
        <v>393.64</v>
      </c>
    </row>
    <row r="924">
      <c r="A924" s="2">
        <f>IFERROR(__xludf.DUMMYFUNCTION("""COMPUTED_VALUE"""),45441.66666666667)</f>
        <v>45441.66667</v>
      </c>
      <c r="B924" s="1">
        <f>IFERROR(__xludf.DUMMYFUNCTION("""COMPUTED_VALUE"""),392.24)</f>
        <v>392.24</v>
      </c>
    </row>
    <row r="925">
      <c r="A925" s="2">
        <f>IFERROR(__xludf.DUMMYFUNCTION("""COMPUTED_VALUE"""),45442.66666666667)</f>
        <v>45442.66667</v>
      </c>
      <c r="B925" s="1">
        <f>IFERROR(__xludf.DUMMYFUNCTION("""COMPUTED_VALUE"""),391.6)</f>
        <v>391.6</v>
      </c>
    </row>
    <row r="926">
      <c r="A926" s="2">
        <f>IFERROR(__xludf.DUMMYFUNCTION("""COMPUTED_VALUE"""),45443.66666666667)</f>
        <v>45443.66667</v>
      </c>
      <c r="B926" s="1">
        <f>IFERROR(__xludf.DUMMYFUNCTION("""COMPUTED_VALUE"""),388.99)</f>
        <v>388.99</v>
      </c>
    </row>
    <row r="927">
      <c r="A927" s="2">
        <f>IFERROR(__xludf.DUMMYFUNCTION("""COMPUTED_VALUE"""),45446.66666666667)</f>
        <v>45446.66667</v>
      </c>
      <c r="B927" s="1">
        <f>IFERROR(__xludf.DUMMYFUNCTION("""COMPUTED_VALUE"""),393.42)</f>
        <v>393.42</v>
      </c>
    </row>
    <row r="928">
      <c r="A928" s="2">
        <f>IFERROR(__xludf.DUMMYFUNCTION("""COMPUTED_VALUE"""),45447.66666666667)</f>
        <v>45447.66667</v>
      </c>
      <c r="B928" s="1">
        <f>IFERROR(__xludf.DUMMYFUNCTION("""COMPUTED_VALUE"""),390.93)</f>
        <v>390.93</v>
      </c>
    </row>
    <row r="929">
      <c r="A929" s="2">
        <f>IFERROR(__xludf.DUMMYFUNCTION("""COMPUTED_VALUE"""),45448.66666666667)</f>
        <v>45448.66667</v>
      </c>
      <c r="B929" s="1">
        <f>IFERROR(__xludf.DUMMYFUNCTION("""COMPUTED_VALUE"""),392.21)</f>
        <v>392.21</v>
      </c>
    </row>
    <row r="930">
      <c r="A930" s="2">
        <f>IFERROR(__xludf.DUMMYFUNCTION("""COMPUTED_VALUE"""),45449.66666666667)</f>
        <v>45449.66667</v>
      </c>
      <c r="B930" s="1">
        <f>IFERROR(__xludf.DUMMYFUNCTION("""COMPUTED_VALUE"""),396.0)</f>
        <v>396</v>
      </c>
    </row>
    <row r="931">
      <c r="A931" s="2">
        <f>IFERROR(__xludf.DUMMYFUNCTION("""COMPUTED_VALUE"""),45450.66666666667)</f>
        <v>45450.66667</v>
      </c>
      <c r="B931" s="1">
        <f>IFERROR(__xludf.DUMMYFUNCTION("""COMPUTED_VALUE"""),395.67)</f>
        <v>395.67</v>
      </c>
    </row>
    <row r="932">
      <c r="A932" s="2">
        <f>IFERROR(__xludf.DUMMYFUNCTION("""COMPUTED_VALUE"""),45454.66666666667)</f>
        <v>45454.66667</v>
      </c>
      <c r="B932" s="1">
        <f>IFERROR(__xludf.DUMMYFUNCTION("""COMPUTED_VALUE"""),399.49)</f>
        <v>399.49</v>
      </c>
    </row>
    <row r="933">
      <c r="A933" s="2">
        <f>IFERROR(__xludf.DUMMYFUNCTION("""COMPUTED_VALUE"""),45455.66666666667)</f>
        <v>45455.66667</v>
      </c>
      <c r="B933" s="1">
        <f>IFERROR(__xludf.DUMMYFUNCTION("""COMPUTED_VALUE"""),400.0)</f>
        <v>400</v>
      </c>
    </row>
    <row r="934">
      <c r="A934" s="2">
        <f>IFERROR(__xludf.DUMMYFUNCTION("""COMPUTED_VALUE"""),45456.66666666667)</f>
        <v>45456.66667</v>
      </c>
      <c r="B934" s="1">
        <f>IFERROR(__xludf.DUMMYFUNCTION("""COMPUTED_VALUE"""),402.45)</f>
        <v>402.45</v>
      </c>
    </row>
    <row r="935">
      <c r="A935" s="2">
        <f>IFERROR(__xludf.DUMMYFUNCTION("""COMPUTED_VALUE"""),45457.66666666667)</f>
        <v>45457.66667</v>
      </c>
      <c r="B935" s="1">
        <f>IFERROR(__xludf.DUMMYFUNCTION("""COMPUTED_VALUE"""),403.87)</f>
        <v>403.87</v>
      </c>
    </row>
    <row r="936">
      <c r="A936" s="2">
        <f>IFERROR(__xludf.DUMMYFUNCTION("""COMPUTED_VALUE"""),45460.66666666667)</f>
        <v>45460.66667</v>
      </c>
      <c r="B936" s="1">
        <f>IFERROR(__xludf.DUMMYFUNCTION("""COMPUTED_VALUE"""),404.42)</f>
        <v>404.42</v>
      </c>
    </row>
    <row r="937">
      <c r="A937" s="2">
        <f>IFERROR(__xludf.DUMMYFUNCTION("""COMPUTED_VALUE"""),45461.66666666667)</f>
        <v>45461.66667</v>
      </c>
      <c r="B937" s="1">
        <f>IFERROR(__xludf.DUMMYFUNCTION("""COMPUTED_VALUE"""),406.3)</f>
        <v>406.3</v>
      </c>
    </row>
    <row r="938">
      <c r="A938" s="2">
        <f>IFERROR(__xludf.DUMMYFUNCTION("""COMPUTED_VALUE"""),45462.66666666667)</f>
        <v>45462.66667</v>
      </c>
      <c r="B938" s="1">
        <f>IFERROR(__xludf.DUMMYFUNCTION("""COMPUTED_VALUE"""),404.37)</f>
        <v>404.37</v>
      </c>
    </row>
    <row r="939">
      <c r="A939" s="2">
        <f>IFERROR(__xludf.DUMMYFUNCTION("""COMPUTED_VALUE"""),45463.66666666667)</f>
        <v>45463.66667</v>
      </c>
      <c r="B939" s="1">
        <f>IFERROR(__xludf.DUMMYFUNCTION("""COMPUTED_VALUE"""),405.8)</f>
        <v>405.8</v>
      </c>
    </row>
    <row r="940">
      <c r="A940" s="2">
        <f>IFERROR(__xludf.DUMMYFUNCTION("""COMPUTED_VALUE"""),45464.66666666667)</f>
        <v>45464.66667</v>
      </c>
      <c r="B940" s="1">
        <f>IFERROR(__xludf.DUMMYFUNCTION("""COMPUTED_VALUE"""),404.13)</f>
        <v>404.13</v>
      </c>
    </row>
    <row r="941">
      <c r="A941" s="2">
        <f>IFERROR(__xludf.DUMMYFUNCTION("""COMPUTED_VALUE"""),45467.66666666667)</f>
        <v>45467.66667</v>
      </c>
      <c r="B941" s="1">
        <f>IFERROR(__xludf.DUMMYFUNCTION("""COMPUTED_VALUE"""),404.26)</f>
        <v>404.26</v>
      </c>
    </row>
    <row r="942">
      <c r="A942" s="2">
        <f>IFERROR(__xludf.DUMMYFUNCTION("""COMPUTED_VALUE"""),45468.66666666667)</f>
        <v>45468.66667</v>
      </c>
      <c r="B942" s="1">
        <f>IFERROR(__xludf.DUMMYFUNCTION("""COMPUTED_VALUE"""),402.86)</f>
        <v>402.86</v>
      </c>
    </row>
    <row r="943">
      <c r="A943" s="2">
        <f>IFERROR(__xludf.DUMMYFUNCTION("""COMPUTED_VALUE"""),45469.66666666667)</f>
        <v>45469.66667</v>
      </c>
      <c r="B943" s="1">
        <f>IFERROR(__xludf.DUMMYFUNCTION("""COMPUTED_VALUE"""),402.41)</f>
        <v>402.41</v>
      </c>
    </row>
    <row r="944">
      <c r="A944" s="2">
        <f>IFERROR(__xludf.DUMMYFUNCTION("""COMPUTED_VALUE"""),45470.66666666667)</f>
        <v>45470.66667</v>
      </c>
      <c r="B944" s="1">
        <f>IFERROR(__xludf.DUMMYFUNCTION("""COMPUTED_VALUE"""),402.83)</f>
        <v>402.83</v>
      </c>
    </row>
    <row r="945">
      <c r="A945" s="2">
        <f>IFERROR(__xludf.DUMMYFUNCTION("""COMPUTED_VALUE"""),45471.66666666667)</f>
        <v>45471.66667</v>
      </c>
      <c r="B945" s="1">
        <f>IFERROR(__xludf.DUMMYFUNCTION("""COMPUTED_VALUE"""),406.76)</f>
        <v>406.76</v>
      </c>
    </row>
    <row r="946">
      <c r="A946" s="2">
        <f>IFERROR(__xludf.DUMMYFUNCTION("""COMPUTED_VALUE"""),45474.66666666667)</f>
        <v>45474.66667</v>
      </c>
      <c r="B946" s="1">
        <f>IFERROR(__xludf.DUMMYFUNCTION("""COMPUTED_VALUE"""),402.71)</f>
        <v>402.71</v>
      </c>
    </row>
    <row r="947">
      <c r="A947" s="2">
        <f>IFERROR(__xludf.DUMMYFUNCTION("""COMPUTED_VALUE"""),45475.66666666667)</f>
        <v>45475.66667</v>
      </c>
      <c r="B947" s="1">
        <f>IFERROR(__xludf.DUMMYFUNCTION("""COMPUTED_VALUE"""),402.65)</f>
        <v>402.65</v>
      </c>
    </row>
    <row r="948">
      <c r="A948" s="2">
        <f>IFERROR(__xludf.DUMMYFUNCTION("""COMPUTED_VALUE"""),45476.66666666667)</f>
        <v>45476.66667</v>
      </c>
      <c r="B948" s="1">
        <f>IFERROR(__xludf.DUMMYFUNCTION("""COMPUTED_VALUE"""),403.85)</f>
        <v>403.85</v>
      </c>
    </row>
    <row r="949">
      <c r="A949" s="2">
        <f>IFERROR(__xludf.DUMMYFUNCTION("""COMPUTED_VALUE"""),45477.66666666667)</f>
        <v>45477.66667</v>
      </c>
      <c r="B949" s="1">
        <f>IFERROR(__xludf.DUMMYFUNCTION("""COMPUTED_VALUE"""),403.06)</f>
        <v>403.06</v>
      </c>
    </row>
    <row r="950">
      <c r="A950" s="2">
        <f>IFERROR(__xludf.DUMMYFUNCTION("""COMPUTED_VALUE"""),45478.66666666667)</f>
        <v>45478.66667</v>
      </c>
      <c r="B950" s="1">
        <f>IFERROR(__xludf.DUMMYFUNCTION("""COMPUTED_VALUE"""),402.38)</f>
        <v>402.38</v>
      </c>
    </row>
    <row r="951">
      <c r="A951" s="2">
        <f>IFERROR(__xludf.DUMMYFUNCTION("""COMPUTED_VALUE"""),45481.66666666667)</f>
        <v>45481.66667</v>
      </c>
      <c r="B951" s="1">
        <f>IFERROR(__xludf.DUMMYFUNCTION("""COMPUTED_VALUE"""),402.74)</f>
        <v>402.74</v>
      </c>
    </row>
    <row r="952">
      <c r="A952" s="2">
        <f>IFERROR(__xludf.DUMMYFUNCTION("""COMPUTED_VALUE"""),45482.66666666667)</f>
        <v>45482.66667</v>
      </c>
      <c r="B952" s="1">
        <f>IFERROR(__xludf.DUMMYFUNCTION("""COMPUTED_VALUE"""),404.93)</f>
        <v>404.93</v>
      </c>
    </row>
    <row r="953">
      <c r="A953" s="2">
        <f>IFERROR(__xludf.DUMMYFUNCTION("""COMPUTED_VALUE"""),45483.66666666667)</f>
        <v>45483.66667</v>
      </c>
      <c r="B953" s="1">
        <f>IFERROR(__xludf.DUMMYFUNCTION("""COMPUTED_VALUE"""),404.2)</f>
        <v>404.2</v>
      </c>
    </row>
    <row r="954">
      <c r="A954" s="2">
        <f>IFERROR(__xludf.DUMMYFUNCTION("""COMPUTED_VALUE"""),45484.66666666667)</f>
        <v>45484.66667</v>
      </c>
      <c r="B954" s="1">
        <f>IFERROR(__xludf.DUMMYFUNCTION("""COMPUTED_VALUE"""),406.97)</f>
        <v>406.97</v>
      </c>
    </row>
    <row r="955">
      <c r="A955" s="2">
        <f>IFERROR(__xludf.DUMMYFUNCTION("""COMPUTED_VALUE"""),45485.66666666667)</f>
        <v>45485.66667</v>
      </c>
      <c r="B955" s="1">
        <f>IFERROR(__xludf.DUMMYFUNCTION("""COMPUTED_VALUE"""),405.44)</f>
        <v>405.44</v>
      </c>
    </row>
    <row r="956">
      <c r="A956" s="2">
        <f>IFERROR(__xludf.DUMMYFUNCTION("""COMPUTED_VALUE"""),45488.66666666667)</f>
        <v>45488.66667</v>
      </c>
      <c r="B956" s="1">
        <f>IFERROR(__xludf.DUMMYFUNCTION("""COMPUTED_VALUE"""),408.18)</f>
        <v>408.18</v>
      </c>
    </row>
    <row r="957">
      <c r="A957" s="2">
        <f>IFERROR(__xludf.DUMMYFUNCTION("""COMPUTED_VALUE"""),45489.66666666667)</f>
        <v>45489.66667</v>
      </c>
      <c r="B957" s="1">
        <f>IFERROR(__xludf.DUMMYFUNCTION("""COMPUTED_VALUE"""),411.5)</f>
        <v>411.5</v>
      </c>
    </row>
    <row r="958">
      <c r="A958" s="2">
        <f>IFERROR(__xludf.DUMMYFUNCTION("""COMPUTED_VALUE"""),45490.66666666667)</f>
        <v>45490.66667</v>
      </c>
      <c r="B958" s="1">
        <f>IFERROR(__xludf.DUMMYFUNCTION("""COMPUTED_VALUE"""),413.5)</f>
        <v>413.5</v>
      </c>
    </row>
    <row r="959">
      <c r="A959" s="2">
        <f>IFERROR(__xludf.DUMMYFUNCTION("""COMPUTED_VALUE"""),45491.66666666667)</f>
        <v>45491.66667</v>
      </c>
      <c r="B959" s="1">
        <f>IFERROR(__xludf.DUMMYFUNCTION("""COMPUTED_VALUE"""),409.83)</f>
        <v>409.83</v>
      </c>
    </row>
    <row r="960">
      <c r="A960" s="2">
        <f>IFERROR(__xludf.DUMMYFUNCTION("""COMPUTED_VALUE"""),45492.66666666667)</f>
        <v>45492.66667</v>
      </c>
      <c r="B960" s="1">
        <f>IFERROR(__xludf.DUMMYFUNCTION("""COMPUTED_VALUE"""),408.48)</f>
        <v>408.48</v>
      </c>
    </row>
    <row r="961">
      <c r="A961" s="2">
        <f>IFERROR(__xludf.DUMMYFUNCTION("""COMPUTED_VALUE"""),45495.66666666667)</f>
        <v>45495.66667</v>
      </c>
      <c r="B961" s="1">
        <f>IFERROR(__xludf.DUMMYFUNCTION("""COMPUTED_VALUE"""),407.78)</f>
        <v>407.78</v>
      </c>
    </row>
    <row r="962">
      <c r="A962" s="2">
        <f>IFERROR(__xludf.DUMMYFUNCTION("""COMPUTED_VALUE"""),45496.66666666667)</f>
        <v>45496.66667</v>
      </c>
      <c r="B962" s="1">
        <f>IFERROR(__xludf.DUMMYFUNCTION("""COMPUTED_VALUE"""),412.47)</f>
        <v>412.47</v>
      </c>
    </row>
    <row r="963">
      <c r="A963" s="2">
        <f>IFERROR(__xludf.DUMMYFUNCTION("""COMPUTED_VALUE"""),45497.66666666667)</f>
        <v>45497.66667</v>
      </c>
      <c r="B963" s="1">
        <f>IFERROR(__xludf.DUMMYFUNCTION("""COMPUTED_VALUE"""),413.35)</f>
        <v>413.35</v>
      </c>
    </row>
    <row r="964">
      <c r="A964" s="2">
        <f>IFERROR(__xludf.DUMMYFUNCTION("""COMPUTED_VALUE"""),45498.66666666667)</f>
        <v>45498.66667</v>
      </c>
      <c r="B964" s="1">
        <f>IFERROR(__xludf.DUMMYFUNCTION("""COMPUTED_VALUE"""),408.74)</f>
        <v>408.74</v>
      </c>
    </row>
    <row r="965">
      <c r="A965" s="2">
        <f>IFERROR(__xludf.DUMMYFUNCTION("""COMPUTED_VALUE"""),45499.66666666667)</f>
        <v>45499.66667</v>
      </c>
      <c r="B965" s="1">
        <f>IFERROR(__xludf.DUMMYFUNCTION("""COMPUTED_VALUE"""),408.98)</f>
        <v>408.98</v>
      </c>
    </row>
    <row r="966">
      <c r="A966" s="2">
        <f>IFERROR(__xludf.DUMMYFUNCTION("""COMPUTED_VALUE"""),45502.66666666667)</f>
        <v>45502.66667</v>
      </c>
      <c r="B966" s="1">
        <f>IFERROR(__xludf.DUMMYFUNCTION("""COMPUTED_VALUE"""),413.57)</f>
        <v>413.57</v>
      </c>
    </row>
    <row r="967">
      <c r="A967" s="2">
        <f>IFERROR(__xludf.DUMMYFUNCTION("""COMPUTED_VALUE"""),45503.66666666667)</f>
        <v>45503.66667</v>
      </c>
      <c r="B967" s="1">
        <f>IFERROR(__xludf.DUMMYFUNCTION("""COMPUTED_VALUE"""),411.56)</f>
        <v>411.56</v>
      </c>
    </row>
    <row r="968">
      <c r="A968" s="2">
        <f>IFERROR(__xludf.DUMMYFUNCTION("""COMPUTED_VALUE"""),45504.66666666667)</f>
        <v>45504.66667</v>
      </c>
      <c r="B968" s="1">
        <f>IFERROR(__xludf.DUMMYFUNCTION("""COMPUTED_VALUE"""),416.49)</f>
        <v>416.49</v>
      </c>
    </row>
    <row r="969">
      <c r="A969" s="2">
        <f>IFERROR(__xludf.DUMMYFUNCTION("""COMPUTED_VALUE"""),45505.66666666667)</f>
        <v>45505.66667</v>
      </c>
      <c r="B969" s="1">
        <f>IFERROR(__xludf.DUMMYFUNCTION("""COMPUTED_VALUE"""),419.45)</f>
        <v>419.45</v>
      </c>
    </row>
    <row r="970">
      <c r="A970" s="2">
        <f>IFERROR(__xludf.DUMMYFUNCTION("""COMPUTED_VALUE"""),45506.66666666667)</f>
        <v>45506.66667</v>
      </c>
      <c r="B970" s="1">
        <f>IFERROR(__xludf.DUMMYFUNCTION("""COMPUTED_VALUE"""),408.65)</f>
        <v>408.65</v>
      </c>
    </row>
    <row r="971">
      <c r="A971" s="2">
        <f>IFERROR(__xludf.DUMMYFUNCTION("""COMPUTED_VALUE"""),45509.66666666667)</f>
        <v>45509.66667</v>
      </c>
      <c r="B971" s="1">
        <f>IFERROR(__xludf.DUMMYFUNCTION("""COMPUTED_VALUE"""),400.07)</f>
        <v>400.07</v>
      </c>
    </row>
    <row r="972">
      <c r="A972" s="2">
        <f>IFERROR(__xludf.DUMMYFUNCTION("""COMPUTED_VALUE"""),45510.66666666667)</f>
        <v>45510.66667</v>
      </c>
      <c r="B972" s="1">
        <f>IFERROR(__xludf.DUMMYFUNCTION("""COMPUTED_VALUE"""),397.28)</f>
        <v>397.28</v>
      </c>
    </row>
    <row r="973">
      <c r="A973" s="2">
        <f>IFERROR(__xludf.DUMMYFUNCTION("""COMPUTED_VALUE"""),45511.66666666667)</f>
        <v>45511.66667</v>
      </c>
      <c r="B973" s="1">
        <f>IFERROR(__xludf.DUMMYFUNCTION("""COMPUTED_VALUE"""),396.42)</f>
        <v>396.42</v>
      </c>
    </row>
    <row r="974">
      <c r="A974" s="2">
        <f>IFERROR(__xludf.DUMMYFUNCTION("""COMPUTED_VALUE"""),45512.66666666667)</f>
        <v>45512.66667</v>
      </c>
      <c r="B974" s="1">
        <f>IFERROR(__xludf.DUMMYFUNCTION("""COMPUTED_VALUE"""),390.33)</f>
        <v>390.33</v>
      </c>
    </row>
    <row r="975">
      <c r="A975" s="2">
        <f>IFERROR(__xludf.DUMMYFUNCTION("""COMPUTED_VALUE"""),45513.66666666667)</f>
        <v>45513.66667</v>
      </c>
      <c r="B975" s="1">
        <f>IFERROR(__xludf.DUMMYFUNCTION("""COMPUTED_VALUE"""),397.3)</f>
        <v>397.3</v>
      </c>
    </row>
    <row r="976">
      <c r="A976" s="2">
        <f>IFERROR(__xludf.DUMMYFUNCTION("""COMPUTED_VALUE"""),45516.66666666667)</f>
        <v>45516.66667</v>
      </c>
      <c r="B976" s="1">
        <f>IFERROR(__xludf.DUMMYFUNCTION("""COMPUTED_VALUE"""),399.6)</f>
        <v>399.6</v>
      </c>
    </row>
    <row r="977">
      <c r="A977" s="2">
        <f>IFERROR(__xludf.DUMMYFUNCTION("""COMPUTED_VALUE"""),45517.66666666667)</f>
        <v>45517.66667</v>
      </c>
      <c r="B977" s="1">
        <f>IFERROR(__xludf.DUMMYFUNCTION("""COMPUTED_VALUE"""),399.49)</f>
        <v>399.49</v>
      </c>
    </row>
    <row r="978">
      <c r="A978" s="2">
        <f>IFERROR(__xludf.DUMMYFUNCTION("""COMPUTED_VALUE"""),45518.66666666667)</f>
        <v>45518.66667</v>
      </c>
      <c r="B978" s="1">
        <f>IFERROR(__xludf.DUMMYFUNCTION("""COMPUTED_VALUE"""),403.33)</f>
        <v>403.33</v>
      </c>
    </row>
    <row r="979">
      <c r="A979" s="2">
        <f>IFERROR(__xludf.DUMMYFUNCTION("""COMPUTED_VALUE"""),45519.66666666667)</f>
        <v>45519.66667</v>
      </c>
      <c r="B979" s="1">
        <f>IFERROR(__xludf.DUMMYFUNCTION("""COMPUTED_VALUE"""),405.57)</f>
        <v>405.57</v>
      </c>
    </row>
    <row r="980">
      <c r="A980" s="2">
        <f>IFERROR(__xludf.DUMMYFUNCTION("""COMPUTED_VALUE"""),45520.66666666667)</f>
        <v>45520.66667</v>
      </c>
      <c r="B980" s="1">
        <f>IFERROR(__xludf.DUMMYFUNCTION("""COMPUTED_VALUE"""),412.43)</f>
        <v>412.43</v>
      </c>
    </row>
    <row r="981">
      <c r="A981" s="2">
        <f>IFERROR(__xludf.DUMMYFUNCTION("""COMPUTED_VALUE"""),45523.66666666667)</f>
        <v>45523.66667</v>
      </c>
      <c r="B981" s="1">
        <f>IFERROR(__xludf.DUMMYFUNCTION("""COMPUTED_VALUE"""),408.72)</f>
        <v>408.72</v>
      </c>
    </row>
    <row r="982">
      <c r="A982" s="2">
        <f>IFERROR(__xludf.DUMMYFUNCTION("""COMPUTED_VALUE"""),45524.66666666667)</f>
        <v>45524.66667</v>
      </c>
      <c r="B982" s="1">
        <f>IFERROR(__xludf.DUMMYFUNCTION("""COMPUTED_VALUE"""),410.57)</f>
        <v>410.57</v>
      </c>
    </row>
    <row r="983">
      <c r="A983" s="2">
        <f>IFERROR(__xludf.DUMMYFUNCTION("""COMPUTED_VALUE"""),45525.66666666667)</f>
        <v>45525.66667</v>
      </c>
      <c r="B983" s="1">
        <f>IFERROR(__xludf.DUMMYFUNCTION("""COMPUTED_VALUE"""),408.59)</f>
        <v>408.59</v>
      </c>
    </row>
    <row r="984">
      <c r="A984" s="2">
        <f>IFERROR(__xludf.DUMMYFUNCTION("""COMPUTED_VALUE"""),45526.66666666667)</f>
        <v>45526.66667</v>
      </c>
      <c r="B984" s="1">
        <f>IFERROR(__xludf.DUMMYFUNCTION("""COMPUTED_VALUE"""),410.35)</f>
        <v>410.35</v>
      </c>
    </row>
    <row r="985">
      <c r="A985" s="2">
        <f>IFERROR(__xludf.DUMMYFUNCTION("""COMPUTED_VALUE"""),45527.66666666667)</f>
        <v>45527.66667</v>
      </c>
      <c r="B985" s="1">
        <f>IFERROR(__xludf.DUMMYFUNCTION("""COMPUTED_VALUE"""),409.88)</f>
        <v>409.88</v>
      </c>
    </row>
    <row r="986">
      <c r="A986" s="2">
        <f>IFERROR(__xludf.DUMMYFUNCTION("""COMPUTED_VALUE"""),45530.66666666667)</f>
        <v>45530.66667</v>
      </c>
      <c r="B986" s="1">
        <f>IFERROR(__xludf.DUMMYFUNCTION("""COMPUTED_VALUE"""),410.1)</f>
        <v>410.1</v>
      </c>
    </row>
    <row r="987">
      <c r="A987" s="2">
        <f>IFERROR(__xludf.DUMMYFUNCTION("""COMPUTED_VALUE"""),45531.66666666667)</f>
        <v>45531.66667</v>
      </c>
      <c r="B987" s="1">
        <f>IFERROR(__xludf.DUMMYFUNCTION("""COMPUTED_VALUE"""),408.17)</f>
        <v>408.17</v>
      </c>
    </row>
    <row r="988">
      <c r="A988" s="2">
        <f>IFERROR(__xludf.DUMMYFUNCTION("""COMPUTED_VALUE"""),45532.66666666667)</f>
        <v>45532.66667</v>
      </c>
      <c r="B988" s="1">
        <f>IFERROR(__xludf.DUMMYFUNCTION("""COMPUTED_VALUE"""),408.57)</f>
        <v>408.57</v>
      </c>
    </row>
    <row r="989">
      <c r="A989" s="2">
        <f>IFERROR(__xludf.DUMMYFUNCTION("""COMPUTED_VALUE"""),45533.66666666667)</f>
        <v>45533.66667</v>
      </c>
      <c r="B989" s="1">
        <f>IFERROR(__xludf.DUMMYFUNCTION("""COMPUTED_VALUE"""),404.28)</f>
        <v>404.28</v>
      </c>
    </row>
    <row r="990">
      <c r="A990" s="2">
        <f>IFERROR(__xludf.DUMMYFUNCTION("""COMPUTED_VALUE"""),45534.66666666667)</f>
        <v>45534.66667</v>
      </c>
      <c r="B990" s="1">
        <f>IFERROR(__xludf.DUMMYFUNCTION("""COMPUTED_VALUE"""),406.41)</f>
        <v>406.41</v>
      </c>
    </row>
    <row r="991">
      <c r="A991" s="2">
        <f>IFERROR(__xludf.DUMMYFUNCTION("""COMPUTED_VALUE"""),45537.66666666667)</f>
        <v>45537.66667</v>
      </c>
      <c r="B991" s="1">
        <f>IFERROR(__xludf.DUMMYFUNCTION("""COMPUTED_VALUE"""),410.54)</f>
        <v>410.54</v>
      </c>
    </row>
    <row r="992">
      <c r="A992" s="2">
        <f>IFERROR(__xludf.DUMMYFUNCTION("""COMPUTED_VALUE"""),45538.66666666667)</f>
        <v>45538.66667</v>
      </c>
      <c r="B992" s="1">
        <f>IFERROR(__xludf.DUMMYFUNCTION("""COMPUTED_VALUE"""),412.91)</f>
        <v>412.91</v>
      </c>
    </row>
    <row r="993">
      <c r="A993" s="2">
        <f>IFERROR(__xludf.DUMMYFUNCTION("""COMPUTED_VALUE"""),45539.66666666667)</f>
        <v>45539.66667</v>
      </c>
      <c r="B993" s="1">
        <f>IFERROR(__xludf.DUMMYFUNCTION("""COMPUTED_VALUE"""),404.55)</f>
        <v>404.55</v>
      </c>
    </row>
    <row r="994">
      <c r="A994" s="2">
        <f>IFERROR(__xludf.DUMMYFUNCTION("""COMPUTED_VALUE"""),45540.66666666667)</f>
        <v>45540.66667</v>
      </c>
      <c r="B994" s="1">
        <f>IFERROR(__xludf.DUMMYFUNCTION("""COMPUTED_VALUE"""),404.3)</f>
        <v>404.3</v>
      </c>
    </row>
    <row r="995">
      <c r="A995" s="2">
        <f>IFERROR(__xludf.DUMMYFUNCTION("""COMPUTED_VALUE"""),45541.66666666667)</f>
        <v>45541.66667</v>
      </c>
      <c r="B995" s="1">
        <f>IFERROR(__xludf.DUMMYFUNCTION("""COMPUTED_VALUE"""),402.5)</f>
        <v>402.5</v>
      </c>
    </row>
    <row r="996">
      <c r="A996" s="2">
        <f>IFERROR(__xludf.DUMMYFUNCTION("""COMPUTED_VALUE"""),45544.66666666667)</f>
        <v>45544.66667</v>
      </c>
      <c r="B996" s="1">
        <f>IFERROR(__xludf.DUMMYFUNCTION("""COMPUTED_VALUE"""),401.3)</f>
        <v>401.3</v>
      </c>
    </row>
    <row r="997">
      <c r="A997" s="2">
        <f>IFERROR(__xludf.DUMMYFUNCTION("""COMPUTED_VALUE"""),45545.66666666667)</f>
        <v>45545.66667</v>
      </c>
      <c r="B997" s="1">
        <f>IFERROR(__xludf.DUMMYFUNCTION("""COMPUTED_VALUE"""),403.02)</f>
        <v>403.02</v>
      </c>
    </row>
    <row r="998">
      <c r="A998" s="2">
        <f>IFERROR(__xludf.DUMMYFUNCTION("""COMPUTED_VALUE"""),45546.66666666667)</f>
        <v>45546.66667</v>
      </c>
      <c r="B998" s="1">
        <f>IFERROR(__xludf.DUMMYFUNCTION("""COMPUTED_VALUE"""),404.39)</f>
        <v>404.39</v>
      </c>
    </row>
    <row r="999">
      <c r="A999" s="2">
        <f>IFERROR(__xludf.DUMMYFUNCTION("""COMPUTED_VALUE"""),45547.66666666667)</f>
        <v>45547.66667</v>
      </c>
      <c r="B999" s="1">
        <f>IFERROR(__xludf.DUMMYFUNCTION("""COMPUTED_VALUE"""),409.19)</f>
        <v>409.19</v>
      </c>
    </row>
    <row r="1000">
      <c r="A1000" s="2">
        <f>IFERROR(__xludf.DUMMYFUNCTION("""COMPUTED_VALUE"""),45548.66666666667)</f>
        <v>45548.66667</v>
      </c>
      <c r="B1000" s="1">
        <f>IFERROR(__xludf.DUMMYFUNCTION("""COMPUTED_VALUE"""),410.02)</f>
        <v>410.02</v>
      </c>
    </row>
    <row r="1001">
      <c r="A1001" s="2">
        <f>IFERROR(__xludf.DUMMYFUNCTION("""COMPUTED_VALUE"""),45551.66666666667)</f>
        <v>45551.66667</v>
      </c>
      <c r="B1001" s="1">
        <f>IFERROR(__xludf.DUMMYFUNCTION("""COMPUTED_VALUE"""),412.47)</f>
        <v>412.47</v>
      </c>
    </row>
    <row r="1002">
      <c r="A1002" s="2">
        <f>IFERROR(__xludf.DUMMYFUNCTION("""COMPUTED_VALUE"""),45552.66666666667)</f>
        <v>45552.66667</v>
      </c>
      <c r="B1002" s="1">
        <f>IFERROR(__xludf.DUMMYFUNCTION("""COMPUTED_VALUE"""),411.46)</f>
        <v>411.46</v>
      </c>
    </row>
    <row r="1003">
      <c r="A1003" s="2">
        <f>IFERROR(__xludf.DUMMYFUNCTION("""COMPUTED_VALUE"""),45553.66666666667)</f>
        <v>45553.66667</v>
      </c>
      <c r="B1003" s="1">
        <f>IFERROR(__xludf.DUMMYFUNCTION("""COMPUTED_VALUE"""),411.81)</f>
        <v>411.81</v>
      </c>
    </row>
    <row r="1004">
      <c r="A1004" s="2">
        <f>IFERROR(__xludf.DUMMYFUNCTION("""COMPUTED_VALUE"""),45554.66666666667)</f>
        <v>45554.66667</v>
      </c>
      <c r="B1004" s="1">
        <f>IFERROR(__xludf.DUMMYFUNCTION("""COMPUTED_VALUE"""),412.33)</f>
        <v>412.33</v>
      </c>
    </row>
    <row r="1005">
      <c r="A1005" s="2">
        <f>IFERROR(__xludf.DUMMYFUNCTION("""COMPUTED_VALUE"""),45555.66666666667)</f>
        <v>45555.66667</v>
      </c>
      <c r="B1005" s="1">
        <f>IFERROR(__xludf.DUMMYFUNCTION("""COMPUTED_VALUE"""),413.42)</f>
        <v>413.42</v>
      </c>
    </row>
    <row r="1006">
      <c r="A1006" s="2">
        <f>IFERROR(__xludf.DUMMYFUNCTION("""COMPUTED_VALUE"""),45558.66666666667)</f>
        <v>45558.66667</v>
      </c>
      <c r="B1006" s="1">
        <f>IFERROR(__xludf.DUMMYFUNCTION("""COMPUTED_VALUE"""),413.43)</f>
        <v>413.43</v>
      </c>
    </row>
    <row r="1007">
      <c r="A1007" s="2">
        <f>IFERROR(__xludf.DUMMYFUNCTION("""COMPUTED_VALUE"""),45559.66666666667)</f>
        <v>45559.66667</v>
      </c>
      <c r="B1007" s="1">
        <f>IFERROR(__xludf.DUMMYFUNCTION("""COMPUTED_VALUE"""),413.37)</f>
        <v>413.37</v>
      </c>
    </row>
    <row r="1008">
      <c r="A1008" s="2">
        <f>IFERROR(__xludf.DUMMYFUNCTION("""COMPUTED_VALUE"""),45560.66666666667)</f>
        <v>45560.66667</v>
      </c>
      <c r="B1008" s="1">
        <f>IFERROR(__xludf.DUMMYFUNCTION("""COMPUTED_VALUE"""),410.57)</f>
        <v>410.57</v>
      </c>
    </row>
    <row r="1009">
      <c r="A1009" s="2">
        <f>IFERROR(__xludf.DUMMYFUNCTION("""COMPUTED_VALUE"""),45561.66666666667)</f>
        <v>45561.66667</v>
      </c>
      <c r="B1009" s="1">
        <f>IFERROR(__xludf.DUMMYFUNCTION("""COMPUTED_VALUE"""),413.83)</f>
        <v>413.83</v>
      </c>
    </row>
    <row r="1010">
      <c r="A1010" s="2">
        <f>IFERROR(__xludf.DUMMYFUNCTION("""COMPUTED_VALUE"""),45562.66666666667)</f>
        <v>45562.66667</v>
      </c>
      <c r="B1010" s="1">
        <f>IFERROR(__xludf.DUMMYFUNCTION("""COMPUTED_VALUE"""),410.81)</f>
        <v>410.81</v>
      </c>
    </row>
    <row r="1011">
      <c r="A1011" s="2">
        <f>IFERROR(__xludf.DUMMYFUNCTION("""COMPUTED_VALUE"""),45565.66666666667)</f>
        <v>45565.66667</v>
      </c>
      <c r="B1011" s="1">
        <f>IFERROR(__xludf.DUMMYFUNCTION("""COMPUTED_VALUE"""),406.78)</f>
        <v>406.78</v>
      </c>
    </row>
    <row r="1012">
      <c r="A1012" s="2">
        <f>IFERROR(__xludf.DUMMYFUNCTION("""COMPUTED_VALUE"""),45566.66666666667)</f>
        <v>45566.66667</v>
      </c>
      <c r="B1012" s="1">
        <f>IFERROR(__xludf.DUMMYFUNCTION("""COMPUTED_VALUE"""),408.74)</f>
        <v>408.74</v>
      </c>
    </row>
    <row r="1013">
      <c r="A1013" s="2">
        <f>IFERROR(__xludf.DUMMYFUNCTION("""COMPUTED_VALUE"""),45567.66666666667)</f>
        <v>45567.66667</v>
      </c>
      <c r="B1013" s="1">
        <f>IFERROR(__xludf.DUMMYFUNCTION("""COMPUTED_VALUE"""),406.47)</f>
        <v>406.47</v>
      </c>
    </row>
    <row r="1014">
      <c r="A1014" s="2">
        <f>IFERROR(__xludf.DUMMYFUNCTION("""COMPUTED_VALUE"""),45568.66666666667)</f>
        <v>45568.66667</v>
      </c>
      <c r="B1014" s="1">
        <f>IFERROR(__xludf.DUMMYFUNCTION("""COMPUTED_VALUE"""),408.0)</f>
        <v>408</v>
      </c>
    </row>
    <row r="1015">
      <c r="A1015" s="2">
        <f>IFERROR(__xludf.DUMMYFUNCTION("""COMPUTED_VALUE"""),45569.66666666667)</f>
        <v>45569.66667</v>
      </c>
      <c r="B1015" s="1">
        <f>IFERROR(__xludf.DUMMYFUNCTION("""COMPUTED_VALUE"""),409.65)</f>
        <v>409.65</v>
      </c>
    </row>
    <row r="1016">
      <c r="A1016" s="2">
        <f>IFERROR(__xludf.DUMMYFUNCTION("""COMPUTED_VALUE"""),45572.66666666667)</f>
        <v>45572.66667</v>
      </c>
      <c r="B1016" s="1">
        <f>IFERROR(__xludf.DUMMYFUNCTION("""COMPUTED_VALUE"""),415.44)</f>
        <v>415.44</v>
      </c>
    </row>
    <row r="1017">
      <c r="A1017" s="2">
        <f>IFERROR(__xludf.DUMMYFUNCTION("""COMPUTED_VALUE"""),45573.66666666667)</f>
        <v>45573.66667</v>
      </c>
      <c r="B1017" s="1">
        <f>IFERROR(__xludf.DUMMYFUNCTION("""COMPUTED_VALUE"""),416.35)</f>
        <v>416.35</v>
      </c>
    </row>
    <row r="1018">
      <c r="A1018" s="2">
        <f>IFERROR(__xludf.DUMMYFUNCTION("""COMPUTED_VALUE"""),45574.66666666667)</f>
        <v>45574.66667</v>
      </c>
      <c r="B1018" s="1">
        <f>IFERROR(__xludf.DUMMYFUNCTION("""COMPUTED_VALUE"""),419.54)</f>
        <v>419.54</v>
      </c>
    </row>
    <row r="1019">
      <c r="A1019" s="2">
        <f>IFERROR(__xludf.DUMMYFUNCTION("""COMPUTED_VALUE"""),45575.66666666667)</f>
        <v>45575.66667</v>
      </c>
      <c r="B1019" s="1">
        <f>IFERROR(__xludf.DUMMYFUNCTION("""COMPUTED_VALUE"""),422.31)</f>
        <v>422.31</v>
      </c>
    </row>
    <row r="1020">
      <c r="A1020" s="2">
        <f>IFERROR(__xludf.DUMMYFUNCTION("""COMPUTED_VALUE"""),45576.66666666667)</f>
        <v>45576.66667</v>
      </c>
      <c r="B1020" s="1">
        <f>IFERROR(__xludf.DUMMYFUNCTION("""COMPUTED_VALUE"""),421.7)</f>
        <v>421.7</v>
      </c>
    </row>
    <row r="1021">
      <c r="A1021" s="2">
        <f>IFERROR(__xludf.DUMMYFUNCTION("""COMPUTED_VALUE"""),45579.66666666667)</f>
        <v>45579.66667</v>
      </c>
      <c r="B1021" s="1">
        <f>IFERROR(__xludf.DUMMYFUNCTION("""COMPUTED_VALUE"""),424.96)</f>
        <v>424.96</v>
      </c>
    </row>
    <row r="1022">
      <c r="A1022" s="2">
        <f>IFERROR(__xludf.DUMMYFUNCTION("""COMPUTED_VALUE"""),45580.66666666667)</f>
        <v>45580.66667</v>
      </c>
      <c r="B1022" s="1">
        <f>IFERROR(__xludf.DUMMYFUNCTION("""COMPUTED_VALUE"""),430.39)</f>
        <v>430.39</v>
      </c>
    </row>
    <row r="1023">
      <c r="A1023" s="2">
        <f>IFERROR(__xludf.DUMMYFUNCTION("""COMPUTED_VALUE"""),45581.66666666667)</f>
        <v>45581.66667</v>
      </c>
      <c r="B1023" s="1">
        <f>IFERROR(__xludf.DUMMYFUNCTION("""COMPUTED_VALUE"""),428.5)</f>
        <v>428.5</v>
      </c>
    </row>
    <row r="1024">
      <c r="A1024" s="2">
        <f>IFERROR(__xludf.DUMMYFUNCTION("""COMPUTED_VALUE"""),45582.66666666667)</f>
        <v>45582.66667</v>
      </c>
      <c r="B1024" s="1">
        <f>IFERROR(__xludf.DUMMYFUNCTION("""COMPUTED_VALUE"""),429.65)</f>
        <v>429.65</v>
      </c>
    </row>
    <row r="1025">
      <c r="A1025" s="2">
        <f>IFERROR(__xludf.DUMMYFUNCTION("""COMPUTED_VALUE"""),45583.66666666667)</f>
        <v>45583.66667</v>
      </c>
      <c r="B1025" s="1">
        <f>IFERROR(__xludf.DUMMYFUNCTION("""COMPUTED_VALUE"""),429.77)</f>
        <v>429.77</v>
      </c>
    </row>
    <row r="1026">
      <c r="A1026" s="2">
        <f>IFERROR(__xludf.DUMMYFUNCTION("""COMPUTED_VALUE"""),45586.66666666667)</f>
        <v>45586.66667</v>
      </c>
      <c r="B1026" s="1">
        <f>IFERROR(__xludf.DUMMYFUNCTION("""COMPUTED_VALUE"""),431.09)</f>
        <v>431.09</v>
      </c>
    </row>
    <row r="1027">
      <c r="A1027" s="2">
        <f>IFERROR(__xludf.DUMMYFUNCTION("""COMPUTED_VALUE"""),45587.66666666667)</f>
        <v>45587.66667</v>
      </c>
      <c r="B1027" s="1">
        <f>IFERROR(__xludf.DUMMYFUNCTION("""COMPUTED_VALUE"""),429.95)</f>
        <v>429.95</v>
      </c>
    </row>
    <row r="1028">
      <c r="A1028" s="2">
        <f>IFERROR(__xludf.DUMMYFUNCTION("""COMPUTED_VALUE"""),45588.66666666667)</f>
        <v>45588.66667</v>
      </c>
      <c r="B1028" s="1">
        <f>IFERROR(__xludf.DUMMYFUNCTION("""COMPUTED_VALUE"""),430.86)</f>
        <v>430.86</v>
      </c>
    </row>
    <row r="1029">
      <c r="A1029" s="2">
        <f>IFERROR(__xludf.DUMMYFUNCTION("""COMPUTED_VALUE"""),45589.66666666667)</f>
        <v>45589.66667</v>
      </c>
      <c r="B1029" s="1">
        <f>IFERROR(__xludf.DUMMYFUNCTION("""COMPUTED_VALUE"""),430.15)</f>
        <v>430.15</v>
      </c>
    </row>
    <row r="1030">
      <c r="A1030" s="2">
        <f>IFERROR(__xludf.DUMMYFUNCTION("""COMPUTED_VALUE"""),45590.66666666667)</f>
        <v>45590.66667</v>
      </c>
      <c r="B1030" s="1">
        <f>IFERROR(__xludf.DUMMYFUNCTION("""COMPUTED_VALUE"""),431.6)</f>
        <v>431.6</v>
      </c>
    </row>
    <row r="1031">
      <c r="A1031" s="2">
        <f>IFERROR(__xludf.DUMMYFUNCTION("""COMPUTED_VALUE"""),45593.66666666667)</f>
        <v>45593.66667</v>
      </c>
      <c r="B1031" s="1">
        <f>IFERROR(__xludf.DUMMYFUNCTION("""COMPUTED_VALUE"""),436.06)</f>
        <v>436.06</v>
      </c>
    </row>
    <row r="1032">
      <c r="A1032" s="2">
        <f>IFERROR(__xludf.DUMMYFUNCTION("""COMPUTED_VALUE"""),45594.66666666667)</f>
        <v>45594.66667</v>
      </c>
      <c r="B1032" s="1">
        <f>IFERROR(__xludf.DUMMYFUNCTION("""COMPUTED_VALUE"""),436.8)</f>
        <v>436.8</v>
      </c>
    </row>
    <row r="1033">
      <c r="A1033" s="2">
        <f>IFERROR(__xludf.DUMMYFUNCTION("""COMPUTED_VALUE"""),45595.66666666667)</f>
        <v>45595.66667</v>
      </c>
      <c r="B1033" s="1">
        <f>IFERROR(__xludf.DUMMYFUNCTION("""COMPUTED_VALUE"""),439.81)</f>
        <v>439.81</v>
      </c>
    </row>
    <row r="1034">
      <c r="A1034" s="2">
        <f>IFERROR(__xludf.DUMMYFUNCTION("""COMPUTED_VALUE"""),45596.66666666667)</f>
        <v>45596.66667</v>
      </c>
      <c r="B1034" s="1">
        <f>IFERROR(__xludf.DUMMYFUNCTION("""COMPUTED_VALUE"""),434.58)</f>
        <v>434.58</v>
      </c>
    </row>
    <row r="1035">
      <c r="A1035" s="2">
        <f>IFERROR(__xludf.DUMMYFUNCTION("""COMPUTED_VALUE"""),45597.66666666667)</f>
        <v>45597.66667</v>
      </c>
      <c r="B1035" s="1">
        <f>IFERROR(__xludf.DUMMYFUNCTION("""COMPUTED_VALUE"""),428.66)</f>
        <v>428.66</v>
      </c>
    </row>
    <row r="1036">
      <c r="A1036" s="2">
        <f>IFERROR(__xludf.DUMMYFUNCTION("""COMPUTED_VALUE"""),45600.66666666667)</f>
        <v>45600.66667</v>
      </c>
      <c r="B1036" s="1">
        <f>IFERROR(__xludf.DUMMYFUNCTION("""COMPUTED_VALUE"""),428.28)</f>
        <v>428.28</v>
      </c>
    </row>
    <row r="1037">
      <c r="A1037" s="2">
        <f>IFERROR(__xludf.DUMMYFUNCTION("""COMPUTED_VALUE"""),45601.66666666667)</f>
        <v>45601.66667</v>
      </c>
      <c r="B1037" s="1">
        <f>IFERROR(__xludf.DUMMYFUNCTION("""COMPUTED_VALUE"""),427.61)</f>
        <v>427.61</v>
      </c>
    </row>
    <row r="1038">
      <c r="A1038" s="2">
        <f>IFERROR(__xludf.DUMMYFUNCTION("""COMPUTED_VALUE"""),45602.66666666667)</f>
        <v>45602.66667</v>
      </c>
      <c r="B1038" s="1">
        <f>IFERROR(__xludf.DUMMYFUNCTION("""COMPUTED_VALUE"""),440.86)</f>
        <v>440.86</v>
      </c>
    </row>
    <row r="1039">
      <c r="A1039" s="2">
        <f>IFERROR(__xludf.DUMMYFUNCTION("""COMPUTED_VALUE"""),45603.66666666667)</f>
        <v>45603.66667</v>
      </c>
      <c r="B1039" s="1">
        <f>IFERROR(__xludf.DUMMYFUNCTION("""COMPUTED_VALUE"""),444.0)</f>
        <v>444</v>
      </c>
    </row>
    <row r="1040">
      <c r="A1040" s="2">
        <f>IFERROR(__xludf.DUMMYFUNCTION("""COMPUTED_VALUE"""),45604.66666666667)</f>
        <v>45604.66667</v>
      </c>
      <c r="B1040" s="1">
        <f>IFERROR(__xludf.DUMMYFUNCTION("""COMPUTED_VALUE"""),444.53)</f>
        <v>444.53</v>
      </c>
    </row>
    <row r="1041">
      <c r="A1041" s="2">
        <f>IFERROR(__xludf.DUMMYFUNCTION("""COMPUTED_VALUE"""),45607.66666666667)</f>
        <v>45607.66667</v>
      </c>
      <c r="B1041" s="1">
        <f>IFERROR(__xludf.DUMMYFUNCTION("""COMPUTED_VALUE"""),451.28)</f>
        <v>451.28</v>
      </c>
    </row>
    <row r="1042">
      <c r="A1042" s="2">
        <f>IFERROR(__xludf.DUMMYFUNCTION("""COMPUTED_VALUE"""),45608.66666666667)</f>
        <v>45608.66667</v>
      </c>
      <c r="B1042" s="1">
        <f>IFERROR(__xludf.DUMMYFUNCTION("""COMPUTED_VALUE"""),453.8)</f>
        <v>453.8</v>
      </c>
    </row>
    <row r="1043">
      <c r="A1043" s="2">
        <f>IFERROR(__xludf.DUMMYFUNCTION("""COMPUTED_VALUE"""),45609.66666666667)</f>
        <v>45609.66667</v>
      </c>
      <c r="B1043" s="1">
        <f>IFERROR(__xludf.DUMMYFUNCTION("""COMPUTED_VALUE"""),453.18)</f>
        <v>453.18</v>
      </c>
    </row>
    <row r="1044">
      <c r="A1044" s="2">
        <f>IFERROR(__xludf.DUMMYFUNCTION("""COMPUTED_VALUE"""),45610.66666666667)</f>
        <v>45610.66667</v>
      </c>
      <c r="B1044" s="1">
        <f>IFERROR(__xludf.DUMMYFUNCTION("""COMPUTED_VALUE"""),458.0)</f>
        <v>458</v>
      </c>
    </row>
    <row r="1045">
      <c r="A1045" s="2">
        <f>IFERROR(__xludf.DUMMYFUNCTION("""COMPUTED_VALUE"""),45611.66666666667)</f>
        <v>45611.66667</v>
      </c>
      <c r="B1045" s="1">
        <f>IFERROR(__xludf.DUMMYFUNCTION("""COMPUTED_VALUE"""),454.14)</f>
        <v>454.14</v>
      </c>
    </row>
    <row r="1046">
      <c r="A1046" s="2">
        <f>IFERROR(__xludf.DUMMYFUNCTION("""COMPUTED_VALUE"""),45614.66666666667)</f>
        <v>45614.66667</v>
      </c>
      <c r="B1046" s="1">
        <f>IFERROR(__xludf.DUMMYFUNCTION("""COMPUTED_VALUE"""),450.47)</f>
        <v>450.47</v>
      </c>
    </row>
    <row r="1047">
      <c r="A1047" s="2">
        <f>IFERROR(__xludf.DUMMYFUNCTION("""COMPUTED_VALUE"""),45615.66666666667)</f>
        <v>45615.66667</v>
      </c>
      <c r="B1047" s="1">
        <f>IFERROR(__xludf.DUMMYFUNCTION("""COMPUTED_VALUE"""),449.31)</f>
        <v>449.31</v>
      </c>
    </row>
    <row r="1048">
      <c r="A1048" s="2">
        <f>IFERROR(__xludf.DUMMYFUNCTION("""COMPUTED_VALUE"""),45616.66666666667)</f>
        <v>45616.66667</v>
      </c>
      <c r="B1048" s="1">
        <f>IFERROR(__xludf.DUMMYFUNCTION("""COMPUTED_VALUE"""),449.67)</f>
        <v>449.67</v>
      </c>
    </row>
    <row r="1049">
      <c r="A1049" s="2">
        <f>IFERROR(__xludf.DUMMYFUNCTION("""COMPUTED_VALUE"""),45617.66666666667)</f>
        <v>45617.66667</v>
      </c>
      <c r="B1049" s="1">
        <f>IFERROR(__xludf.DUMMYFUNCTION("""COMPUTED_VALUE"""),448.81)</f>
        <v>448.81</v>
      </c>
    </row>
    <row r="1050">
      <c r="A1050" s="2">
        <f>IFERROR(__xludf.DUMMYFUNCTION("""COMPUTED_VALUE"""),45618.66666666667)</f>
        <v>45618.66667</v>
      </c>
      <c r="B1050" s="1">
        <f>IFERROR(__xludf.DUMMYFUNCTION("""COMPUTED_VALUE"""),454.17)</f>
        <v>454.17</v>
      </c>
    </row>
    <row r="1051">
      <c r="A1051" s="2">
        <f>IFERROR(__xludf.DUMMYFUNCTION("""COMPUTED_VALUE"""),45621.66666666667)</f>
        <v>45621.66667</v>
      </c>
      <c r="B1051" s="1">
        <f>IFERROR(__xludf.DUMMYFUNCTION("""COMPUTED_VALUE"""),457.1)</f>
        <v>457.1</v>
      </c>
    </row>
    <row r="1052">
      <c r="A1052" s="2">
        <f>IFERROR(__xludf.DUMMYFUNCTION("""COMPUTED_VALUE"""),45622.66666666667)</f>
        <v>45622.66667</v>
      </c>
      <c r="B1052" s="1">
        <f>IFERROR(__xludf.DUMMYFUNCTION("""COMPUTED_VALUE"""),459.0)</f>
        <v>459</v>
      </c>
    </row>
    <row r="1053">
      <c r="A1053" s="2">
        <f>IFERROR(__xludf.DUMMYFUNCTION("""COMPUTED_VALUE"""),45623.66666666667)</f>
        <v>45623.66667</v>
      </c>
      <c r="B1053" s="1">
        <f>IFERROR(__xludf.DUMMYFUNCTION("""COMPUTED_VALUE"""),461.93)</f>
        <v>461.93</v>
      </c>
    </row>
    <row r="1054">
      <c r="A1054" s="2">
        <f>IFERROR(__xludf.DUMMYFUNCTION("""COMPUTED_VALUE"""),45624.66666666667)</f>
        <v>45624.66667</v>
      </c>
      <c r="B1054" s="1">
        <f>IFERROR(__xludf.DUMMYFUNCTION("""COMPUTED_VALUE"""),460.2)</f>
        <v>460.2</v>
      </c>
    </row>
    <row r="1055">
      <c r="A1055" s="2">
        <f>IFERROR(__xludf.DUMMYFUNCTION("""COMPUTED_VALUE"""),45625.66666666667)</f>
        <v>45625.66667</v>
      </c>
      <c r="B1055" s="1">
        <f>IFERROR(__xludf.DUMMYFUNCTION("""COMPUTED_VALUE"""),459.53)</f>
        <v>459.53</v>
      </c>
    </row>
    <row r="1056">
      <c r="A1056" s="2">
        <f>IFERROR(__xludf.DUMMYFUNCTION("""COMPUTED_VALUE"""),45628.66666666667)</f>
        <v>45628.66667</v>
      </c>
      <c r="B1056" s="1">
        <f>IFERROR(__xludf.DUMMYFUNCTION("""COMPUTED_VALUE"""),461.07)</f>
        <v>461.07</v>
      </c>
    </row>
    <row r="1057">
      <c r="A1057" s="2">
        <f>IFERROR(__xludf.DUMMYFUNCTION("""COMPUTED_VALUE"""),45629.66666666667)</f>
        <v>45629.66667</v>
      </c>
      <c r="B1057" s="1">
        <f>IFERROR(__xludf.DUMMYFUNCTION("""COMPUTED_VALUE"""),464.47)</f>
        <v>464.47</v>
      </c>
    </row>
    <row r="1058">
      <c r="A1058" s="2">
        <f>IFERROR(__xludf.DUMMYFUNCTION("""COMPUTED_VALUE"""),45630.66666666667)</f>
        <v>45630.66667</v>
      </c>
      <c r="B1058" s="1">
        <f>IFERROR(__xludf.DUMMYFUNCTION("""COMPUTED_VALUE"""),467.6)</f>
        <v>467.6</v>
      </c>
    </row>
    <row r="1059">
      <c r="A1059" s="2">
        <f>IFERROR(__xludf.DUMMYFUNCTION("""COMPUTED_VALUE"""),45631.66666666667)</f>
        <v>45631.66667</v>
      </c>
      <c r="B1059" s="1">
        <f>IFERROR(__xludf.DUMMYFUNCTION("""COMPUTED_VALUE"""),470.22)</f>
        <v>470.22</v>
      </c>
    </row>
    <row r="1060">
      <c r="A1060" s="2">
        <f>IFERROR(__xludf.DUMMYFUNCTION("""COMPUTED_VALUE"""),45632.66666666667)</f>
        <v>45632.66667</v>
      </c>
      <c r="B1060" s="1">
        <f>IFERROR(__xludf.DUMMYFUNCTION("""COMPUTED_VALUE"""),469.53)</f>
        <v>469.53</v>
      </c>
    </row>
    <row r="1061">
      <c r="A1061" s="2">
        <f>IFERROR(__xludf.DUMMYFUNCTION("""COMPUTED_VALUE"""),45635.66666666667)</f>
        <v>45635.66667</v>
      </c>
      <c r="B1061" s="1">
        <f>IFERROR(__xludf.DUMMYFUNCTION("""COMPUTED_VALUE"""),473.86)</f>
        <v>473.86</v>
      </c>
    </row>
    <row r="1062">
      <c r="A1062" s="2">
        <f>IFERROR(__xludf.DUMMYFUNCTION("""COMPUTED_VALUE"""),45636.66666666667)</f>
        <v>45636.66667</v>
      </c>
      <c r="B1062" s="1">
        <f>IFERROR(__xludf.DUMMYFUNCTION("""COMPUTED_VALUE"""),470.76)</f>
        <v>470.76</v>
      </c>
    </row>
    <row r="1063">
      <c r="A1063" s="2">
        <f>IFERROR(__xludf.DUMMYFUNCTION("""COMPUTED_VALUE"""),45637.66666666667)</f>
        <v>45637.66667</v>
      </c>
      <c r="B1063" s="1">
        <f>IFERROR(__xludf.DUMMYFUNCTION("""COMPUTED_VALUE"""),470.23)</f>
        <v>470.23</v>
      </c>
    </row>
    <row r="1064">
      <c r="A1064" s="2">
        <f>IFERROR(__xludf.DUMMYFUNCTION("""COMPUTED_VALUE"""),45638.66666666667)</f>
        <v>45638.66667</v>
      </c>
      <c r="B1064" s="1">
        <f>IFERROR(__xludf.DUMMYFUNCTION("""COMPUTED_VALUE"""),470.34)</f>
        <v>470.34</v>
      </c>
    </row>
    <row r="1065">
      <c r="A1065" s="2">
        <f>IFERROR(__xludf.DUMMYFUNCTION("""COMPUTED_VALUE"""),45639.66666666667)</f>
        <v>45639.66667</v>
      </c>
      <c r="B1065" s="1">
        <f>IFERROR(__xludf.DUMMYFUNCTION("""COMPUTED_VALUE"""),471.8)</f>
        <v>471.8</v>
      </c>
    </row>
    <row r="1066">
      <c r="A1066" s="2">
        <f>IFERROR(__xludf.DUMMYFUNCTION("""COMPUTED_VALUE"""),45642.66666666667)</f>
        <v>45642.66667</v>
      </c>
      <c r="B1066" s="1">
        <f>IFERROR(__xludf.DUMMYFUNCTION("""COMPUTED_VALUE"""),470.9)</f>
        <v>470.9</v>
      </c>
    </row>
    <row r="1067">
      <c r="A1067" s="2">
        <f>IFERROR(__xludf.DUMMYFUNCTION("""COMPUTED_VALUE"""),45643.66666666667)</f>
        <v>45643.66667</v>
      </c>
      <c r="B1067" s="1">
        <f>IFERROR(__xludf.DUMMYFUNCTION("""COMPUTED_VALUE"""),474.03)</f>
        <v>474.03</v>
      </c>
    </row>
    <row r="1068">
      <c r="A1068" s="2">
        <f>IFERROR(__xludf.DUMMYFUNCTION("""COMPUTED_VALUE"""),45644.66666666667)</f>
        <v>45644.66667</v>
      </c>
      <c r="B1068" s="1">
        <f>IFERROR(__xludf.DUMMYFUNCTION("""COMPUTED_VALUE"""),475.1)</f>
        <v>475.1</v>
      </c>
    </row>
    <row r="1069">
      <c r="A1069" s="2">
        <f>IFERROR(__xludf.DUMMYFUNCTION("""COMPUTED_VALUE"""),45645.66666666667)</f>
        <v>45645.66667</v>
      </c>
      <c r="B1069" s="1">
        <f>IFERROR(__xludf.DUMMYFUNCTION("""COMPUTED_VALUE"""),467.18)</f>
        <v>467.18</v>
      </c>
    </row>
    <row r="1070">
      <c r="A1070" s="2">
        <f>IFERROR(__xludf.DUMMYFUNCTION("""COMPUTED_VALUE"""),45646.66666666667)</f>
        <v>45646.66667</v>
      </c>
      <c r="B1070" s="1">
        <f>IFERROR(__xludf.DUMMYFUNCTION("""COMPUTED_VALUE"""),464.5)</f>
        <v>464.5</v>
      </c>
    </row>
    <row r="1071">
      <c r="A1071" s="2">
        <f>IFERROR(__xludf.DUMMYFUNCTION("""COMPUTED_VALUE"""),45649.66666666667)</f>
        <v>45649.66667</v>
      </c>
      <c r="B1071" s="1">
        <f>IFERROR(__xludf.DUMMYFUNCTION("""COMPUTED_VALUE"""),469.85)</f>
        <v>469.85</v>
      </c>
    </row>
    <row r="1072">
      <c r="A1072" s="2">
        <f>IFERROR(__xludf.DUMMYFUNCTION("""COMPUTED_VALUE"""),45650.59027777778)</f>
        <v>45650.59028</v>
      </c>
      <c r="B1072" s="1">
        <f>IFERROR(__xludf.DUMMYFUNCTION("""COMPUTED_VALUE"""),472.15)</f>
        <v>472.15</v>
      </c>
    </row>
    <row r="1073">
      <c r="A1073" s="2">
        <f>IFERROR(__xludf.DUMMYFUNCTION("""COMPUTED_VALUE"""),45653.66666666667)</f>
        <v>45653.66667</v>
      </c>
      <c r="B1073" s="1">
        <f>IFERROR(__xludf.DUMMYFUNCTION("""COMPUTED_VALUE"""),478.17)</f>
        <v>478.17</v>
      </c>
    </row>
    <row r="1074">
      <c r="A1074" s="2">
        <f>IFERROR(__xludf.DUMMYFUNCTION("""COMPUTED_VALUE"""),45656.66666666667)</f>
        <v>45656.66667</v>
      </c>
      <c r="B1074" s="1">
        <f>IFERROR(__xludf.DUMMYFUNCTION("""COMPUTED_VALUE"""),470.8)</f>
        <v>470.8</v>
      </c>
    </row>
    <row r="1075">
      <c r="A1075" s="2">
        <f>IFERROR(__xludf.DUMMYFUNCTION("""COMPUTED_VALUE"""),45657.59027777778)</f>
        <v>45657.59028</v>
      </c>
      <c r="B1075" s="1">
        <f>IFERROR(__xludf.DUMMYFUNCTION("""COMPUTED_VALUE"""),468.59)</f>
        <v>468.59</v>
      </c>
    </row>
    <row r="1076">
      <c r="A1076" s="2">
        <f>IFERROR(__xludf.DUMMYFUNCTION("""COMPUTED_VALUE"""),45659.66666666667)</f>
        <v>45659.66667</v>
      </c>
      <c r="B1076" s="1">
        <f>IFERROR(__xludf.DUMMYFUNCTION("""COMPUTED_VALUE"""),468.8)</f>
        <v>468.8</v>
      </c>
    </row>
    <row r="1077">
      <c r="A1077" s="2">
        <f>IFERROR(__xludf.DUMMYFUNCTION("""COMPUTED_VALUE"""),45660.66666666667)</f>
        <v>45660.66667</v>
      </c>
      <c r="B1077" s="1">
        <f>IFERROR(__xludf.DUMMYFUNCTION("""COMPUTED_VALUE"""),466.47)</f>
        <v>466.47</v>
      </c>
    </row>
    <row r="1078">
      <c r="A1078" s="2">
        <f>IFERROR(__xludf.DUMMYFUNCTION("""COMPUTED_VALUE"""),45663.66666666667)</f>
        <v>45663.66667</v>
      </c>
      <c r="B1078" s="1">
        <f>IFERROR(__xludf.DUMMYFUNCTION("""COMPUTED_VALUE"""),471.2)</f>
        <v>471.2</v>
      </c>
    </row>
    <row r="1079">
      <c r="A1079" s="2">
        <f>IFERROR(__xludf.DUMMYFUNCTION("""COMPUTED_VALUE"""),45664.66666666667)</f>
        <v>45664.66667</v>
      </c>
      <c r="B1079" s="1">
        <f>IFERROR(__xludf.DUMMYFUNCTION("""COMPUTED_VALUE"""),470.3)</f>
        <v>470.3</v>
      </c>
    </row>
    <row r="1080">
      <c r="A1080" s="2">
        <f>IFERROR(__xludf.DUMMYFUNCTION("""COMPUTED_VALUE"""),45665.66666666667)</f>
        <v>45665.66667</v>
      </c>
      <c r="B1080" s="1">
        <f>IFERROR(__xludf.DUMMYFUNCTION("""COMPUTED_VALUE"""),468.82)</f>
        <v>468.82</v>
      </c>
    </row>
    <row r="1081">
      <c r="A1081" s="2">
        <f>IFERROR(__xludf.DUMMYFUNCTION("""COMPUTED_VALUE"""),45666.66666666667)</f>
        <v>45666.66667</v>
      </c>
      <c r="B1081" s="1">
        <f>IFERROR(__xludf.DUMMYFUNCTION("""COMPUTED_VALUE"""),470.0)</f>
        <v>470</v>
      </c>
    </row>
    <row r="1082">
      <c r="A1082" s="2">
        <f>IFERROR(__xludf.DUMMYFUNCTION("""COMPUTED_VALUE"""),45667.66666666667)</f>
        <v>45667.66667</v>
      </c>
      <c r="B1082" s="1">
        <f>IFERROR(__xludf.DUMMYFUNCTION("""COMPUTED_VALUE"""),469.77)</f>
        <v>469.77</v>
      </c>
    </row>
    <row r="1083">
      <c r="A1083" s="2">
        <f>IFERROR(__xludf.DUMMYFUNCTION("""COMPUTED_VALUE"""),45670.66666666667)</f>
        <v>45670.66667</v>
      </c>
      <c r="B1083" s="1">
        <f>IFERROR(__xludf.DUMMYFUNCTION("""COMPUTED_VALUE"""),465.91)</f>
        <v>465.91</v>
      </c>
    </row>
    <row r="1084">
      <c r="A1084" s="2">
        <f>IFERROR(__xludf.DUMMYFUNCTION("""COMPUTED_VALUE"""),45671.66666666667)</f>
        <v>45671.66667</v>
      </c>
      <c r="B1084" s="1">
        <f>IFERROR(__xludf.DUMMYFUNCTION("""COMPUTED_VALUE"""),466.59)</f>
        <v>466.59</v>
      </c>
    </row>
    <row r="1085">
      <c r="A1085" s="2">
        <f>IFERROR(__xludf.DUMMYFUNCTION("""COMPUTED_VALUE"""),45672.66666666667)</f>
        <v>45672.66667</v>
      </c>
      <c r="B1085" s="1">
        <f>IFERROR(__xludf.DUMMYFUNCTION("""COMPUTED_VALUE"""),466.48)</f>
        <v>466.48</v>
      </c>
    </row>
    <row r="1086">
      <c r="A1086" s="2">
        <f>IFERROR(__xludf.DUMMYFUNCTION("""COMPUTED_VALUE"""),45673.66666666667)</f>
        <v>45673.66667</v>
      </c>
      <c r="B1086" s="1">
        <f>IFERROR(__xludf.DUMMYFUNCTION("""COMPUTED_VALUE"""),473.99)</f>
        <v>473.99</v>
      </c>
    </row>
    <row r="1087">
      <c r="A1087" s="2">
        <f>IFERROR(__xludf.DUMMYFUNCTION("""COMPUTED_VALUE"""),45674.66666666667)</f>
        <v>45674.66667</v>
      </c>
      <c r="B1087" s="1">
        <f>IFERROR(__xludf.DUMMYFUNCTION("""COMPUTED_VALUE"""),474.48)</f>
        <v>474.48</v>
      </c>
    </row>
    <row r="1088">
      <c r="A1088" s="2">
        <f>IFERROR(__xludf.DUMMYFUNCTION("""COMPUTED_VALUE"""),45677.66666666667)</f>
        <v>45677.66667</v>
      </c>
      <c r="B1088" s="1">
        <f>IFERROR(__xludf.DUMMYFUNCTION("""COMPUTED_VALUE"""),477.0)</f>
        <v>477</v>
      </c>
    </row>
    <row r="1089">
      <c r="A1089" s="2">
        <f>IFERROR(__xludf.DUMMYFUNCTION("""COMPUTED_VALUE"""),45678.66666666667)</f>
        <v>45678.66667</v>
      </c>
      <c r="B1089" s="1">
        <f>IFERROR(__xludf.DUMMYFUNCTION("""COMPUTED_VALUE"""),475.56)</f>
        <v>475.56</v>
      </c>
    </row>
    <row r="1090">
      <c r="A1090" s="2">
        <f>IFERROR(__xludf.DUMMYFUNCTION("""COMPUTED_VALUE"""),45679.66666666667)</f>
        <v>45679.66667</v>
      </c>
      <c r="B1090" s="1">
        <f>IFERROR(__xludf.DUMMYFUNCTION("""COMPUTED_VALUE"""),479.02)</f>
        <v>479.02</v>
      </c>
    </row>
    <row r="1091">
      <c r="A1091" s="2">
        <f>IFERROR(__xludf.DUMMYFUNCTION("""COMPUTED_VALUE"""),45680.66666666667)</f>
        <v>45680.66667</v>
      </c>
      <c r="B1091" s="1">
        <f>IFERROR(__xludf.DUMMYFUNCTION("""COMPUTED_VALUE"""),479.0)</f>
        <v>479</v>
      </c>
    </row>
    <row r="1092">
      <c r="A1092" s="2">
        <f>IFERROR(__xludf.DUMMYFUNCTION("""COMPUTED_VALUE"""),45681.66666666667)</f>
        <v>45681.66667</v>
      </c>
      <c r="B1092" s="1">
        <f>IFERROR(__xludf.DUMMYFUNCTION("""COMPUTED_VALUE"""),478.35)</f>
        <v>478.35</v>
      </c>
    </row>
    <row r="1093">
      <c r="A1093" s="2">
        <f>IFERROR(__xludf.DUMMYFUNCTION("""COMPUTED_VALUE"""),45685.66666666667)</f>
        <v>45685.66667</v>
      </c>
      <c r="B1093" s="1">
        <f>IFERROR(__xludf.DUMMYFUNCTION("""COMPUTED_VALUE"""),475.24)</f>
        <v>475.24</v>
      </c>
    </row>
    <row r="1094">
      <c r="A1094" s="2">
        <f>IFERROR(__xludf.DUMMYFUNCTION("""COMPUTED_VALUE"""),45686.66666666667)</f>
        <v>45686.66667</v>
      </c>
      <c r="B1094" s="1">
        <f>IFERROR(__xludf.DUMMYFUNCTION("""COMPUTED_VALUE"""),480.7)</f>
        <v>480.7</v>
      </c>
    </row>
    <row r="1095">
      <c r="A1095" s="2">
        <f>IFERROR(__xludf.DUMMYFUNCTION("""COMPUTED_VALUE"""),45687.66666666667)</f>
        <v>45687.66667</v>
      </c>
      <c r="B1095" s="1">
        <f>IFERROR(__xludf.DUMMYFUNCTION("""COMPUTED_VALUE"""),481.33)</f>
        <v>481.33</v>
      </c>
    </row>
    <row r="1096">
      <c r="A1096" s="2">
        <f>IFERROR(__xludf.DUMMYFUNCTION("""COMPUTED_VALUE"""),45688.66666666667)</f>
        <v>45688.66667</v>
      </c>
      <c r="B1096" s="1">
        <f>IFERROR(__xludf.DUMMYFUNCTION("""COMPUTED_VALUE"""),483.52)</f>
        <v>483.52</v>
      </c>
    </row>
    <row r="1097">
      <c r="A1097" s="2">
        <f>IFERROR(__xludf.DUMMYFUNCTION("""COMPUTED_VALUE"""),45691.66666666667)</f>
        <v>45691.66667</v>
      </c>
      <c r="B1097" s="1">
        <f>IFERROR(__xludf.DUMMYFUNCTION("""COMPUTED_VALUE"""),477.9)</f>
        <v>477.9</v>
      </c>
    </row>
    <row r="1098">
      <c r="A1098" s="2">
        <f>IFERROR(__xludf.DUMMYFUNCTION("""COMPUTED_VALUE"""),45692.66666666667)</f>
        <v>45692.66667</v>
      </c>
      <c r="B1098" s="1">
        <f>IFERROR(__xludf.DUMMYFUNCTION("""COMPUTED_VALUE"""),478.47)</f>
        <v>478.47</v>
      </c>
    </row>
    <row r="1099">
      <c r="A1099" s="2">
        <f>IFERROR(__xludf.DUMMYFUNCTION("""COMPUTED_VALUE"""),45693.66666666667)</f>
        <v>45693.66667</v>
      </c>
      <c r="B1099" s="1">
        <f>IFERROR(__xludf.DUMMYFUNCTION("""COMPUTED_VALUE"""),476.41)</f>
        <v>476.41</v>
      </c>
    </row>
    <row r="1100">
      <c r="A1100" s="2">
        <f>IFERROR(__xludf.DUMMYFUNCTION("""COMPUTED_VALUE"""),45694.66666666667)</f>
        <v>45694.66667</v>
      </c>
      <c r="B1100" s="1">
        <f>IFERROR(__xludf.DUMMYFUNCTION("""COMPUTED_VALUE"""),479.89)</f>
        <v>479.89</v>
      </c>
    </row>
    <row r="1101">
      <c r="A1101" s="2">
        <f>IFERROR(__xludf.DUMMYFUNCTION("""COMPUTED_VALUE"""),45695.66666666667)</f>
        <v>45695.66667</v>
      </c>
      <c r="B1101" s="1">
        <f>IFERROR(__xludf.DUMMYFUNCTION("""COMPUTED_VALUE"""),478.29)</f>
        <v>478.29</v>
      </c>
    </row>
    <row r="1102">
      <c r="A1102" s="2">
        <f>IFERROR(__xludf.DUMMYFUNCTION("""COMPUTED_VALUE"""),45698.66666666667)</f>
        <v>45698.66667</v>
      </c>
      <c r="B1102" s="1">
        <f>IFERROR(__xludf.DUMMYFUNCTION("""COMPUTED_VALUE"""),476.66)</f>
        <v>476.66</v>
      </c>
    </row>
    <row r="1103">
      <c r="A1103" s="2">
        <f>IFERROR(__xludf.DUMMYFUNCTION("""COMPUTED_VALUE"""),45699.66666666667)</f>
        <v>45699.66667</v>
      </c>
      <c r="B1103" s="1">
        <f>IFERROR(__xludf.DUMMYFUNCTION("""COMPUTED_VALUE"""),477.4)</f>
        <v>477.4</v>
      </c>
    </row>
    <row r="1104">
      <c r="A1104" s="2">
        <f>IFERROR(__xludf.DUMMYFUNCTION("""COMPUTED_VALUE"""),45700.66666666667)</f>
        <v>45700.66667</v>
      </c>
      <c r="B1104" s="1">
        <f>IFERROR(__xludf.DUMMYFUNCTION("""COMPUTED_VALUE"""),476.2)</f>
        <v>476.2</v>
      </c>
    </row>
    <row r="1105">
      <c r="A1105" s="2">
        <f>IFERROR(__xludf.DUMMYFUNCTION("""COMPUTED_VALUE"""),45701.66666666667)</f>
        <v>45701.66667</v>
      </c>
      <c r="B1105" s="1">
        <f>IFERROR(__xludf.DUMMYFUNCTION("""COMPUTED_VALUE"""),475.65)</f>
        <v>475.65</v>
      </c>
    </row>
    <row r="1106">
      <c r="A1106" s="2">
        <f>IFERROR(__xludf.DUMMYFUNCTION("""COMPUTED_VALUE"""),45702.66666666667)</f>
        <v>45702.66667</v>
      </c>
      <c r="B1106" s="1">
        <f>IFERROR(__xludf.DUMMYFUNCTION("""COMPUTED_VALUE"""),478.78)</f>
        <v>478.78</v>
      </c>
    </row>
    <row r="1107">
      <c r="A1107" s="2">
        <f>IFERROR(__xludf.DUMMYFUNCTION("""COMPUTED_VALUE"""),45705.66666666667)</f>
        <v>45705.66667</v>
      </c>
      <c r="B1107" s="1">
        <f>IFERROR(__xludf.DUMMYFUNCTION("""COMPUTED_VALUE"""),475.13)</f>
        <v>475.13</v>
      </c>
    </row>
    <row r="1108">
      <c r="A1108" s="2">
        <f>IFERROR(__xludf.DUMMYFUNCTION("""COMPUTED_VALUE"""),45706.66666666667)</f>
        <v>45706.66667</v>
      </c>
      <c r="B1108" s="1">
        <f>IFERROR(__xludf.DUMMYFUNCTION("""COMPUTED_VALUE"""),476.36)</f>
        <v>476.36</v>
      </c>
    </row>
    <row r="1109">
      <c r="A1109" s="2">
        <f>IFERROR(__xludf.DUMMYFUNCTION("""COMPUTED_VALUE"""),45707.66666666667)</f>
        <v>45707.66667</v>
      </c>
      <c r="B1109" s="1">
        <f>IFERROR(__xludf.DUMMYFUNCTION("""COMPUTED_VALUE"""),476.39)</f>
        <v>476.39</v>
      </c>
    </row>
    <row r="1110">
      <c r="A1110" s="2">
        <f>IFERROR(__xludf.DUMMYFUNCTION("""COMPUTED_VALUE"""),45708.66666666667)</f>
        <v>45708.66667</v>
      </c>
      <c r="B1110" s="1">
        <f>IFERROR(__xludf.DUMMYFUNCTION("""COMPUTED_VALUE"""),475.13)</f>
        <v>475.13</v>
      </c>
    </row>
    <row r="1111">
      <c r="A1111" s="2">
        <f>IFERROR(__xludf.DUMMYFUNCTION("""COMPUTED_VALUE"""),45709.66666666667)</f>
        <v>45709.66667</v>
      </c>
      <c r="B1111" s="1">
        <f>IFERROR(__xludf.DUMMYFUNCTION("""COMPUTED_VALUE"""),471.43)</f>
        <v>471.43</v>
      </c>
    </row>
    <row r="1112">
      <c r="A1112" s="2">
        <f>IFERROR(__xludf.DUMMYFUNCTION("""COMPUTED_VALUE"""),45712.66666666667)</f>
        <v>45712.66667</v>
      </c>
      <c r="B1112" s="1">
        <f>IFERROR(__xludf.DUMMYFUNCTION("""COMPUTED_VALUE"""),466.41)</f>
        <v>466.41</v>
      </c>
    </row>
    <row r="1113">
      <c r="A1113" s="2">
        <f>IFERROR(__xludf.DUMMYFUNCTION("""COMPUTED_VALUE"""),45713.66666666667)</f>
        <v>45713.66667</v>
      </c>
      <c r="B1113" s="1">
        <f>IFERROR(__xludf.DUMMYFUNCTION("""COMPUTED_VALUE"""),464.74)</f>
        <v>464.74</v>
      </c>
    </row>
    <row r="1114">
      <c r="A1114" s="2">
        <f>IFERROR(__xludf.DUMMYFUNCTION("""COMPUTED_VALUE"""),45714.66666666667)</f>
        <v>45714.66667</v>
      </c>
      <c r="B1114" s="1">
        <f>IFERROR(__xludf.DUMMYFUNCTION("""COMPUTED_VALUE"""),464.91)</f>
        <v>464.91</v>
      </c>
    </row>
    <row r="1115">
      <c r="A1115" s="2">
        <f>IFERROR(__xludf.DUMMYFUNCTION("""COMPUTED_VALUE"""),45715.66666666667)</f>
        <v>45715.66667</v>
      </c>
      <c r="B1115" s="1">
        <f>IFERROR(__xludf.DUMMYFUNCTION("""COMPUTED_VALUE"""),467.16)</f>
        <v>467.16</v>
      </c>
    </row>
    <row r="1116">
      <c r="A1116" s="2">
        <f>IFERROR(__xludf.DUMMYFUNCTION("""COMPUTED_VALUE"""),45716.66666666667)</f>
        <v>45716.66667</v>
      </c>
      <c r="B1116" s="1">
        <f>IFERROR(__xludf.DUMMYFUNCTION("""COMPUTED_VALUE"""),464.88)</f>
        <v>464.88</v>
      </c>
    </row>
    <row r="1117">
      <c r="A1117" s="2">
        <f>IFERROR(__xludf.DUMMYFUNCTION("""COMPUTED_VALUE"""),45719.66666666667)</f>
        <v>45719.66667</v>
      </c>
      <c r="B1117" s="1">
        <f>IFERROR(__xludf.DUMMYFUNCTION("""COMPUTED_VALUE"""),472.0)</f>
        <v>472</v>
      </c>
    </row>
    <row r="1118">
      <c r="A1118" s="2">
        <f>IFERROR(__xludf.DUMMYFUNCTION("""COMPUTED_VALUE"""),45720.66666666667)</f>
        <v>45720.66667</v>
      </c>
      <c r="B1118" s="1">
        <f>IFERROR(__xludf.DUMMYFUNCTION("""COMPUTED_VALUE"""),465.4)</f>
        <v>465.4</v>
      </c>
    </row>
    <row r="1119">
      <c r="A1119" s="2">
        <f>IFERROR(__xludf.DUMMYFUNCTION("""COMPUTED_VALUE"""),45721.66666666667)</f>
        <v>45721.66667</v>
      </c>
      <c r="B1119" s="1">
        <f>IFERROR(__xludf.DUMMYFUNCTION("""COMPUTED_VALUE"""),457.96)</f>
        <v>457.96</v>
      </c>
    </row>
    <row r="1120">
      <c r="A1120" s="2">
        <f>IFERROR(__xludf.DUMMYFUNCTION("""COMPUTED_VALUE"""),45722.66666666667)</f>
        <v>45722.66667</v>
      </c>
      <c r="B1120" s="1">
        <f>IFERROR(__xludf.DUMMYFUNCTION("""COMPUTED_VALUE"""),452.67)</f>
        <v>452.67</v>
      </c>
    </row>
    <row r="1121">
      <c r="A1121" s="2">
        <f>IFERROR(__xludf.DUMMYFUNCTION("""COMPUTED_VALUE"""),45723.66666666667)</f>
        <v>45723.66667</v>
      </c>
      <c r="B1121" s="1">
        <f>IFERROR(__xludf.DUMMYFUNCTION("""COMPUTED_VALUE"""),448.81)</f>
        <v>448.81</v>
      </c>
    </row>
    <row r="1122">
      <c r="A1122" s="2">
        <f>IFERROR(__xludf.DUMMYFUNCTION("""COMPUTED_VALUE"""),45726.66666666667)</f>
        <v>45726.66667</v>
      </c>
      <c r="B1122" s="1">
        <f>IFERROR(__xludf.DUMMYFUNCTION("""COMPUTED_VALUE"""),447.09)</f>
        <v>447.09</v>
      </c>
    </row>
    <row r="1123">
      <c r="A1123" s="2">
        <f>IFERROR(__xludf.DUMMYFUNCTION("""COMPUTED_VALUE"""),45727.66666666667)</f>
        <v>45727.66667</v>
      </c>
      <c r="B1123" s="1">
        <f>IFERROR(__xludf.DUMMYFUNCTION("""COMPUTED_VALUE"""),440.49)</f>
        <v>440.49</v>
      </c>
    </row>
    <row r="1124">
      <c r="A1124" s="2">
        <f>IFERROR(__xludf.DUMMYFUNCTION("""COMPUTED_VALUE"""),45728.66666666667)</f>
        <v>45728.66667</v>
      </c>
      <c r="B1124" s="1">
        <f>IFERROR(__xludf.DUMMYFUNCTION("""COMPUTED_VALUE"""),436.28)</f>
        <v>436.28</v>
      </c>
    </row>
    <row r="1125">
      <c r="A1125" s="2">
        <f>IFERROR(__xludf.DUMMYFUNCTION("""COMPUTED_VALUE"""),45729.66666666667)</f>
        <v>45729.66667</v>
      </c>
      <c r="B1125" s="1">
        <f>IFERROR(__xludf.DUMMYFUNCTION("""COMPUTED_VALUE"""),434.39)</f>
        <v>434.39</v>
      </c>
    </row>
    <row r="1126">
      <c r="A1126" s="2">
        <f>IFERROR(__xludf.DUMMYFUNCTION("""COMPUTED_VALUE"""),45730.66666666667)</f>
        <v>45730.66667</v>
      </c>
      <c r="B1126" s="1">
        <f>IFERROR(__xludf.DUMMYFUNCTION("""COMPUTED_VALUE"""),434.31)</f>
        <v>434.31</v>
      </c>
    </row>
    <row r="1127">
      <c r="A1127" s="2">
        <f>IFERROR(__xludf.DUMMYFUNCTION("""COMPUTED_VALUE"""),45733.66666666667)</f>
        <v>45733.66667</v>
      </c>
      <c r="B1127" s="1">
        <f>IFERROR(__xludf.DUMMYFUNCTION("""COMPUTED_VALUE"""),435.7)</f>
        <v>435.7</v>
      </c>
    </row>
    <row r="1128">
      <c r="A1128" s="2">
        <f>IFERROR(__xludf.DUMMYFUNCTION("""COMPUTED_VALUE"""),45734.66666666667)</f>
        <v>45734.66667</v>
      </c>
      <c r="B1128" s="1">
        <f>IFERROR(__xludf.DUMMYFUNCTION("""COMPUTED_VALUE"""),436.75)</f>
        <v>436.75</v>
      </c>
    </row>
    <row r="1129">
      <c r="A1129" s="2">
        <f>IFERROR(__xludf.DUMMYFUNCTION("""COMPUTED_VALUE"""),45735.66666666667)</f>
        <v>45735.66667</v>
      </c>
      <c r="B1129" s="1">
        <f>IFERROR(__xludf.DUMMYFUNCTION("""COMPUTED_VALUE"""),435.27)</f>
        <v>435.27</v>
      </c>
    </row>
    <row r="1130">
      <c r="A1130" s="2">
        <f>IFERROR(__xludf.DUMMYFUNCTION("""COMPUTED_VALUE"""),45736.66666666667)</f>
        <v>45736.66667</v>
      </c>
      <c r="B1130" s="1">
        <f>IFERROR(__xludf.DUMMYFUNCTION("""COMPUTED_VALUE"""),443.15)</f>
        <v>443.15</v>
      </c>
    </row>
    <row r="1131">
      <c r="A1131" s="2">
        <f>IFERROR(__xludf.DUMMYFUNCTION("""COMPUTED_VALUE"""),45737.66666666667)</f>
        <v>45737.66667</v>
      </c>
      <c r="B1131" s="1">
        <f>IFERROR(__xludf.DUMMYFUNCTION("""COMPUTED_VALUE"""),442.96)</f>
        <v>442.96</v>
      </c>
    </row>
    <row r="1132">
      <c r="A1132" s="2">
        <f>IFERROR(__xludf.DUMMYFUNCTION("""COMPUTED_VALUE"""),45740.66666666667)</f>
        <v>45740.66667</v>
      </c>
      <c r="B1132" s="1">
        <f>IFERROR(__xludf.DUMMYFUNCTION("""COMPUTED_VALUE"""),447.66)</f>
        <v>447.66</v>
      </c>
    </row>
    <row r="1133">
      <c r="A1133" s="2">
        <f>IFERROR(__xludf.DUMMYFUNCTION("""COMPUTED_VALUE"""),45741.66666666667)</f>
        <v>45741.66667</v>
      </c>
      <c r="B1133" s="1">
        <f>IFERROR(__xludf.DUMMYFUNCTION("""COMPUTED_VALUE"""),451.14)</f>
        <v>451.14</v>
      </c>
    </row>
    <row r="1134">
      <c r="A1134" s="2">
        <f>IFERROR(__xludf.DUMMYFUNCTION("""COMPUTED_VALUE"""),45742.66666666667)</f>
        <v>45742.66667</v>
      </c>
      <c r="B1134" s="1">
        <f>IFERROR(__xludf.DUMMYFUNCTION("""COMPUTED_VALUE"""),450.77)</f>
        <v>450.77</v>
      </c>
    </row>
    <row r="1135">
      <c r="A1135" s="2">
        <f>IFERROR(__xludf.DUMMYFUNCTION("""COMPUTED_VALUE"""),45743.66666666667)</f>
        <v>45743.66667</v>
      </c>
      <c r="B1135" s="1">
        <f>IFERROR(__xludf.DUMMYFUNCTION("""COMPUTED_VALUE"""),444.51)</f>
        <v>444.51</v>
      </c>
    </row>
    <row r="1136">
      <c r="A1136" s="2">
        <f>IFERROR(__xludf.DUMMYFUNCTION("""COMPUTED_VALUE"""),45744.66666666667)</f>
        <v>45744.66667</v>
      </c>
      <c r="B1136" s="1">
        <f>IFERROR(__xludf.DUMMYFUNCTION("""COMPUTED_VALUE"""),444.6)</f>
        <v>444.6</v>
      </c>
    </row>
    <row r="1137">
      <c r="A1137" s="2">
        <f>IFERROR(__xludf.DUMMYFUNCTION("""COMPUTED_VALUE"""),45747.66666666667)</f>
        <v>45747.66667</v>
      </c>
      <c r="B1137" s="1">
        <f>IFERROR(__xludf.DUMMYFUNCTION("""COMPUTED_VALUE"""),432.85)</f>
        <v>432.85</v>
      </c>
    </row>
    <row r="1138">
      <c r="A1138" s="2">
        <f>IFERROR(__xludf.DUMMYFUNCTION("""COMPUTED_VALUE"""),45748.66666666667)</f>
        <v>45748.66667</v>
      </c>
      <c r="B1138" s="1">
        <f>IFERROR(__xludf.DUMMYFUNCTION("""COMPUTED_VALUE"""),437.55)</f>
        <v>437.55</v>
      </c>
    </row>
    <row r="1139">
      <c r="A1139" s="2">
        <f>IFERROR(__xludf.DUMMYFUNCTION("""COMPUTED_VALUE"""),45749.66666666667)</f>
        <v>45749.66667</v>
      </c>
      <c r="B1139" s="1">
        <f>IFERROR(__xludf.DUMMYFUNCTION("""COMPUTED_VALUE"""),437.6)</f>
        <v>437.6</v>
      </c>
    </row>
    <row r="1140">
      <c r="A1140" s="2">
        <f>IFERROR(__xludf.DUMMYFUNCTION("""COMPUTED_VALUE"""),45750.66666666667)</f>
        <v>45750.66667</v>
      </c>
      <c r="B1140" s="1">
        <f>IFERROR(__xludf.DUMMYFUNCTION("""COMPUTED_VALUE"""),431.23)</f>
        <v>431.23</v>
      </c>
    </row>
    <row r="1141">
      <c r="A1141" s="2">
        <f>IFERROR(__xludf.DUMMYFUNCTION("""COMPUTED_VALUE"""),45751.66666666667)</f>
        <v>45751.66667</v>
      </c>
      <c r="B1141" s="1">
        <f>IFERROR(__xludf.DUMMYFUNCTION("""COMPUTED_VALUE"""),419.5)</f>
        <v>419.5</v>
      </c>
    </row>
    <row r="1142">
      <c r="A1142" s="2">
        <f>IFERROR(__xludf.DUMMYFUNCTION("""COMPUTED_VALUE"""),45754.66666666667)</f>
        <v>45754.66667</v>
      </c>
      <c r="B1142" s="1">
        <f>IFERROR(__xludf.DUMMYFUNCTION("""COMPUTED_VALUE"""),398.1)</f>
        <v>398.1</v>
      </c>
    </row>
    <row r="1143">
      <c r="A1143" s="2">
        <f>IFERROR(__xludf.DUMMYFUNCTION("""COMPUTED_VALUE"""),45755.66666666667)</f>
        <v>45755.66667</v>
      </c>
      <c r="B1143" s="1">
        <f>IFERROR(__xludf.DUMMYFUNCTION("""COMPUTED_VALUE"""),414.15)</f>
        <v>414.15</v>
      </c>
    </row>
    <row r="1144">
      <c r="A1144" s="2">
        <f>IFERROR(__xludf.DUMMYFUNCTION("""COMPUTED_VALUE"""),45756.66666666667)</f>
        <v>45756.66667</v>
      </c>
      <c r="B1144" s="1">
        <f>IFERROR(__xludf.DUMMYFUNCTION("""COMPUTED_VALUE"""),400.64)</f>
        <v>400.64</v>
      </c>
    </row>
    <row r="1145">
      <c r="A1145" s="2">
        <f>IFERROR(__xludf.DUMMYFUNCTION("""COMPUTED_VALUE"""),45757.66666666667)</f>
        <v>45757.66667</v>
      </c>
      <c r="B1145" s="1">
        <f>IFERROR(__xludf.DUMMYFUNCTION("""COMPUTED_VALUE"""),428.86)</f>
        <v>428.86</v>
      </c>
    </row>
    <row r="1146">
      <c r="A1146" s="2">
        <f>IFERROR(__xludf.DUMMYFUNCTION("""COMPUTED_VALUE"""),45758.66666666667)</f>
        <v>45758.66667</v>
      </c>
      <c r="B1146" s="1">
        <f>IFERROR(__xludf.DUMMYFUNCTION("""COMPUTED_VALUE"""),420.59)</f>
        <v>420.59</v>
      </c>
    </row>
    <row r="1147">
      <c r="A1147" s="2">
        <f>IFERROR(__xludf.DUMMYFUNCTION("""COMPUTED_VALUE"""),45761.66666666667)</f>
        <v>45761.66667</v>
      </c>
      <c r="B1147" s="1">
        <f>IFERROR(__xludf.DUMMYFUNCTION("""COMPUTED_VALUE"""),419.43)</f>
        <v>419.43</v>
      </c>
    </row>
    <row r="1148">
      <c r="A1148" s="2">
        <f>IFERROR(__xludf.DUMMYFUNCTION("""COMPUTED_VALUE"""),45762.66666666667)</f>
        <v>45762.66667</v>
      </c>
      <c r="B1148" s="1">
        <f>IFERROR(__xludf.DUMMYFUNCTION("""COMPUTED_VALUE"""),415.2)</f>
        <v>415.2</v>
      </c>
    </row>
    <row r="1149">
      <c r="A1149" s="2">
        <f>IFERROR(__xludf.DUMMYFUNCTION("""COMPUTED_VALUE"""),45763.66666666667)</f>
        <v>45763.66667</v>
      </c>
      <c r="B1149" s="1">
        <f>IFERROR(__xludf.DUMMYFUNCTION("""COMPUTED_VALUE"""),409.93)</f>
        <v>409.93</v>
      </c>
    </row>
    <row r="1150">
      <c r="A1150" s="2">
        <f>IFERROR(__xludf.DUMMYFUNCTION("""COMPUTED_VALUE"""),45764.66666666667)</f>
        <v>45764.66667</v>
      </c>
      <c r="B1150" s="1">
        <f>IFERROR(__xludf.DUMMYFUNCTION("""COMPUTED_VALUE"""),411.43)</f>
        <v>411.43</v>
      </c>
    </row>
    <row r="1151">
      <c r="A1151" s="2">
        <f>IFERROR(__xludf.DUMMYFUNCTION("""COMPUTED_VALUE"""),45769.66666666667)</f>
        <v>45769.66667</v>
      </c>
      <c r="B1151" s="1">
        <f>IFERROR(__xludf.DUMMYFUNCTION("""COMPUTED_VALUE"""),394.54)</f>
        <v>394.54</v>
      </c>
    </row>
    <row r="1152">
      <c r="A1152" s="2">
        <f>IFERROR(__xludf.DUMMYFUNCTION("""COMPUTED_VALUE"""),45770.66666666667)</f>
        <v>45770.66667</v>
      </c>
      <c r="B1152" s="1">
        <f>IFERROR(__xludf.DUMMYFUNCTION("""COMPUTED_VALUE"""),410.93)</f>
        <v>410.93</v>
      </c>
    </row>
    <row r="1153">
      <c r="A1153" s="2">
        <f>IFERROR(__xludf.DUMMYFUNCTION("""COMPUTED_VALUE"""),45771.66666666667)</f>
        <v>45771.66667</v>
      </c>
      <c r="B1153" s="1">
        <f>IFERROR(__xludf.DUMMYFUNCTION("""COMPUTED_VALUE"""),413.39)</f>
        <v>413.39</v>
      </c>
    </row>
    <row r="1154">
      <c r="A1154" s="2">
        <f>IFERROR(__xludf.DUMMYFUNCTION("""COMPUTED_VALUE"""),45775.66666666667)</f>
        <v>45775.66667</v>
      </c>
      <c r="B1154" s="1">
        <f>IFERROR(__xludf.DUMMYFUNCTION("""COMPUTED_VALUE"""),420.84)</f>
        <v>420.84</v>
      </c>
    </row>
    <row r="1155">
      <c r="A1155" s="2">
        <f>IFERROR(__xludf.DUMMYFUNCTION("""COMPUTED_VALUE"""),45776.66666666667)</f>
        <v>45776.66667</v>
      </c>
      <c r="B1155" s="1">
        <f>IFERROR(__xludf.DUMMYFUNCTION("""COMPUTED_VALUE"""),422.51)</f>
        <v>422.51</v>
      </c>
    </row>
    <row r="1156">
      <c r="A1156" s="2">
        <f>IFERROR(__xludf.DUMMYFUNCTION("""COMPUTED_VALUE"""),45777.66666666667)</f>
        <v>45777.66667</v>
      </c>
      <c r="B1156" s="1">
        <f>IFERROR(__xludf.DUMMYFUNCTION("""COMPUTED_VALUE"""),423.74)</f>
        <v>423.74</v>
      </c>
    </row>
    <row r="1157">
      <c r="A1157" s="2">
        <f>IFERROR(__xludf.DUMMYFUNCTION("""COMPUTED_VALUE"""),45778.66666666667)</f>
        <v>45778.66667</v>
      </c>
      <c r="B1157" s="1">
        <f>IFERROR(__xludf.DUMMYFUNCTION("""COMPUTED_VALUE"""),430.16)</f>
        <v>430.16</v>
      </c>
    </row>
    <row r="1158">
      <c r="A1158" s="2">
        <f>IFERROR(__xludf.DUMMYFUNCTION("""COMPUTED_VALUE"""),45779.66666666667)</f>
        <v>45779.66667</v>
      </c>
      <c r="B1158" s="1">
        <f>IFERROR(__xludf.DUMMYFUNCTION("""COMPUTED_VALUE"""),431.03)</f>
        <v>431.03</v>
      </c>
    </row>
    <row r="1159">
      <c r="A1159" s="2">
        <f>IFERROR(__xludf.DUMMYFUNCTION("""COMPUTED_VALUE"""),45782.66666666667)</f>
        <v>45782.66667</v>
      </c>
      <c r="B1159" s="1">
        <f>IFERROR(__xludf.DUMMYFUNCTION("""COMPUTED_VALUE"""),427.68)</f>
        <v>427.68</v>
      </c>
    </row>
    <row r="1160">
      <c r="A1160" s="2">
        <f>IFERROR(__xludf.DUMMYFUNCTION("""COMPUTED_VALUE"""),45783.66666666667)</f>
        <v>45783.66667</v>
      </c>
      <c r="B1160" s="1">
        <f>IFERROR(__xludf.DUMMYFUNCTION("""COMPUTED_VALUE"""),428.35)</f>
        <v>428.35</v>
      </c>
    </row>
    <row r="1161">
      <c r="A1161" s="2">
        <f>IFERROR(__xludf.DUMMYFUNCTION("""COMPUTED_VALUE"""),45784.66666666667)</f>
        <v>45784.66667</v>
      </c>
      <c r="B1161" s="1">
        <f>IFERROR(__xludf.DUMMYFUNCTION("""COMPUTED_VALUE"""),426.47)</f>
        <v>426.47</v>
      </c>
    </row>
    <row r="1162">
      <c r="A1162" s="2">
        <f>IFERROR(__xludf.DUMMYFUNCTION("""COMPUTED_VALUE"""),45785.66666666667)</f>
        <v>45785.66667</v>
      </c>
      <c r="B1162" s="1">
        <f>IFERROR(__xludf.DUMMYFUNCTION("""COMPUTED_VALUE"""),431.75)</f>
        <v>431.75</v>
      </c>
    </row>
    <row r="1163">
      <c r="A1163" s="2">
        <f>IFERROR(__xludf.DUMMYFUNCTION("""COMPUTED_VALUE"""),45786.66666666667)</f>
        <v>45786.66667</v>
      </c>
      <c r="B1163" s="1">
        <f>IFERROR(__xludf.DUMMYFUNCTION("""COMPUTED_VALUE"""),435.12)</f>
        <v>435.12</v>
      </c>
    </row>
    <row r="1164">
      <c r="A1164" s="2">
        <f>IFERROR(__xludf.DUMMYFUNCTION("""COMPUTED_VALUE"""),45789.66666666667)</f>
        <v>45789.66667</v>
      </c>
      <c r="B1164" s="1">
        <f>IFERROR(__xludf.DUMMYFUNCTION("""COMPUTED_VALUE"""),438.59)</f>
        <v>438.59</v>
      </c>
    </row>
    <row r="1165">
      <c r="A1165" s="2">
        <f>IFERROR(__xludf.DUMMYFUNCTION("""COMPUTED_VALUE"""),45790.66666666667)</f>
        <v>45790.66667</v>
      </c>
      <c r="B1165" s="1">
        <f>IFERROR(__xludf.DUMMYFUNCTION("""COMPUTED_VALUE"""),447.13)</f>
        <v>447.13</v>
      </c>
    </row>
    <row r="1166">
      <c r="A1166" s="2">
        <f>IFERROR(__xludf.DUMMYFUNCTION("""COMPUTED_VALUE"""),45791.66666666667)</f>
        <v>45791.66667</v>
      </c>
      <c r="B1166" s="1">
        <f>IFERROR(__xludf.DUMMYFUNCTION("""COMPUTED_VALUE"""),447.47)</f>
        <v>447.47</v>
      </c>
    </row>
    <row r="1167">
      <c r="A1167" s="2">
        <f>IFERROR(__xludf.DUMMYFUNCTION("""COMPUTED_VALUE"""),45792.66666666667)</f>
        <v>45792.66667</v>
      </c>
      <c r="B1167" s="1">
        <f>IFERROR(__xludf.DUMMYFUNCTION("""COMPUTED_VALUE"""),448.61)</f>
        <v>448.61</v>
      </c>
    </row>
    <row r="1168">
      <c r="A1168" s="2">
        <f>IFERROR(__xludf.DUMMYFUNCTION("""COMPUTED_VALUE"""),45793.66666666667)</f>
        <v>45793.66667</v>
      </c>
      <c r="B1168" s="1">
        <f>IFERROR(__xludf.DUMMYFUNCTION("""COMPUTED_VALUE"""),451.89)</f>
        <v>451.89</v>
      </c>
    </row>
    <row r="1169">
      <c r="A1169" s="2">
        <f>IFERROR(__xludf.DUMMYFUNCTION("""COMPUTED_VALUE"""),45796.66666666667)</f>
        <v>45796.66667</v>
      </c>
      <c r="B1169" s="1">
        <f>IFERROR(__xludf.DUMMYFUNCTION("""COMPUTED_VALUE"""),453.01)</f>
        <v>453.01</v>
      </c>
    </row>
    <row r="1170">
      <c r="A1170" s="2">
        <f>IFERROR(__xludf.DUMMYFUNCTION("""COMPUTED_VALUE"""),45797.66666666667)</f>
        <v>45797.66667</v>
      </c>
      <c r="B1170" s="1">
        <f>IFERROR(__xludf.DUMMYFUNCTION("""COMPUTED_VALUE"""),454.18)</f>
        <v>454.18</v>
      </c>
    </row>
    <row r="1171">
      <c r="A1171" s="2">
        <f>IFERROR(__xludf.DUMMYFUNCTION("""COMPUTED_VALUE"""),45798.66666666667)</f>
        <v>45798.66667</v>
      </c>
      <c r="B1171" s="1">
        <f>IFERROR(__xludf.DUMMYFUNCTION("""COMPUTED_VALUE"""),450.5)</f>
        <v>450.5</v>
      </c>
    </row>
    <row r="1172">
      <c r="A1172" s="2">
        <f>IFERROR(__xludf.DUMMYFUNCTION("""COMPUTED_VALUE"""),45799.66666666667)</f>
        <v>45799.66667</v>
      </c>
      <c r="B1172" s="1">
        <f>IFERROR(__xludf.DUMMYFUNCTION("""COMPUTED_VALUE"""),445.77)</f>
        <v>445.77</v>
      </c>
    </row>
    <row r="1173">
      <c r="A1173" s="2">
        <f>IFERROR(__xludf.DUMMYFUNCTION("""COMPUTED_VALUE"""),45800.66666666667)</f>
        <v>45800.66667</v>
      </c>
      <c r="B1173" s="1">
        <f>IFERROR(__xludf.DUMMYFUNCTION("""COMPUTED_VALUE"""),445.08)</f>
        <v>445.08</v>
      </c>
    </row>
    <row r="1174">
      <c r="A1174" s="2">
        <f>IFERROR(__xludf.DUMMYFUNCTION("""COMPUTED_VALUE"""),45803.66666666667)</f>
        <v>45803.66667</v>
      </c>
      <c r="B1174" s="1">
        <f>IFERROR(__xludf.DUMMYFUNCTION("""COMPUTED_VALUE"""),441.31)</f>
        <v>441.31</v>
      </c>
    </row>
    <row r="1175">
      <c r="A1175" s="2">
        <f>IFERROR(__xludf.DUMMYFUNCTION("""COMPUTED_VALUE"""),45804.66666666667)</f>
        <v>45804.66667</v>
      </c>
      <c r="B1175" s="1">
        <f>IFERROR(__xludf.DUMMYFUNCTION("""COMPUTED_VALUE"""),444.64)</f>
        <v>444.64</v>
      </c>
    </row>
    <row r="1176">
      <c r="A1176" s="2">
        <f>IFERROR(__xludf.DUMMYFUNCTION("""COMPUTED_VALUE"""),45805.66666666667)</f>
        <v>45805.66667</v>
      </c>
      <c r="B1176" s="1">
        <f>IFERROR(__xludf.DUMMYFUNCTION("""COMPUTED_VALUE"""),451.8)</f>
        <v>451.8</v>
      </c>
    </row>
    <row r="1177">
      <c r="A1177" s="2">
        <f>IFERROR(__xludf.DUMMYFUNCTION("""COMPUTED_VALUE"""),45806.66666666667)</f>
        <v>45806.66667</v>
      </c>
      <c r="B1177" s="1">
        <f>IFERROR(__xludf.DUMMYFUNCTION("""COMPUTED_VALUE"""),458.28)</f>
        <v>458.28</v>
      </c>
    </row>
    <row r="1178">
      <c r="A1178" s="2">
        <f>IFERROR(__xludf.DUMMYFUNCTION("""COMPUTED_VALUE"""),45807.66666666667)</f>
        <v>45807.66667</v>
      </c>
      <c r="B1178" s="1">
        <f>IFERROR(__xludf.DUMMYFUNCTION("""COMPUTED_VALUE"""),450.9)</f>
        <v>450.9</v>
      </c>
    </row>
    <row r="1179">
      <c r="A1179" s="2">
        <f>IFERROR(__xludf.DUMMYFUNCTION("""COMPUTED_VALUE"""),45810.66666666667)</f>
        <v>45810.66667</v>
      </c>
      <c r="B1179" s="1">
        <f>IFERROR(__xludf.DUMMYFUNCTION("""COMPUTED_VALUE"""),446.58)</f>
        <v>446.58</v>
      </c>
    </row>
    <row r="1180">
      <c r="A1180" s="2">
        <f>IFERROR(__xludf.DUMMYFUNCTION("""COMPUTED_VALUE"""),45811.66666666667)</f>
        <v>45811.66667</v>
      </c>
      <c r="B1180" s="1">
        <f>IFERROR(__xludf.DUMMYFUNCTION("""COMPUTED_VALUE"""),450.11)</f>
        <v>450.11</v>
      </c>
    </row>
    <row r="1181">
      <c r="A1181" s="2">
        <f>IFERROR(__xludf.DUMMYFUNCTION("""COMPUTED_VALUE"""),45812.66666666667)</f>
        <v>45812.66667</v>
      </c>
      <c r="B1181" s="1">
        <f>IFERROR(__xludf.DUMMYFUNCTION("""COMPUTED_VALUE"""),454.55)</f>
        <v>454.55</v>
      </c>
    </row>
    <row r="1182">
      <c r="A1182" s="2">
        <f>IFERROR(__xludf.DUMMYFUNCTION("""COMPUTED_VALUE"""),45813.66666666667)</f>
        <v>45813.66667</v>
      </c>
      <c r="B1182" s="1">
        <f>IFERROR(__xludf.DUMMYFUNCTION("""COMPUTED_VALUE"""),451.78)</f>
        <v>451.78</v>
      </c>
    </row>
    <row r="1183">
      <c r="A1183" s="2">
        <f>IFERROR(__xludf.DUMMYFUNCTION("""COMPUTED_VALUE"""),45814.66666666667)</f>
        <v>45814.66667</v>
      </c>
      <c r="B1183" s="1">
        <f>IFERROR(__xludf.DUMMYFUNCTION("""COMPUTED_VALUE"""),451.6)</f>
        <v>451.6</v>
      </c>
    </row>
    <row r="1184">
      <c r="A1184" s="2">
        <f>IFERROR(__xludf.DUMMYFUNCTION("""COMPUTED_VALUE"""),45818.66666666667)</f>
        <v>45818.66667</v>
      </c>
      <c r="B1184" s="1">
        <f>IFERROR(__xludf.DUMMYFUNCTION("""COMPUTED_VALUE"""),454.38)</f>
        <v>454.38</v>
      </c>
    </row>
    <row r="1185">
      <c r="A1185" s="2">
        <f>IFERROR(__xludf.DUMMYFUNCTION("""COMPUTED_VALUE"""),45819.66666666667)</f>
        <v>45819.66667</v>
      </c>
      <c r="B1185" s="1">
        <f>IFERROR(__xludf.DUMMYFUNCTION("""COMPUTED_VALUE"""),454.54)</f>
        <v>454.54</v>
      </c>
    </row>
    <row r="1186">
      <c r="A1186" s="2">
        <f>IFERROR(__xludf.DUMMYFUNCTION("""COMPUTED_VALUE"""),45820.66666666667)</f>
        <v>45820.66667</v>
      </c>
      <c r="B1186" s="1">
        <f>IFERROR(__xludf.DUMMYFUNCTION("""COMPUTED_VALUE"""),454.59)</f>
        <v>454.59</v>
      </c>
    </row>
    <row r="1187">
      <c r="A1187" s="2">
        <f>IFERROR(__xludf.DUMMYFUNCTION("""COMPUTED_VALUE"""),45821.66666666667)</f>
        <v>45821.66667</v>
      </c>
      <c r="B1187" s="1">
        <f>IFERROR(__xludf.DUMMYFUNCTION("""COMPUTED_VALUE"""),452.19)</f>
        <v>452.19</v>
      </c>
    </row>
    <row r="1188">
      <c r="A1188" s="2">
        <f>IFERROR(__xludf.DUMMYFUNCTION("""COMPUTED_VALUE"""),45824.66666666667)</f>
        <v>45824.66667</v>
      </c>
      <c r="B1188" s="1">
        <f>IFERROR(__xludf.DUMMYFUNCTION("""COMPUTED_VALUE"""),453.16)</f>
        <v>453.16</v>
      </c>
    </row>
    <row r="1189">
      <c r="A1189" s="2">
        <f>IFERROR(__xludf.DUMMYFUNCTION("""COMPUTED_VALUE"""),45825.66666666667)</f>
        <v>45825.66667</v>
      </c>
      <c r="B1189" s="1">
        <f>IFERROR(__xludf.DUMMYFUNCTION("""COMPUTED_VALUE"""),452.24)</f>
        <v>452.24</v>
      </c>
    </row>
    <row r="1190">
      <c r="A1190" s="2">
        <f>IFERROR(__xludf.DUMMYFUNCTION("""COMPUTED_VALUE"""),45826.66666666667)</f>
        <v>45826.66667</v>
      </c>
      <c r="B1190" s="1">
        <f>IFERROR(__xludf.DUMMYFUNCTION("""COMPUTED_VALUE"""),452.87)</f>
        <v>452.87</v>
      </c>
    </row>
    <row r="1191">
      <c r="A1191" s="2">
        <f>IFERROR(__xludf.DUMMYFUNCTION("""COMPUTED_VALUE"""),45827.66666666667)</f>
        <v>45827.66667</v>
      </c>
      <c r="B1191" s="1">
        <f>IFERROR(__xludf.DUMMYFUNCTION("""COMPUTED_VALUE"""),453.71)</f>
        <v>453.71</v>
      </c>
    </row>
    <row r="1192">
      <c r="A1192" s="2">
        <f>IFERROR(__xludf.DUMMYFUNCTION("""COMPUTED_VALUE"""),45828.66666666667)</f>
        <v>45828.66667</v>
      </c>
      <c r="B1192" s="1">
        <f>IFERROR(__xludf.DUMMYFUNCTION("""COMPUTED_VALUE"""),452.73)</f>
        <v>452.73</v>
      </c>
    </row>
    <row r="1193">
      <c r="A1193" s="2">
        <f>IFERROR(__xludf.DUMMYFUNCTION("""COMPUTED_VALUE"""),45831.66666666667)</f>
        <v>45831.66667</v>
      </c>
      <c r="B1193" s="1">
        <f>IFERROR(__xludf.DUMMYFUNCTION("""COMPUTED_VALUE"""),457.03)</f>
        <v>457.03</v>
      </c>
    </row>
    <row r="1194">
      <c r="A1194" s="2">
        <f>IFERROR(__xludf.DUMMYFUNCTION("""COMPUTED_VALUE"""),45832.66666666667)</f>
        <v>45832.66667</v>
      </c>
      <c r="B1194" s="1">
        <f>IFERROR(__xludf.DUMMYFUNCTION("""COMPUTED_VALUE"""),460.2)</f>
        <v>460.2</v>
      </c>
    </row>
    <row r="1195">
      <c r="A1195" s="2">
        <f>IFERROR(__xludf.DUMMYFUNCTION("""COMPUTED_VALUE"""),45833.66666666667)</f>
        <v>45833.66667</v>
      </c>
      <c r="B1195" s="1">
        <f>IFERROR(__xludf.DUMMYFUNCTION("""COMPUTED_VALUE"""),461.58)</f>
        <v>461.58</v>
      </c>
    </row>
    <row r="1196">
      <c r="A1196" s="2">
        <f>IFERROR(__xludf.DUMMYFUNCTION("""COMPUTED_VALUE"""),45834.66666666667)</f>
        <v>45834.66667</v>
      </c>
      <c r="B1196" s="1">
        <f>IFERROR(__xludf.DUMMYFUNCTION("""COMPUTED_VALUE"""),460.28)</f>
        <v>460.28</v>
      </c>
    </row>
    <row r="1197">
      <c r="A1197" s="2">
        <f>IFERROR(__xludf.DUMMYFUNCTION("""COMPUTED_VALUE"""),45835.66666666667)</f>
        <v>45835.66667</v>
      </c>
      <c r="B1197" s="1">
        <f>IFERROR(__xludf.DUMMYFUNCTION("""COMPUTED_VALUE"""),462.78)</f>
        <v>462.78</v>
      </c>
    </row>
    <row r="1198">
      <c r="A1198" s="2">
        <f>IFERROR(__xludf.DUMMYFUNCTION("""COMPUTED_VALUE"""),45838.66666666667)</f>
        <v>45838.66667</v>
      </c>
      <c r="B1198" s="1">
        <f>IFERROR(__xludf.DUMMYFUNCTION("""COMPUTED_VALUE"""),464.34)</f>
        <v>464.34</v>
      </c>
    </row>
    <row r="1199">
      <c r="A1199" s="2">
        <f>IFERROR(__xludf.DUMMYFUNCTION("""COMPUTED_VALUE"""),45839.66666666667)</f>
        <v>45839.66667</v>
      </c>
      <c r="B1199" s="1">
        <f>IFERROR(__xludf.DUMMYFUNCTION("""COMPUTED_VALUE"""),461.79)</f>
        <v>461.79</v>
      </c>
    </row>
    <row r="1200">
      <c r="A1200" s="2">
        <f>IFERROR(__xludf.DUMMYFUNCTION("""COMPUTED_VALUE"""),45840.66666666667)</f>
        <v>45840.66667</v>
      </c>
      <c r="B1200" s="1">
        <f>IFERROR(__xludf.DUMMYFUNCTION("""COMPUTED_VALUE"""),463.77)</f>
        <v>463.77</v>
      </c>
    </row>
    <row r="1201">
      <c r="A1201" s="2">
        <f>IFERROR(__xludf.DUMMYFUNCTION("""COMPUTED_VALUE"""),45841.66666666667)</f>
        <v>45841.66667</v>
      </c>
      <c r="B1201" s="1">
        <f>IFERROR(__xludf.DUMMYFUNCTION("""COMPUTED_VALUE"""),465.83)</f>
        <v>465.83</v>
      </c>
    </row>
    <row r="1202">
      <c r="A1202" s="2">
        <f>IFERROR(__xludf.DUMMYFUNCTION("""COMPUTED_VALUE"""),45842.66666666667)</f>
        <v>45842.66667</v>
      </c>
      <c r="B1202" s="1">
        <f>IFERROR(__xludf.DUMMYFUNCTION("""COMPUTED_VALUE"""),467.59)</f>
        <v>467.59</v>
      </c>
    </row>
    <row r="1203">
      <c r="A1203" s="2">
        <f>IFERROR(__xludf.DUMMYFUNCTION("""COMPUTED_VALUE"""),45845.66666666667)</f>
        <v>45845.66667</v>
      </c>
      <c r="B1203" s="1">
        <f>IFERROR(__xludf.DUMMYFUNCTION("""COMPUTED_VALUE"""),471.18)</f>
        <v>471.18</v>
      </c>
    </row>
    <row r="1204">
      <c r="A1204" s="2">
        <f>IFERROR(__xludf.DUMMYFUNCTION("""COMPUTED_VALUE"""),45846.66666666667)</f>
        <v>45846.66667</v>
      </c>
      <c r="B1204" s="1">
        <f>IFERROR(__xludf.DUMMYFUNCTION("""COMPUTED_VALUE"""),468.85)</f>
        <v>468.85</v>
      </c>
    </row>
    <row r="1205">
      <c r="A1205" s="2">
        <f>IFERROR(__xludf.DUMMYFUNCTION("""COMPUTED_VALUE"""),45847.66666666667)</f>
        <v>45847.66667</v>
      </c>
      <c r="B1205" s="1">
        <f>IFERROR(__xludf.DUMMYFUNCTION("""COMPUTED_VALUE"""),467.63)</f>
        <v>467.63</v>
      </c>
    </row>
    <row r="1206">
      <c r="A1206" s="2">
        <f>IFERROR(__xludf.DUMMYFUNCTION("""COMPUTED_VALUE"""),45848.66666666667)</f>
        <v>45848.66667</v>
      </c>
      <c r="B1206" s="1">
        <f>IFERROR(__xludf.DUMMYFUNCTION("""COMPUTED_VALUE"""),468.5)</f>
        <v>468.5</v>
      </c>
    </row>
    <row r="1207">
      <c r="A1207" s="2">
        <f>IFERROR(__xludf.DUMMYFUNCTION("""COMPUTED_VALUE"""),45849.66666666667)</f>
        <v>45849.66667</v>
      </c>
      <c r="B1207" s="1">
        <f>IFERROR(__xludf.DUMMYFUNCTION("""COMPUTED_VALUE"""),467.65)</f>
        <v>467.65</v>
      </c>
    </row>
    <row r="1208">
      <c r="A1208" s="2">
        <f>IFERROR(__xludf.DUMMYFUNCTION("""COMPUTED_VALUE"""),45852.66666666667)</f>
        <v>45852.66667</v>
      </c>
      <c r="B1208" s="1">
        <f>IFERROR(__xludf.DUMMYFUNCTION("""COMPUTED_VALUE"""),464.98)</f>
        <v>464.98</v>
      </c>
    </row>
    <row r="1209">
      <c r="A1209" s="2">
        <f>IFERROR(__xludf.DUMMYFUNCTION("""COMPUTED_VALUE"""),45853.66666666667)</f>
        <v>45853.66667</v>
      </c>
      <c r="B1209" s="1">
        <f>IFERROR(__xludf.DUMMYFUNCTION("""COMPUTED_VALUE"""),471.38)</f>
        <v>471.38</v>
      </c>
    </row>
    <row r="1210">
      <c r="A1210" s="2">
        <f>IFERROR(__xludf.DUMMYFUNCTION("""COMPUTED_VALUE"""),45854.66666666667)</f>
        <v>45854.66667</v>
      </c>
      <c r="B1210" s="1">
        <f>IFERROR(__xludf.DUMMYFUNCTION("""COMPUTED_VALUE"""),468.35)</f>
        <v>468.35</v>
      </c>
    </row>
    <row r="1211">
      <c r="A1211" s="2">
        <f>IFERROR(__xludf.DUMMYFUNCTION("""COMPUTED_VALUE"""),45855.66666666667)</f>
        <v>45855.66667</v>
      </c>
      <c r="B1211" s="1">
        <f>IFERROR(__xludf.DUMMYFUNCTION("""COMPUTED_VALUE"""),474.55)</f>
        <v>474.55</v>
      </c>
    </row>
    <row r="1212">
      <c r="A1212" s="2">
        <f>IFERROR(__xludf.DUMMYFUNCTION("""COMPUTED_VALUE"""),45856.66666666667)</f>
        <v>45856.66667</v>
      </c>
      <c r="B1212" s="1">
        <f>IFERROR(__xludf.DUMMYFUNCTION("""COMPUTED_VALUE"""),477.59)</f>
        <v>477.59</v>
      </c>
    </row>
    <row r="1213">
      <c r="A1213" s="2">
        <f>IFERROR(__xludf.DUMMYFUNCTION("""COMPUTED_VALUE"""),45859.66666666667)</f>
        <v>45859.66667</v>
      </c>
      <c r="B1213" s="1">
        <f>IFERROR(__xludf.DUMMYFUNCTION("""COMPUTED_VALUE"""),475.81)</f>
        <v>475.81</v>
      </c>
    </row>
    <row r="1214">
      <c r="A1214" s="2">
        <f>IFERROR(__xludf.DUMMYFUNCTION("""COMPUTED_VALUE"""),45860.66666666667)</f>
        <v>45860.66667</v>
      </c>
      <c r="B1214" s="1">
        <f>IFERROR(__xludf.DUMMYFUNCTION("""COMPUTED_VALUE"""),475.15)</f>
        <v>475.15</v>
      </c>
    </row>
    <row r="1215">
      <c r="A1215" s="2">
        <f>IFERROR(__xludf.DUMMYFUNCTION("""COMPUTED_VALUE"""),45861.66666666667)</f>
        <v>45861.66667</v>
      </c>
      <c r="B1215" s="1">
        <f>IFERROR(__xludf.DUMMYFUNCTION("""COMPUTED_VALUE"""),473.13)</f>
        <v>473.13</v>
      </c>
    </row>
    <row r="1216">
      <c r="A1216" s="2">
        <f>IFERROR(__xludf.DUMMYFUNCTION("""COMPUTED_VALUE"""),45862.66666666667)</f>
        <v>45862.66667</v>
      </c>
      <c r="B1216" s="1">
        <f>IFERROR(__xludf.DUMMYFUNCTION("""COMPUTED_VALUE"""),472.55)</f>
        <v>472.55</v>
      </c>
    </row>
    <row r="1217">
      <c r="A1217" s="2">
        <f>IFERROR(__xludf.DUMMYFUNCTION("""COMPUTED_VALUE"""),45863.66666666667)</f>
        <v>45863.66667</v>
      </c>
      <c r="B1217" s="1">
        <f>IFERROR(__xludf.DUMMYFUNCTION("""COMPUTED_VALUE"""),475.86)</f>
        <v>475.86</v>
      </c>
    </row>
    <row r="1218">
      <c r="A1218" s="2">
        <f>IFERROR(__xludf.DUMMYFUNCTION("""COMPUTED_VALUE"""),45866.66666666667)</f>
        <v>45866.66667</v>
      </c>
      <c r="B1218" s="1">
        <f>IFERROR(__xludf.DUMMYFUNCTION("""COMPUTED_VALUE"""),481.0)</f>
        <v>481</v>
      </c>
    </row>
    <row r="1219">
      <c r="A1219" s="2">
        <f>IFERROR(__xludf.DUMMYFUNCTION("""COMPUTED_VALUE"""),45867.66666666667)</f>
        <v>45867.66667</v>
      </c>
      <c r="B1219" s="1">
        <f>IFERROR(__xludf.DUMMYFUNCTION("""COMPUTED_VALUE"""),481.68)</f>
        <v>481.68</v>
      </c>
    </row>
    <row r="1220">
      <c r="A1220" s="2">
        <f>IFERROR(__xludf.DUMMYFUNCTION("""COMPUTED_VALUE"""),45868.66666666667)</f>
        <v>45868.66667</v>
      </c>
      <c r="B1220" s="1">
        <f>IFERROR(__xludf.DUMMYFUNCTION("""COMPUTED_VALUE"""),481.42)</f>
        <v>481.42</v>
      </c>
    </row>
    <row r="1221">
      <c r="A1221" s="2">
        <f>IFERROR(__xludf.DUMMYFUNCTION("""COMPUTED_VALUE"""),45869.66666666667)</f>
        <v>45869.66667</v>
      </c>
      <c r="B1221" s="1">
        <f>IFERROR(__xludf.DUMMYFUNCTION("""COMPUTED_VALUE"""),487.2)</f>
        <v>487.2</v>
      </c>
    </row>
    <row r="1222">
      <c r="A1222" s="2">
        <f>IFERROR(__xludf.DUMMYFUNCTION("""COMPUTED_VALUE"""),45870.66666666667)</f>
        <v>45870.66667</v>
      </c>
      <c r="B1222" s="1">
        <f>IFERROR(__xludf.DUMMYFUNCTION("""COMPUTED_VALUE"""),482.21)</f>
        <v>482.21</v>
      </c>
    </row>
    <row r="1223">
      <c r="A1223" s="2">
        <f>IFERROR(__xludf.DUMMYFUNCTION("""COMPUTED_VALUE"""),45873.66666666667)</f>
        <v>45873.66667</v>
      </c>
      <c r="B1223" s="1">
        <f>IFERROR(__xludf.DUMMYFUNCTION("""COMPUTED_VALUE"""),474.34)</f>
        <v>474.34</v>
      </c>
    </row>
    <row r="1224">
      <c r="A1224" s="2">
        <f>IFERROR(__xludf.DUMMYFUNCTION("""COMPUTED_VALUE"""),45874.66666666667)</f>
        <v>45874.66667</v>
      </c>
      <c r="B1224" s="1">
        <f>IFERROR(__xludf.DUMMYFUNCTION("""COMPUTED_VALUE"""),482.16)</f>
        <v>482.16</v>
      </c>
    </row>
    <row r="1225">
      <c r="A1225" s="2">
        <f>IFERROR(__xludf.DUMMYFUNCTION("""COMPUTED_VALUE"""),45875.66666666667)</f>
        <v>45875.66667</v>
      </c>
      <c r="B1225" s="1">
        <f>IFERROR(__xludf.DUMMYFUNCTION("""COMPUTED_VALUE"""),478.76)</f>
        <v>478.76</v>
      </c>
    </row>
    <row r="1226">
      <c r="A1226" s="2">
        <f>IFERROR(__xludf.DUMMYFUNCTION("""COMPUTED_VALUE"""),45876.66666666667)</f>
        <v>45876.66667</v>
      </c>
      <c r="B1226" s="1">
        <f>IFERROR(__xludf.DUMMYFUNCTION("""COMPUTED_VALUE"""),478.76)</f>
        <v>478.76</v>
      </c>
    </row>
    <row r="1227">
      <c r="A1227" s="2">
        <f>IFERROR(__xludf.DUMMYFUNCTION("""COMPUTED_VALUE"""),45877.66666666667)</f>
        <v>45877.66667</v>
      </c>
      <c r="B1227" s="1">
        <f>IFERROR(__xludf.DUMMYFUNCTION("""COMPUTED_VALUE"""),477.83)</f>
        <v>477.83</v>
      </c>
    </row>
    <row r="1228">
      <c r="A1228" s="2">
        <f>IFERROR(__xludf.DUMMYFUNCTION("""COMPUTED_VALUE"""),45880.66666666667)</f>
        <v>45880.66667</v>
      </c>
      <c r="B1228" s="1">
        <f>IFERROR(__xludf.DUMMYFUNCTION("""COMPUTED_VALUE"""),480.69)</f>
        <v>480.69</v>
      </c>
    </row>
    <row r="1229">
      <c r="A1229" s="2">
        <f>IFERROR(__xludf.DUMMYFUNCTION("""COMPUTED_VALUE"""),45881.66666666667)</f>
        <v>45881.66667</v>
      </c>
      <c r="B1229" s="1">
        <f>IFERROR(__xludf.DUMMYFUNCTION("""COMPUTED_VALUE"""),481.16)</f>
        <v>481.16</v>
      </c>
    </row>
    <row r="1230">
      <c r="A1230" s="2">
        <f>IFERROR(__xludf.DUMMYFUNCTION("""COMPUTED_VALUE"""),45882.66666666667)</f>
        <v>45882.66667</v>
      </c>
      <c r="B1230" s="1">
        <f>IFERROR(__xludf.DUMMYFUNCTION("""COMPUTED_VALUE"""),484.53)</f>
        <v>484.53</v>
      </c>
    </row>
    <row r="1231">
      <c r="A1231" s="2">
        <f>IFERROR(__xludf.DUMMYFUNCTION("""COMPUTED_VALUE"""),45883.66666666667)</f>
        <v>45883.66667</v>
      </c>
      <c r="B1231" s="1">
        <f>IFERROR(__xludf.DUMMYFUNCTION("""COMPUTED_VALUE"""),484.66)</f>
        <v>484.66</v>
      </c>
    </row>
    <row r="1232">
      <c r="A1232" s="2">
        <f>IFERROR(__xludf.DUMMYFUNCTION("""COMPUTED_VALUE"""),45884.66666666667)</f>
        <v>45884.66667</v>
      </c>
      <c r="B1232" s="1">
        <f>IFERROR(__xludf.DUMMYFUNCTION("""COMPUTED_VALUE"""),489.6)</f>
        <v>489.6</v>
      </c>
    </row>
    <row r="1233">
      <c r="A1233" s="2">
        <f>IFERROR(__xludf.DUMMYFUNCTION("""COMPUTED_VALUE"""),45887.66666666667)</f>
        <v>45887.66667</v>
      </c>
      <c r="B1233" s="1">
        <f>IFERROR(__xludf.DUMMYFUNCTION("""COMPUTED_VALUE"""),486.43)</f>
        <v>486.43</v>
      </c>
    </row>
    <row r="1234">
      <c r="A1234" s="2">
        <f>IFERROR(__xludf.DUMMYFUNCTION("""COMPUTED_VALUE"""),45888.66666666667)</f>
        <v>45888.66667</v>
      </c>
      <c r="B1234" s="1">
        <f>IFERROR(__xludf.DUMMYFUNCTION("""COMPUTED_VALUE"""),487.62)</f>
        <v>487.62</v>
      </c>
    </row>
    <row r="1235">
      <c r="A1235" s="2">
        <f>IFERROR(__xludf.DUMMYFUNCTION("""COMPUTED_VALUE"""),45889.66666666667)</f>
        <v>45889.66667</v>
      </c>
      <c r="B1235" s="1">
        <f>IFERROR(__xludf.DUMMYFUNCTION("""COMPUTED_VALUE"""),487.52)</f>
        <v>487.52</v>
      </c>
    </row>
    <row r="1236">
      <c r="A1236" s="2">
        <f>IFERROR(__xludf.DUMMYFUNCTION("""COMPUTED_VALUE"""),45890.66666666667)</f>
        <v>45890.66667</v>
      </c>
      <c r="B1236" s="1">
        <f>IFERROR(__xludf.DUMMYFUNCTION("""COMPUTED_VALUE"""),489.12)</f>
        <v>489.12</v>
      </c>
    </row>
    <row r="1237">
      <c r="A1237" s="2">
        <f>IFERROR(__xludf.DUMMYFUNCTION("""COMPUTED_VALUE"""),45891.66666666667)</f>
        <v>45891.66667</v>
      </c>
      <c r="B1237" s="1">
        <f>IFERROR(__xludf.DUMMYFUNCTION("""COMPUTED_VALUE"""),487.42)</f>
        <v>487.42</v>
      </c>
    </row>
    <row r="1238">
      <c r="A1238" s="2">
        <f>IFERROR(__xludf.DUMMYFUNCTION("""COMPUTED_VALUE"""),45894.66666666667)</f>
        <v>45894.66667</v>
      </c>
      <c r="B1238" s="1">
        <f>IFERROR(__xludf.DUMMYFUNCTION("""COMPUTED_VALUE"""),489.89)</f>
        <v>489.89</v>
      </c>
    </row>
    <row r="1239">
      <c r="A1239" s="2">
        <f>IFERROR(__xludf.DUMMYFUNCTION("""COMPUTED_VALUE"""),45895.66666666667)</f>
        <v>45895.66667</v>
      </c>
      <c r="B1239" s="1">
        <f>IFERROR(__xludf.DUMMYFUNCTION("""COMPUTED_VALUE"""),488.91)</f>
        <v>488.91</v>
      </c>
    </row>
    <row r="1240">
      <c r="A1240" s="2">
        <f>IFERROR(__xludf.DUMMYFUNCTION("""COMPUTED_VALUE"""),45896.66666666667)</f>
        <v>45896.66667</v>
      </c>
      <c r="B1240" s="1">
        <f>IFERROR(__xludf.DUMMYFUNCTION("""COMPUTED_VALUE"""),490.68)</f>
        <v>490.68</v>
      </c>
    </row>
    <row r="1241">
      <c r="A1241" s="2">
        <f>IFERROR(__xludf.DUMMYFUNCTION("""COMPUTED_VALUE"""),45897.66666666667)</f>
        <v>45897.66667</v>
      </c>
      <c r="B1241" s="1">
        <f>IFERROR(__xludf.DUMMYFUNCTION("""COMPUTED_VALUE"""),489.86)</f>
        <v>489.86</v>
      </c>
    </row>
    <row r="1242">
      <c r="A1242" s="2">
        <f>IFERROR(__xludf.DUMMYFUNCTION("""COMPUTED_VALUE"""),45898.66666666667)</f>
        <v>45898.66667</v>
      </c>
      <c r="B1242" s="1">
        <f>IFERROR(__xludf.DUMMYFUNCTION("""COMPUTED_VALUE"""),489.58)</f>
        <v>489.58</v>
      </c>
    </row>
    <row r="1243">
      <c r="A1243" s="2">
        <f>IFERROR(__xludf.DUMMYFUNCTION("""COMPUTED_VALUE"""),45901.66666666667)</f>
        <v>45901.66667</v>
      </c>
      <c r="B1243" s="1">
        <f>IFERROR(__xludf.DUMMYFUNCTION("""COMPUTED_VALUE"""),485.48)</f>
        <v>485.48</v>
      </c>
    </row>
    <row r="1244">
      <c r="A1244" s="2">
        <f>IFERROR(__xludf.DUMMYFUNCTION("""COMPUTED_VALUE"""),45902.66666666667)</f>
        <v>45902.66667</v>
      </c>
      <c r="B1244" s="1">
        <f>IFERROR(__xludf.DUMMYFUNCTION("""COMPUTED_VALUE"""),486.61)</f>
        <v>486.61</v>
      </c>
    </row>
    <row r="1245">
      <c r="A1245" s="2">
        <f>IFERROR(__xludf.DUMMYFUNCTION("""COMPUTED_VALUE"""),45903.66666666667)</f>
        <v>45903.66667</v>
      </c>
      <c r="B1245" s="1">
        <f>IFERROR(__xludf.DUMMYFUNCTION("""COMPUTED_VALUE"""),485.32)</f>
        <v>485.32</v>
      </c>
    </row>
    <row r="1246">
      <c r="A1246" s="2">
        <f>IFERROR(__xludf.DUMMYFUNCTION("""COMPUTED_VALUE"""),45904.66666666667)</f>
        <v>45904.66667</v>
      </c>
      <c r="B1246" s="1">
        <f>IFERROR(__xludf.DUMMYFUNCTION("""COMPUTED_VALUE"""),487.42)</f>
        <v>487.42</v>
      </c>
    </row>
    <row r="1247">
      <c r="A1247" s="2">
        <f>IFERROR(__xludf.DUMMYFUNCTION("""COMPUTED_VALUE"""),45905.66666666667)</f>
        <v>45905.66667</v>
      </c>
      <c r="B1247" s="1">
        <f>IFERROR(__xludf.DUMMYFUNCTION("""COMPUTED_VALUE"""),491.5)</f>
        <v>491.5</v>
      </c>
    </row>
    <row r="1248">
      <c r="A1248" s="2">
        <f>IFERROR(__xludf.DUMMYFUNCTION("""COMPUTED_VALUE"""),45908.66666666667)</f>
        <v>45908.66667</v>
      </c>
      <c r="B1248" s="1">
        <f>IFERROR(__xludf.DUMMYFUNCTION("""COMPUTED_VALUE"""),487.69)</f>
        <v>487.69</v>
      </c>
    </row>
    <row r="1249">
      <c r="A1249" s="2">
        <f>IFERROR(__xludf.DUMMYFUNCTION("""COMPUTED_VALUE"""),45909.66666666667)</f>
        <v>45909.66667</v>
      </c>
      <c r="B1249" s="1">
        <f>IFERROR(__xludf.DUMMYFUNCTION("""COMPUTED_VALUE"""),486.04)</f>
        <v>486.04</v>
      </c>
    </row>
    <row r="1250">
      <c r="A1250" s="2">
        <f>IFERROR(__xludf.DUMMYFUNCTION("""COMPUTED_VALUE"""),45910.66666666667)</f>
        <v>45910.66667</v>
      </c>
      <c r="B1250" s="1">
        <f>IFERROR(__xludf.DUMMYFUNCTION("""COMPUTED_VALUE"""),486.74)</f>
        <v>486.74</v>
      </c>
    </row>
    <row r="1251">
      <c r="A1251" s="2">
        <f>IFERROR(__xludf.DUMMYFUNCTION("""COMPUTED_VALUE"""),45911.66666666667)</f>
        <v>45911.66667</v>
      </c>
      <c r="B1251" s="1">
        <f>IFERROR(__xludf.DUMMYFUNCTION("""COMPUTED_VALUE"""),487.61)</f>
        <v>487.61</v>
      </c>
    </row>
    <row r="1252">
      <c r="A1252" s="2">
        <f>IFERROR(__xludf.DUMMYFUNCTION("""COMPUTED_VALUE"""),45912.66666666667)</f>
        <v>45912.66667</v>
      </c>
      <c r="B1252" s="1">
        <f>IFERROR(__xludf.DUMMYFUNCTION("""COMPUTED_VALUE"""),488.0)</f>
        <v>488</v>
      </c>
    </row>
    <row r="1253">
      <c r="A1253" s="2">
        <f>IFERROR(__xludf.DUMMYFUNCTION("""COMPUTED_VALUE"""),45915.66666666667)</f>
        <v>45915.66667</v>
      </c>
      <c r="B1253" s="1">
        <f>IFERROR(__xludf.DUMMYFUNCTION("""COMPUTED_VALUE"""),487.79)</f>
        <v>487.79</v>
      </c>
    </row>
    <row r="1254">
      <c r="A1254" s="2">
        <f>IFERROR(__xludf.DUMMYFUNCTION("""COMPUTED_VALUE"""),45916.66666666667)</f>
        <v>45916.66667</v>
      </c>
      <c r="B1254" s="1">
        <f>IFERROR(__xludf.DUMMYFUNCTION("""COMPUTED_VALUE"""),489.43)</f>
        <v>489.43</v>
      </c>
    </row>
    <row r="1255">
      <c r="A1255" s="2">
        <f>IFERROR(__xludf.DUMMYFUNCTION("""COMPUTED_VALUE"""),45917.66666666667)</f>
        <v>45917.66667</v>
      </c>
      <c r="B1255" s="1">
        <f>IFERROR(__xludf.DUMMYFUNCTION("""COMPUTED_VALUE"""),487.64)</f>
        <v>487.64</v>
      </c>
    </row>
    <row r="1256">
      <c r="A1256" s="2">
        <f>IFERROR(__xludf.DUMMYFUNCTION("""COMPUTED_VALUE"""),45918.66666666667)</f>
        <v>45918.66667</v>
      </c>
      <c r="B1256" s="1">
        <f>IFERROR(__xludf.DUMMYFUNCTION("""COMPUTED_VALUE"""),493.31)</f>
        <v>493.31</v>
      </c>
    </row>
    <row r="1257">
      <c r="A1257" s="2">
        <f>IFERROR(__xludf.DUMMYFUNCTION("""COMPUTED_VALUE"""),45919.66666666667)</f>
        <v>45919.66667</v>
      </c>
      <c r="B1257" s="1">
        <f>IFERROR(__xludf.DUMMYFUNCTION("""COMPUTED_VALUE"""),496.7)</f>
        <v>496.7</v>
      </c>
    </row>
    <row r="1258">
      <c r="A1258" s="2">
        <f>IFERROR(__xludf.DUMMYFUNCTION("""COMPUTED_VALUE"""),45922.66666666667)</f>
        <v>45922.66667</v>
      </c>
      <c r="B1258" s="1">
        <f>IFERROR(__xludf.DUMMYFUNCTION("""COMPUTED_VALUE"""),497.67)</f>
        <v>497.67</v>
      </c>
    </row>
    <row r="1259">
      <c r="A1259" s="2">
        <f>IFERROR(__xludf.DUMMYFUNCTION("""COMPUTED_VALUE"""),45923.66666666667)</f>
        <v>45923.66667</v>
      </c>
      <c r="B1259" s="1">
        <f>IFERROR(__xludf.DUMMYFUNCTION("""COMPUTED_VALUE"""),500.9)</f>
        <v>500.9</v>
      </c>
    </row>
    <row r="1260">
      <c r="A1260" s="2">
        <f>IFERROR(__xludf.DUMMYFUNCTION("""COMPUTED_VALUE"""),45924.66666666667)</f>
        <v>45924.66667</v>
      </c>
      <c r="B1260" s="1">
        <f>IFERROR(__xludf.DUMMYFUNCTION("""COMPUTED_VALUE"""),496.26)</f>
        <v>496.26</v>
      </c>
    </row>
    <row r="1261">
      <c r="A1261" s="2">
        <f>IFERROR(__xludf.DUMMYFUNCTION("""COMPUTED_VALUE"""),45925.66666666667)</f>
        <v>45925.66667</v>
      </c>
      <c r="B1261" s="1">
        <f>IFERROR(__xludf.DUMMYFUNCTION("""COMPUTED_VALUE"""),496.58)</f>
        <v>496.58</v>
      </c>
    </row>
    <row r="1262">
      <c r="A1262" s="2">
        <f>IFERROR(__xludf.DUMMYFUNCTION("""COMPUTED_VALUE"""),45926.66666666667)</f>
        <v>45926.66667</v>
      </c>
      <c r="B1262" s="1">
        <f>IFERROR(__xludf.DUMMYFUNCTION("""COMPUTED_VALUE"""),497.54)</f>
        <v>497.54</v>
      </c>
    </row>
    <row r="1263">
      <c r="A1263" s="2">
        <f>IFERROR(__xludf.DUMMYFUNCTION("""COMPUTED_VALUE"""),45929.66666666667)</f>
        <v>45929.66667</v>
      </c>
      <c r="B1263" s="1">
        <f>IFERROR(__xludf.DUMMYFUNCTION("""COMPUTED_VALUE"""),498.0)</f>
        <v>498</v>
      </c>
    </row>
    <row r="1264">
      <c r="A1264" s="2">
        <f>IFERROR(__xludf.DUMMYFUNCTION("""COMPUTED_VALUE"""),45930.66666666667)</f>
        <v>45930.66667</v>
      </c>
      <c r="B1264" s="1">
        <f>IFERROR(__xludf.DUMMYFUNCTION("""COMPUTED_VALUE"""),495.51)</f>
        <v>495.51</v>
      </c>
    </row>
    <row r="1265">
      <c r="A1265" s="2">
        <f>IFERROR(__xludf.DUMMYFUNCTION("""COMPUTED_VALUE"""),45931.66666666667)</f>
        <v>45931.66667</v>
      </c>
      <c r="B1265" s="1">
        <f>IFERROR(__xludf.DUMMYFUNCTION("""COMPUTED_VALUE"""),494.5)</f>
        <v>494.5</v>
      </c>
    </row>
    <row r="1266">
      <c r="A1266" s="2">
        <f>IFERROR(__xludf.DUMMYFUNCTION("""COMPUTED_VALUE"""),45932.66666666667)</f>
        <v>45932.66667</v>
      </c>
      <c r="B1266" s="1">
        <f>IFERROR(__xludf.DUMMYFUNCTION("""COMPUTED_VALUE"""),498.13)</f>
        <v>498.13</v>
      </c>
    </row>
    <row r="1267">
      <c r="A1267" s="2">
        <f>IFERROR(__xludf.DUMMYFUNCTION("""COMPUTED_VALUE"""),45933.66666666667)</f>
        <v>45933.66667</v>
      </c>
      <c r="B1267" s="1">
        <f>IFERROR(__xludf.DUMMYFUNCTION("""COMPUTED_VALUE"""),501.78)</f>
        <v>501.78</v>
      </c>
    </row>
    <row r="1268">
      <c r="A1268" s="2">
        <f>IFERROR(__xludf.DUMMYFUNCTION("""COMPUTED_VALUE"""),45936.66666666667)</f>
        <v>45936.66667</v>
      </c>
      <c r="B1268" s="1">
        <f>IFERROR(__xludf.DUMMYFUNCTION("""COMPUTED_VALUE"""),501.51)</f>
        <v>501.51</v>
      </c>
    </row>
    <row r="1269">
      <c r="A1269" s="2">
        <f>IFERROR(__xludf.DUMMYFUNCTION("""COMPUTED_VALUE"""),45937.66666666667)</f>
        <v>45937.66667</v>
      </c>
      <c r="B1269" s="1">
        <f>IFERROR(__xludf.DUMMYFUNCTION("""COMPUTED_VALUE"""),500.73)</f>
        <v>500.73</v>
      </c>
    </row>
    <row r="1270">
      <c r="A1270" s="2">
        <f>IFERROR(__xludf.DUMMYFUNCTION("""COMPUTED_VALUE"""),45938.66666666667)</f>
        <v>45938.66667</v>
      </c>
      <c r="B1270" s="1">
        <f>IFERROR(__xludf.DUMMYFUNCTION("""COMPUTED_VALUE"""),503.19)</f>
        <v>503.19</v>
      </c>
    </row>
    <row r="1271">
      <c r="A1271" s="2">
        <f>IFERROR(__xludf.DUMMYFUNCTION("""COMPUTED_VALUE"""),45939.66666666667)</f>
        <v>45939.66667</v>
      </c>
      <c r="B1271" s="1">
        <f>IFERROR(__xludf.DUMMYFUNCTION("""COMPUTED_VALUE"""),502.2)</f>
        <v>502.2</v>
      </c>
    </row>
    <row r="1272">
      <c r="A1272" s="2">
        <f>IFERROR(__xludf.DUMMYFUNCTION("""COMPUTED_VALUE"""),45940.66666666667)</f>
        <v>45940.66667</v>
      </c>
      <c r="B1272" s="1">
        <f>IFERROR(__xludf.DUMMYFUNCTION("""COMPUTED_VALUE"""),504.41)</f>
        <v>504.41</v>
      </c>
    </row>
    <row r="1273">
      <c r="A1273" s="2">
        <f>IFERROR(__xludf.DUMMYFUNCTION("""COMPUTED_VALUE"""),45943.66666666667)</f>
        <v>45943.66667</v>
      </c>
      <c r="B1273" s="1">
        <f>IFERROR(__xludf.DUMMYFUNCTION("""COMPUTED_VALUE"""),499.58)</f>
        <v>499.58</v>
      </c>
    </row>
    <row r="1274">
      <c r="A1274" s="2">
        <f>IFERROR(__xludf.DUMMYFUNCTION("""COMPUTED_VALUE"""),45944.66666666667)</f>
        <v>45944.66667</v>
      </c>
      <c r="B1274" s="1">
        <f>IFERROR(__xludf.DUMMYFUNCTION("""COMPUTED_VALUE"""),503.22)</f>
        <v>503.22</v>
      </c>
    </row>
    <row r="1275">
      <c r="A1275" s="2">
        <f>IFERROR(__xludf.DUMMYFUNCTION("""COMPUTED_VALUE"""),45945.66666666667)</f>
        <v>45945.66667</v>
      </c>
      <c r="B1275" s="1">
        <f>IFERROR(__xludf.DUMMYFUNCTION("""COMPUTED_VALUE"""),503.83)</f>
        <v>503.83</v>
      </c>
    </row>
    <row r="1276">
      <c r="A1276" s="2">
        <f>IFERROR(__xludf.DUMMYFUNCTION("""COMPUTED_VALUE"""),45946.66666666667)</f>
        <v>45946.66667</v>
      </c>
      <c r="B1276" s="1">
        <f>IFERROR(__xludf.DUMMYFUNCTION("""COMPUTED_VALUE"""),506.01)</f>
        <v>506.01</v>
      </c>
    </row>
    <row r="1277">
      <c r="A1277" s="2">
        <f>IFERROR(__xludf.DUMMYFUNCTION("""COMPUTED_VALUE"""),45947.66666666667)</f>
        <v>45947.66667</v>
      </c>
      <c r="B1277" s="1">
        <f>IFERROR(__xludf.DUMMYFUNCTION("""COMPUTED_VALUE"""),500.99)</f>
        <v>500.99</v>
      </c>
    </row>
    <row r="1278">
      <c r="A1278" s="2">
        <f>IFERROR(__xludf.DUMMYFUNCTION("""COMPUTED_VALUE"""),45950.66666666667)</f>
        <v>45950.66667</v>
      </c>
      <c r="B1278" s="1">
        <f>IFERROR(__xludf.DUMMYFUNCTION("""COMPUTED_VALUE"""),505.15)</f>
        <v>505.15</v>
      </c>
    </row>
    <row r="1279">
      <c r="A1279" s="2">
        <f>IFERROR(__xludf.DUMMYFUNCTION("""COMPUTED_VALUE"""),45951.66666666667)</f>
        <v>45951.66667</v>
      </c>
      <c r="B1279" s="1">
        <f>IFERROR(__xludf.DUMMYFUNCTION("""COMPUTED_VALUE"""),509.4)</f>
        <v>509.4</v>
      </c>
    </row>
    <row r="1280">
      <c r="A1280" s="2">
        <f>IFERROR(__xludf.DUMMYFUNCTION("""COMPUTED_VALUE"""),45952.66666666667)</f>
        <v>45952.66667</v>
      </c>
      <c r="B1280" s="1">
        <f>IFERROR(__xludf.DUMMYFUNCTION("""COMPUTED_VALUE"""),509.9)</f>
        <v>509.9</v>
      </c>
    </row>
    <row r="1281">
      <c r="A1281" s="2">
        <f>IFERROR(__xludf.DUMMYFUNCTION("""COMPUTED_VALUE"""),45953.66666666667)</f>
        <v>45953.66667</v>
      </c>
      <c r="B1281" s="1">
        <f>IFERROR(__xludf.DUMMYFUNCTION("""COMPUTED_VALUE"""),507.86)</f>
        <v>507.86</v>
      </c>
    </row>
    <row r="1282">
      <c r="A1282" s="2">
        <f>IFERROR(__xludf.DUMMYFUNCTION("""COMPUTED_VALUE"""),45954.66666666667)</f>
        <v>45954.66667</v>
      </c>
      <c r="B1282" s="1">
        <f>IFERROR(__xludf.DUMMYFUNCTION("""COMPUTED_VALUE"""),510.86)</f>
        <v>510.86</v>
      </c>
    </row>
    <row r="1283">
      <c r="A1283" s="2">
        <f>IFERROR(__xludf.DUMMYFUNCTION("""COMPUTED_VALUE"""),45957.66666666667)</f>
        <v>45957.66667</v>
      </c>
      <c r="B1283" s="1">
        <f>IFERROR(__xludf.DUMMYFUNCTION("""COMPUTED_VALUE"""),515.36)</f>
        <v>515.36</v>
      </c>
    </row>
    <row r="1284">
      <c r="A1284" s="2">
        <f>IFERROR(__xludf.DUMMYFUNCTION("""COMPUTED_VALUE"""),45958.66666666667)</f>
        <v>45958.66667</v>
      </c>
      <c r="B1284" s="1">
        <f>IFERROR(__xludf.DUMMYFUNCTION("""COMPUTED_VALUE"""),514.17)</f>
        <v>514.17</v>
      </c>
    </row>
    <row r="1285">
      <c r="A1285" s="2">
        <f>IFERROR(__xludf.DUMMYFUNCTION("""COMPUTED_VALUE"""),45959.66666666667)</f>
        <v>45959.66667</v>
      </c>
      <c r="B1285" s="1">
        <f>IFERROR(__xludf.DUMMYFUNCTION("""COMPUTED_VALUE"""),513.61)</f>
        <v>513.61</v>
      </c>
    </row>
    <row r="1286">
      <c r="A1286" s="2">
        <f>IFERROR(__xludf.DUMMYFUNCTION("""COMPUTED_VALUE"""),45960.66666666667)</f>
        <v>45960.66667</v>
      </c>
      <c r="B1286" s="1">
        <f>IFERROR(__xludf.DUMMYFUNCTION("""COMPUTED_VALUE"""),512.34)</f>
        <v>512.34</v>
      </c>
    </row>
    <row r="1287">
      <c r="A1287" s="2">
        <f>IFERROR(__xludf.DUMMYFUNCTION("""COMPUTED_VALUE"""),45961.66666666667)</f>
        <v>45961.66667</v>
      </c>
      <c r="B1287" s="1">
        <f>IFERROR(__xludf.DUMMYFUNCTION("""COMPUTED_VALUE"""),513.69)</f>
        <v>513.69</v>
      </c>
    </row>
    <row r="1288">
      <c r="A1288" s="2">
        <f>IFERROR(__xludf.DUMMYFUNCTION("""COMPUTED_VALUE"""),45965.66666666667)</f>
        <v>45965.66667</v>
      </c>
      <c r="B1288" s="1">
        <f>IFERROR(__xludf.DUMMYFUNCTION("""COMPUTED_VALUE"""),511.8)</f>
        <v>511.8</v>
      </c>
    </row>
    <row r="1289">
      <c r="A1289" s="2">
        <f>IFERROR(__xludf.DUMMYFUNCTION("""COMPUTED_VALUE"""),45966.66666666667)</f>
        <v>45966.66667</v>
      </c>
      <c r="B1289" s="1">
        <f>IFERROR(__xludf.DUMMYFUNCTION("""COMPUTED_VALUE"""),510.28)</f>
        <v>510.28</v>
      </c>
    </row>
    <row r="1290">
      <c r="A1290" s="2">
        <f>IFERROR(__xludf.DUMMYFUNCTION("""COMPUTED_VALUE"""),45967.66666666667)</f>
        <v>45967.66667</v>
      </c>
      <c r="B1290" s="1">
        <f>IFERROR(__xludf.DUMMYFUNCTION("""COMPUTED_VALUE"""),511.82)</f>
        <v>511.82</v>
      </c>
    </row>
    <row r="1291">
      <c r="A1291" s="2">
        <f>IFERROR(__xludf.DUMMYFUNCTION("""COMPUTED_VALUE"""),45968.66666666667)</f>
        <v>45968.66667</v>
      </c>
      <c r="B1291" s="1">
        <f>IFERROR(__xludf.DUMMYFUNCTION("""COMPUTED_VALUE"""),509.14)</f>
        <v>509.14</v>
      </c>
    </row>
    <row r="1292">
      <c r="A1292" s="2">
        <f>IFERROR(__xludf.DUMMYFUNCTION("""COMPUTED_VALUE"""),45971.66666666667)</f>
        <v>45971.66667</v>
      </c>
      <c r="B1292" s="1">
        <f>IFERROR(__xludf.DUMMYFUNCTION("""COMPUTED_VALUE"""),509.9)</f>
        <v>509.9</v>
      </c>
    </row>
    <row r="1293">
      <c r="A1293" s="2">
        <f>IFERROR(__xludf.DUMMYFUNCTION("""COMPUTED_VALUE"""),45972.66666666667)</f>
        <v>45972.66667</v>
      </c>
      <c r="B1293" s="1">
        <f>IFERROR(__xludf.DUMMYFUNCTION("""COMPUTED_VALUE"""),513.57)</f>
        <v>513.57</v>
      </c>
    </row>
    <row r="1294">
      <c r="A1294" s="2">
        <f>IFERROR(__xludf.DUMMYFUNCTION("""COMPUTED_VALUE"""),45973.66666666667)</f>
        <v>45973.66667</v>
      </c>
      <c r="B1294" s="1">
        <f>IFERROR(__xludf.DUMMYFUNCTION("""COMPUTED_VALUE"""),515.74)</f>
        <v>515.74</v>
      </c>
    </row>
    <row r="1295">
      <c r="A1295" s="2">
        <f>IFERROR(__xludf.DUMMYFUNCTION("""COMPUTED_VALUE"""),45974.66666666667)</f>
        <v>45974.66667</v>
      </c>
      <c r="B1295" s="1">
        <f>IFERROR(__xludf.DUMMYFUNCTION("""COMPUTED_VALUE"""),513.21)</f>
        <v>513.21</v>
      </c>
    </row>
    <row r="1296">
      <c r="A1296" s="2">
        <f>IFERROR(__xludf.DUMMYFUNCTION("""COMPUTED_VALUE"""),45975.66666666667)</f>
        <v>45975.66667</v>
      </c>
      <c r="B1296" s="1">
        <f>IFERROR(__xludf.DUMMYFUNCTION("""COMPUTED_VALUE"""),505.09)</f>
        <v>505.09</v>
      </c>
    </row>
    <row r="1297">
      <c r="A1297" s="2">
        <f>IFERROR(__xludf.DUMMYFUNCTION("""COMPUTED_VALUE"""),45978.66666666667)</f>
        <v>45978.66667</v>
      </c>
      <c r="B1297" s="1">
        <f>IFERROR(__xludf.DUMMYFUNCTION("""COMPUTED_VALUE"""),508.14)</f>
        <v>508.14</v>
      </c>
    </row>
    <row r="1298">
      <c r="A1298" s="2">
        <f>IFERROR(__xludf.DUMMYFUNCTION("""COMPUTED_VALUE"""),45979.66666666667)</f>
        <v>45979.66667</v>
      </c>
      <c r="B1298" s="1">
        <f>IFERROR(__xludf.DUMMYFUNCTION("""COMPUTED_VALUE"""),502.0)</f>
        <v>502</v>
      </c>
    </row>
    <row r="1299">
      <c r="A1299" s="2">
        <f>IFERROR(__xludf.DUMMYFUNCTION("""COMPUTED_VALUE"""),45980.66666666667)</f>
        <v>45980.66667</v>
      </c>
      <c r="B1299" s="1">
        <f>IFERROR(__xludf.DUMMYFUNCTION("""COMPUTED_VALUE"""),499.74)</f>
        <v>499.74</v>
      </c>
    </row>
    <row r="1300">
      <c r="A1300" s="2">
        <f>IFERROR(__xludf.DUMMYFUNCTION("""COMPUTED_VALUE"""),45981.66666666667)</f>
        <v>45981.66667</v>
      </c>
      <c r="B1300" s="1">
        <f>IFERROR(__xludf.DUMMYFUNCTION("""COMPUTED_VALUE"""),508.12)</f>
        <v>508.12</v>
      </c>
    </row>
    <row r="1301">
      <c r="A1301" s="2">
        <f>IFERROR(__xludf.DUMMYFUNCTION("""COMPUTED_VALUE"""),45982.66666666667)</f>
        <v>45982.66667</v>
      </c>
      <c r="B1301" s="1">
        <f>IFERROR(__xludf.DUMMYFUNCTION("""COMPUTED_VALUE"""),498.52)</f>
        <v>498.52</v>
      </c>
    </row>
    <row r="1302">
      <c r="A1302" s="2">
        <f>IFERROR(__xludf.DUMMYFUNCTION("""COMPUTED_VALUE"""),45985.66666666667)</f>
        <v>45985.66667</v>
      </c>
      <c r="B1302" s="1">
        <f>IFERROR(__xludf.DUMMYFUNCTION("""COMPUTED_VALUE"""),503.29)</f>
        <v>503.29</v>
      </c>
    </row>
    <row r="1303">
      <c r="A1303" s="2">
        <f>IFERROR(__xludf.DUMMYFUNCTION("""COMPUTED_VALUE"""),45986.66666666667)</f>
        <v>45986.66667</v>
      </c>
      <c r="B1303" s="1">
        <f>IFERROR(__xludf.DUMMYFUNCTION("""COMPUTED_VALUE"""),509.33)</f>
        <v>509.33</v>
      </c>
    </row>
    <row r="1304">
      <c r="A1304" s="2">
        <f>IFERROR(__xludf.DUMMYFUNCTION("""COMPUTED_VALUE"""),45987.66666666667)</f>
        <v>45987.66667</v>
      </c>
      <c r="B1304" s="1">
        <f>IFERROR(__xludf.DUMMYFUNCTION("""COMPUTED_VALUE"""),512.25)</f>
        <v>512.25</v>
      </c>
    </row>
    <row r="1305">
      <c r="A1305" s="2">
        <f>IFERROR(__xludf.DUMMYFUNCTION("""COMPUTED_VALUE"""),45988.66666666667)</f>
        <v>45988.66667</v>
      </c>
      <c r="B1305" s="1">
        <f>IFERROR(__xludf.DUMMYFUNCTION("""COMPUTED_VALUE"""),512.51)</f>
        <v>512.51</v>
      </c>
    </row>
    <row r="1306">
      <c r="A1306" s="2">
        <f>IFERROR(__xludf.DUMMYFUNCTION("""COMPUTED_VALUE"""),45989.66666666667)</f>
        <v>45989.66667</v>
      </c>
      <c r="B1306" s="1">
        <f>IFERROR(__xludf.DUMMYFUNCTION("""COMPUTED_VALUE"""),514.83)</f>
        <v>514.83</v>
      </c>
    </row>
    <row r="1307">
      <c r="A1307" s="2">
        <f>IFERROR(__xludf.DUMMYFUNCTION("""COMPUTED_VALUE"""),45992.66666666667)</f>
        <v>45992.66667</v>
      </c>
      <c r="B1307" s="1">
        <f>IFERROR(__xludf.DUMMYFUNCTION("""COMPUTED_VALUE"""),510.12)</f>
        <v>510.12</v>
      </c>
    </row>
    <row r="1308">
      <c r="A1308" s="2">
        <f>IFERROR(__xludf.DUMMYFUNCTION("""COMPUTED_VALUE"""),45993.66666666667)</f>
        <v>45993.66667</v>
      </c>
      <c r="B1308" s="1">
        <f>IFERROR(__xludf.DUMMYFUNCTION("""COMPUTED_VALUE"""),510.68)</f>
        <v>510.68</v>
      </c>
    </row>
    <row r="1309">
      <c r="A1309" s="2">
        <f>IFERROR(__xludf.DUMMYFUNCTION("""COMPUTED_VALUE"""),45994.66666666667)</f>
        <v>45994.66667</v>
      </c>
      <c r="B1309" s="1">
        <f>IFERROR(__xludf.DUMMYFUNCTION("""COMPUTED_VALUE"""),510.53)</f>
        <v>510.53</v>
      </c>
    </row>
    <row r="1310">
      <c r="A1310" s="2">
        <f>IFERROR(__xludf.DUMMYFUNCTION("""COMPUTED_VALUE"""),45995.66666666667)</f>
        <v>45995.66667</v>
      </c>
      <c r="B1310" s="1">
        <f>IFERROR(__xludf.DUMMYFUNCTION("""COMPUTED_VALUE"""),509.32)</f>
        <v>509.32</v>
      </c>
    </row>
    <row r="1311">
      <c r="A1311" s="2">
        <f>IFERROR(__xludf.DUMMYFUNCTION("""COMPUTED_VALUE"""),45996.66666666667)</f>
        <v>45996.66667</v>
      </c>
      <c r="B1311" s="1">
        <f>IFERROR(__xludf.DUMMYFUNCTION("""COMPUTED_VALUE"""),510.6)</f>
        <v>510.6</v>
      </c>
    </row>
    <row r="1312">
      <c r="A1312" s="2">
        <f>IFERROR(__xludf.DUMMYFUNCTION("""COMPUTED_VALUE"""),45999.66666666667)</f>
        <v>45999.66667</v>
      </c>
      <c r="B1312" s="1">
        <f>IFERROR(__xludf.DUMMYFUNCTION("""COMPUTED_VALUE"""),509.25)</f>
        <v>509.25</v>
      </c>
    </row>
    <row r="1313">
      <c r="A1313" s="2">
        <f>IFERROR(__xludf.DUMMYFUNCTION("""COMPUTED_VALUE"""),46000.66666666667)</f>
        <v>46000.66667</v>
      </c>
      <c r="B1313" s="1">
        <f>IFERROR(__xludf.DUMMYFUNCTION("""COMPUTED_VALUE"""),507.1)</f>
        <v>507.1</v>
      </c>
    </row>
    <row r="1314">
      <c r="A1314" s="2">
        <f>IFERROR(__xludf.DUMMYFUNCTION("""COMPUTED_VALUE"""),46001.66666666667)</f>
        <v>46001.66667</v>
      </c>
      <c r="B1314" s="1">
        <f>IFERROR(__xludf.DUMMYFUNCTION("""COMPUTED_VALUE"""),506.48)</f>
        <v>506.48</v>
      </c>
    </row>
    <row r="1315">
      <c r="A1315" s="2">
        <f>IFERROR(__xludf.DUMMYFUNCTION("""COMPUTED_VALUE"""),46002.66666666667)</f>
        <v>46002.66667</v>
      </c>
      <c r="B1315" s="1">
        <f>IFERROR(__xludf.DUMMYFUNCTION("""COMPUTED_VALUE"""),506.72)</f>
        <v>506.72</v>
      </c>
    </row>
    <row r="1316">
      <c r="A1316" s="2">
        <f>IFERROR(__xludf.DUMMYFUNCTION("""COMPUTED_VALUE"""),46003.66666666667)</f>
        <v>46003.66667</v>
      </c>
      <c r="B1316" s="1">
        <f>IFERROR(__xludf.DUMMYFUNCTION("""COMPUTED_VALUE"""),510.57)</f>
        <v>510.57</v>
      </c>
    </row>
    <row r="1317">
      <c r="A1317" s="2">
        <f>IFERROR(__xludf.DUMMYFUNCTION("""COMPUTED_VALUE"""),46006.66666666667)</f>
        <v>46006.66667</v>
      </c>
      <c r="B1317" s="1">
        <f>IFERROR(__xludf.DUMMYFUNCTION("""COMPUTED_VALUE"""),507.53)</f>
        <v>507.53</v>
      </c>
    </row>
    <row r="1318">
      <c r="A1318" s="2">
        <f>IFERROR(__xludf.DUMMYFUNCTION("""COMPUTED_VALUE"""),46007.66666666667)</f>
        <v>46007.66667</v>
      </c>
      <c r="B1318" s="1">
        <f>IFERROR(__xludf.DUMMYFUNCTION("""COMPUTED_VALUE"""),503.34)</f>
        <v>503.34</v>
      </c>
    </row>
    <row r="1319">
      <c r="A1319" s="2">
        <f>IFERROR(__xludf.DUMMYFUNCTION("""COMPUTED_VALUE"""),46008.66666666667)</f>
        <v>46008.66667</v>
      </c>
      <c r="B1319" s="1">
        <f>IFERROR(__xludf.DUMMYFUNCTION("""COMPUTED_VALUE"""),504.93)</f>
        <v>504.93</v>
      </c>
    </row>
    <row r="1320">
      <c r="A1320" s="2">
        <f>IFERROR(__xludf.DUMMYFUNCTION("""COMPUTED_VALUE"""),46009.66666666667)</f>
        <v>46009.66667</v>
      </c>
      <c r="B1320" s="1">
        <f>IFERROR(__xludf.DUMMYFUNCTION("""COMPUTED_VALUE"""),502.0)</f>
        <v>502</v>
      </c>
    </row>
    <row r="1321">
      <c r="A1321" s="2">
        <f>IFERROR(__xludf.DUMMYFUNCTION("""COMPUTED_VALUE"""),46010.66666666667)</f>
        <v>46010.66667</v>
      </c>
      <c r="B1321" s="1">
        <f>IFERROR(__xludf.DUMMYFUNCTION("""COMPUTED_VALUE"""),504.44)</f>
        <v>504.44</v>
      </c>
    </row>
    <row r="1322">
      <c r="A1322" s="2">
        <f>IFERROR(__xludf.DUMMYFUNCTION("""COMPUTED_VALUE"""),46013.66666666667)</f>
        <v>46013.66667</v>
      </c>
      <c r="B1322" s="1">
        <f>IFERROR(__xludf.DUMMYFUNCTION("""COMPUTED_VALUE"""),507.33)</f>
        <v>507.33</v>
      </c>
    </row>
    <row r="1323">
      <c r="A1323" s="2">
        <f>IFERROR(__xludf.DUMMYFUNCTION("""COMPUTED_VALUE"""),46014.66666666667)</f>
        <v>46014.66667</v>
      </c>
      <c r="B1323" s="1">
        <f>IFERROR(__xludf.DUMMYFUNCTION("""COMPUTED_VALUE"""),506.4)</f>
        <v>506.4</v>
      </c>
    </row>
    <row r="1324">
      <c r="A1324" s="2">
        <f>IFERROR(__xludf.DUMMYFUNCTION("""COMPUTED_VALUE"""),46015.597916666666)</f>
        <v>46015.59792</v>
      </c>
      <c r="B1324" s="1">
        <f>IFERROR(__xludf.DUMMYFUNCTION("""COMPUTED_VALUE"""),504.96)</f>
        <v>504.96</v>
      </c>
    </row>
    <row r="1325">
      <c r="A1325" s="2">
        <f>IFERROR(__xludf.DUMMYFUNCTION("""COMPUTED_VALUE"""),46020.66666666667)</f>
        <v>46020.66667</v>
      </c>
      <c r="B1325" s="1">
        <f>IFERROR(__xludf.DUMMYFUNCTION("""COMPUTED_VALUE"""),505.04)</f>
        <v>505.04</v>
      </c>
    </row>
    <row r="1326">
      <c r="A1326" s="2">
        <f>IFERROR(__xludf.DUMMYFUNCTION("""COMPUTED_VALUE"""),46021.66666666667)</f>
        <v>46021.66667</v>
      </c>
      <c r="B1326" s="1">
        <f>IFERROR(__xludf.DUMMYFUNCTION("""COMPUTED_VALUE"""),504.84)</f>
        <v>504.84</v>
      </c>
    </row>
    <row r="1327">
      <c r="A1327" s="2">
        <f>IFERROR(__xludf.DUMMYFUNCTION("""COMPUTED_VALUE"""),46022.597916666666)</f>
        <v>46022.59792</v>
      </c>
      <c r="B1327" s="1">
        <f>IFERROR(__xludf.DUMMYFUNCTION("""COMPUTED_VALUE"""),504.44)</f>
        <v>504.44</v>
      </c>
    </row>
    <row r="1328">
      <c r="A1328" s="2">
        <f>IFERROR(__xludf.DUMMYFUNCTION("""COMPUTED_VALUE"""),46024.66666666667)</f>
        <v>46024.66667</v>
      </c>
      <c r="B1328" s="1">
        <f>IFERROR(__xludf.DUMMYFUNCTION("""COMPUTED_VALUE"""),503.0)</f>
        <v>503</v>
      </c>
    </row>
    <row r="1329">
      <c r="A1329" s="2">
        <f>IFERROR(__xludf.DUMMYFUNCTION("""COMPUTED_VALUE"""),46027.66666666667)</f>
        <v>46027.66667</v>
      </c>
      <c r="B1329" s="1">
        <f>IFERROR(__xludf.DUMMYFUNCTION("""COMPUTED_VALUE"""),505.07)</f>
        <v>505.07</v>
      </c>
    </row>
    <row r="1330">
      <c r="A1330" s="2">
        <f>IFERROR(__xludf.DUMMYFUNCTION("""COMPUTED_VALUE"""),46028.66666666667)</f>
        <v>46028.66667</v>
      </c>
      <c r="B1330" s="1">
        <f>IFERROR(__xludf.DUMMYFUNCTION("""COMPUTED_VALUE"""),504.54)</f>
        <v>504.54</v>
      </c>
    </row>
    <row r="1331">
      <c r="A1331" s="2">
        <f>IFERROR(__xludf.DUMMYFUNCTION("""COMPUTED_VALUE"""),46029.66666666667)</f>
        <v>46029.66667</v>
      </c>
      <c r="B1331" s="1">
        <f>IFERROR(__xludf.DUMMYFUNCTION("""COMPUTED_VALUE"""),505.12)</f>
        <v>505.12</v>
      </c>
    </row>
    <row r="1332">
      <c r="A1332" s="2">
        <f>IFERROR(__xludf.DUMMYFUNCTION("""COMPUTED_VALUE"""),46030.66666666667)</f>
        <v>46030.66667</v>
      </c>
      <c r="B1332" s="1">
        <f>IFERROR(__xludf.DUMMYFUNCTION("""COMPUTED_VALUE"""),506.89)</f>
        <v>506.89</v>
      </c>
    </row>
    <row r="1333">
      <c r="A1333" s="2">
        <f>IFERROR(__xludf.DUMMYFUNCTION("""COMPUTED_VALUE"""),46031.66666666667)</f>
        <v>46031.66667</v>
      </c>
      <c r="B1333" s="1">
        <f>IFERROR(__xludf.DUMMYFUNCTION("""COMPUTED_VALUE"""),508.49)</f>
        <v>508.49</v>
      </c>
    </row>
    <row r="1334">
      <c r="A1334" s="2">
        <f>IFERROR(__xludf.DUMMYFUNCTION("""COMPUTED_VALUE"""),46034.66666666667)</f>
        <v>46034.66667</v>
      </c>
      <c r="B1334" s="1">
        <f>IFERROR(__xludf.DUMMYFUNCTION("""COMPUTED_VALUE"""),508.85)</f>
        <v>508.85</v>
      </c>
    </row>
    <row r="1335">
      <c r="A1335" s="2">
        <f>IFERROR(__xludf.DUMMYFUNCTION("""COMPUTED_VALUE"""),46035.66666666667)</f>
        <v>46035.66667</v>
      </c>
      <c r="B1335" s="1">
        <f>IFERROR(__xludf.DUMMYFUNCTION("""COMPUTED_VALUE"""),510.92)</f>
        <v>510.92</v>
      </c>
    </row>
    <row r="1336">
      <c r="A1336" s="2">
        <f>IFERROR(__xludf.DUMMYFUNCTION("""COMPUTED_VALUE"""),46036.66666666667)</f>
        <v>46036.66667</v>
      </c>
      <c r="B1336" s="1">
        <f>IFERROR(__xludf.DUMMYFUNCTION("""COMPUTED_VALUE"""),510.82)</f>
        <v>510.82</v>
      </c>
    </row>
    <row r="1337">
      <c r="A1337" s="2">
        <f>IFERROR(__xludf.DUMMYFUNCTION("""COMPUTED_VALUE"""),46037.66666666667)</f>
        <v>46037.66667</v>
      </c>
      <c r="B1337" s="1">
        <f>IFERROR(__xludf.DUMMYFUNCTION("""COMPUTED_VALUE"""),510.82)</f>
        <v>510.82</v>
      </c>
    </row>
    <row r="1338">
      <c r="A1338" s="2">
        <f>IFERROR(__xludf.DUMMYFUNCTION("""COMPUTED_VALUE"""),46038.66666666667)</f>
        <v>46038.66667</v>
      </c>
      <c r="B1338" s="1">
        <f>IFERROR(__xludf.DUMMYFUNCTION("""COMPUTED_VALUE"""),512.18)</f>
        <v>512.18</v>
      </c>
    </row>
    <row r="1339">
      <c r="A1339" s="2">
        <f>IFERROR(__xludf.DUMMYFUNCTION("""COMPUTED_VALUE"""),46041.66666666667)</f>
        <v>46041.66667</v>
      </c>
      <c r="B1339" s="1">
        <f>IFERROR(__xludf.DUMMYFUNCTION("""COMPUTED_VALUE"""),506.49)</f>
        <v>506.49</v>
      </c>
    </row>
    <row r="1340">
      <c r="A1340" s="2">
        <f>IFERROR(__xludf.DUMMYFUNCTION("""COMPUTED_VALUE"""),46042.66666666667)</f>
        <v>46042.66667</v>
      </c>
      <c r="B1340" s="1">
        <f>IFERROR(__xludf.DUMMYFUNCTION("""COMPUTED_VALUE"""),502.2)</f>
        <v>502.2</v>
      </c>
    </row>
    <row r="1341">
      <c r="A1341" s="2">
        <f>IFERROR(__xludf.DUMMYFUNCTION("""COMPUTED_VALUE"""),46043.66666666667)</f>
        <v>46043.66667</v>
      </c>
      <c r="B1341" s="1">
        <f>IFERROR(__xludf.DUMMYFUNCTION("""COMPUTED_VALUE"""),499.52)</f>
        <v>499.52</v>
      </c>
    </row>
    <row r="1342">
      <c r="A1342" s="2">
        <f>IFERROR(__xludf.DUMMYFUNCTION("""COMPUTED_VALUE"""),46044.66666666667)</f>
        <v>46044.66667</v>
      </c>
      <c r="B1342" s="1">
        <f>IFERROR(__xludf.DUMMYFUNCTION("""COMPUTED_VALUE"""),500.0)</f>
        <v>500</v>
      </c>
    </row>
    <row r="1343">
      <c r="A1343" s="2">
        <f>IFERROR(__xludf.DUMMYFUNCTION("""COMPUTED_VALUE"""),46045.66666666667)</f>
        <v>46045.66667</v>
      </c>
      <c r="B1343" s="1">
        <f>IFERROR(__xludf.DUMMYFUNCTION("""COMPUTED_VALUE"""),499.07)</f>
        <v>499.07</v>
      </c>
    </row>
    <row r="1344">
      <c r="A1344" s="2">
        <f>IFERROR(__xludf.DUMMYFUNCTION("""COMPUTED_VALUE"""),46049.66666666667)</f>
        <v>46049.66667</v>
      </c>
      <c r="B1344" s="1">
        <f>IFERROR(__xludf.DUMMYFUNCTION("""COMPUTED_VALUE"""),496.11)</f>
        <v>496.11</v>
      </c>
    </row>
    <row r="1345">
      <c r="A1345" s="2">
        <f>IFERROR(__xludf.DUMMYFUNCTION("""COMPUTED_VALUE"""),46050.66666666667)</f>
        <v>46050.66667</v>
      </c>
      <c r="B1345" s="1">
        <f>IFERROR(__xludf.DUMMYFUNCTION("""COMPUTED_VALUE"""),492.46)</f>
        <v>492.46</v>
      </c>
    </row>
    <row r="1346">
      <c r="A1346" s="2">
        <f>IFERROR(__xludf.DUMMYFUNCTION("""COMPUTED_VALUE"""),46051.66666666667)</f>
        <v>46051.66667</v>
      </c>
      <c r="B1346" s="1">
        <f>IFERROR(__xludf.DUMMYFUNCTION("""COMPUTED_VALUE"""),484.48)</f>
        <v>484.48</v>
      </c>
    </row>
    <row r="1347">
      <c r="A1347" s="2">
        <f>IFERROR(__xludf.DUMMYFUNCTION("""COMPUTED_VALUE"""),46052.66666666667)</f>
        <v>46052.66667</v>
      </c>
      <c r="B1347" s="1">
        <f>IFERROR(__xludf.DUMMYFUNCTION("""COMPUTED_VALUE"""),486.74)</f>
        <v>486.74</v>
      </c>
    </row>
    <row r="1348">
      <c r="A1348" s="2">
        <f>IFERROR(__xludf.DUMMYFUNCTION("""COMPUTED_VALUE"""),46055.66666666667)</f>
        <v>46055.66667</v>
      </c>
      <c r="B1348" s="1">
        <f>IFERROR(__xludf.DUMMYFUNCTION("""COMPUTED_VALUE"""),485.8)</f>
        <v>485.8</v>
      </c>
    </row>
    <row r="1349">
      <c r="A1349" s="2">
        <f>IFERROR(__xludf.DUMMYFUNCTION("""COMPUTED_VALUE"""),46056.66666666667)</f>
        <v>46056.66667</v>
      </c>
      <c r="B1349" s="1">
        <f>IFERROR(__xludf.DUMMYFUNCTION("""COMPUTED_VALUE"""),490.2)</f>
        <v>490.2</v>
      </c>
    </row>
    <row r="1350">
      <c r="A1350" s="2">
        <f>IFERROR(__xludf.DUMMYFUNCTION("""COMPUTED_VALUE"""),46057.66666666667)</f>
        <v>46057.66667</v>
      </c>
      <c r="B1350" s="1">
        <f>IFERROR(__xludf.DUMMYFUNCTION("""COMPUTED_VALUE"""),484.16)</f>
        <v>484.16</v>
      </c>
    </row>
    <row r="1351">
      <c r="A1351" s="2">
        <f>IFERROR(__xludf.DUMMYFUNCTION("""COMPUTED_VALUE"""),46058.66666666667)</f>
        <v>46058.66667</v>
      </c>
      <c r="B1351" s="1">
        <f>IFERROR(__xludf.DUMMYFUNCTION("""COMPUTED_VALUE"""),485.53)</f>
        <v>485.53</v>
      </c>
    </row>
    <row r="1352">
      <c r="A1352" s="2">
        <f>IFERROR(__xludf.DUMMYFUNCTION("""COMPUTED_VALUE"""),46059.66666666667)</f>
        <v>46059.66667</v>
      </c>
      <c r="B1352" s="1">
        <f>IFERROR(__xludf.DUMMYFUNCTION("""COMPUTED_VALUE"""),479.23)</f>
        <v>479.23</v>
      </c>
    </row>
    <row r="1353">
      <c r="A1353" s="2">
        <f>IFERROR(__xludf.DUMMYFUNCTION("""COMPUTED_VALUE"""),46062.66666666667)</f>
        <v>46062.66667</v>
      </c>
      <c r="B1353" s="1">
        <f>IFERROR(__xludf.DUMMYFUNCTION("""COMPUTED_VALUE"""),486.22)</f>
        <v>486.22</v>
      </c>
    </row>
    <row r="1354">
      <c r="A1354" s="2">
        <f>IFERROR(__xludf.DUMMYFUNCTION("""COMPUTED_VALUE"""),46063.66666666667)</f>
        <v>46063.66667</v>
      </c>
      <c r="B1354" s="1">
        <f>IFERROR(__xludf.DUMMYFUNCTION("""COMPUTED_VALUE"""),484.72)</f>
        <v>484.72</v>
      </c>
    </row>
    <row r="1355">
      <c r="A1355" s="2">
        <f>IFERROR(__xludf.DUMMYFUNCTION("""COMPUTED_VALUE"""),46064.66666666667)</f>
        <v>46064.66667</v>
      </c>
      <c r="B1355" s="1">
        <f>IFERROR(__xludf.DUMMYFUNCTION("""COMPUTED_VALUE"""),482.09)</f>
        <v>482.09</v>
      </c>
    </row>
    <row r="1356">
      <c r="A1356" s="2">
        <f>IFERROR(__xludf.DUMMYFUNCTION("""COMPUTED_VALUE"""),46065.66666666667)</f>
        <v>46065.66667</v>
      </c>
      <c r="B1356" s="1">
        <f>IFERROR(__xludf.DUMMYFUNCTION("""COMPUTED_VALUE"""),481.52)</f>
        <v>481.52</v>
      </c>
    </row>
    <row r="1357">
      <c r="A1357" s="2">
        <f>IFERROR(__xludf.DUMMYFUNCTION("""COMPUTED_VALUE"""),46066.66666666667)</f>
        <v>46066.66667</v>
      </c>
      <c r="B1357" s="1">
        <f>IFERROR(__xludf.DUMMYFUNCTION("""COMPUTED_VALUE"""),474.81)</f>
        <v>474.81</v>
      </c>
    </row>
    <row r="1358">
      <c r="A1358" s="2">
        <f>IFERROR(__xludf.DUMMYFUNCTION("""COMPUTED_VALUE"""),46069.66666666667)</f>
        <v>46069.66667</v>
      </c>
      <c r="B1358" s="1">
        <f>IFERROR(__xludf.DUMMYFUNCTION("""COMPUTED_VALUE"""),475.91)</f>
        <v>475.91</v>
      </c>
    </row>
    <row r="1359">
      <c r="A1359" s="2">
        <f>IFERROR(__xludf.DUMMYFUNCTION("""COMPUTED_VALUE"""),46070.66666666667)</f>
        <v>46070.66667</v>
      </c>
      <c r="B1359" s="1">
        <f>IFERROR(__xludf.DUMMYFUNCTION("""COMPUTED_VALUE"""),474.37)</f>
        <v>474.37</v>
      </c>
    </row>
    <row r="1360">
      <c r="A1360" s="2">
        <f>IFERROR(__xludf.DUMMYFUNCTION("""COMPUTED_VALUE"""),46071.66666666667)</f>
        <v>46071.66667</v>
      </c>
      <c r="B1360" s="1">
        <f>IFERROR(__xludf.DUMMYFUNCTION("""COMPUTED_VALUE"""),477.84)</f>
        <v>477.84</v>
      </c>
    </row>
    <row r="1361">
      <c r="A1361" s="2">
        <f>IFERROR(__xludf.DUMMYFUNCTION("""COMPUTED_VALUE"""),46072.66666666667)</f>
        <v>46072.66667</v>
      </c>
      <c r="B1361" s="1">
        <f>IFERROR(__xludf.DUMMYFUNCTION("""COMPUTED_VALUE"""),480.86)</f>
        <v>480.86</v>
      </c>
    </row>
    <row r="1362">
      <c r="A1362" s="2">
        <f>IFERROR(__xludf.DUMMYFUNCTION("""COMPUTED_VALUE"""),46073.66666666667)</f>
        <v>46073.66667</v>
      </c>
      <c r="B1362" s="1">
        <f>IFERROR(__xludf.DUMMYFUNCTION("""COMPUTED_VALUE"""),482.23)</f>
        <v>482.23</v>
      </c>
    </row>
    <row r="1363">
      <c r="A1363" s="2">
        <f>IFERROR(__xludf.DUMMYFUNCTION("""COMPUTED_VALUE"""),46076.66666666667)</f>
        <v>46076.66667</v>
      </c>
      <c r="B1363" s="1">
        <f>IFERROR(__xludf.DUMMYFUNCTION("""COMPUTED_VALUE"""),477.7)</f>
        <v>477.7</v>
      </c>
    </row>
    <row r="1364">
      <c r="A1364" s="2">
        <f>IFERROR(__xludf.DUMMYFUNCTION("""COMPUTED_VALUE"""),46077.66666666667)</f>
        <v>46077.66667</v>
      </c>
      <c r="B1364" s="1">
        <f>IFERROR(__xludf.DUMMYFUNCTION("""COMPUTED_VALUE"""),478.11)</f>
        <v>478.11</v>
      </c>
    </row>
    <row r="1365">
      <c r="A1365" s="2">
        <f>IFERROR(__xludf.DUMMYFUNCTION("""COMPUTED_VALUE"""),46078.66666666667)</f>
        <v>46078.66667</v>
      </c>
      <c r="B1365" s="1">
        <f>IFERROR(__xludf.DUMMYFUNCTION("""COMPUTED_VALUE"""),477.81)</f>
        <v>477.81</v>
      </c>
    </row>
    <row r="1366">
      <c r="A1366" s="2">
        <f>IFERROR(__xludf.DUMMYFUNCTION("""COMPUTED_VALUE"""),46079.66666666667)</f>
        <v>46079.66667</v>
      </c>
      <c r="B1366" s="1">
        <f>IFERROR(__xludf.DUMMYFUNCTION("""COMPUTED_VALUE"""),478.85)</f>
        <v>478.85</v>
      </c>
    </row>
    <row r="1367">
      <c r="A1367" s="2">
        <f>IFERROR(__xludf.DUMMYFUNCTION("""COMPUTED_VALUE"""),46080.66666666667)</f>
        <v>46080.66667</v>
      </c>
      <c r="B1367" s="1">
        <f>IFERROR(__xludf.DUMMYFUNCTION("""COMPUTED_VALUE"""),476.7)</f>
        <v>476.7</v>
      </c>
    </row>
    <row r="1368">
      <c r="A1368" s="2">
        <f>IFERROR(__xludf.DUMMYFUNCTION("""COMPUTED_VALUE"""),46083.66666666667)</f>
        <v>46083.66667</v>
      </c>
      <c r="B1368" s="1">
        <f>IFERROR(__xludf.DUMMYFUNCTION("""COMPUTED_VALUE"""),473.69)</f>
        <v>473.69</v>
      </c>
    </row>
    <row r="1369">
      <c r="A1369" s="2">
        <f>IFERROR(__xludf.DUMMYFUNCTION("""COMPUTED_VALUE"""),46084.66666666667)</f>
        <v>46084.66667</v>
      </c>
      <c r="B1369" s="1">
        <f>IFERROR(__xludf.DUMMYFUNCTION("""COMPUTED_VALUE"""),473.6)</f>
        <v>473.6</v>
      </c>
    </row>
    <row r="1370">
      <c r="A1370" s="2">
        <f>IFERROR(__xludf.DUMMYFUNCTION("""COMPUTED_VALUE"""),46085.66666666667)</f>
        <v>46085.66667</v>
      </c>
      <c r="B1370" s="1">
        <f>IFERROR(__xludf.DUMMYFUNCTION("""COMPUTED_VALUE"""),477.18)</f>
        <v>477.18</v>
      </c>
    </row>
    <row r="1371">
      <c r="A1371" s="2">
        <f>IFERROR(__xludf.DUMMYFUNCTION("""COMPUTED_VALUE"""),46086.66666666667)</f>
        <v>46086.66667</v>
      </c>
      <c r="B1371" s="1">
        <f>IFERROR(__xludf.DUMMYFUNCTION("""COMPUTED_VALUE"""),478.75)</f>
        <v>478.75</v>
      </c>
    </row>
    <row r="1372">
      <c r="A1372" s="2">
        <f>IFERROR(__xludf.DUMMYFUNCTION("""COMPUTED_VALUE"""),46087.66666666667)</f>
        <v>46087.66667</v>
      </c>
      <c r="B1372" s="1">
        <f>IFERROR(__xludf.DUMMYFUNCTION("""COMPUTED_VALUE"""),479.28)</f>
        <v>479.28</v>
      </c>
    </row>
    <row r="1373">
      <c r="A1373" s="2">
        <f>IFERROR(__xludf.DUMMYFUNCTION("""COMPUTED_VALUE"""),46090.66666666667)</f>
        <v>46090.66667</v>
      </c>
      <c r="B1373" s="1">
        <f>IFERROR(__xludf.DUMMYFUNCTION("""COMPUTED_VALUE"""),464.13)</f>
        <v>464.13</v>
      </c>
    </row>
    <row r="1374">
      <c r="A1374" s="2">
        <f>IFERROR(__xludf.DUMMYFUNCTION("""COMPUTED_VALUE"""),46091.66666666667)</f>
        <v>46091.66667</v>
      </c>
      <c r="B1374" s="1">
        <f>IFERROR(__xludf.DUMMYFUNCTION("""COMPUTED_VALUE"""),472.14)</f>
        <v>472.14</v>
      </c>
    </row>
    <row r="1375">
      <c r="A1375" s="2">
        <f>IFERROR(__xludf.DUMMYFUNCTION("""COMPUTED_VALUE"""),46092.66666666667)</f>
        <v>46092.66667</v>
      </c>
      <c r="B1375" s="1">
        <f>IFERROR(__xludf.DUMMYFUNCTION("""COMPUTED_VALUE"""),466.3)</f>
        <v>466.3</v>
      </c>
    </row>
    <row r="1376">
      <c r="A1376" s="2">
        <f>IFERROR(__xludf.DUMMYFUNCTION("""COMPUTED_VALUE"""),46093.66666666667)</f>
        <v>46093.66667</v>
      </c>
      <c r="B1376" s="1">
        <f>IFERROR(__xludf.DUMMYFUNCTION("""COMPUTED_VALUE"""),462.83)</f>
        <v>462.83</v>
      </c>
    </row>
    <row r="1377">
      <c r="A1377" s="2">
        <f>IFERROR(__xludf.DUMMYFUNCTION("""COMPUTED_VALUE"""),46094.66666666667)</f>
        <v>46094.66667</v>
      </c>
      <c r="B1377" s="1">
        <f>IFERROR(__xludf.DUMMYFUNCTION("""COMPUTED_VALUE"""),465.47)</f>
        <v>465.47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IFERROR(__xludf.DUMMYFUNCTION("GOOGLEFINANCE(""ASX:VAS"",""close"",DATE(2020,10,1),TODAY(),""daily"")"),"Date")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IFERROR(__xludf.DUMMYFUNCTION("""COMPUTED_VALUE"""),75.1)</f>
        <v>75.1</v>
      </c>
    </row>
    <row r="3">
      <c r="A3" s="2">
        <f>IFERROR(__xludf.DUMMYFUNCTION("""COMPUTED_VALUE"""),44106.66666666667)</f>
        <v>44106.66667</v>
      </c>
      <c r="B3" s="1">
        <f>IFERROR(__xludf.DUMMYFUNCTION("""COMPUTED_VALUE"""),73.99)</f>
        <v>73.99</v>
      </c>
    </row>
    <row r="4">
      <c r="A4" s="2">
        <f>IFERROR(__xludf.DUMMYFUNCTION("""COMPUTED_VALUE"""),44109.66666666667)</f>
        <v>44109.66667</v>
      </c>
      <c r="B4" s="1">
        <f>IFERROR(__xludf.DUMMYFUNCTION("""COMPUTED_VALUE"""),75.76)</f>
        <v>75.76</v>
      </c>
    </row>
    <row r="5">
      <c r="A5" s="2">
        <f>IFERROR(__xludf.DUMMYFUNCTION("""COMPUTED_VALUE"""),44110.66666666667)</f>
        <v>44110.66667</v>
      </c>
      <c r="B5" s="1">
        <f>IFERROR(__xludf.DUMMYFUNCTION("""COMPUTED_VALUE"""),75.97)</f>
        <v>75.97</v>
      </c>
    </row>
    <row r="6">
      <c r="A6" s="2">
        <f>IFERROR(__xludf.DUMMYFUNCTION("""COMPUTED_VALUE"""),44111.66666666667)</f>
        <v>44111.66667</v>
      </c>
      <c r="B6" s="1">
        <f>IFERROR(__xludf.DUMMYFUNCTION("""COMPUTED_VALUE"""),77.0)</f>
        <v>77</v>
      </c>
    </row>
    <row r="7">
      <c r="A7" s="2">
        <f>IFERROR(__xludf.DUMMYFUNCTION("""COMPUTED_VALUE"""),44112.66666666667)</f>
        <v>44112.66667</v>
      </c>
      <c r="B7" s="1">
        <f>IFERROR(__xludf.DUMMYFUNCTION("""COMPUTED_VALUE"""),77.87)</f>
        <v>77.87</v>
      </c>
    </row>
    <row r="8">
      <c r="A8" s="2">
        <f>IFERROR(__xludf.DUMMYFUNCTION("""COMPUTED_VALUE"""),44113.66666666667)</f>
        <v>44113.66667</v>
      </c>
      <c r="B8" s="1">
        <f>IFERROR(__xludf.DUMMYFUNCTION("""COMPUTED_VALUE"""),77.99)</f>
        <v>77.99</v>
      </c>
    </row>
    <row r="9">
      <c r="A9" s="2">
        <f>IFERROR(__xludf.DUMMYFUNCTION("""COMPUTED_VALUE"""),44116.66666666667)</f>
        <v>44116.66667</v>
      </c>
      <c r="B9" s="1">
        <f>IFERROR(__xludf.DUMMYFUNCTION("""COMPUTED_VALUE"""),78.25)</f>
        <v>78.25</v>
      </c>
    </row>
    <row r="10">
      <c r="A10" s="2">
        <f>IFERROR(__xludf.DUMMYFUNCTION("""COMPUTED_VALUE"""),44117.66666666667)</f>
        <v>44117.66667</v>
      </c>
      <c r="B10" s="1">
        <f>IFERROR(__xludf.DUMMYFUNCTION("""COMPUTED_VALUE"""),79.11)</f>
        <v>79.11</v>
      </c>
    </row>
    <row r="11">
      <c r="A11" s="2">
        <f>IFERROR(__xludf.DUMMYFUNCTION("""COMPUTED_VALUE"""),44118.66666666667)</f>
        <v>44118.66667</v>
      </c>
      <c r="B11" s="1">
        <f>IFERROR(__xludf.DUMMYFUNCTION("""COMPUTED_VALUE"""),78.88)</f>
        <v>78.88</v>
      </c>
    </row>
    <row r="12">
      <c r="A12" s="2">
        <f>IFERROR(__xludf.DUMMYFUNCTION("""COMPUTED_VALUE"""),44119.66666666667)</f>
        <v>44119.66667</v>
      </c>
      <c r="B12" s="1">
        <f>IFERROR(__xludf.DUMMYFUNCTION("""COMPUTED_VALUE"""),79.3)</f>
        <v>79.3</v>
      </c>
    </row>
    <row r="13">
      <c r="A13" s="2">
        <f>IFERROR(__xludf.DUMMYFUNCTION("""COMPUTED_VALUE"""),44120.66666666667)</f>
        <v>44120.66667</v>
      </c>
      <c r="B13" s="1">
        <f>IFERROR(__xludf.DUMMYFUNCTION("""COMPUTED_VALUE"""),78.87)</f>
        <v>78.87</v>
      </c>
    </row>
    <row r="14">
      <c r="A14" s="2">
        <f>IFERROR(__xludf.DUMMYFUNCTION("""COMPUTED_VALUE"""),44123.66666666667)</f>
        <v>44123.66667</v>
      </c>
      <c r="B14" s="1">
        <f>IFERROR(__xludf.DUMMYFUNCTION("""COMPUTED_VALUE"""),79.55)</f>
        <v>79.55</v>
      </c>
    </row>
    <row r="15">
      <c r="A15" s="2">
        <f>IFERROR(__xludf.DUMMYFUNCTION("""COMPUTED_VALUE"""),44124.66666666667)</f>
        <v>44124.66667</v>
      </c>
      <c r="B15" s="1">
        <f>IFERROR(__xludf.DUMMYFUNCTION("""COMPUTED_VALUE"""),78.92)</f>
        <v>78.92</v>
      </c>
    </row>
    <row r="16">
      <c r="A16" s="2">
        <f>IFERROR(__xludf.DUMMYFUNCTION("""COMPUTED_VALUE"""),44125.66666666667)</f>
        <v>44125.66667</v>
      </c>
      <c r="B16" s="1">
        <f>IFERROR(__xludf.DUMMYFUNCTION("""COMPUTED_VALUE"""),79.05)</f>
        <v>79.05</v>
      </c>
    </row>
    <row r="17">
      <c r="A17" s="2">
        <f>IFERROR(__xludf.DUMMYFUNCTION("""COMPUTED_VALUE"""),44126.66666666667)</f>
        <v>44126.66667</v>
      </c>
      <c r="B17" s="1">
        <f>IFERROR(__xludf.DUMMYFUNCTION("""COMPUTED_VALUE"""),78.79)</f>
        <v>78.79</v>
      </c>
    </row>
    <row r="18">
      <c r="A18" s="2">
        <f>IFERROR(__xludf.DUMMYFUNCTION("""COMPUTED_VALUE"""),44127.66666666667)</f>
        <v>44127.66667</v>
      </c>
      <c r="B18" s="1">
        <f>IFERROR(__xludf.DUMMYFUNCTION("""COMPUTED_VALUE"""),78.95)</f>
        <v>78.95</v>
      </c>
    </row>
    <row r="19">
      <c r="A19" s="2">
        <f>IFERROR(__xludf.DUMMYFUNCTION("""COMPUTED_VALUE"""),44130.66666666667)</f>
        <v>44130.66667</v>
      </c>
      <c r="B19" s="1">
        <f>IFERROR(__xludf.DUMMYFUNCTION("""COMPUTED_VALUE"""),78.59)</f>
        <v>78.59</v>
      </c>
    </row>
    <row r="20">
      <c r="A20" s="2">
        <f>IFERROR(__xludf.DUMMYFUNCTION("""COMPUTED_VALUE"""),44131.66666666667)</f>
        <v>44131.66667</v>
      </c>
      <c r="B20" s="1">
        <f>IFERROR(__xludf.DUMMYFUNCTION("""COMPUTED_VALUE"""),77.3)</f>
        <v>77.3</v>
      </c>
    </row>
    <row r="21">
      <c r="A21" s="2">
        <f>IFERROR(__xludf.DUMMYFUNCTION("""COMPUTED_VALUE"""),44132.66666666667)</f>
        <v>44132.66667</v>
      </c>
      <c r="B21" s="1">
        <f>IFERROR(__xludf.DUMMYFUNCTION("""COMPUTED_VALUE"""),77.29)</f>
        <v>77.29</v>
      </c>
    </row>
    <row r="22">
      <c r="A22" s="2">
        <f>IFERROR(__xludf.DUMMYFUNCTION("""COMPUTED_VALUE"""),44133.66666666667)</f>
        <v>44133.66667</v>
      </c>
      <c r="B22" s="1">
        <f>IFERROR(__xludf.DUMMYFUNCTION("""COMPUTED_VALUE"""),76.08)</f>
        <v>76.08</v>
      </c>
    </row>
    <row r="23">
      <c r="A23" s="2">
        <f>IFERROR(__xludf.DUMMYFUNCTION("""COMPUTED_VALUE"""),44134.66666666667)</f>
        <v>44134.66667</v>
      </c>
      <c r="B23" s="1">
        <f>IFERROR(__xludf.DUMMYFUNCTION("""COMPUTED_VALUE"""),75.62)</f>
        <v>75.62</v>
      </c>
    </row>
    <row r="24">
      <c r="A24" s="2">
        <f>IFERROR(__xludf.DUMMYFUNCTION("""COMPUTED_VALUE"""),44137.66666666667)</f>
        <v>44137.66667</v>
      </c>
      <c r="B24" s="1">
        <f>IFERROR(__xludf.DUMMYFUNCTION("""COMPUTED_VALUE"""),75.95)</f>
        <v>75.95</v>
      </c>
    </row>
    <row r="25">
      <c r="A25" s="2">
        <f>IFERROR(__xludf.DUMMYFUNCTION("""COMPUTED_VALUE"""),44138.66666666667)</f>
        <v>44138.66667</v>
      </c>
      <c r="B25" s="1">
        <f>IFERROR(__xludf.DUMMYFUNCTION("""COMPUTED_VALUE"""),77.42)</f>
        <v>77.42</v>
      </c>
    </row>
    <row r="26">
      <c r="A26" s="2">
        <f>IFERROR(__xludf.DUMMYFUNCTION("""COMPUTED_VALUE"""),44139.66666666667)</f>
        <v>44139.66667</v>
      </c>
      <c r="B26" s="1">
        <f>IFERROR(__xludf.DUMMYFUNCTION("""COMPUTED_VALUE"""),77.25)</f>
        <v>77.25</v>
      </c>
    </row>
    <row r="27">
      <c r="A27" s="2">
        <f>IFERROR(__xludf.DUMMYFUNCTION("""COMPUTED_VALUE"""),44140.66666666667)</f>
        <v>44140.66667</v>
      </c>
      <c r="B27" s="1">
        <f>IFERROR(__xludf.DUMMYFUNCTION("""COMPUTED_VALUE"""),78.28)</f>
        <v>78.28</v>
      </c>
    </row>
    <row r="28">
      <c r="A28" s="2">
        <f>IFERROR(__xludf.DUMMYFUNCTION("""COMPUTED_VALUE"""),44141.66666666667)</f>
        <v>44141.66667</v>
      </c>
      <c r="B28" s="1">
        <f>IFERROR(__xludf.DUMMYFUNCTION("""COMPUTED_VALUE"""),78.95)</f>
        <v>78.95</v>
      </c>
    </row>
    <row r="29">
      <c r="A29" s="2">
        <f>IFERROR(__xludf.DUMMYFUNCTION("""COMPUTED_VALUE"""),44144.66666666667)</f>
        <v>44144.66667</v>
      </c>
      <c r="B29" s="1">
        <f>IFERROR(__xludf.DUMMYFUNCTION("""COMPUTED_VALUE"""),80.45)</f>
        <v>80.45</v>
      </c>
    </row>
    <row r="30">
      <c r="A30" s="2">
        <f>IFERROR(__xludf.DUMMYFUNCTION("""COMPUTED_VALUE"""),44145.66666666667)</f>
        <v>44145.66667</v>
      </c>
      <c r="B30" s="1">
        <f>IFERROR(__xludf.DUMMYFUNCTION("""COMPUTED_VALUE"""),80.96)</f>
        <v>80.96</v>
      </c>
    </row>
    <row r="31">
      <c r="A31" s="2">
        <f>IFERROR(__xludf.DUMMYFUNCTION("""COMPUTED_VALUE"""),44146.66666666667)</f>
        <v>44146.66667</v>
      </c>
      <c r="B31" s="1">
        <f>IFERROR(__xludf.DUMMYFUNCTION("""COMPUTED_VALUE"""),82.36)</f>
        <v>82.36</v>
      </c>
    </row>
    <row r="32">
      <c r="A32" s="2">
        <f>IFERROR(__xludf.DUMMYFUNCTION("""COMPUTED_VALUE"""),44147.66666666667)</f>
        <v>44147.66667</v>
      </c>
      <c r="B32" s="1">
        <f>IFERROR(__xludf.DUMMYFUNCTION("""COMPUTED_VALUE"""),82.0)</f>
        <v>82</v>
      </c>
    </row>
    <row r="33">
      <c r="A33" s="2">
        <f>IFERROR(__xludf.DUMMYFUNCTION("""COMPUTED_VALUE"""),44148.66666666667)</f>
        <v>44148.66667</v>
      </c>
      <c r="B33" s="1">
        <f>IFERROR(__xludf.DUMMYFUNCTION("""COMPUTED_VALUE"""),81.85)</f>
        <v>81.85</v>
      </c>
    </row>
    <row r="34">
      <c r="A34" s="2">
        <f>IFERROR(__xludf.DUMMYFUNCTION("""COMPUTED_VALUE"""),44151.66666666667)</f>
        <v>44151.66667</v>
      </c>
      <c r="B34" s="1">
        <f>IFERROR(__xludf.DUMMYFUNCTION("""COMPUTED_VALUE"""),82.97)</f>
        <v>82.97</v>
      </c>
    </row>
    <row r="35">
      <c r="A35" s="2">
        <f>IFERROR(__xludf.DUMMYFUNCTION("""COMPUTED_VALUE"""),44152.66666666667)</f>
        <v>44152.66667</v>
      </c>
      <c r="B35" s="1">
        <f>IFERROR(__xludf.DUMMYFUNCTION("""COMPUTED_VALUE"""),83.09)</f>
        <v>83.09</v>
      </c>
    </row>
    <row r="36">
      <c r="A36" s="2">
        <f>IFERROR(__xludf.DUMMYFUNCTION("""COMPUTED_VALUE"""),44153.66666666667)</f>
        <v>44153.66667</v>
      </c>
      <c r="B36" s="1">
        <f>IFERROR(__xludf.DUMMYFUNCTION("""COMPUTED_VALUE"""),83.49)</f>
        <v>83.49</v>
      </c>
    </row>
    <row r="37">
      <c r="A37" s="2">
        <f>IFERROR(__xludf.DUMMYFUNCTION("""COMPUTED_VALUE"""),44154.66666666667)</f>
        <v>44154.66667</v>
      </c>
      <c r="B37" s="1">
        <f>IFERROR(__xludf.DUMMYFUNCTION("""COMPUTED_VALUE"""),83.61)</f>
        <v>83.61</v>
      </c>
    </row>
    <row r="38">
      <c r="A38" s="2">
        <f>IFERROR(__xludf.DUMMYFUNCTION("""COMPUTED_VALUE"""),44155.66666666667)</f>
        <v>44155.66667</v>
      </c>
      <c r="B38" s="1">
        <f>IFERROR(__xludf.DUMMYFUNCTION("""COMPUTED_VALUE"""),83.57)</f>
        <v>83.57</v>
      </c>
    </row>
    <row r="39">
      <c r="A39" s="2">
        <f>IFERROR(__xludf.DUMMYFUNCTION("""COMPUTED_VALUE"""),44158.66666666667)</f>
        <v>44158.66667</v>
      </c>
      <c r="B39" s="1">
        <f>IFERROR(__xludf.DUMMYFUNCTION("""COMPUTED_VALUE"""),83.92)</f>
        <v>83.92</v>
      </c>
    </row>
    <row r="40">
      <c r="A40" s="2">
        <f>IFERROR(__xludf.DUMMYFUNCTION("""COMPUTED_VALUE"""),44159.66666666667)</f>
        <v>44159.66667</v>
      </c>
      <c r="B40" s="1">
        <f>IFERROR(__xludf.DUMMYFUNCTION("""COMPUTED_VALUE"""),85.05)</f>
        <v>85.05</v>
      </c>
    </row>
    <row r="41">
      <c r="A41" s="2">
        <f>IFERROR(__xludf.DUMMYFUNCTION("""COMPUTED_VALUE"""),44160.66666666667)</f>
        <v>44160.66667</v>
      </c>
      <c r="B41" s="1">
        <f>IFERROR(__xludf.DUMMYFUNCTION("""COMPUTED_VALUE"""),85.43)</f>
        <v>85.43</v>
      </c>
    </row>
    <row r="42">
      <c r="A42" s="2">
        <f>IFERROR(__xludf.DUMMYFUNCTION("""COMPUTED_VALUE"""),44161.66666666667)</f>
        <v>44161.66667</v>
      </c>
      <c r="B42" s="1">
        <f>IFERROR(__xludf.DUMMYFUNCTION("""COMPUTED_VALUE"""),84.77)</f>
        <v>84.77</v>
      </c>
    </row>
    <row r="43">
      <c r="A43" s="2">
        <f>IFERROR(__xludf.DUMMYFUNCTION("""COMPUTED_VALUE"""),44162.66666666667)</f>
        <v>44162.66667</v>
      </c>
      <c r="B43" s="1">
        <f>IFERROR(__xludf.DUMMYFUNCTION("""COMPUTED_VALUE"""),84.38)</f>
        <v>84.38</v>
      </c>
    </row>
    <row r="44">
      <c r="A44" s="2">
        <f>IFERROR(__xludf.DUMMYFUNCTION("""COMPUTED_VALUE"""),44165.66666666667)</f>
        <v>44165.66667</v>
      </c>
      <c r="B44" s="1">
        <f>IFERROR(__xludf.DUMMYFUNCTION("""COMPUTED_VALUE"""),83.41)</f>
        <v>83.41</v>
      </c>
    </row>
    <row r="45">
      <c r="A45" s="2">
        <f>IFERROR(__xludf.DUMMYFUNCTION("""COMPUTED_VALUE"""),44166.66666666667)</f>
        <v>44166.66667</v>
      </c>
      <c r="B45" s="1">
        <f>IFERROR(__xludf.DUMMYFUNCTION("""COMPUTED_VALUE"""),84.3)</f>
        <v>84.3</v>
      </c>
    </row>
    <row r="46">
      <c r="A46" s="2">
        <f>IFERROR(__xludf.DUMMYFUNCTION("""COMPUTED_VALUE"""),44167.66666666667)</f>
        <v>44167.66667</v>
      </c>
      <c r="B46" s="1">
        <f>IFERROR(__xludf.DUMMYFUNCTION("""COMPUTED_VALUE"""),84.33)</f>
        <v>84.33</v>
      </c>
    </row>
    <row r="47">
      <c r="A47" s="2">
        <f>IFERROR(__xludf.DUMMYFUNCTION("""COMPUTED_VALUE"""),44168.66666666667)</f>
        <v>44168.66667</v>
      </c>
      <c r="B47" s="1">
        <f>IFERROR(__xludf.DUMMYFUNCTION("""COMPUTED_VALUE"""),84.63)</f>
        <v>84.63</v>
      </c>
    </row>
    <row r="48">
      <c r="A48" s="2">
        <f>IFERROR(__xludf.DUMMYFUNCTION("""COMPUTED_VALUE"""),44169.66666666667)</f>
        <v>44169.66667</v>
      </c>
      <c r="B48" s="1">
        <f>IFERROR(__xludf.DUMMYFUNCTION("""COMPUTED_VALUE"""),84.89)</f>
        <v>84.89</v>
      </c>
    </row>
    <row r="49">
      <c r="A49" s="2">
        <f>IFERROR(__xludf.DUMMYFUNCTION("""COMPUTED_VALUE"""),44172.66666666667)</f>
        <v>44172.66667</v>
      </c>
      <c r="B49" s="1">
        <f>IFERROR(__xludf.DUMMYFUNCTION("""COMPUTED_VALUE"""),85.34)</f>
        <v>85.34</v>
      </c>
    </row>
    <row r="50">
      <c r="A50" s="2">
        <f>IFERROR(__xludf.DUMMYFUNCTION("""COMPUTED_VALUE"""),44173.66666666667)</f>
        <v>44173.66667</v>
      </c>
      <c r="B50" s="1">
        <f>IFERROR(__xludf.DUMMYFUNCTION("""COMPUTED_VALUE"""),85.55)</f>
        <v>85.55</v>
      </c>
    </row>
    <row r="51">
      <c r="A51" s="2">
        <f>IFERROR(__xludf.DUMMYFUNCTION("""COMPUTED_VALUE"""),44174.66666666667)</f>
        <v>44174.66667</v>
      </c>
      <c r="B51" s="1">
        <f>IFERROR(__xludf.DUMMYFUNCTION("""COMPUTED_VALUE"""),86.1)</f>
        <v>86.1</v>
      </c>
    </row>
    <row r="52">
      <c r="A52" s="2">
        <f>IFERROR(__xludf.DUMMYFUNCTION("""COMPUTED_VALUE"""),44175.66666666667)</f>
        <v>44175.66667</v>
      </c>
      <c r="B52" s="1">
        <f>IFERROR(__xludf.DUMMYFUNCTION("""COMPUTED_VALUE"""),85.49)</f>
        <v>85.49</v>
      </c>
    </row>
    <row r="53">
      <c r="A53" s="2">
        <f>IFERROR(__xludf.DUMMYFUNCTION("""COMPUTED_VALUE"""),44176.66666666667)</f>
        <v>44176.66667</v>
      </c>
      <c r="B53" s="1">
        <f>IFERROR(__xludf.DUMMYFUNCTION("""COMPUTED_VALUE"""),84.94)</f>
        <v>84.94</v>
      </c>
    </row>
    <row r="54">
      <c r="A54" s="2">
        <f>IFERROR(__xludf.DUMMYFUNCTION("""COMPUTED_VALUE"""),44179.66666666667)</f>
        <v>44179.66667</v>
      </c>
      <c r="B54" s="1">
        <f>IFERROR(__xludf.DUMMYFUNCTION("""COMPUTED_VALUE"""),85.2)</f>
        <v>85.2</v>
      </c>
    </row>
    <row r="55">
      <c r="A55" s="2">
        <f>IFERROR(__xludf.DUMMYFUNCTION("""COMPUTED_VALUE"""),44180.66666666667)</f>
        <v>44180.66667</v>
      </c>
      <c r="B55" s="1">
        <f>IFERROR(__xludf.DUMMYFUNCTION("""COMPUTED_VALUE"""),84.84)</f>
        <v>84.84</v>
      </c>
    </row>
    <row r="56">
      <c r="A56" s="2">
        <f>IFERROR(__xludf.DUMMYFUNCTION("""COMPUTED_VALUE"""),44181.66666666667)</f>
        <v>44181.66667</v>
      </c>
      <c r="B56" s="1">
        <f>IFERROR(__xludf.DUMMYFUNCTION("""COMPUTED_VALUE"""),85.48)</f>
        <v>85.48</v>
      </c>
    </row>
    <row r="57">
      <c r="A57" s="2">
        <f>IFERROR(__xludf.DUMMYFUNCTION("""COMPUTED_VALUE"""),44182.66666666667)</f>
        <v>44182.66667</v>
      </c>
      <c r="B57" s="1">
        <f>IFERROR(__xludf.DUMMYFUNCTION("""COMPUTED_VALUE"""),86.4)</f>
        <v>86.4</v>
      </c>
    </row>
    <row r="58">
      <c r="A58" s="2">
        <f>IFERROR(__xludf.DUMMYFUNCTION("""COMPUTED_VALUE"""),44183.66666666667)</f>
        <v>44183.66667</v>
      </c>
      <c r="B58" s="1">
        <f>IFERROR(__xludf.DUMMYFUNCTION("""COMPUTED_VALUE"""),85.36)</f>
        <v>85.36</v>
      </c>
    </row>
    <row r="59">
      <c r="A59" s="2">
        <f>IFERROR(__xludf.DUMMYFUNCTION("""COMPUTED_VALUE"""),44186.66666666667)</f>
        <v>44186.66667</v>
      </c>
      <c r="B59" s="1">
        <f>IFERROR(__xludf.DUMMYFUNCTION("""COMPUTED_VALUE"""),85.29)</f>
        <v>85.29</v>
      </c>
    </row>
    <row r="60">
      <c r="A60" s="2">
        <f>IFERROR(__xludf.DUMMYFUNCTION("""COMPUTED_VALUE"""),44187.66666666667)</f>
        <v>44187.66667</v>
      </c>
      <c r="B60" s="1">
        <f>IFERROR(__xludf.DUMMYFUNCTION("""COMPUTED_VALUE"""),84.44)</f>
        <v>84.44</v>
      </c>
    </row>
    <row r="61">
      <c r="A61" s="2">
        <f>IFERROR(__xludf.DUMMYFUNCTION("""COMPUTED_VALUE"""),44188.66666666667)</f>
        <v>44188.66667</v>
      </c>
      <c r="B61" s="1">
        <f>IFERROR(__xludf.DUMMYFUNCTION("""COMPUTED_VALUE"""),85.06)</f>
        <v>85.06</v>
      </c>
    </row>
    <row r="62">
      <c r="A62" s="2">
        <f>IFERROR(__xludf.DUMMYFUNCTION("""COMPUTED_VALUE"""),44189.66666666667)</f>
        <v>44189.66667</v>
      </c>
      <c r="B62" s="1">
        <f>IFERROR(__xludf.DUMMYFUNCTION("""COMPUTED_VALUE"""),85.33)</f>
        <v>85.33</v>
      </c>
    </row>
    <row r="63">
      <c r="A63" s="2">
        <f>IFERROR(__xludf.DUMMYFUNCTION("""COMPUTED_VALUE"""),44194.66666666667)</f>
        <v>44194.66667</v>
      </c>
      <c r="B63" s="1">
        <f>IFERROR(__xludf.DUMMYFUNCTION("""COMPUTED_VALUE"""),85.83)</f>
        <v>85.83</v>
      </c>
    </row>
    <row r="64">
      <c r="A64" s="2">
        <f>IFERROR(__xludf.DUMMYFUNCTION("""COMPUTED_VALUE"""),44195.66666666667)</f>
        <v>44195.66667</v>
      </c>
      <c r="B64" s="1">
        <f>IFERROR(__xludf.DUMMYFUNCTION("""COMPUTED_VALUE"""),85.64)</f>
        <v>85.64</v>
      </c>
    </row>
    <row r="65">
      <c r="A65" s="2">
        <f>IFERROR(__xludf.DUMMYFUNCTION("""COMPUTED_VALUE"""),44196.66666666667)</f>
        <v>44196.66667</v>
      </c>
      <c r="B65" s="1">
        <f>IFERROR(__xludf.DUMMYFUNCTION("""COMPUTED_VALUE"""),84.56)</f>
        <v>84.56</v>
      </c>
    </row>
    <row r="66">
      <c r="A66" s="2">
        <f>IFERROR(__xludf.DUMMYFUNCTION("""COMPUTED_VALUE"""),44200.66666666667)</f>
        <v>44200.66667</v>
      </c>
      <c r="B66" s="1">
        <f>IFERROR(__xludf.DUMMYFUNCTION("""COMPUTED_VALUE"""),85.28)</f>
        <v>85.28</v>
      </c>
    </row>
    <row r="67">
      <c r="A67" s="2">
        <f>IFERROR(__xludf.DUMMYFUNCTION("""COMPUTED_VALUE"""),44201.66666666667)</f>
        <v>44201.66667</v>
      </c>
      <c r="B67" s="1">
        <f>IFERROR(__xludf.DUMMYFUNCTION("""COMPUTED_VALUE"""),85.25)</f>
        <v>85.25</v>
      </c>
    </row>
    <row r="68">
      <c r="A68" s="2">
        <f>IFERROR(__xludf.DUMMYFUNCTION("""COMPUTED_VALUE"""),44202.66666666667)</f>
        <v>44202.66667</v>
      </c>
      <c r="B68" s="1">
        <f>IFERROR(__xludf.DUMMYFUNCTION("""COMPUTED_VALUE"""),84.36)</f>
        <v>84.36</v>
      </c>
    </row>
    <row r="69">
      <c r="A69" s="2">
        <f>IFERROR(__xludf.DUMMYFUNCTION("""COMPUTED_VALUE"""),44203.66666666667)</f>
        <v>44203.66667</v>
      </c>
      <c r="B69" s="1">
        <f>IFERROR(__xludf.DUMMYFUNCTION("""COMPUTED_VALUE"""),85.66)</f>
        <v>85.66</v>
      </c>
    </row>
    <row r="70">
      <c r="A70" s="2">
        <f>IFERROR(__xludf.DUMMYFUNCTION("""COMPUTED_VALUE"""),44204.66666666667)</f>
        <v>44204.66667</v>
      </c>
      <c r="B70" s="1">
        <f>IFERROR(__xludf.DUMMYFUNCTION("""COMPUTED_VALUE"""),86.11)</f>
        <v>86.11</v>
      </c>
    </row>
    <row r="71">
      <c r="A71" s="2">
        <f>IFERROR(__xludf.DUMMYFUNCTION("""COMPUTED_VALUE"""),44207.66666666667)</f>
        <v>44207.66667</v>
      </c>
      <c r="B71" s="1">
        <f>IFERROR(__xludf.DUMMYFUNCTION("""COMPUTED_VALUE"""),85.45)</f>
        <v>85.45</v>
      </c>
    </row>
    <row r="72">
      <c r="A72" s="2">
        <f>IFERROR(__xludf.DUMMYFUNCTION("""COMPUTED_VALUE"""),44208.66666666667)</f>
        <v>44208.66667</v>
      </c>
      <c r="B72" s="1">
        <f>IFERROR(__xludf.DUMMYFUNCTION("""COMPUTED_VALUE"""),85.19)</f>
        <v>85.19</v>
      </c>
    </row>
    <row r="73">
      <c r="A73" s="2">
        <f>IFERROR(__xludf.DUMMYFUNCTION("""COMPUTED_VALUE"""),44209.66666666667)</f>
        <v>44209.66667</v>
      </c>
      <c r="B73" s="1">
        <f>IFERROR(__xludf.DUMMYFUNCTION("""COMPUTED_VALUE"""),85.25)</f>
        <v>85.25</v>
      </c>
    </row>
    <row r="74">
      <c r="A74" s="2">
        <f>IFERROR(__xludf.DUMMYFUNCTION("""COMPUTED_VALUE"""),44210.66666666667)</f>
        <v>44210.66667</v>
      </c>
      <c r="B74" s="1">
        <f>IFERROR(__xludf.DUMMYFUNCTION("""COMPUTED_VALUE"""),85.7)</f>
        <v>85.7</v>
      </c>
    </row>
    <row r="75">
      <c r="A75" s="2">
        <f>IFERROR(__xludf.DUMMYFUNCTION("""COMPUTED_VALUE"""),44211.66666666667)</f>
        <v>44211.66667</v>
      </c>
      <c r="B75" s="1">
        <f>IFERROR(__xludf.DUMMYFUNCTION("""COMPUTED_VALUE"""),85.67)</f>
        <v>85.67</v>
      </c>
    </row>
    <row r="76">
      <c r="A76" s="2">
        <f>IFERROR(__xludf.DUMMYFUNCTION("""COMPUTED_VALUE"""),44214.66666666667)</f>
        <v>44214.66667</v>
      </c>
      <c r="B76" s="1">
        <f>IFERROR(__xludf.DUMMYFUNCTION("""COMPUTED_VALUE"""),84.96)</f>
        <v>84.96</v>
      </c>
    </row>
    <row r="77">
      <c r="A77" s="2">
        <f>IFERROR(__xludf.DUMMYFUNCTION("""COMPUTED_VALUE"""),44215.66666666667)</f>
        <v>44215.66667</v>
      </c>
      <c r="B77" s="1">
        <f>IFERROR(__xludf.DUMMYFUNCTION("""COMPUTED_VALUE"""),86.1)</f>
        <v>86.1</v>
      </c>
    </row>
    <row r="78">
      <c r="A78" s="2">
        <f>IFERROR(__xludf.DUMMYFUNCTION("""COMPUTED_VALUE"""),44216.66666666667)</f>
        <v>44216.66667</v>
      </c>
      <c r="B78" s="1">
        <f>IFERROR(__xludf.DUMMYFUNCTION("""COMPUTED_VALUE"""),86.4)</f>
        <v>86.4</v>
      </c>
    </row>
    <row r="79">
      <c r="A79" s="2">
        <f>IFERROR(__xludf.DUMMYFUNCTION("""COMPUTED_VALUE"""),44217.66666666667)</f>
        <v>44217.66667</v>
      </c>
      <c r="B79" s="1">
        <f>IFERROR(__xludf.DUMMYFUNCTION("""COMPUTED_VALUE"""),87.07)</f>
        <v>87.07</v>
      </c>
    </row>
    <row r="80">
      <c r="A80" s="2">
        <f>IFERROR(__xludf.DUMMYFUNCTION("""COMPUTED_VALUE"""),44218.66666666667)</f>
        <v>44218.66667</v>
      </c>
      <c r="B80" s="1">
        <f>IFERROR(__xludf.DUMMYFUNCTION("""COMPUTED_VALUE"""),86.72)</f>
        <v>86.72</v>
      </c>
    </row>
    <row r="81">
      <c r="A81" s="2">
        <f>IFERROR(__xludf.DUMMYFUNCTION("""COMPUTED_VALUE"""),44221.66666666667)</f>
        <v>44221.66667</v>
      </c>
      <c r="B81" s="1">
        <f>IFERROR(__xludf.DUMMYFUNCTION("""COMPUTED_VALUE"""),87.1)</f>
        <v>87.1</v>
      </c>
    </row>
    <row r="82">
      <c r="A82" s="2">
        <f>IFERROR(__xludf.DUMMYFUNCTION("""COMPUTED_VALUE"""),44223.66666666667)</f>
        <v>44223.66667</v>
      </c>
      <c r="B82" s="1">
        <f>IFERROR(__xludf.DUMMYFUNCTION("""COMPUTED_VALUE"""),86.49)</f>
        <v>86.49</v>
      </c>
    </row>
    <row r="83">
      <c r="A83" s="2">
        <f>IFERROR(__xludf.DUMMYFUNCTION("""COMPUTED_VALUE"""),44224.66666666667)</f>
        <v>44224.66667</v>
      </c>
      <c r="B83" s="1">
        <f>IFERROR(__xludf.DUMMYFUNCTION("""COMPUTED_VALUE"""),84.82)</f>
        <v>84.82</v>
      </c>
    </row>
    <row r="84">
      <c r="A84" s="2">
        <f>IFERROR(__xludf.DUMMYFUNCTION("""COMPUTED_VALUE"""),44225.66666666667)</f>
        <v>44225.66667</v>
      </c>
      <c r="B84" s="1">
        <f>IFERROR(__xludf.DUMMYFUNCTION("""COMPUTED_VALUE"""),84.36)</f>
        <v>84.36</v>
      </c>
    </row>
    <row r="85">
      <c r="A85" s="2">
        <f>IFERROR(__xludf.DUMMYFUNCTION("""COMPUTED_VALUE"""),44228.66666666667)</f>
        <v>44228.66667</v>
      </c>
      <c r="B85" s="1">
        <f>IFERROR(__xludf.DUMMYFUNCTION("""COMPUTED_VALUE"""),85.04)</f>
        <v>85.04</v>
      </c>
    </row>
    <row r="86">
      <c r="A86" s="2">
        <f>IFERROR(__xludf.DUMMYFUNCTION("""COMPUTED_VALUE"""),44229.66666666667)</f>
        <v>44229.66667</v>
      </c>
      <c r="B86" s="1">
        <f>IFERROR(__xludf.DUMMYFUNCTION("""COMPUTED_VALUE"""),86.3)</f>
        <v>86.3</v>
      </c>
    </row>
    <row r="87">
      <c r="A87" s="2">
        <f>IFERROR(__xludf.DUMMYFUNCTION("""COMPUTED_VALUE"""),44230.66666666667)</f>
        <v>44230.66667</v>
      </c>
      <c r="B87" s="1">
        <f>IFERROR(__xludf.DUMMYFUNCTION("""COMPUTED_VALUE"""),87.06)</f>
        <v>87.06</v>
      </c>
    </row>
    <row r="88">
      <c r="A88" s="2">
        <f>IFERROR(__xludf.DUMMYFUNCTION("""COMPUTED_VALUE"""),44231.66666666667)</f>
        <v>44231.66667</v>
      </c>
      <c r="B88" s="1">
        <f>IFERROR(__xludf.DUMMYFUNCTION("""COMPUTED_VALUE"""),86.35)</f>
        <v>86.35</v>
      </c>
    </row>
    <row r="89">
      <c r="A89" s="2">
        <f>IFERROR(__xludf.DUMMYFUNCTION("""COMPUTED_VALUE"""),44232.66666666667)</f>
        <v>44232.66667</v>
      </c>
      <c r="B89" s="1">
        <f>IFERROR(__xludf.DUMMYFUNCTION("""COMPUTED_VALUE"""),87.33)</f>
        <v>87.33</v>
      </c>
    </row>
    <row r="90">
      <c r="A90" s="2">
        <f>IFERROR(__xludf.DUMMYFUNCTION("""COMPUTED_VALUE"""),44235.66666666667)</f>
        <v>44235.66667</v>
      </c>
      <c r="B90" s="1">
        <f>IFERROR(__xludf.DUMMYFUNCTION("""COMPUTED_VALUE"""),87.78)</f>
        <v>87.78</v>
      </c>
    </row>
    <row r="91">
      <c r="A91" s="2">
        <f>IFERROR(__xludf.DUMMYFUNCTION("""COMPUTED_VALUE"""),44236.66666666667)</f>
        <v>44236.66667</v>
      </c>
      <c r="B91" s="1">
        <f>IFERROR(__xludf.DUMMYFUNCTION("""COMPUTED_VALUE"""),87.04)</f>
        <v>87.04</v>
      </c>
    </row>
    <row r="92">
      <c r="A92" s="2">
        <f>IFERROR(__xludf.DUMMYFUNCTION("""COMPUTED_VALUE"""),44237.66666666667)</f>
        <v>44237.66667</v>
      </c>
      <c r="B92" s="1">
        <f>IFERROR(__xludf.DUMMYFUNCTION("""COMPUTED_VALUE"""),87.59)</f>
        <v>87.59</v>
      </c>
    </row>
    <row r="93">
      <c r="A93" s="2">
        <f>IFERROR(__xludf.DUMMYFUNCTION("""COMPUTED_VALUE"""),44238.66666666667)</f>
        <v>44238.66667</v>
      </c>
      <c r="B93" s="1">
        <f>IFERROR(__xludf.DUMMYFUNCTION("""COMPUTED_VALUE"""),87.43)</f>
        <v>87.43</v>
      </c>
    </row>
    <row r="94">
      <c r="A94" s="2">
        <f>IFERROR(__xludf.DUMMYFUNCTION("""COMPUTED_VALUE"""),44239.66666666667)</f>
        <v>44239.66667</v>
      </c>
      <c r="B94" s="1">
        <f>IFERROR(__xludf.DUMMYFUNCTION("""COMPUTED_VALUE"""),86.9)</f>
        <v>86.9</v>
      </c>
    </row>
    <row r="95">
      <c r="A95" s="2">
        <f>IFERROR(__xludf.DUMMYFUNCTION("""COMPUTED_VALUE"""),44242.66666666667)</f>
        <v>44242.66667</v>
      </c>
      <c r="B95" s="1">
        <f>IFERROR(__xludf.DUMMYFUNCTION("""COMPUTED_VALUE"""),87.77)</f>
        <v>87.77</v>
      </c>
    </row>
    <row r="96">
      <c r="A96" s="2">
        <f>IFERROR(__xludf.DUMMYFUNCTION("""COMPUTED_VALUE"""),44243.66666666667)</f>
        <v>44243.66667</v>
      </c>
      <c r="B96" s="1">
        <f>IFERROR(__xludf.DUMMYFUNCTION("""COMPUTED_VALUE"""),88.43)</f>
        <v>88.43</v>
      </c>
    </row>
    <row r="97">
      <c r="A97" s="2">
        <f>IFERROR(__xludf.DUMMYFUNCTION("""COMPUTED_VALUE"""),44244.66666666667)</f>
        <v>44244.66667</v>
      </c>
      <c r="B97" s="1">
        <f>IFERROR(__xludf.DUMMYFUNCTION("""COMPUTED_VALUE"""),88.08)</f>
        <v>88.08</v>
      </c>
    </row>
    <row r="98">
      <c r="A98" s="2">
        <f>IFERROR(__xludf.DUMMYFUNCTION("""COMPUTED_VALUE"""),44245.66666666667)</f>
        <v>44245.66667</v>
      </c>
      <c r="B98" s="1">
        <f>IFERROR(__xludf.DUMMYFUNCTION("""COMPUTED_VALUE"""),88.05)</f>
        <v>88.05</v>
      </c>
    </row>
    <row r="99">
      <c r="A99" s="2">
        <f>IFERROR(__xludf.DUMMYFUNCTION("""COMPUTED_VALUE"""),44246.66666666667)</f>
        <v>44246.66667</v>
      </c>
      <c r="B99" s="1">
        <f>IFERROR(__xludf.DUMMYFUNCTION("""COMPUTED_VALUE"""),86.99)</f>
        <v>86.99</v>
      </c>
    </row>
    <row r="100">
      <c r="A100" s="2">
        <f>IFERROR(__xludf.DUMMYFUNCTION("""COMPUTED_VALUE"""),44249.66666666667)</f>
        <v>44249.66667</v>
      </c>
      <c r="B100" s="1">
        <f>IFERROR(__xludf.DUMMYFUNCTION("""COMPUTED_VALUE"""),86.73)</f>
        <v>86.73</v>
      </c>
    </row>
    <row r="101">
      <c r="A101" s="2">
        <f>IFERROR(__xludf.DUMMYFUNCTION("""COMPUTED_VALUE"""),44250.66666666667)</f>
        <v>44250.66667</v>
      </c>
      <c r="B101" s="1">
        <f>IFERROR(__xludf.DUMMYFUNCTION("""COMPUTED_VALUE"""),87.58)</f>
        <v>87.58</v>
      </c>
    </row>
    <row r="102">
      <c r="A102" s="2">
        <f>IFERROR(__xludf.DUMMYFUNCTION("""COMPUTED_VALUE"""),44251.66666666667)</f>
        <v>44251.66667</v>
      </c>
      <c r="B102" s="1">
        <f>IFERROR(__xludf.DUMMYFUNCTION("""COMPUTED_VALUE"""),86.89)</f>
        <v>86.89</v>
      </c>
    </row>
    <row r="103">
      <c r="A103" s="2">
        <f>IFERROR(__xludf.DUMMYFUNCTION("""COMPUTED_VALUE"""),44252.66666666667)</f>
        <v>44252.66667</v>
      </c>
      <c r="B103" s="1">
        <f>IFERROR(__xludf.DUMMYFUNCTION("""COMPUTED_VALUE"""),87.66)</f>
        <v>87.66</v>
      </c>
    </row>
    <row r="104">
      <c r="A104" s="2">
        <f>IFERROR(__xludf.DUMMYFUNCTION("""COMPUTED_VALUE"""),44253.66666666667)</f>
        <v>44253.66667</v>
      </c>
      <c r="B104" s="1">
        <f>IFERROR(__xludf.DUMMYFUNCTION("""COMPUTED_VALUE"""),85.51)</f>
        <v>85.51</v>
      </c>
    </row>
    <row r="105">
      <c r="A105" s="2">
        <f>IFERROR(__xludf.DUMMYFUNCTION("""COMPUTED_VALUE"""),44256.66666666667)</f>
        <v>44256.66667</v>
      </c>
      <c r="B105" s="1">
        <f>IFERROR(__xludf.DUMMYFUNCTION("""COMPUTED_VALUE"""),87.25)</f>
        <v>87.25</v>
      </c>
    </row>
    <row r="106">
      <c r="A106" s="2">
        <f>IFERROR(__xludf.DUMMYFUNCTION("""COMPUTED_VALUE"""),44257.66666666667)</f>
        <v>44257.66667</v>
      </c>
      <c r="B106" s="1">
        <f>IFERROR(__xludf.DUMMYFUNCTION("""COMPUTED_VALUE"""),86.91)</f>
        <v>86.91</v>
      </c>
    </row>
    <row r="107">
      <c r="A107" s="2">
        <f>IFERROR(__xludf.DUMMYFUNCTION("""COMPUTED_VALUE"""),44258.66666666667)</f>
        <v>44258.66667</v>
      </c>
      <c r="B107" s="1">
        <f>IFERROR(__xludf.DUMMYFUNCTION("""COMPUTED_VALUE"""),87.52)</f>
        <v>87.52</v>
      </c>
    </row>
    <row r="108">
      <c r="A108" s="2">
        <f>IFERROR(__xludf.DUMMYFUNCTION("""COMPUTED_VALUE"""),44259.66666666667)</f>
        <v>44259.66667</v>
      </c>
      <c r="B108" s="1">
        <f>IFERROR(__xludf.DUMMYFUNCTION("""COMPUTED_VALUE"""),87.03)</f>
        <v>87.03</v>
      </c>
    </row>
    <row r="109">
      <c r="A109" s="2">
        <f>IFERROR(__xludf.DUMMYFUNCTION("""COMPUTED_VALUE"""),44260.66666666667)</f>
        <v>44260.66667</v>
      </c>
      <c r="B109" s="1">
        <f>IFERROR(__xludf.DUMMYFUNCTION("""COMPUTED_VALUE"""),86.37)</f>
        <v>86.37</v>
      </c>
    </row>
    <row r="110">
      <c r="A110" s="2">
        <f>IFERROR(__xludf.DUMMYFUNCTION("""COMPUTED_VALUE"""),44263.66666666667)</f>
        <v>44263.66667</v>
      </c>
      <c r="B110" s="1">
        <f>IFERROR(__xludf.DUMMYFUNCTION("""COMPUTED_VALUE"""),86.89)</f>
        <v>86.89</v>
      </c>
    </row>
    <row r="111">
      <c r="A111" s="2">
        <f>IFERROR(__xludf.DUMMYFUNCTION("""COMPUTED_VALUE"""),44264.66666666667)</f>
        <v>44264.66667</v>
      </c>
      <c r="B111" s="1">
        <f>IFERROR(__xludf.DUMMYFUNCTION("""COMPUTED_VALUE"""),87.21)</f>
        <v>87.21</v>
      </c>
    </row>
    <row r="112">
      <c r="A112" s="2">
        <f>IFERROR(__xludf.DUMMYFUNCTION("""COMPUTED_VALUE"""),44265.66666666667)</f>
        <v>44265.66667</v>
      </c>
      <c r="B112" s="1">
        <f>IFERROR(__xludf.DUMMYFUNCTION("""COMPUTED_VALUE"""),86.46)</f>
        <v>86.46</v>
      </c>
    </row>
    <row r="113">
      <c r="A113" s="2">
        <f>IFERROR(__xludf.DUMMYFUNCTION("""COMPUTED_VALUE"""),44266.66666666667)</f>
        <v>44266.66667</v>
      </c>
      <c r="B113" s="1">
        <f>IFERROR(__xludf.DUMMYFUNCTION("""COMPUTED_VALUE"""),86.53)</f>
        <v>86.53</v>
      </c>
    </row>
    <row r="114">
      <c r="A114" s="2">
        <f>IFERROR(__xludf.DUMMYFUNCTION("""COMPUTED_VALUE"""),44267.66666666667)</f>
        <v>44267.66667</v>
      </c>
      <c r="B114" s="1">
        <f>IFERROR(__xludf.DUMMYFUNCTION("""COMPUTED_VALUE"""),87.22)</f>
        <v>87.22</v>
      </c>
    </row>
    <row r="115">
      <c r="A115" s="2">
        <f>IFERROR(__xludf.DUMMYFUNCTION("""COMPUTED_VALUE"""),44270.66666666667)</f>
        <v>44270.66667</v>
      </c>
      <c r="B115" s="1">
        <f>IFERROR(__xludf.DUMMYFUNCTION("""COMPUTED_VALUE"""),87.37)</f>
        <v>87.37</v>
      </c>
    </row>
    <row r="116">
      <c r="A116" s="2">
        <f>IFERROR(__xludf.DUMMYFUNCTION("""COMPUTED_VALUE"""),44271.66666666667)</f>
        <v>44271.66667</v>
      </c>
      <c r="B116" s="1">
        <f>IFERROR(__xludf.DUMMYFUNCTION("""COMPUTED_VALUE"""),88.13)</f>
        <v>88.13</v>
      </c>
    </row>
    <row r="117">
      <c r="A117" s="2">
        <f>IFERROR(__xludf.DUMMYFUNCTION("""COMPUTED_VALUE"""),44272.66666666667)</f>
        <v>44272.66667</v>
      </c>
      <c r="B117" s="1">
        <f>IFERROR(__xludf.DUMMYFUNCTION("""COMPUTED_VALUE"""),87.58)</f>
        <v>87.58</v>
      </c>
    </row>
    <row r="118">
      <c r="A118" s="2">
        <f>IFERROR(__xludf.DUMMYFUNCTION("""COMPUTED_VALUE"""),44273.66666666667)</f>
        <v>44273.66667</v>
      </c>
      <c r="B118" s="1">
        <f>IFERROR(__xludf.DUMMYFUNCTION("""COMPUTED_VALUE"""),87.08)</f>
        <v>87.08</v>
      </c>
    </row>
    <row r="119">
      <c r="A119" s="2">
        <f>IFERROR(__xludf.DUMMYFUNCTION("""COMPUTED_VALUE"""),44274.66666666667)</f>
        <v>44274.66667</v>
      </c>
      <c r="B119" s="1">
        <f>IFERROR(__xludf.DUMMYFUNCTION("""COMPUTED_VALUE"""),86.79)</f>
        <v>86.79</v>
      </c>
    </row>
    <row r="120">
      <c r="A120" s="2">
        <f>IFERROR(__xludf.DUMMYFUNCTION("""COMPUTED_VALUE"""),44277.66666666667)</f>
        <v>44277.66667</v>
      </c>
      <c r="B120" s="1">
        <f>IFERROR(__xludf.DUMMYFUNCTION("""COMPUTED_VALUE"""),87.15)</f>
        <v>87.15</v>
      </c>
    </row>
    <row r="121">
      <c r="A121" s="2">
        <f>IFERROR(__xludf.DUMMYFUNCTION("""COMPUTED_VALUE"""),44278.66666666667)</f>
        <v>44278.66667</v>
      </c>
      <c r="B121" s="1">
        <f>IFERROR(__xludf.DUMMYFUNCTION("""COMPUTED_VALUE"""),86.95)</f>
        <v>86.95</v>
      </c>
    </row>
    <row r="122">
      <c r="A122" s="2">
        <f>IFERROR(__xludf.DUMMYFUNCTION("""COMPUTED_VALUE"""),44279.66666666667)</f>
        <v>44279.66667</v>
      </c>
      <c r="B122" s="1">
        <f>IFERROR(__xludf.DUMMYFUNCTION("""COMPUTED_VALUE"""),87.42)</f>
        <v>87.42</v>
      </c>
    </row>
    <row r="123">
      <c r="A123" s="2">
        <f>IFERROR(__xludf.DUMMYFUNCTION("""COMPUTED_VALUE"""),44280.66666666667)</f>
        <v>44280.66667</v>
      </c>
      <c r="B123" s="1">
        <f>IFERROR(__xludf.DUMMYFUNCTION("""COMPUTED_VALUE"""),87.35)</f>
        <v>87.35</v>
      </c>
    </row>
    <row r="124">
      <c r="A124" s="2">
        <f>IFERROR(__xludf.DUMMYFUNCTION("""COMPUTED_VALUE"""),44281.66666666667)</f>
        <v>44281.66667</v>
      </c>
      <c r="B124" s="1">
        <f>IFERROR(__xludf.DUMMYFUNCTION("""COMPUTED_VALUE"""),88.04)</f>
        <v>88.04</v>
      </c>
    </row>
    <row r="125">
      <c r="A125" s="2">
        <f>IFERROR(__xludf.DUMMYFUNCTION("""COMPUTED_VALUE"""),44284.66666666667)</f>
        <v>44284.66667</v>
      </c>
      <c r="B125" s="1">
        <f>IFERROR(__xludf.DUMMYFUNCTION("""COMPUTED_VALUE"""),87.77)</f>
        <v>87.77</v>
      </c>
    </row>
    <row r="126">
      <c r="A126" s="2">
        <f>IFERROR(__xludf.DUMMYFUNCTION("""COMPUTED_VALUE"""),44285.66666666667)</f>
        <v>44285.66667</v>
      </c>
      <c r="B126" s="1">
        <f>IFERROR(__xludf.DUMMYFUNCTION("""COMPUTED_VALUE"""),87.07)</f>
        <v>87.07</v>
      </c>
    </row>
    <row r="127">
      <c r="A127" s="2">
        <f>IFERROR(__xludf.DUMMYFUNCTION("""COMPUTED_VALUE"""),44286.66666666667)</f>
        <v>44286.66667</v>
      </c>
      <c r="B127" s="1">
        <f>IFERROR(__xludf.DUMMYFUNCTION("""COMPUTED_VALUE"""),87.92)</f>
        <v>87.92</v>
      </c>
    </row>
    <row r="128">
      <c r="A128" s="2">
        <f>IFERROR(__xludf.DUMMYFUNCTION("""COMPUTED_VALUE"""),44287.66666666667)</f>
        <v>44287.66667</v>
      </c>
      <c r="B128" s="1">
        <f>IFERROR(__xludf.DUMMYFUNCTION("""COMPUTED_VALUE"""),88.0)</f>
        <v>88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IFERROR(__xludf.DUMMYFUNCTION("""COMPUTED_VALUE"""),88.05)</f>
        <v>88.05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IFERROR(__xludf.DUMMYFUNCTION("""COMPUTED_VALUE"""),88.62)</f>
        <v>88.62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IFERROR(__xludf.DUMMYFUNCTION("""COMPUTED_VALUE"""),89.49)</f>
        <v>89.49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IFERROR(__xludf.DUMMYFUNCTION("""COMPUTED_VALUE"""),89.5)</f>
        <v>89.5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IFERROR(__xludf.DUMMYFUNCTION("""COMPUTED_VALUE"""),89.26)</f>
        <v>89.26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IFERROR(__xludf.DUMMYFUNCTION("""COMPUTED_VALUE"""),89.12)</f>
        <v>89.12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IFERROR(__xludf.DUMMYFUNCTION("""COMPUTED_VALUE"""),89.89)</f>
        <v>89.89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IFERROR(__xludf.DUMMYFUNCTION("""COMPUTED_VALUE"""),90.32)</f>
        <v>90.32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IFERROR(__xludf.DUMMYFUNCTION("""COMPUTED_VALUE"""),90.37)</f>
        <v>90.37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IFERROR(__xludf.DUMMYFUNCTION("""COMPUTED_VALUE"""),90.42)</f>
        <v>90.42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IFERROR(__xludf.DUMMYFUNCTION("""COMPUTED_VALUE"""),89.82)</f>
        <v>89.82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IFERROR(__xludf.DUMMYFUNCTION("""COMPUTED_VALUE"""),89.5)</f>
        <v>89.5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IFERROR(__xludf.DUMMYFUNCTION("""COMPUTED_VALUE"""),90.25)</f>
        <v>90.25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IFERROR(__xludf.DUMMYFUNCTION("""COMPUTED_VALUE"""),90.3)</f>
        <v>90.3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IFERROR(__xludf.DUMMYFUNCTION("""COMPUTED_VALUE"""),90.15)</f>
        <v>90.15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IFERROR(__xludf.DUMMYFUNCTION("""COMPUTED_VALUE"""),90.01)</f>
        <v>90.01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IFERROR(__xludf.DUMMYFUNCTION("""COMPUTED_VALUE"""),90.58)</f>
        <v>90.58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IFERROR(__xludf.DUMMYFUNCTION("""COMPUTED_VALUE"""),90.63)</f>
        <v>90.63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IFERROR(__xludf.DUMMYFUNCTION("""COMPUTED_VALUE"""),89.95)</f>
        <v>89.95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IFERROR(__xludf.DUMMYFUNCTION("""COMPUTED_VALUE"""),89.99)</f>
        <v>89.99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IFERROR(__xludf.DUMMYFUNCTION("""COMPUTED_VALUE"""),90.5)</f>
        <v>90.5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IFERROR(__xludf.DUMMYFUNCTION("""COMPUTED_VALUE"""),90.81)</f>
        <v>90.81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IFERROR(__xludf.DUMMYFUNCTION("""COMPUTED_VALUE"""),90.36)</f>
        <v>90.36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IFERROR(__xludf.DUMMYFUNCTION("""COMPUTED_VALUE"""),90.6)</f>
        <v>90.6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IFERROR(__xludf.DUMMYFUNCTION("""COMPUTED_VALUE"""),91.85)</f>
        <v>91.85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IFERROR(__xludf.DUMMYFUNCTION("""COMPUTED_VALUE"""),90.87)</f>
        <v>90.87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IFERROR(__xludf.DUMMYFUNCTION("""COMPUTED_VALUE"""),90.22)</f>
        <v>90.22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IFERROR(__xludf.DUMMYFUNCTION("""COMPUTED_VALUE"""),89.5)</f>
        <v>89.5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IFERROR(__xludf.DUMMYFUNCTION("""COMPUTED_VALUE"""),89.98)</f>
        <v>89.98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IFERROR(__xludf.DUMMYFUNCTION("""COMPUTED_VALUE"""),90.19)</f>
        <v>90.19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IFERROR(__xludf.DUMMYFUNCTION("""COMPUTED_VALUE"""),90.75)</f>
        <v>90.75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IFERROR(__xludf.DUMMYFUNCTION("""COMPUTED_VALUE"""),88.92)</f>
        <v>88.92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IFERROR(__xludf.DUMMYFUNCTION("""COMPUTED_VALUE"""),90.16)</f>
        <v>90.16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IFERROR(__xludf.DUMMYFUNCTION("""COMPUTED_VALUE"""),90.34)</f>
        <v>90.34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IFERROR(__xludf.DUMMYFUNCTION("""COMPUTED_VALUE"""),90.46)</f>
        <v>90.46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IFERROR(__xludf.DUMMYFUNCTION("""COMPUTED_VALUE"""),91.35)</f>
        <v>91.35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IFERROR(__xludf.DUMMYFUNCTION("""COMPUTED_VALUE"""),91.09)</f>
        <v>91.09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IFERROR(__xludf.DUMMYFUNCTION("""COMPUTED_VALUE"""),91.17)</f>
        <v>91.17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IFERROR(__xludf.DUMMYFUNCTION("""COMPUTED_VALUE"""),92.18)</f>
        <v>92.18</v>
      </c>
    </row>
    <row r="168">
      <c r="A168" s="2">
        <f>IFERROR(__xludf.DUMMYFUNCTION("""COMPUTED_VALUE"""),44347.66666666667)</f>
        <v>44347.66667</v>
      </c>
      <c r="B168" s="1">
        <f>IFERROR(__xludf.DUMMYFUNCTION("""COMPUTED_VALUE"""),92.04)</f>
        <v>92.04</v>
      </c>
    </row>
    <row r="169">
      <c r="A169" s="2">
        <f>IFERROR(__xludf.DUMMYFUNCTION("""COMPUTED_VALUE"""),44348.66666666667)</f>
        <v>44348.66667</v>
      </c>
      <c r="B169" s="1">
        <f>IFERROR(__xludf.DUMMYFUNCTION("""COMPUTED_VALUE"""),91.79)</f>
        <v>91.79</v>
      </c>
    </row>
    <row r="170">
      <c r="A170" s="2">
        <f>IFERROR(__xludf.DUMMYFUNCTION("""COMPUTED_VALUE"""),44349.66666666667)</f>
        <v>44349.66667</v>
      </c>
      <c r="B170" s="1">
        <f>IFERROR(__xludf.DUMMYFUNCTION("""COMPUTED_VALUE"""),92.71)</f>
        <v>92.71</v>
      </c>
    </row>
    <row r="171">
      <c r="A171" s="2">
        <f>IFERROR(__xludf.DUMMYFUNCTION("""COMPUTED_VALUE"""),44350.66666666667)</f>
        <v>44350.66667</v>
      </c>
      <c r="B171" s="1">
        <f>IFERROR(__xludf.DUMMYFUNCTION("""COMPUTED_VALUE"""),93.28)</f>
        <v>93.28</v>
      </c>
    </row>
    <row r="172">
      <c r="A172" s="2">
        <f>IFERROR(__xludf.DUMMYFUNCTION("""COMPUTED_VALUE"""),44351.66666666667)</f>
        <v>44351.66667</v>
      </c>
      <c r="B172" s="1">
        <f>IFERROR(__xludf.DUMMYFUNCTION("""COMPUTED_VALUE"""),93.66)</f>
        <v>93.66</v>
      </c>
    </row>
    <row r="173">
      <c r="A173" s="2">
        <f>IFERROR(__xludf.DUMMYFUNCTION("""COMPUTED_VALUE"""),44354.66666666667)</f>
        <v>44354.66667</v>
      </c>
      <c r="B173" s="1">
        <f>IFERROR(__xludf.DUMMYFUNCTION("""COMPUTED_VALUE"""),93.55)</f>
        <v>93.55</v>
      </c>
    </row>
    <row r="174">
      <c r="A174" s="2">
        <f>IFERROR(__xludf.DUMMYFUNCTION("""COMPUTED_VALUE"""),44355.66666666667)</f>
        <v>44355.66667</v>
      </c>
      <c r="B174" s="1">
        <f>IFERROR(__xludf.DUMMYFUNCTION("""COMPUTED_VALUE"""),93.7)</f>
        <v>93.7</v>
      </c>
    </row>
    <row r="175">
      <c r="A175" s="2">
        <f>IFERROR(__xludf.DUMMYFUNCTION("""COMPUTED_VALUE"""),44356.66666666667)</f>
        <v>44356.66667</v>
      </c>
      <c r="B175" s="1">
        <f>IFERROR(__xludf.DUMMYFUNCTION("""COMPUTED_VALUE"""),93.4)</f>
        <v>93.4</v>
      </c>
    </row>
    <row r="176">
      <c r="A176" s="2">
        <f>IFERROR(__xludf.DUMMYFUNCTION("""COMPUTED_VALUE"""),44357.66666666667)</f>
        <v>44357.66667</v>
      </c>
      <c r="B176" s="1">
        <f>IFERROR(__xludf.DUMMYFUNCTION("""COMPUTED_VALUE"""),93.78)</f>
        <v>93.78</v>
      </c>
    </row>
    <row r="177">
      <c r="A177" s="2">
        <f>IFERROR(__xludf.DUMMYFUNCTION("""COMPUTED_VALUE"""),44358.66666666667)</f>
        <v>44358.66667</v>
      </c>
      <c r="B177" s="1">
        <f>IFERROR(__xludf.DUMMYFUNCTION("""COMPUTED_VALUE"""),93.97)</f>
        <v>93.97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IFERROR(__xludf.DUMMYFUNCTION("""COMPUTED_VALUE"""),94.92)</f>
        <v>94.92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IFERROR(__xludf.DUMMYFUNCTION("""COMPUTED_VALUE"""),94.83)</f>
        <v>94.83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IFERROR(__xludf.DUMMYFUNCTION("""COMPUTED_VALUE"""),94.57)</f>
        <v>94.57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IFERROR(__xludf.DUMMYFUNCTION("""COMPUTED_VALUE"""),94.55)</f>
        <v>94.55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IFERROR(__xludf.DUMMYFUNCTION("""COMPUTED_VALUE"""),92.95)</f>
        <v>92.95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IFERROR(__xludf.DUMMYFUNCTION("""COMPUTED_VALUE"""),94.26)</f>
        <v>94.26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IFERROR(__xludf.DUMMYFUNCTION("""COMPUTED_VALUE"""),93.71)</f>
        <v>93.71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IFERROR(__xludf.DUMMYFUNCTION("""COMPUTED_VALUE"""),93.4)</f>
        <v>93.4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IFERROR(__xludf.DUMMYFUNCTION("""COMPUTED_VALUE"""),93.88)</f>
        <v>93.88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IFERROR(__xludf.DUMMYFUNCTION("""COMPUTED_VALUE"""),93.9)</f>
        <v>93.9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IFERROR(__xludf.DUMMYFUNCTION("""COMPUTED_VALUE"""),93.94)</f>
        <v>93.94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IFERROR(__xludf.DUMMYFUNCTION("""COMPUTED_VALUE"""),94.04)</f>
        <v>94.04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IFERROR(__xludf.DUMMYFUNCTION("""COMPUTED_VALUE"""),93.01)</f>
        <v>93.01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IFERROR(__xludf.DUMMYFUNCTION("""COMPUTED_VALUE"""),93.5)</f>
        <v>93.5</v>
      </c>
    </row>
    <row r="192">
      <c r="A192" s="2">
        <f>IFERROR(__xludf.DUMMYFUNCTION("""COMPUTED_VALUE"""),44382.66666666667)</f>
        <v>44382.66667</v>
      </c>
      <c r="B192" s="1">
        <f>IFERROR(__xludf.DUMMYFUNCTION("""COMPUTED_VALUE"""),93.59)</f>
        <v>93.59</v>
      </c>
    </row>
    <row r="193">
      <c r="A193" s="2">
        <f>IFERROR(__xludf.DUMMYFUNCTION("""COMPUTED_VALUE"""),44383.66666666667)</f>
        <v>44383.66667</v>
      </c>
      <c r="B193" s="1">
        <f>IFERROR(__xludf.DUMMYFUNCTION("""COMPUTED_VALUE"""),92.84)</f>
        <v>92.84</v>
      </c>
    </row>
    <row r="194">
      <c r="A194" s="2">
        <f>IFERROR(__xludf.DUMMYFUNCTION("""COMPUTED_VALUE"""),44384.66666666667)</f>
        <v>44384.66667</v>
      </c>
      <c r="B194" s="1">
        <f>IFERROR(__xludf.DUMMYFUNCTION("""COMPUTED_VALUE"""),93.75)</f>
        <v>93.75</v>
      </c>
    </row>
    <row r="195">
      <c r="A195" s="2">
        <f>IFERROR(__xludf.DUMMYFUNCTION("""COMPUTED_VALUE"""),44385.66666666667)</f>
        <v>44385.66667</v>
      </c>
      <c r="B195" s="1">
        <f>IFERROR(__xludf.DUMMYFUNCTION("""COMPUTED_VALUE"""),93.9)</f>
        <v>93.9</v>
      </c>
    </row>
    <row r="196">
      <c r="A196" s="2">
        <f>IFERROR(__xludf.DUMMYFUNCTION("""COMPUTED_VALUE"""),44386.66666666667)</f>
        <v>44386.66667</v>
      </c>
      <c r="B196" s="1">
        <f>IFERROR(__xludf.DUMMYFUNCTION("""COMPUTED_VALUE"""),92.96)</f>
        <v>92.96</v>
      </c>
    </row>
    <row r="197">
      <c r="A197" s="2">
        <f>IFERROR(__xludf.DUMMYFUNCTION("""COMPUTED_VALUE"""),44389.66666666667)</f>
        <v>44389.66667</v>
      </c>
      <c r="B197" s="1">
        <f>IFERROR(__xludf.DUMMYFUNCTION("""COMPUTED_VALUE"""),93.8)</f>
        <v>93.8</v>
      </c>
    </row>
    <row r="198">
      <c r="A198" s="2">
        <f>IFERROR(__xludf.DUMMYFUNCTION("""COMPUTED_VALUE"""),44390.66666666667)</f>
        <v>44390.66667</v>
      </c>
      <c r="B198" s="1">
        <f>IFERROR(__xludf.DUMMYFUNCTION("""COMPUTED_VALUE"""),93.73)</f>
        <v>93.73</v>
      </c>
    </row>
    <row r="199">
      <c r="A199" s="2">
        <f>IFERROR(__xludf.DUMMYFUNCTION("""COMPUTED_VALUE"""),44391.66666666667)</f>
        <v>44391.66667</v>
      </c>
      <c r="B199" s="1">
        <f>IFERROR(__xludf.DUMMYFUNCTION("""COMPUTED_VALUE"""),94.06)</f>
        <v>94.06</v>
      </c>
    </row>
    <row r="200">
      <c r="A200" s="2">
        <f>IFERROR(__xludf.DUMMYFUNCTION("""COMPUTED_VALUE"""),44392.66666666667)</f>
        <v>44392.66667</v>
      </c>
      <c r="B200" s="1">
        <f>IFERROR(__xludf.DUMMYFUNCTION("""COMPUTED_VALUE"""),93.64)</f>
        <v>93.64</v>
      </c>
    </row>
    <row r="201">
      <c r="A201" s="2">
        <f>IFERROR(__xludf.DUMMYFUNCTION("""COMPUTED_VALUE"""),44393.66666666667)</f>
        <v>44393.66667</v>
      </c>
      <c r="B201" s="1">
        <f>IFERROR(__xludf.DUMMYFUNCTION("""COMPUTED_VALUE"""),93.99)</f>
        <v>93.99</v>
      </c>
    </row>
    <row r="202">
      <c r="A202" s="2">
        <f>IFERROR(__xludf.DUMMYFUNCTION("""COMPUTED_VALUE"""),44396.66666666667)</f>
        <v>44396.66667</v>
      </c>
      <c r="B202" s="1">
        <f>IFERROR(__xludf.DUMMYFUNCTION("""COMPUTED_VALUE"""),93.17)</f>
        <v>93.17</v>
      </c>
    </row>
    <row r="203">
      <c r="A203" s="2">
        <f>IFERROR(__xludf.DUMMYFUNCTION("""COMPUTED_VALUE"""),44397.66666666667)</f>
        <v>44397.66667</v>
      </c>
      <c r="B203" s="1">
        <f>IFERROR(__xludf.DUMMYFUNCTION("""COMPUTED_VALUE"""),92.76)</f>
        <v>92.76</v>
      </c>
    </row>
    <row r="204">
      <c r="A204" s="2">
        <f>IFERROR(__xludf.DUMMYFUNCTION("""COMPUTED_VALUE"""),44398.66666666667)</f>
        <v>44398.66667</v>
      </c>
      <c r="B204" s="1">
        <f>IFERROR(__xludf.DUMMYFUNCTION("""COMPUTED_VALUE"""),93.5)</f>
        <v>93.5</v>
      </c>
    </row>
    <row r="205">
      <c r="A205" s="2">
        <f>IFERROR(__xludf.DUMMYFUNCTION("""COMPUTED_VALUE"""),44399.66666666667)</f>
        <v>44399.66667</v>
      </c>
      <c r="B205" s="1">
        <f>IFERROR(__xludf.DUMMYFUNCTION("""COMPUTED_VALUE"""),94.41)</f>
        <v>94.41</v>
      </c>
    </row>
    <row r="206">
      <c r="A206" s="2">
        <f>IFERROR(__xludf.DUMMYFUNCTION("""COMPUTED_VALUE"""),44400.66666666667)</f>
        <v>44400.66667</v>
      </c>
      <c r="B206" s="1">
        <f>IFERROR(__xludf.DUMMYFUNCTION("""COMPUTED_VALUE"""),94.55)</f>
        <v>94.55</v>
      </c>
    </row>
    <row r="207">
      <c r="A207" s="2">
        <f>IFERROR(__xludf.DUMMYFUNCTION("""COMPUTED_VALUE"""),44403.66666666667)</f>
        <v>44403.66667</v>
      </c>
      <c r="B207" s="1">
        <f>IFERROR(__xludf.DUMMYFUNCTION("""COMPUTED_VALUE"""),94.54)</f>
        <v>94.54</v>
      </c>
    </row>
    <row r="208">
      <c r="A208" s="2">
        <f>IFERROR(__xludf.DUMMYFUNCTION("""COMPUTED_VALUE"""),44404.66666666667)</f>
        <v>44404.66667</v>
      </c>
      <c r="B208" s="1">
        <f>IFERROR(__xludf.DUMMYFUNCTION("""COMPUTED_VALUE"""),94.99)</f>
        <v>94.99</v>
      </c>
    </row>
    <row r="209">
      <c r="A209" s="2">
        <f>IFERROR(__xludf.DUMMYFUNCTION("""COMPUTED_VALUE"""),44405.66666666667)</f>
        <v>44405.66667</v>
      </c>
      <c r="B209" s="1">
        <f>IFERROR(__xludf.DUMMYFUNCTION("""COMPUTED_VALUE"""),94.29)</f>
        <v>94.29</v>
      </c>
    </row>
    <row r="210">
      <c r="A210" s="2">
        <f>IFERROR(__xludf.DUMMYFUNCTION("""COMPUTED_VALUE"""),44406.66666666667)</f>
        <v>44406.66667</v>
      </c>
      <c r="B210" s="1">
        <f>IFERROR(__xludf.DUMMYFUNCTION("""COMPUTED_VALUE"""),94.83)</f>
        <v>94.83</v>
      </c>
    </row>
    <row r="211">
      <c r="A211" s="2">
        <f>IFERROR(__xludf.DUMMYFUNCTION("""COMPUTED_VALUE"""),44407.66666666667)</f>
        <v>44407.66667</v>
      </c>
      <c r="B211" s="1">
        <f>IFERROR(__xludf.DUMMYFUNCTION("""COMPUTED_VALUE"""),94.56)</f>
        <v>94.56</v>
      </c>
    </row>
    <row r="212">
      <c r="A212" s="2">
        <f>IFERROR(__xludf.DUMMYFUNCTION("""COMPUTED_VALUE"""),44410.66666666667)</f>
        <v>44410.66667</v>
      </c>
      <c r="B212" s="1">
        <f>IFERROR(__xludf.DUMMYFUNCTION("""COMPUTED_VALUE"""),95.81)</f>
        <v>95.81</v>
      </c>
    </row>
    <row r="213">
      <c r="A213" s="2">
        <f>IFERROR(__xludf.DUMMYFUNCTION("""COMPUTED_VALUE"""),44411.66666666667)</f>
        <v>44411.66667</v>
      </c>
      <c r="B213" s="1">
        <f>IFERROR(__xludf.DUMMYFUNCTION("""COMPUTED_VALUE"""),95.56)</f>
        <v>95.56</v>
      </c>
    </row>
    <row r="214">
      <c r="A214" s="2">
        <f>IFERROR(__xludf.DUMMYFUNCTION("""COMPUTED_VALUE"""),44412.66666666667)</f>
        <v>44412.66667</v>
      </c>
      <c r="B214" s="1">
        <f>IFERROR(__xludf.DUMMYFUNCTION("""COMPUTED_VALUE"""),95.99)</f>
        <v>95.99</v>
      </c>
    </row>
    <row r="215">
      <c r="A215" s="2">
        <f>IFERROR(__xludf.DUMMYFUNCTION("""COMPUTED_VALUE"""),44413.66666666667)</f>
        <v>44413.66667</v>
      </c>
      <c r="B215" s="1">
        <f>IFERROR(__xludf.DUMMYFUNCTION("""COMPUTED_VALUE"""),96.09)</f>
        <v>96.09</v>
      </c>
    </row>
    <row r="216">
      <c r="A216" s="2">
        <f>IFERROR(__xludf.DUMMYFUNCTION("""COMPUTED_VALUE"""),44414.66666666667)</f>
        <v>44414.66667</v>
      </c>
      <c r="B216" s="1">
        <f>IFERROR(__xludf.DUMMYFUNCTION("""COMPUTED_VALUE"""),96.37)</f>
        <v>96.37</v>
      </c>
    </row>
    <row r="217">
      <c r="A217" s="2">
        <f>IFERROR(__xludf.DUMMYFUNCTION("""COMPUTED_VALUE"""),44417.66666666667)</f>
        <v>44417.66667</v>
      </c>
      <c r="B217" s="1">
        <f>IFERROR(__xludf.DUMMYFUNCTION("""COMPUTED_VALUE"""),96.4)</f>
        <v>96.4</v>
      </c>
    </row>
    <row r="218">
      <c r="A218" s="2">
        <f>IFERROR(__xludf.DUMMYFUNCTION("""COMPUTED_VALUE"""),44418.66666666667)</f>
        <v>44418.66667</v>
      </c>
      <c r="B218" s="1">
        <f>IFERROR(__xludf.DUMMYFUNCTION("""COMPUTED_VALUE"""),96.69)</f>
        <v>96.69</v>
      </c>
    </row>
    <row r="219">
      <c r="A219" s="2">
        <f>IFERROR(__xludf.DUMMYFUNCTION("""COMPUTED_VALUE"""),44419.66666666667)</f>
        <v>44419.66667</v>
      </c>
      <c r="B219" s="1">
        <f>IFERROR(__xludf.DUMMYFUNCTION("""COMPUTED_VALUE"""),96.99)</f>
        <v>96.99</v>
      </c>
    </row>
    <row r="220">
      <c r="A220" s="2">
        <f>IFERROR(__xludf.DUMMYFUNCTION("""COMPUTED_VALUE"""),44420.66666666667)</f>
        <v>44420.66667</v>
      </c>
      <c r="B220" s="1">
        <f>IFERROR(__xludf.DUMMYFUNCTION("""COMPUTED_VALUE"""),97.13)</f>
        <v>97.13</v>
      </c>
    </row>
    <row r="221">
      <c r="A221" s="2">
        <f>IFERROR(__xludf.DUMMYFUNCTION("""COMPUTED_VALUE"""),44421.66666666667)</f>
        <v>44421.66667</v>
      </c>
      <c r="B221" s="1">
        <f>IFERROR(__xludf.DUMMYFUNCTION("""COMPUTED_VALUE"""),97.75)</f>
        <v>97.75</v>
      </c>
    </row>
    <row r="222">
      <c r="A222" s="2">
        <f>IFERROR(__xludf.DUMMYFUNCTION("""COMPUTED_VALUE"""),44424.66666666667)</f>
        <v>44424.66667</v>
      </c>
      <c r="B222" s="1">
        <f>IFERROR(__xludf.DUMMYFUNCTION("""COMPUTED_VALUE"""),97.13)</f>
        <v>97.13</v>
      </c>
    </row>
    <row r="223">
      <c r="A223" s="2">
        <f>IFERROR(__xludf.DUMMYFUNCTION("""COMPUTED_VALUE"""),44425.66666666667)</f>
        <v>44425.66667</v>
      </c>
      <c r="B223" s="1">
        <f>IFERROR(__xludf.DUMMYFUNCTION("""COMPUTED_VALUE"""),96.31)</f>
        <v>96.31</v>
      </c>
    </row>
    <row r="224">
      <c r="A224" s="2">
        <f>IFERROR(__xludf.DUMMYFUNCTION("""COMPUTED_VALUE"""),44426.66666666667)</f>
        <v>44426.66667</v>
      </c>
      <c r="B224" s="1">
        <f>IFERROR(__xludf.DUMMYFUNCTION("""COMPUTED_VALUE"""),96.29)</f>
        <v>96.29</v>
      </c>
    </row>
    <row r="225">
      <c r="A225" s="2">
        <f>IFERROR(__xludf.DUMMYFUNCTION("""COMPUTED_VALUE"""),44427.66666666667)</f>
        <v>44427.66667</v>
      </c>
      <c r="B225" s="1">
        <f>IFERROR(__xludf.DUMMYFUNCTION("""COMPUTED_VALUE"""),95.82)</f>
        <v>95.82</v>
      </c>
    </row>
    <row r="226">
      <c r="A226" s="2">
        <f>IFERROR(__xludf.DUMMYFUNCTION("""COMPUTED_VALUE"""),44428.66666666667)</f>
        <v>44428.66667</v>
      </c>
      <c r="B226" s="1">
        <f>IFERROR(__xludf.DUMMYFUNCTION("""COMPUTED_VALUE"""),95.81)</f>
        <v>95.81</v>
      </c>
    </row>
    <row r="227">
      <c r="A227" s="2">
        <f>IFERROR(__xludf.DUMMYFUNCTION("""COMPUTED_VALUE"""),44431.66666666667)</f>
        <v>44431.66667</v>
      </c>
      <c r="B227" s="1">
        <f>IFERROR(__xludf.DUMMYFUNCTION("""COMPUTED_VALUE"""),96.16)</f>
        <v>96.16</v>
      </c>
    </row>
    <row r="228">
      <c r="A228" s="2">
        <f>IFERROR(__xludf.DUMMYFUNCTION("""COMPUTED_VALUE"""),44432.66666666667)</f>
        <v>44432.66667</v>
      </c>
      <c r="B228" s="1">
        <f>IFERROR(__xludf.DUMMYFUNCTION("""COMPUTED_VALUE"""),96.43)</f>
        <v>96.43</v>
      </c>
    </row>
    <row r="229">
      <c r="A229" s="2">
        <f>IFERROR(__xludf.DUMMYFUNCTION("""COMPUTED_VALUE"""),44433.66666666667)</f>
        <v>44433.66667</v>
      </c>
      <c r="B229" s="1">
        <f>IFERROR(__xludf.DUMMYFUNCTION("""COMPUTED_VALUE"""),96.88)</f>
        <v>96.88</v>
      </c>
    </row>
    <row r="230">
      <c r="A230" s="2">
        <f>IFERROR(__xludf.DUMMYFUNCTION("""COMPUTED_VALUE"""),44434.66666666667)</f>
        <v>44434.66667</v>
      </c>
      <c r="B230" s="1">
        <f>IFERROR(__xludf.DUMMYFUNCTION("""COMPUTED_VALUE"""),96.38)</f>
        <v>96.38</v>
      </c>
    </row>
    <row r="231">
      <c r="A231" s="2">
        <f>IFERROR(__xludf.DUMMYFUNCTION("""COMPUTED_VALUE"""),44435.66666666667)</f>
        <v>44435.66667</v>
      </c>
      <c r="B231" s="1">
        <f>IFERROR(__xludf.DUMMYFUNCTION("""COMPUTED_VALUE"""),96.39)</f>
        <v>96.39</v>
      </c>
    </row>
    <row r="232">
      <c r="A232" s="2">
        <f>IFERROR(__xludf.DUMMYFUNCTION("""COMPUTED_VALUE"""),44438.66666666667)</f>
        <v>44438.66667</v>
      </c>
      <c r="B232" s="1">
        <f>IFERROR(__xludf.DUMMYFUNCTION("""COMPUTED_VALUE"""),96.61)</f>
        <v>96.61</v>
      </c>
    </row>
    <row r="233">
      <c r="A233" s="2">
        <f>IFERROR(__xludf.DUMMYFUNCTION("""COMPUTED_VALUE"""),44439.66666666667)</f>
        <v>44439.66667</v>
      </c>
      <c r="B233" s="1">
        <f>IFERROR(__xludf.DUMMYFUNCTION("""COMPUTED_VALUE"""),97.06)</f>
        <v>97.06</v>
      </c>
    </row>
    <row r="234">
      <c r="A234" s="2">
        <f>IFERROR(__xludf.DUMMYFUNCTION("""COMPUTED_VALUE"""),44440.66666666667)</f>
        <v>44440.66667</v>
      </c>
      <c r="B234" s="1">
        <f>IFERROR(__xludf.DUMMYFUNCTION("""COMPUTED_VALUE"""),96.99)</f>
        <v>96.99</v>
      </c>
    </row>
    <row r="235">
      <c r="A235" s="2">
        <f>IFERROR(__xludf.DUMMYFUNCTION("""COMPUTED_VALUE"""),44441.66666666667)</f>
        <v>44441.66667</v>
      </c>
      <c r="B235" s="1">
        <f>IFERROR(__xludf.DUMMYFUNCTION("""COMPUTED_VALUE"""),96.89)</f>
        <v>96.89</v>
      </c>
    </row>
    <row r="236">
      <c r="A236" s="2">
        <f>IFERROR(__xludf.DUMMYFUNCTION("""COMPUTED_VALUE"""),44442.66666666667)</f>
        <v>44442.66667</v>
      </c>
      <c r="B236" s="1">
        <f>IFERROR(__xludf.DUMMYFUNCTION("""COMPUTED_VALUE"""),97.46)</f>
        <v>97.46</v>
      </c>
    </row>
    <row r="237">
      <c r="A237" s="2">
        <f>IFERROR(__xludf.DUMMYFUNCTION("""COMPUTED_VALUE"""),44445.66666666667)</f>
        <v>44445.66667</v>
      </c>
      <c r="B237" s="1">
        <f>IFERROR(__xludf.DUMMYFUNCTION("""COMPUTED_VALUE"""),97.63)</f>
        <v>97.63</v>
      </c>
    </row>
    <row r="238">
      <c r="A238" s="2">
        <f>IFERROR(__xludf.DUMMYFUNCTION("""COMPUTED_VALUE"""),44446.66666666667)</f>
        <v>44446.66667</v>
      </c>
      <c r="B238" s="1">
        <f>IFERROR(__xludf.DUMMYFUNCTION("""COMPUTED_VALUE"""),97.71)</f>
        <v>97.71</v>
      </c>
    </row>
    <row r="239">
      <c r="A239" s="2">
        <f>IFERROR(__xludf.DUMMYFUNCTION("""COMPUTED_VALUE"""),44447.66666666667)</f>
        <v>44447.66667</v>
      </c>
      <c r="B239" s="1">
        <f>IFERROR(__xludf.DUMMYFUNCTION("""COMPUTED_VALUE"""),97.48)</f>
        <v>97.48</v>
      </c>
    </row>
    <row r="240">
      <c r="A240" s="2">
        <f>IFERROR(__xludf.DUMMYFUNCTION("""COMPUTED_VALUE"""),44448.66666666667)</f>
        <v>44448.66667</v>
      </c>
      <c r="B240" s="1">
        <f>IFERROR(__xludf.DUMMYFUNCTION("""COMPUTED_VALUE"""),95.76)</f>
        <v>95.76</v>
      </c>
    </row>
    <row r="241">
      <c r="A241" s="2">
        <f>IFERROR(__xludf.DUMMYFUNCTION("""COMPUTED_VALUE"""),44449.66666666667)</f>
        <v>44449.66667</v>
      </c>
      <c r="B241" s="1">
        <f>IFERROR(__xludf.DUMMYFUNCTION("""COMPUTED_VALUE"""),96.16)</f>
        <v>96.16</v>
      </c>
    </row>
    <row r="242">
      <c r="A242" s="2">
        <f>IFERROR(__xludf.DUMMYFUNCTION("""COMPUTED_VALUE"""),44452.66666666667)</f>
        <v>44452.66667</v>
      </c>
      <c r="B242" s="1">
        <f>IFERROR(__xludf.DUMMYFUNCTION("""COMPUTED_VALUE"""),96.45)</f>
        <v>96.45</v>
      </c>
    </row>
    <row r="243">
      <c r="A243" s="2">
        <f>IFERROR(__xludf.DUMMYFUNCTION("""COMPUTED_VALUE"""),44453.66666666667)</f>
        <v>44453.66667</v>
      </c>
      <c r="B243" s="1">
        <f>IFERROR(__xludf.DUMMYFUNCTION("""COMPUTED_VALUE"""),96.6)</f>
        <v>96.6</v>
      </c>
    </row>
    <row r="244">
      <c r="A244" s="2">
        <f>IFERROR(__xludf.DUMMYFUNCTION("""COMPUTED_VALUE"""),44454.66666666667)</f>
        <v>44454.66667</v>
      </c>
      <c r="B244" s="1">
        <f>IFERROR(__xludf.DUMMYFUNCTION("""COMPUTED_VALUE"""),96.32)</f>
        <v>96.32</v>
      </c>
    </row>
    <row r="245">
      <c r="A245" s="2">
        <f>IFERROR(__xludf.DUMMYFUNCTION("""COMPUTED_VALUE"""),44455.66666666667)</f>
        <v>44455.66667</v>
      </c>
      <c r="B245" s="1">
        <f>IFERROR(__xludf.DUMMYFUNCTION("""COMPUTED_VALUE"""),96.98)</f>
        <v>96.98</v>
      </c>
    </row>
    <row r="246">
      <c r="A246" s="2">
        <f>IFERROR(__xludf.DUMMYFUNCTION("""COMPUTED_VALUE"""),44456.66666666667)</f>
        <v>44456.66667</v>
      </c>
      <c r="B246" s="1">
        <f>IFERROR(__xludf.DUMMYFUNCTION("""COMPUTED_VALUE"""),96.03)</f>
        <v>96.03</v>
      </c>
    </row>
    <row r="247">
      <c r="A247" s="2">
        <f>IFERROR(__xludf.DUMMYFUNCTION("""COMPUTED_VALUE"""),44459.66666666667)</f>
        <v>44459.66667</v>
      </c>
      <c r="B247" s="1">
        <f>IFERROR(__xludf.DUMMYFUNCTION("""COMPUTED_VALUE"""),94.11)</f>
        <v>94.11</v>
      </c>
    </row>
    <row r="248">
      <c r="A248" s="2">
        <f>IFERROR(__xludf.DUMMYFUNCTION("""COMPUTED_VALUE"""),44460.66666666667)</f>
        <v>44460.66667</v>
      </c>
      <c r="B248" s="1">
        <f>IFERROR(__xludf.DUMMYFUNCTION("""COMPUTED_VALUE"""),94.45)</f>
        <v>94.45</v>
      </c>
    </row>
    <row r="249">
      <c r="A249" s="2">
        <f>IFERROR(__xludf.DUMMYFUNCTION("""COMPUTED_VALUE"""),44461.66666666667)</f>
        <v>44461.66667</v>
      </c>
      <c r="B249" s="1">
        <f>IFERROR(__xludf.DUMMYFUNCTION("""COMPUTED_VALUE"""),94.79)</f>
        <v>94.79</v>
      </c>
    </row>
    <row r="250">
      <c r="A250" s="2">
        <f>IFERROR(__xludf.DUMMYFUNCTION("""COMPUTED_VALUE"""),44462.66666666667)</f>
        <v>44462.66667</v>
      </c>
      <c r="B250" s="1">
        <f>IFERROR(__xludf.DUMMYFUNCTION("""COMPUTED_VALUE"""),95.82)</f>
        <v>95.82</v>
      </c>
    </row>
    <row r="251">
      <c r="A251" s="2">
        <f>IFERROR(__xludf.DUMMYFUNCTION("""COMPUTED_VALUE"""),44463.66666666667)</f>
        <v>44463.66667</v>
      </c>
      <c r="B251" s="1">
        <f>IFERROR(__xludf.DUMMYFUNCTION("""COMPUTED_VALUE"""),95.44)</f>
        <v>95.44</v>
      </c>
    </row>
    <row r="252">
      <c r="A252" s="2">
        <f>IFERROR(__xludf.DUMMYFUNCTION("""COMPUTED_VALUE"""),44466.66666666667)</f>
        <v>44466.66667</v>
      </c>
      <c r="B252" s="1">
        <f>IFERROR(__xludf.DUMMYFUNCTION("""COMPUTED_VALUE"""),96.0)</f>
        <v>96</v>
      </c>
    </row>
    <row r="253">
      <c r="A253" s="2">
        <f>IFERROR(__xludf.DUMMYFUNCTION("""COMPUTED_VALUE"""),44467.66666666667)</f>
        <v>44467.66667</v>
      </c>
      <c r="B253" s="1">
        <f>IFERROR(__xludf.DUMMYFUNCTION("""COMPUTED_VALUE"""),94.56)</f>
        <v>94.56</v>
      </c>
    </row>
    <row r="254">
      <c r="A254" s="2">
        <f>IFERROR(__xludf.DUMMYFUNCTION("""COMPUTED_VALUE"""),44468.66666666667)</f>
        <v>44468.66667</v>
      </c>
      <c r="B254" s="1">
        <f>IFERROR(__xludf.DUMMYFUNCTION("""COMPUTED_VALUE"""),93.56)</f>
        <v>93.56</v>
      </c>
    </row>
    <row r="255">
      <c r="A255" s="2">
        <f>IFERROR(__xludf.DUMMYFUNCTION("""COMPUTED_VALUE"""),44469.66666666667)</f>
        <v>44469.66667</v>
      </c>
      <c r="B255" s="1">
        <f>IFERROR(__xludf.DUMMYFUNCTION("""COMPUTED_VALUE"""),95.24)</f>
        <v>95.24</v>
      </c>
    </row>
    <row r="256">
      <c r="A256" s="2">
        <f>IFERROR(__xludf.DUMMYFUNCTION("""COMPUTED_VALUE"""),44470.66666666667)</f>
        <v>44470.66667</v>
      </c>
      <c r="B256" s="1">
        <f>IFERROR(__xludf.DUMMYFUNCTION("""COMPUTED_VALUE"""),92.02)</f>
        <v>92.02</v>
      </c>
    </row>
    <row r="257">
      <c r="A257" s="2">
        <f>IFERROR(__xludf.DUMMYFUNCTION("""COMPUTED_VALUE"""),44473.66666666667)</f>
        <v>44473.66667</v>
      </c>
      <c r="B257" s="1">
        <f>IFERROR(__xludf.DUMMYFUNCTION("""COMPUTED_VALUE"""),93.16)</f>
        <v>93.16</v>
      </c>
    </row>
    <row r="258">
      <c r="A258" s="2">
        <f>IFERROR(__xludf.DUMMYFUNCTION("""COMPUTED_VALUE"""),44474.66666666667)</f>
        <v>44474.66667</v>
      </c>
      <c r="B258" s="1">
        <f>IFERROR(__xludf.DUMMYFUNCTION("""COMPUTED_VALUE"""),92.77)</f>
        <v>92.77</v>
      </c>
    </row>
    <row r="259">
      <c r="A259" s="2">
        <f>IFERROR(__xludf.DUMMYFUNCTION("""COMPUTED_VALUE"""),44475.66666666667)</f>
        <v>44475.66667</v>
      </c>
      <c r="B259" s="1">
        <f>IFERROR(__xludf.DUMMYFUNCTION("""COMPUTED_VALUE"""),92.21)</f>
        <v>92.21</v>
      </c>
    </row>
    <row r="260">
      <c r="A260" s="2">
        <f>IFERROR(__xludf.DUMMYFUNCTION("""COMPUTED_VALUE"""),44476.66666666667)</f>
        <v>44476.66667</v>
      </c>
      <c r="B260" s="1">
        <f>IFERROR(__xludf.DUMMYFUNCTION("""COMPUTED_VALUE"""),92.85)</f>
        <v>92.85</v>
      </c>
    </row>
    <row r="261">
      <c r="A261" s="2">
        <f>IFERROR(__xludf.DUMMYFUNCTION("""COMPUTED_VALUE"""),44477.66666666667)</f>
        <v>44477.66667</v>
      </c>
      <c r="B261" s="1">
        <f>IFERROR(__xludf.DUMMYFUNCTION("""COMPUTED_VALUE"""),93.56)</f>
        <v>93.56</v>
      </c>
    </row>
    <row r="262">
      <c r="A262" s="2">
        <f>IFERROR(__xludf.DUMMYFUNCTION("""COMPUTED_VALUE"""),44480.66666666667)</f>
        <v>44480.66667</v>
      </c>
      <c r="B262" s="1">
        <f>IFERROR(__xludf.DUMMYFUNCTION("""COMPUTED_VALUE"""),93.45)</f>
        <v>93.45</v>
      </c>
    </row>
    <row r="263">
      <c r="A263" s="2">
        <f>IFERROR(__xludf.DUMMYFUNCTION("""COMPUTED_VALUE"""),44481.66666666667)</f>
        <v>44481.66667</v>
      </c>
      <c r="B263" s="1">
        <f>IFERROR(__xludf.DUMMYFUNCTION("""COMPUTED_VALUE"""),93.05)</f>
        <v>93.05</v>
      </c>
    </row>
    <row r="264">
      <c r="A264" s="2">
        <f>IFERROR(__xludf.DUMMYFUNCTION("""COMPUTED_VALUE"""),44482.66666666667)</f>
        <v>44482.66667</v>
      </c>
      <c r="B264" s="1">
        <f>IFERROR(__xludf.DUMMYFUNCTION("""COMPUTED_VALUE"""),93.15)</f>
        <v>93.15</v>
      </c>
    </row>
    <row r="265">
      <c r="A265" s="2">
        <f>IFERROR(__xludf.DUMMYFUNCTION("""COMPUTED_VALUE"""),44483.66666666667)</f>
        <v>44483.66667</v>
      </c>
      <c r="B265" s="1">
        <f>IFERROR(__xludf.DUMMYFUNCTION("""COMPUTED_VALUE"""),93.75)</f>
        <v>93.75</v>
      </c>
    </row>
    <row r="266">
      <c r="A266" s="2">
        <f>IFERROR(__xludf.DUMMYFUNCTION("""COMPUTED_VALUE"""),44484.66666666667)</f>
        <v>44484.66667</v>
      </c>
      <c r="B266" s="1">
        <f>IFERROR(__xludf.DUMMYFUNCTION("""COMPUTED_VALUE"""),94.37)</f>
        <v>94.37</v>
      </c>
    </row>
    <row r="267">
      <c r="A267" s="2">
        <f>IFERROR(__xludf.DUMMYFUNCTION("""COMPUTED_VALUE"""),44487.66666666667)</f>
        <v>44487.66667</v>
      </c>
      <c r="B267" s="1">
        <f>IFERROR(__xludf.DUMMYFUNCTION("""COMPUTED_VALUE"""),94.64)</f>
        <v>94.64</v>
      </c>
    </row>
    <row r="268">
      <c r="A268" s="2">
        <f>IFERROR(__xludf.DUMMYFUNCTION("""COMPUTED_VALUE"""),44488.66666666667)</f>
        <v>44488.66667</v>
      </c>
      <c r="B268" s="1">
        <f>IFERROR(__xludf.DUMMYFUNCTION("""COMPUTED_VALUE"""),94.53)</f>
        <v>94.53</v>
      </c>
    </row>
    <row r="269">
      <c r="A269" s="2">
        <f>IFERROR(__xludf.DUMMYFUNCTION("""COMPUTED_VALUE"""),44489.66666666667)</f>
        <v>44489.66667</v>
      </c>
      <c r="B269" s="1">
        <f>IFERROR(__xludf.DUMMYFUNCTION("""COMPUTED_VALUE"""),95.2)</f>
        <v>95.2</v>
      </c>
    </row>
    <row r="270">
      <c r="A270" s="2">
        <f>IFERROR(__xludf.DUMMYFUNCTION("""COMPUTED_VALUE"""),44490.66666666667)</f>
        <v>44490.66667</v>
      </c>
      <c r="B270" s="1">
        <f>IFERROR(__xludf.DUMMYFUNCTION("""COMPUTED_VALUE"""),95.09)</f>
        <v>95.09</v>
      </c>
    </row>
    <row r="271">
      <c r="A271" s="2">
        <f>IFERROR(__xludf.DUMMYFUNCTION("""COMPUTED_VALUE"""),44491.66666666667)</f>
        <v>44491.66667</v>
      </c>
      <c r="B271" s="1">
        <f>IFERROR(__xludf.DUMMYFUNCTION("""COMPUTED_VALUE"""),95.01)</f>
        <v>95.01</v>
      </c>
    </row>
    <row r="272">
      <c r="A272" s="2">
        <f>IFERROR(__xludf.DUMMYFUNCTION("""COMPUTED_VALUE"""),44494.66666666667)</f>
        <v>44494.66667</v>
      </c>
      <c r="B272" s="1">
        <f>IFERROR(__xludf.DUMMYFUNCTION("""COMPUTED_VALUE"""),95.36)</f>
        <v>95.36</v>
      </c>
    </row>
    <row r="273">
      <c r="A273" s="2">
        <f>IFERROR(__xludf.DUMMYFUNCTION("""COMPUTED_VALUE"""),44495.66666666667)</f>
        <v>44495.66667</v>
      </c>
      <c r="B273" s="1">
        <f>IFERROR(__xludf.DUMMYFUNCTION("""COMPUTED_VALUE"""),95.48)</f>
        <v>95.48</v>
      </c>
    </row>
    <row r="274">
      <c r="A274" s="2">
        <f>IFERROR(__xludf.DUMMYFUNCTION("""COMPUTED_VALUE"""),44496.66666666667)</f>
        <v>44496.66667</v>
      </c>
      <c r="B274" s="1">
        <f>IFERROR(__xludf.DUMMYFUNCTION("""COMPUTED_VALUE"""),95.52)</f>
        <v>95.52</v>
      </c>
    </row>
    <row r="275">
      <c r="A275" s="2">
        <f>IFERROR(__xludf.DUMMYFUNCTION("""COMPUTED_VALUE"""),44497.66666666667)</f>
        <v>44497.66667</v>
      </c>
      <c r="B275" s="1">
        <f>IFERROR(__xludf.DUMMYFUNCTION("""COMPUTED_VALUE"""),95.22)</f>
        <v>95.22</v>
      </c>
    </row>
    <row r="276">
      <c r="A276" s="2">
        <f>IFERROR(__xludf.DUMMYFUNCTION("""COMPUTED_VALUE"""),44498.66666666667)</f>
        <v>44498.66667</v>
      </c>
      <c r="B276" s="1">
        <f>IFERROR(__xludf.DUMMYFUNCTION("""COMPUTED_VALUE"""),93.72)</f>
        <v>93.72</v>
      </c>
    </row>
    <row r="277">
      <c r="A277" s="2">
        <f>IFERROR(__xludf.DUMMYFUNCTION("""COMPUTED_VALUE"""),44501.66666666667)</f>
        <v>44501.66667</v>
      </c>
      <c r="B277" s="1">
        <f>IFERROR(__xludf.DUMMYFUNCTION("""COMPUTED_VALUE"""),94.59)</f>
        <v>94.59</v>
      </c>
    </row>
    <row r="278">
      <c r="A278" s="2">
        <f>IFERROR(__xludf.DUMMYFUNCTION("""COMPUTED_VALUE"""),44502.66666666667)</f>
        <v>44502.66667</v>
      </c>
      <c r="B278" s="1">
        <f>IFERROR(__xludf.DUMMYFUNCTION("""COMPUTED_VALUE"""),93.97)</f>
        <v>93.97</v>
      </c>
    </row>
    <row r="279">
      <c r="A279" s="2">
        <f>IFERROR(__xludf.DUMMYFUNCTION("""COMPUTED_VALUE"""),44503.66666666667)</f>
        <v>44503.66667</v>
      </c>
      <c r="B279" s="1">
        <f>IFERROR(__xludf.DUMMYFUNCTION("""COMPUTED_VALUE"""),94.83)</f>
        <v>94.83</v>
      </c>
    </row>
    <row r="280">
      <c r="A280" s="2">
        <f>IFERROR(__xludf.DUMMYFUNCTION("""COMPUTED_VALUE"""),44504.66666666667)</f>
        <v>44504.66667</v>
      </c>
      <c r="B280" s="1">
        <f>IFERROR(__xludf.DUMMYFUNCTION("""COMPUTED_VALUE"""),95.29)</f>
        <v>95.29</v>
      </c>
    </row>
    <row r="281">
      <c r="A281" s="2">
        <f>IFERROR(__xludf.DUMMYFUNCTION("""COMPUTED_VALUE"""),44505.66666666667)</f>
        <v>44505.66667</v>
      </c>
      <c r="B281" s="1">
        <f>IFERROR(__xludf.DUMMYFUNCTION("""COMPUTED_VALUE"""),95.78)</f>
        <v>95.78</v>
      </c>
    </row>
    <row r="282">
      <c r="A282" s="2">
        <f>IFERROR(__xludf.DUMMYFUNCTION("""COMPUTED_VALUE"""),44508.66666666667)</f>
        <v>44508.66667</v>
      </c>
      <c r="B282" s="1">
        <f>IFERROR(__xludf.DUMMYFUNCTION("""COMPUTED_VALUE"""),95.84)</f>
        <v>95.84</v>
      </c>
    </row>
    <row r="283">
      <c r="A283" s="2">
        <f>IFERROR(__xludf.DUMMYFUNCTION("""COMPUTED_VALUE"""),44509.66666666667)</f>
        <v>44509.66667</v>
      </c>
      <c r="B283" s="1">
        <f>IFERROR(__xludf.DUMMYFUNCTION("""COMPUTED_VALUE"""),95.62)</f>
        <v>95.62</v>
      </c>
    </row>
    <row r="284">
      <c r="A284" s="2">
        <f>IFERROR(__xludf.DUMMYFUNCTION("""COMPUTED_VALUE"""),44510.66666666667)</f>
        <v>44510.66667</v>
      </c>
      <c r="B284" s="1">
        <f>IFERROR(__xludf.DUMMYFUNCTION("""COMPUTED_VALUE"""),95.45)</f>
        <v>95.45</v>
      </c>
    </row>
    <row r="285">
      <c r="A285" s="2">
        <f>IFERROR(__xludf.DUMMYFUNCTION("""COMPUTED_VALUE"""),44511.66666666667)</f>
        <v>44511.66667</v>
      </c>
      <c r="B285" s="1">
        <f>IFERROR(__xludf.DUMMYFUNCTION("""COMPUTED_VALUE"""),94.91)</f>
        <v>94.91</v>
      </c>
    </row>
    <row r="286">
      <c r="A286" s="2">
        <f>IFERROR(__xludf.DUMMYFUNCTION("""COMPUTED_VALUE"""),44512.66666666667)</f>
        <v>44512.66667</v>
      </c>
      <c r="B286" s="1">
        <f>IFERROR(__xludf.DUMMYFUNCTION("""COMPUTED_VALUE"""),95.71)</f>
        <v>95.71</v>
      </c>
    </row>
    <row r="287">
      <c r="A287" s="2">
        <f>IFERROR(__xludf.DUMMYFUNCTION("""COMPUTED_VALUE"""),44515.66666666667)</f>
        <v>44515.66667</v>
      </c>
      <c r="B287" s="1">
        <f>IFERROR(__xludf.DUMMYFUNCTION("""COMPUTED_VALUE"""),96.2)</f>
        <v>96.2</v>
      </c>
    </row>
    <row r="288">
      <c r="A288" s="2">
        <f>IFERROR(__xludf.DUMMYFUNCTION("""COMPUTED_VALUE"""),44516.66666666667)</f>
        <v>44516.66667</v>
      </c>
      <c r="B288" s="1">
        <f>IFERROR(__xludf.DUMMYFUNCTION("""COMPUTED_VALUE"""),95.54)</f>
        <v>95.54</v>
      </c>
    </row>
    <row r="289">
      <c r="A289" s="2">
        <f>IFERROR(__xludf.DUMMYFUNCTION("""COMPUTED_VALUE"""),44517.66666666667)</f>
        <v>44517.66667</v>
      </c>
      <c r="B289" s="1">
        <f>IFERROR(__xludf.DUMMYFUNCTION("""COMPUTED_VALUE"""),94.91)</f>
        <v>94.91</v>
      </c>
    </row>
    <row r="290">
      <c r="A290" s="2">
        <f>IFERROR(__xludf.DUMMYFUNCTION("""COMPUTED_VALUE"""),44518.66666666667)</f>
        <v>44518.66667</v>
      </c>
      <c r="B290" s="1">
        <f>IFERROR(__xludf.DUMMYFUNCTION("""COMPUTED_VALUE"""),95.09)</f>
        <v>95.09</v>
      </c>
    </row>
    <row r="291">
      <c r="A291" s="2">
        <f>IFERROR(__xludf.DUMMYFUNCTION("""COMPUTED_VALUE"""),44519.66666666667)</f>
        <v>44519.66667</v>
      </c>
      <c r="B291" s="1">
        <f>IFERROR(__xludf.DUMMYFUNCTION("""COMPUTED_VALUE"""),95.28)</f>
        <v>95.28</v>
      </c>
    </row>
    <row r="292">
      <c r="A292" s="2">
        <f>IFERROR(__xludf.DUMMYFUNCTION("""COMPUTED_VALUE"""),44522.66666666667)</f>
        <v>44522.66667</v>
      </c>
      <c r="B292" s="1">
        <f>IFERROR(__xludf.DUMMYFUNCTION("""COMPUTED_VALUE"""),94.85)</f>
        <v>94.85</v>
      </c>
    </row>
    <row r="293">
      <c r="A293" s="2">
        <f>IFERROR(__xludf.DUMMYFUNCTION("""COMPUTED_VALUE"""),44523.66666666667)</f>
        <v>44523.66667</v>
      </c>
      <c r="B293" s="1">
        <f>IFERROR(__xludf.DUMMYFUNCTION("""COMPUTED_VALUE"""),95.7)</f>
        <v>95.7</v>
      </c>
    </row>
    <row r="294">
      <c r="A294" s="2">
        <f>IFERROR(__xludf.DUMMYFUNCTION("""COMPUTED_VALUE"""),44524.66666666667)</f>
        <v>44524.66667</v>
      </c>
      <c r="B294" s="1">
        <f>IFERROR(__xludf.DUMMYFUNCTION("""COMPUTED_VALUE"""),95.22)</f>
        <v>95.22</v>
      </c>
    </row>
    <row r="295">
      <c r="A295" s="2">
        <f>IFERROR(__xludf.DUMMYFUNCTION("""COMPUTED_VALUE"""),44525.66666666667)</f>
        <v>44525.66667</v>
      </c>
      <c r="B295" s="1">
        <f>IFERROR(__xludf.DUMMYFUNCTION("""COMPUTED_VALUE"""),95.4)</f>
        <v>95.4</v>
      </c>
    </row>
    <row r="296">
      <c r="A296" s="2">
        <f>IFERROR(__xludf.DUMMYFUNCTION("""COMPUTED_VALUE"""),44526.66666666667)</f>
        <v>44526.66667</v>
      </c>
      <c r="B296" s="1">
        <f>IFERROR(__xludf.DUMMYFUNCTION("""COMPUTED_VALUE"""),93.76)</f>
        <v>93.76</v>
      </c>
    </row>
    <row r="297">
      <c r="A297" s="2">
        <f>IFERROR(__xludf.DUMMYFUNCTION("""COMPUTED_VALUE"""),44529.66666666667)</f>
        <v>44529.66667</v>
      </c>
      <c r="B297" s="1">
        <f>IFERROR(__xludf.DUMMYFUNCTION("""COMPUTED_VALUE"""),93.22)</f>
        <v>93.22</v>
      </c>
    </row>
    <row r="298">
      <c r="A298" s="2">
        <f>IFERROR(__xludf.DUMMYFUNCTION("""COMPUTED_VALUE"""),44530.66666666667)</f>
        <v>44530.66667</v>
      </c>
      <c r="B298" s="1">
        <f>IFERROR(__xludf.DUMMYFUNCTION("""COMPUTED_VALUE"""),93.65)</f>
        <v>93.65</v>
      </c>
    </row>
    <row r="299">
      <c r="A299" s="2">
        <f>IFERROR(__xludf.DUMMYFUNCTION("""COMPUTED_VALUE"""),44531.66666666667)</f>
        <v>44531.66667</v>
      </c>
      <c r="B299" s="1">
        <f>IFERROR(__xludf.DUMMYFUNCTION("""COMPUTED_VALUE"""),93.23)</f>
        <v>93.23</v>
      </c>
    </row>
    <row r="300">
      <c r="A300" s="2">
        <f>IFERROR(__xludf.DUMMYFUNCTION("""COMPUTED_VALUE"""),44532.66666666667)</f>
        <v>44532.66667</v>
      </c>
      <c r="B300" s="1">
        <f>IFERROR(__xludf.DUMMYFUNCTION("""COMPUTED_VALUE"""),93.02)</f>
        <v>93.02</v>
      </c>
    </row>
    <row r="301">
      <c r="A301" s="2">
        <f>IFERROR(__xludf.DUMMYFUNCTION("""COMPUTED_VALUE"""),44533.66666666667)</f>
        <v>44533.66667</v>
      </c>
      <c r="B301" s="1">
        <f>IFERROR(__xludf.DUMMYFUNCTION("""COMPUTED_VALUE"""),93.2)</f>
        <v>93.2</v>
      </c>
    </row>
    <row r="302">
      <c r="A302" s="2">
        <f>IFERROR(__xludf.DUMMYFUNCTION("""COMPUTED_VALUE"""),44536.66666666667)</f>
        <v>44536.66667</v>
      </c>
      <c r="B302" s="1">
        <f>IFERROR(__xludf.DUMMYFUNCTION("""COMPUTED_VALUE"""),93.35)</f>
        <v>93.35</v>
      </c>
    </row>
    <row r="303">
      <c r="A303" s="2">
        <f>IFERROR(__xludf.DUMMYFUNCTION("""COMPUTED_VALUE"""),44537.66666666667)</f>
        <v>44537.66667</v>
      </c>
      <c r="B303" s="1">
        <f>IFERROR(__xludf.DUMMYFUNCTION("""COMPUTED_VALUE"""),93.99)</f>
        <v>93.99</v>
      </c>
    </row>
    <row r="304">
      <c r="A304" s="2">
        <f>IFERROR(__xludf.DUMMYFUNCTION("""COMPUTED_VALUE"""),44538.66666666667)</f>
        <v>44538.66667</v>
      </c>
      <c r="B304" s="1">
        <f>IFERROR(__xludf.DUMMYFUNCTION("""COMPUTED_VALUE"""),95.23)</f>
        <v>95.23</v>
      </c>
    </row>
    <row r="305">
      <c r="A305" s="2">
        <f>IFERROR(__xludf.DUMMYFUNCTION("""COMPUTED_VALUE"""),44539.66666666667)</f>
        <v>44539.66667</v>
      </c>
      <c r="B305" s="1">
        <f>IFERROR(__xludf.DUMMYFUNCTION("""COMPUTED_VALUE"""),94.94)</f>
        <v>94.94</v>
      </c>
    </row>
    <row r="306">
      <c r="A306" s="2">
        <f>IFERROR(__xludf.DUMMYFUNCTION("""COMPUTED_VALUE"""),44540.66666666667)</f>
        <v>44540.66667</v>
      </c>
      <c r="B306" s="1">
        <f>IFERROR(__xludf.DUMMYFUNCTION("""COMPUTED_VALUE"""),94.56)</f>
        <v>94.56</v>
      </c>
    </row>
    <row r="307">
      <c r="A307" s="2">
        <f>IFERROR(__xludf.DUMMYFUNCTION("""COMPUTED_VALUE"""),44543.66666666667)</f>
        <v>44543.66667</v>
      </c>
      <c r="B307" s="1">
        <f>IFERROR(__xludf.DUMMYFUNCTION("""COMPUTED_VALUE"""),95.08)</f>
        <v>95.08</v>
      </c>
    </row>
    <row r="308">
      <c r="A308" s="2">
        <f>IFERROR(__xludf.DUMMYFUNCTION("""COMPUTED_VALUE"""),44544.66666666667)</f>
        <v>44544.66667</v>
      </c>
      <c r="B308" s="1">
        <f>IFERROR(__xludf.DUMMYFUNCTION("""COMPUTED_VALUE"""),95.02)</f>
        <v>95.02</v>
      </c>
    </row>
    <row r="309">
      <c r="A309" s="2">
        <f>IFERROR(__xludf.DUMMYFUNCTION("""COMPUTED_VALUE"""),44545.66666666667)</f>
        <v>44545.66667</v>
      </c>
      <c r="B309" s="1">
        <f>IFERROR(__xludf.DUMMYFUNCTION("""COMPUTED_VALUE"""),94.18)</f>
        <v>94.18</v>
      </c>
    </row>
    <row r="310">
      <c r="A310" s="2">
        <f>IFERROR(__xludf.DUMMYFUNCTION("""COMPUTED_VALUE"""),44546.66666666667)</f>
        <v>44546.66667</v>
      </c>
      <c r="B310" s="1">
        <f>IFERROR(__xludf.DUMMYFUNCTION("""COMPUTED_VALUE"""),93.89)</f>
        <v>93.89</v>
      </c>
    </row>
    <row r="311">
      <c r="A311" s="2">
        <f>IFERROR(__xludf.DUMMYFUNCTION("""COMPUTED_VALUE"""),44547.66666666667)</f>
        <v>44547.66667</v>
      </c>
      <c r="B311" s="1">
        <f>IFERROR(__xludf.DUMMYFUNCTION("""COMPUTED_VALUE"""),94.11)</f>
        <v>94.11</v>
      </c>
    </row>
    <row r="312">
      <c r="A312" s="2">
        <f>IFERROR(__xludf.DUMMYFUNCTION("""COMPUTED_VALUE"""),44550.66666666667)</f>
        <v>44550.66667</v>
      </c>
      <c r="B312" s="1">
        <f>IFERROR(__xludf.DUMMYFUNCTION("""COMPUTED_VALUE"""),93.9)</f>
        <v>93.9</v>
      </c>
    </row>
    <row r="313">
      <c r="A313" s="2">
        <f>IFERROR(__xludf.DUMMYFUNCTION("""COMPUTED_VALUE"""),44551.66666666667)</f>
        <v>44551.66667</v>
      </c>
      <c r="B313" s="1">
        <f>IFERROR(__xludf.DUMMYFUNCTION("""COMPUTED_VALUE"""),94.63)</f>
        <v>94.63</v>
      </c>
    </row>
    <row r="314">
      <c r="A314" s="2">
        <f>IFERROR(__xludf.DUMMYFUNCTION("""COMPUTED_VALUE"""),44552.66666666667)</f>
        <v>44552.66667</v>
      </c>
      <c r="B314" s="1">
        <f>IFERROR(__xludf.DUMMYFUNCTION("""COMPUTED_VALUE"""),94.71)</f>
        <v>94.71</v>
      </c>
    </row>
    <row r="315">
      <c r="A315" s="2">
        <f>IFERROR(__xludf.DUMMYFUNCTION("""COMPUTED_VALUE"""),44553.66666666667)</f>
        <v>44553.66667</v>
      </c>
      <c r="B315" s="1">
        <f>IFERROR(__xludf.DUMMYFUNCTION("""COMPUTED_VALUE"""),95.04)</f>
        <v>95.04</v>
      </c>
    </row>
    <row r="316">
      <c r="A316" s="2">
        <f>IFERROR(__xludf.DUMMYFUNCTION("""COMPUTED_VALUE"""),44554.59027777778)</f>
        <v>44554.59028</v>
      </c>
      <c r="B316" s="1">
        <f>IFERROR(__xludf.DUMMYFUNCTION("""COMPUTED_VALUE"""),95.51)</f>
        <v>95.51</v>
      </c>
    </row>
    <row r="317">
      <c r="A317" s="2">
        <f>IFERROR(__xludf.DUMMYFUNCTION("""COMPUTED_VALUE"""),44559.66666666667)</f>
        <v>44559.66667</v>
      </c>
      <c r="B317" s="1">
        <f>IFERROR(__xludf.DUMMYFUNCTION("""COMPUTED_VALUE"""),96.64)</f>
        <v>96.64</v>
      </c>
    </row>
    <row r="318">
      <c r="A318" s="2">
        <f>IFERROR(__xludf.DUMMYFUNCTION("""COMPUTED_VALUE"""),44560.66666666667)</f>
        <v>44560.66667</v>
      </c>
      <c r="B318" s="1">
        <f>IFERROR(__xludf.DUMMYFUNCTION("""COMPUTED_VALUE"""),96.76)</f>
        <v>96.76</v>
      </c>
    </row>
    <row r="319">
      <c r="A319" s="2">
        <f>IFERROR(__xludf.DUMMYFUNCTION("""COMPUTED_VALUE"""),44561.59027777778)</f>
        <v>44561.59028</v>
      </c>
      <c r="B319" s="1">
        <f>IFERROR(__xludf.DUMMYFUNCTION("""COMPUTED_VALUE"""),95.87)</f>
        <v>95.87</v>
      </c>
    </row>
    <row r="320">
      <c r="A320" s="2">
        <f>IFERROR(__xludf.DUMMYFUNCTION("""COMPUTED_VALUE"""),44565.66666666667)</f>
        <v>44565.66667</v>
      </c>
      <c r="B320" s="1">
        <f>IFERROR(__xludf.DUMMYFUNCTION("""COMPUTED_VALUE"""),97.13)</f>
        <v>97.13</v>
      </c>
    </row>
    <row r="321">
      <c r="A321" s="2">
        <f>IFERROR(__xludf.DUMMYFUNCTION("""COMPUTED_VALUE"""),44566.66666666667)</f>
        <v>44566.66667</v>
      </c>
      <c r="B321" s="1">
        <f>IFERROR(__xludf.DUMMYFUNCTION("""COMPUTED_VALUE"""),96.72)</f>
        <v>96.72</v>
      </c>
    </row>
    <row r="322">
      <c r="A322" s="2">
        <f>IFERROR(__xludf.DUMMYFUNCTION("""COMPUTED_VALUE"""),44567.66666666667)</f>
        <v>44567.66667</v>
      </c>
      <c r="B322" s="1">
        <f>IFERROR(__xludf.DUMMYFUNCTION("""COMPUTED_VALUE"""),94.19)</f>
        <v>94.19</v>
      </c>
    </row>
    <row r="323">
      <c r="A323" s="2">
        <f>IFERROR(__xludf.DUMMYFUNCTION("""COMPUTED_VALUE"""),44568.66666666667)</f>
        <v>44568.66667</v>
      </c>
      <c r="B323" s="1">
        <f>IFERROR(__xludf.DUMMYFUNCTION("""COMPUTED_VALUE"""),95.3)</f>
        <v>95.3</v>
      </c>
    </row>
    <row r="324">
      <c r="A324" s="2">
        <f>IFERROR(__xludf.DUMMYFUNCTION("""COMPUTED_VALUE"""),44571.66666666667)</f>
        <v>44571.66667</v>
      </c>
      <c r="B324" s="1">
        <f>IFERROR(__xludf.DUMMYFUNCTION("""COMPUTED_VALUE"""),95.2)</f>
        <v>95.2</v>
      </c>
    </row>
    <row r="325">
      <c r="A325" s="2">
        <f>IFERROR(__xludf.DUMMYFUNCTION("""COMPUTED_VALUE"""),44572.66666666667)</f>
        <v>44572.66667</v>
      </c>
      <c r="B325" s="1">
        <f>IFERROR(__xludf.DUMMYFUNCTION("""COMPUTED_VALUE"""),94.51)</f>
        <v>94.51</v>
      </c>
    </row>
    <row r="326">
      <c r="A326" s="2">
        <f>IFERROR(__xludf.DUMMYFUNCTION("""COMPUTED_VALUE"""),44573.66666666667)</f>
        <v>44573.66667</v>
      </c>
      <c r="B326" s="1">
        <f>IFERROR(__xludf.DUMMYFUNCTION("""COMPUTED_VALUE"""),95.03)</f>
        <v>95.03</v>
      </c>
    </row>
    <row r="327">
      <c r="A327" s="2">
        <f>IFERROR(__xludf.DUMMYFUNCTION("""COMPUTED_VALUE"""),44574.66666666667)</f>
        <v>44574.66667</v>
      </c>
      <c r="B327" s="1">
        <f>IFERROR(__xludf.DUMMYFUNCTION("""COMPUTED_VALUE"""),95.57)</f>
        <v>95.57</v>
      </c>
    </row>
    <row r="328">
      <c r="A328" s="2">
        <f>IFERROR(__xludf.DUMMYFUNCTION("""COMPUTED_VALUE"""),44575.66666666667)</f>
        <v>44575.66667</v>
      </c>
      <c r="B328" s="1">
        <f>IFERROR(__xludf.DUMMYFUNCTION("""COMPUTED_VALUE"""),94.55)</f>
        <v>94.55</v>
      </c>
    </row>
    <row r="329">
      <c r="A329" s="2">
        <f>IFERROR(__xludf.DUMMYFUNCTION("""COMPUTED_VALUE"""),44578.66666666667)</f>
        <v>44578.66667</v>
      </c>
      <c r="B329" s="1">
        <f>IFERROR(__xludf.DUMMYFUNCTION("""COMPUTED_VALUE"""),94.84)</f>
        <v>94.84</v>
      </c>
    </row>
    <row r="330">
      <c r="A330" s="2">
        <f>IFERROR(__xludf.DUMMYFUNCTION("""COMPUTED_VALUE"""),44579.66666666667)</f>
        <v>44579.66667</v>
      </c>
      <c r="B330" s="1">
        <f>IFERROR(__xludf.DUMMYFUNCTION("""COMPUTED_VALUE"""),94.7)</f>
        <v>94.7</v>
      </c>
    </row>
    <row r="331">
      <c r="A331" s="2">
        <f>IFERROR(__xludf.DUMMYFUNCTION("""COMPUTED_VALUE"""),44580.66666666667)</f>
        <v>44580.66667</v>
      </c>
      <c r="B331" s="1">
        <f>IFERROR(__xludf.DUMMYFUNCTION("""COMPUTED_VALUE"""),93.82)</f>
        <v>93.82</v>
      </c>
    </row>
    <row r="332">
      <c r="A332" s="2">
        <f>IFERROR(__xludf.DUMMYFUNCTION("""COMPUTED_VALUE"""),44581.66666666667)</f>
        <v>44581.66667</v>
      </c>
      <c r="B332" s="1">
        <f>IFERROR(__xludf.DUMMYFUNCTION("""COMPUTED_VALUE"""),93.94)</f>
        <v>93.94</v>
      </c>
    </row>
    <row r="333">
      <c r="A333" s="2">
        <f>IFERROR(__xludf.DUMMYFUNCTION("""COMPUTED_VALUE"""),44582.66666666667)</f>
        <v>44582.66667</v>
      </c>
      <c r="B333" s="1">
        <f>IFERROR(__xludf.DUMMYFUNCTION("""COMPUTED_VALUE"""),91.87)</f>
        <v>91.87</v>
      </c>
    </row>
    <row r="334">
      <c r="A334" s="2">
        <f>IFERROR(__xludf.DUMMYFUNCTION("""COMPUTED_VALUE"""),44585.66666666667)</f>
        <v>44585.66667</v>
      </c>
      <c r="B334" s="1">
        <f>IFERROR(__xludf.DUMMYFUNCTION("""COMPUTED_VALUE"""),91.32)</f>
        <v>91.32</v>
      </c>
    </row>
    <row r="335">
      <c r="A335" s="2">
        <f>IFERROR(__xludf.DUMMYFUNCTION("""COMPUTED_VALUE"""),44586.66666666667)</f>
        <v>44586.66667</v>
      </c>
      <c r="B335" s="1">
        <f>IFERROR(__xludf.DUMMYFUNCTION("""COMPUTED_VALUE"""),89.04)</f>
        <v>89.04</v>
      </c>
    </row>
    <row r="336">
      <c r="A336" s="2">
        <f>IFERROR(__xludf.DUMMYFUNCTION("""COMPUTED_VALUE"""),44588.66666666667)</f>
        <v>44588.66667</v>
      </c>
      <c r="B336" s="1">
        <f>IFERROR(__xludf.DUMMYFUNCTION("""COMPUTED_VALUE"""),87.4)</f>
        <v>87.4</v>
      </c>
    </row>
    <row r="337">
      <c r="A337" s="2">
        <f>IFERROR(__xludf.DUMMYFUNCTION("""COMPUTED_VALUE"""),44589.66666666667)</f>
        <v>44589.66667</v>
      </c>
      <c r="B337" s="1">
        <f>IFERROR(__xludf.DUMMYFUNCTION("""COMPUTED_VALUE"""),89.36)</f>
        <v>89.36</v>
      </c>
    </row>
    <row r="338">
      <c r="A338" s="2">
        <f>IFERROR(__xludf.DUMMYFUNCTION("""COMPUTED_VALUE"""),44592.66666666667)</f>
        <v>44592.66667</v>
      </c>
      <c r="B338" s="1">
        <f>IFERROR(__xludf.DUMMYFUNCTION("""COMPUTED_VALUE"""),89.11)</f>
        <v>89.11</v>
      </c>
    </row>
    <row r="339">
      <c r="A339" s="2">
        <f>IFERROR(__xludf.DUMMYFUNCTION("""COMPUTED_VALUE"""),44593.66666666667)</f>
        <v>44593.66667</v>
      </c>
      <c r="B339" s="1">
        <f>IFERROR(__xludf.DUMMYFUNCTION("""COMPUTED_VALUE"""),89.56)</f>
        <v>89.56</v>
      </c>
    </row>
    <row r="340">
      <c r="A340" s="2">
        <f>IFERROR(__xludf.DUMMYFUNCTION("""COMPUTED_VALUE"""),44594.66666666667)</f>
        <v>44594.66667</v>
      </c>
      <c r="B340" s="1">
        <f>IFERROR(__xludf.DUMMYFUNCTION("""COMPUTED_VALUE"""),90.68)</f>
        <v>90.68</v>
      </c>
    </row>
    <row r="341">
      <c r="A341" s="2">
        <f>IFERROR(__xludf.DUMMYFUNCTION("""COMPUTED_VALUE"""),44595.66666666667)</f>
        <v>44595.66667</v>
      </c>
      <c r="B341" s="1">
        <f>IFERROR(__xludf.DUMMYFUNCTION("""COMPUTED_VALUE"""),90.53)</f>
        <v>90.53</v>
      </c>
    </row>
    <row r="342">
      <c r="A342" s="2">
        <f>IFERROR(__xludf.DUMMYFUNCTION("""COMPUTED_VALUE"""),44596.66666666667)</f>
        <v>44596.66667</v>
      </c>
      <c r="B342" s="1">
        <f>IFERROR(__xludf.DUMMYFUNCTION("""COMPUTED_VALUE"""),91.09)</f>
        <v>91.09</v>
      </c>
    </row>
    <row r="343">
      <c r="A343" s="2">
        <f>IFERROR(__xludf.DUMMYFUNCTION("""COMPUTED_VALUE"""),44599.66666666667)</f>
        <v>44599.66667</v>
      </c>
      <c r="B343" s="1">
        <f>IFERROR(__xludf.DUMMYFUNCTION("""COMPUTED_VALUE"""),90.94)</f>
        <v>90.94</v>
      </c>
    </row>
    <row r="344">
      <c r="A344" s="2">
        <f>IFERROR(__xludf.DUMMYFUNCTION("""COMPUTED_VALUE"""),44600.66666666667)</f>
        <v>44600.66667</v>
      </c>
      <c r="B344" s="1">
        <f>IFERROR(__xludf.DUMMYFUNCTION("""COMPUTED_VALUE"""),91.88)</f>
        <v>91.88</v>
      </c>
    </row>
    <row r="345">
      <c r="A345" s="2">
        <f>IFERROR(__xludf.DUMMYFUNCTION("""COMPUTED_VALUE"""),44601.66666666667)</f>
        <v>44601.66667</v>
      </c>
      <c r="B345" s="1">
        <f>IFERROR(__xludf.DUMMYFUNCTION("""COMPUTED_VALUE"""),92.89)</f>
        <v>92.89</v>
      </c>
    </row>
    <row r="346">
      <c r="A346" s="2">
        <f>IFERROR(__xludf.DUMMYFUNCTION("""COMPUTED_VALUE"""),44602.66666666667)</f>
        <v>44602.66667</v>
      </c>
      <c r="B346" s="1">
        <f>IFERROR(__xludf.DUMMYFUNCTION("""COMPUTED_VALUE"""),93.18)</f>
        <v>93.18</v>
      </c>
    </row>
    <row r="347">
      <c r="A347" s="2">
        <f>IFERROR(__xludf.DUMMYFUNCTION("""COMPUTED_VALUE"""),44603.66666666667)</f>
        <v>44603.66667</v>
      </c>
      <c r="B347" s="1">
        <f>IFERROR(__xludf.DUMMYFUNCTION("""COMPUTED_VALUE"""),92.25)</f>
        <v>92.25</v>
      </c>
    </row>
    <row r="348">
      <c r="A348" s="2">
        <f>IFERROR(__xludf.DUMMYFUNCTION("""COMPUTED_VALUE"""),44606.66666666667)</f>
        <v>44606.66667</v>
      </c>
      <c r="B348" s="1">
        <f>IFERROR(__xludf.DUMMYFUNCTION("""COMPUTED_VALUE"""),92.48)</f>
        <v>92.48</v>
      </c>
    </row>
    <row r="349">
      <c r="A349" s="2">
        <f>IFERROR(__xludf.DUMMYFUNCTION("""COMPUTED_VALUE"""),44607.66666666667)</f>
        <v>44607.66667</v>
      </c>
      <c r="B349" s="1">
        <f>IFERROR(__xludf.DUMMYFUNCTION("""COMPUTED_VALUE"""),92.11)</f>
        <v>92.11</v>
      </c>
    </row>
    <row r="350">
      <c r="A350" s="2">
        <f>IFERROR(__xludf.DUMMYFUNCTION("""COMPUTED_VALUE"""),44608.66666666667)</f>
        <v>44608.66667</v>
      </c>
      <c r="B350" s="1">
        <f>IFERROR(__xludf.DUMMYFUNCTION("""COMPUTED_VALUE"""),93.25)</f>
        <v>93.25</v>
      </c>
    </row>
    <row r="351">
      <c r="A351" s="2">
        <f>IFERROR(__xludf.DUMMYFUNCTION("""COMPUTED_VALUE"""),44609.66666666667)</f>
        <v>44609.66667</v>
      </c>
      <c r="B351" s="1">
        <f>IFERROR(__xludf.DUMMYFUNCTION("""COMPUTED_VALUE"""),93.4)</f>
        <v>93.4</v>
      </c>
    </row>
    <row r="352">
      <c r="A352" s="2">
        <f>IFERROR(__xludf.DUMMYFUNCTION("""COMPUTED_VALUE"""),44610.66666666667)</f>
        <v>44610.66667</v>
      </c>
      <c r="B352" s="1">
        <f>IFERROR(__xludf.DUMMYFUNCTION("""COMPUTED_VALUE"""),92.49)</f>
        <v>92.49</v>
      </c>
    </row>
    <row r="353">
      <c r="A353" s="2">
        <f>IFERROR(__xludf.DUMMYFUNCTION("""COMPUTED_VALUE"""),44613.66666666667)</f>
        <v>44613.66667</v>
      </c>
      <c r="B353" s="1">
        <f>IFERROR(__xludf.DUMMYFUNCTION("""COMPUTED_VALUE"""),92.61)</f>
        <v>92.61</v>
      </c>
    </row>
    <row r="354">
      <c r="A354" s="2">
        <f>IFERROR(__xludf.DUMMYFUNCTION("""COMPUTED_VALUE"""),44614.66666666667)</f>
        <v>44614.66667</v>
      </c>
      <c r="B354" s="1">
        <f>IFERROR(__xludf.DUMMYFUNCTION("""COMPUTED_VALUE"""),91.7)</f>
        <v>91.7</v>
      </c>
    </row>
    <row r="355">
      <c r="A355" s="2">
        <f>IFERROR(__xludf.DUMMYFUNCTION("""COMPUTED_VALUE"""),44615.66666666667)</f>
        <v>44615.66667</v>
      </c>
      <c r="B355" s="1">
        <f>IFERROR(__xludf.DUMMYFUNCTION("""COMPUTED_VALUE"""),92.24)</f>
        <v>92.24</v>
      </c>
    </row>
    <row r="356">
      <c r="A356" s="2">
        <f>IFERROR(__xludf.DUMMYFUNCTION("""COMPUTED_VALUE"""),44616.66666666667)</f>
        <v>44616.66667</v>
      </c>
      <c r="B356" s="1">
        <f>IFERROR(__xludf.DUMMYFUNCTION("""COMPUTED_VALUE"""),90.06)</f>
        <v>90.06</v>
      </c>
    </row>
    <row r="357">
      <c r="A357" s="2">
        <f>IFERROR(__xludf.DUMMYFUNCTION("""COMPUTED_VALUE"""),44617.66666666667)</f>
        <v>44617.66667</v>
      </c>
      <c r="B357" s="1">
        <f>IFERROR(__xludf.DUMMYFUNCTION("""COMPUTED_VALUE"""),90.33)</f>
        <v>90.33</v>
      </c>
    </row>
    <row r="358">
      <c r="A358" s="2">
        <f>IFERROR(__xludf.DUMMYFUNCTION("""COMPUTED_VALUE"""),44620.66666666667)</f>
        <v>44620.66667</v>
      </c>
      <c r="B358" s="1">
        <f>IFERROR(__xludf.DUMMYFUNCTION("""COMPUTED_VALUE"""),91.0)</f>
        <v>91</v>
      </c>
    </row>
    <row r="359">
      <c r="A359" s="2">
        <f>IFERROR(__xludf.DUMMYFUNCTION("""COMPUTED_VALUE"""),44621.66666666667)</f>
        <v>44621.66667</v>
      </c>
      <c r="B359" s="1">
        <f>IFERROR(__xludf.DUMMYFUNCTION("""COMPUTED_VALUE"""),91.56)</f>
        <v>91.56</v>
      </c>
    </row>
    <row r="360">
      <c r="A360" s="2">
        <f>IFERROR(__xludf.DUMMYFUNCTION("""COMPUTED_VALUE"""),44622.66666666667)</f>
        <v>44622.66667</v>
      </c>
      <c r="B360" s="1">
        <f>IFERROR(__xludf.DUMMYFUNCTION("""COMPUTED_VALUE"""),91.98)</f>
        <v>91.98</v>
      </c>
    </row>
    <row r="361">
      <c r="A361" s="2">
        <f>IFERROR(__xludf.DUMMYFUNCTION("""COMPUTED_VALUE"""),44623.66666666667)</f>
        <v>44623.66667</v>
      </c>
      <c r="B361" s="1">
        <f>IFERROR(__xludf.DUMMYFUNCTION("""COMPUTED_VALUE"""),92.86)</f>
        <v>92.86</v>
      </c>
    </row>
    <row r="362">
      <c r="A362" s="2">
        <f>IFERROR(__xludf.DUMMYFUNCTION("""COMPUTED_VALUE"""),44624.66666666667)</f>
        <v>44624.66667</v>
      </c>
      <c r="B362" s="1">
        <f>IFERROR(__xludf.DUMMYFUNCTION("""COMPUTED_VALUE"""),91.92)</f>
        <v>91.92</v>
      </c>
    </row>
    <row r="363">
      <c r="A363" s="2">
        <f>IFERROR(__xludf.DUMMYFUNCTION("""COMPUTED_VALUE"""),44627.66666666667)</f>
        <v>44627.66667</v>
      </c>
      <c r="B363" s="1">
        <f>IFERROR(__xludf.DUMMYFUNCTION("""COMPUTED_VALUE"""),90.95)</f>
        <v>90.95</v>
      </c>
    </row>
    <row r="364">
      <c r="A364" s="2">
        <f>IFERROR(__xludf.DUMMYFUNCTION("""COMPUTED_VALUE"""),44628.66666666667)</f>
        <v>44628.66667</v>
      </c>
      <c r="B364" s="1">
        <f>IFERROR(__xludf.DUMMYFUNCTION("""COMPUTED_VALUE"""),90.26)</f>
        <v>90.26</v>
      </c>
    </row>
    <row r="365">
      <c r="A365" s="2">
        <f>IFERROR(__xludf.DUMMYFUNCTION("""COMPUTED_VALUE"""),44629.66666666667)</f>
        <v>44629.66667</v>
      </c>
      <c r="B365" s="1">
        <f>IFERROR(__xludf.DUMMYFUNCTION("""COMPUTED_VALUE"""),91.24)</f>
        <v>91.24</v>
      </c>
    </row>
    <row r="366">
      <c r="A366" s="2">
        <f>IFERROR(__xludf.DUMMYFUNCTION("""COMPUTED_VALUE"""),44630.66666666667)</f>
        <v>44630.66667</v>
      </c>
      <c r="B366" s="1">
        <f>IFERROR(__xludf.DUMMYFUNCTION("""COMPUTED_VALUE"""),92.38)</f>
        <v>92.38</v>
      </c>
    </row>
    <row r="367">
      <c r="A367" s="2">
        <f>IFERROR(__xludf.DUMMYFUNCTION("""COMPUTED_VALUE"""),44631.66666666667)</f>
        <v>44631.66667</v>
      </c>
      <c r="B367" s="1">
        <f>IFERROR(__xludf.DUMMYFUNCTION("""COMPUTED_VALUE"""),91.48)</f>
        <v>91.48</v>
      </c>
    </row>
    <row r="368">
      <c r="A368" s="2">
        <f>IFERROR(__xludf.DUMMYFUNCTION("""COMPUTED_VALUE"""),44634.66666666667)</f>
        <v>44634.66667</v>
      </c>
      <c r="B368" s="1">
        <f>IFERROR(__xludf.DUMMYFUNCTION("""COMPUTED_VALUE"""),92.6)</f>
        <v>92.6</v>
      </c>
    </row>
    <row r="369">
      <c r="A369" s="2">
        <f>IFERROR(__xludf.DUMMYFUNCTION("""COMPUTED_VALUE"""),44635.66666666667)</f>
        <v>44635.66667</v>
      </c>
      <c r="B369" s="1">
        <f>IFERROR(__xludf.DUMMYFUNCTION("""COMPUTED_VALUE"""),91.95)</f>
        <v>91.95</v>
      </c>
    </row>
    <row r="370">
      <c r="A370" s="2">
        <f>IFERROR(__xludf.DUMMYFUNCTION("""COMPUTED_VALUE"""),44636.66666666667)</f>
        <v>44636.66667</v>
      </c>
      <c r="B370" s="1">
        <f>IFERROR(__xludf.DUMMYFUNCTION("""COMPUTED_VALUE"""),92.94)</f>
        <v>92.94</v>
      </c>
    </row>
    <row r="371">
      <c r="A371" s="2">
        <f>IFERROR(__xludf.DUMMYFUNCTION("""COMPUTED_VALUE"""),44637.66666666667)</f>
        <v>44637.66667</v>
      </c>
      <c r="B371" s="1">
        <f>IFERROR(__xludf.DUMMYFUNCTION("""COMPUTED_VALUE"""),93.97)</f>
        <v>93.97</v>
      </c>
    </row>
    <row r="372">
      <c r="A372" s="2">
        <f>IFERROR(__xludf.DUMMYFUNCTION("""COMPUTED_VALUE"""),44638.66666666667)</f>
        <v>44638.66667</v>
      </c>
      <c r="B372" s="1">
        <f>IFERROR(__xludf.DUMMYFUNCTION("""COMPUTED_VALUE"""),94.21)</f>
        <v>94.21</v>
      </c>
    </row>
    <row r="373">
      <c r="A373" s="2">
        <f>IFERROR(__xludf.DUMMYFUNCTION("""COMPUTED_VALUE"""),44641.66666666667)</f>
        <v>44641.66667</v>
      </c>
      <c r="B373" s="1">
        <f>IFERROR(__xludf.DUMMYFUNCTION("""COMPUTED_VALUE"""),94.29)</f>
        <v>94.29</v>
      </c>
    </row>
    <row r="374">
      <c r="A374" s="2">
        <f>IFERROR(__xludf.DUMMYFUNCTION("""COMPUTED_VALUE"""),44642.66666666667)</f>
        <v>44642.66667</v>
      </c>
      <c r="B374" s="1">
        <f>IFERROR(__xludf.DUMMYFUNCTION("""COMPUTED_VALUE"""),95.14)</f>
        <v>95.14</v>
      </c>
    </row>
    <row r="375">
      <c r="A375" s="2">
        <f>IFERROR(__xludf.DUMMYFUNCTION("""COMPUTED_VALUE"""),44643.66666666667)</f>
        <v>44643.66667</v>
      </c>
      <c r="B375" s="1">
        <f>IFERROR(__xludf.DUMMYFUNCTION("""COMPUTED_VALUE"""),95.64)</f>
        <v>95.64</v>
      </c>
    </row>
    <row r="376">
      <c r="A376" s="2">
        <f>IFERROR(__xludf.DUMMYFUNCTION("""COMPUTED_VALUE"""),44644.66666666667)</f>
        <v>44644.66667</v>
      </c>
      <c r="B376" s="1">
        <f>IFERROR(__xludf.DUMMYFUNCTION("""COMPUTED_VALUE"""),95.75)</f>
        <v>95.75</v>
      </c>
    </row>
    <row r="377">
      <c r="A377" s="2">
        <f>IFERROR(__xludf.DUMMYFUNCTION("""COMPUTED_VALUE"""),44645.66666666667)</f>
        <v>44645.66667</v>
      </c>
      <c r="B377" s="1">
        <f>IFERROR(__xludf.DUMMYFUNCTION("""COMPUTED_VALUE"""),96.04)</f>
        <v>96.04</v>
      </c>
    </row>
    <row r="378">
      <c r="A378" s="2">
        <f>IFERROR(__xludf.DUMMYFUNCTION("""COMPUTED_VALUE"""),44648.66666666667)</f>
        <v>44648.66667</v>
      </c>
      <c r="B378" s="1">
        <f>IFERROR(__xludf.DUMMYFUNCTION("""COMPUTED_VALUE"""),96.09)</f>
        <v>96.09</v>
      </c>
    </row>
    <row r="379">
      <c r="A379" s="2">
        <f>IFERROR(__xludf.DUMMYFUNCTION("""COMPUTED_VALUE"""),44649.66666666667)</f>
        <v>44649.66667</v>
      </c>
      <c r="B379" s="1">
        <f>IFERROR(__xludf.DUMMYFUNCTION("""COMPUTED_VALUE"""),96.75)</f>
        <v>96.75</v>
      </c>
    </row>
    <row r="380">
      <c r="A380" s="2">
        <f>IFERROR(__xludf.DUMMYFUNCTION("""COMPUTED_VALUE"""),44650.66666666667)</f>
        <v>44650.66667</v>
      </c>
      <c r="B380" s="1">
        <f>IFERROR(__xludf.DUMMYFUNCTION("""COMPUTED_VALUE"""),97.42)</f>
        <v>97.42</v>
      </c>
    </row>
    <row r="381">
      <c r="A381" s="2">
        <f>IFERROR(__xludf.DUMMYFUNCTION("""COMPUTED_VALUE"""),44651.66666666667)</f>
        <v>44651.66667</v>
      </c>
      <c r="B381" s="1">
        <f>IFERROR(__xludf.DUMMYFUNCTION("""COMPUTED_VALUE"""),97.21)</f>
        <v>97.21</v>
      </c>
    </row>
    <row r="382">
      <c r="A382" s="2">
        <f>IFERROR(__xludf.DUMMYFUNCTION("""COMPUTED_VALUE"""),44652.66666666667)</f>
        <v>44652.66667</v>
      </c>
      <c r="B382" s="1">
        <f>IFERROR(__xludf.DUMMYFUNCTION("""COMPUTED_VALUE"""),95.11)</f>
        <v>95.11</v>
      </c>
    </row>
    <row r="383">
      <c r="A383" s="2">
        <f>IFERROR(__xludf.DUMMYFUNCTION("""COMPUTED_VALUE"""),44655.66666666667)</f>
        <v>44655.66667</v>
      </c>
      <c r="B383" s="1">
        <f>IFERROR(__xludf.DUMMYFUNCTION("""COMPUTED_VALUE"""),95.43)</f>
        <v>95.43</v>
      </c>
    </row>
    <row r="384">
      <c r="A384" s="2">
        <f>IFERROR(__xludf.DUMMYFUNCTION("""COMPUTED_VALUE"""),44656.66666666667)</f>
        <v>44656.66667</v>
      </c>
      <c r="B384" s="1">
        <f>IFERROR(__xludf.DUMMYFUNCTION("""COMPUTED_VALUE"""),95.65)</f>
        <v>95.65</v>
      </c>
    </row>
    <row r="385">
      <c r="A385" s="2">
        <f>IFERROR(__xludf.DUMMYFUNCTION("""COMPUTED_VALUE"""),44657.66666666667)</f>
        <v>44657.66667</v>
      </c>
      <c r="B385" s="1">
        <f>IFERROR(__xludf.DUMMYFUNCTION("""COMPUTED_VALUE"""),95.14)</f>
        <v>95.14</v>
      </c>
    </row>
    <row r="386">
      <c r="A386" s="2">
        <f>IFERROR(__xludf.DUMMYFUNCTION("""COMPUTED_VALUE"""),44658.66666666667)</f>
        <v>44658.66667</v>
      </c>
      <c r="B386" s="1">
        <f>IFERROR(__xludf.DUMMYFUNCTION("""COMPUTED_VALUE"""),94.51)</f>
        <v>94.51</v>
      </c>
    </row>
    <row r="387">
      <c r="A387" s="2">
        <f>IFERROR(__xludf.DUMMYFUNCTION("""COMPUTED_VALUE"""),44659.66666666667)</f>
        <v>44659.66667</v>
      </c>
      <c r="B387" s="1">
        <f>IFERROR(__xludf.DUMMYFUNCTION("""COMPUTED_VALUE"""),94.94)</f>
        <v>94.94</v>
      </c>
    </row>
    <row r="388">
      <c r="A388" s="2">
        <f>IFERROR(__xludf.DUMMYFUNCTION("""COMPUTED_VALUE"""),44662.66666666667)</f>
        <v>44662.66667</v>
      </c>
      <c r="B388" s="1">
        <f>IFERROR(__xludf.DUMMYFUNCTION("""COMPUTED_VALUE"""),95.06)</f>
        <v>95.06</v>
      </c>
    </row>
    <row r="389">
      <c r="A389" s="2">
        <f>IFERROR(__xludf.DUMMYFUNCTION("""COMPUTED_VALUE"""),44663.66666666667)</f>
        <v>44663.66667</v>
      </c>
      <c r="B389" s="1">
        <f>IFERROR(__xludf.DUMMYFUNCTION("""COMPUTED_VALUE"""),94.6)</f>
        <v>94.6</v>
      </c>
    </row>
    <row r="390">
      <c r="A390" s="2">
        <f>IFERROR(__xludf.DUMMYFUNCTION("""COMPUTED_VALUE"""),44664.66666666667)</f>
        <v>44664.66667</v>
      </c>
      <c r="B390" s="1">
        <f>IFERROR(__xludf.DUMMYFUNCTION("""COMPUTED_VALUE"""),94.92)</f>
        <v>94.92</v>
      </c>
    </row>
    <row r="391">
      <c r="A391" s="2">
        <f>IFERROR(__xludf.DUMMYFUNCTION("""COMPUTED_VALUE"""),44665.66666666667)</f>
        <v>44665.66667</v>
      </c>
      <c r="B391" s="1">
        <f>IFERROR(__xludf.DUMMYFUNCTION("""COMPUTED_VALUE"""),95.56)</f>
        <v>95.56</v>
      </c>
    </row>
    <row r="392">
      <c r="A392" s="2">
        <f>IFERROR(__xludf.DUMMYFUNCTION("""COMPUTED_VALUE"""),44670.66666666667)</f>
        <v>44670.66667</v>
      </c>
      <c r="B392" s="1">
        <f>IFERROR(__xludf.DUMMYFUNCTION("""COMPUTED_VALUE"""),96.11)</f>
        <v>96.11</v>
      </c>
    </row>
    <row r="393">
      <c r="A393" s="2">
        <f>IFERROR(__xludf.DUMMYFUNCTION("""COMPUTED_VALUE"""),44671.66666666667)</f>
        <v>44671.66667</v>
      </c>
      <c r="B393" s="1">
        <f>IFERROR(__xludf.DUMMYFUNCTION("""COMPUTED_VALUE"""),96.22)</f>
        <v>96.22</v>
      </c>
    </row>
    <row r="394">
      <c r="A394" s="2">
        <f>IFERROR(__xludf.DUMMYFUNCTION("""COMPUTED_VALUE"""),44672.66666666667)</f>
        <v>44672.66667</v>
      </c>
      <c r="B394" s="1">
        <f>IFERROR(__xludf.DUMMYFUNCTION("""COMPUTED_VALUE"""),96.52)</f>
        <v>96.52</v>
      </c>
    </row>
    <row r="395">
      <c r="A395" s="2">
        <f>IFERROR(__xludf.DUMMYFUNCTION("""COMPUTED_VALUE"""),44673.66666666667)</f>
        <v>44673.66667</v>
      </c>
      <c r="B395" s="1">
        <f>IFERROR(__xludf.DUMMYFUNCTION("""COMPUTED_VALUE"""),94.92)</f>
        <v>94.92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IFERROR(__xludf.DUMMYFUNCTION("""COMPUTED_VALUE"""),93.0)</f>
        <v>93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IFERROR(__xludf.DUMMYFUNCTION("""COMPUTED_VALUE"""),92.23)</f>
        <v>92.23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IFERROR(__xludf.DUMMYFUNCTION("""COMPUTED_VALUE"""),93.42)</f>
        <v>93.42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IFERROR(__xludf.DUMMYFUNCTION("""COMPUTED_VALUE"""),94.39)</f>
        <v>94.39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IFERROR(__xludf.DUMMYFUNCTION("""COMPUTED_VALUE"""),93.3)</f>
        <v>93.3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IFERROR(__xludf.DUMMYFUNCTION("""COMPUTED_VALUE"""),92.86)</f>
        <v>92.86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IFERROR(__xludf.DUMMYFUNCTION("""COMPUTED_VALUE"""),92.75)</f>
        <v>92.75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IFERROR(__xludf.DUMMYFUNCTION("""COMPUTED_VALUE"""),93.44)</f>
        <v>93.44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IFERROR(__xludf.DUMMYFUNCTION("""COMPUTED_VALUE"""),91.45)</f>
        <v>91.45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IFERROR(__xludf.DUMMYFUNCTION("""COMPUTED_VALUE"""),90.43)</f>
        <v>90.43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IFERROR(__xludf.DUMMYFUNCTION("""COMPUTED_VALUE"""),89.43)</f>
        <v>89.43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IFERROR(__xludf.DUMMYFUNCTION("""COMPUTED_VALUE"""),89.87)</f>
        <v>89.87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IFERROR(__xludf.DUMMYFUNCTION("""COMPUTED_VALUE"""),88.2)</f>
        <v>88.2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IFERROR(__xludf.DUMMYFUNCTION("""COMPUTED_VALUE"""),89.93)</f>
        <v>89.93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IFERROR(__xludf.DUMMYFUNCTION("""COMPUTED_VALUE"""),90.18)</f>
        <v>90.18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IFERROR(__xludf.DUMMYFUNCTION("""COMPUTED_VALUE"""),90.47)</f>
        <v>90.47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IFERROR(__xludf.DUMMYFUNCTION("""COMPUTED_VALUE"""),91.37)</f>
        <v>91.37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IFERROR(__xludf.DUMMYFUNCTION("""COMPUTED_VALUE"""),90.04)</f>
        <v>90.04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IFERROR(__xludf.DUMMYFUNCTION("""COMPUTED_VALUE"""),91.06)</f>
        <v>91.06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IFERROR(__xludf.DUMMYFUNCTION("""COMPUTED_VALUE"""),91.03)</f>
        <v>91.03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IFERROR(__xludf.DUMMYFUNCTION("""COMPUTED_VALUE"""),90.77)</f>
        <v>90.77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IFERROR(__xludf.DUMMYFUNCTION("""COMPUTED_VALUE"""),91.07)</f>
        <v>91.07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IFERROR(__xludf.DUMMYFUNCTION("""COMPUTED_VALUE"""),90.42)</f>
        <v>90.42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IFERROR(__xludf.DUMMYFUNCTION("""COMPUTED_VALUE"""),91.44)</f>
        <v>91.44</v>
      </c>
    </row>
    <row r="420">
      <c r="A420" s="2">
        <f>IFERROR(__xludf.DUMMYFUNCTION("""COMPUTED_VALUE"""),44711.66666666667)</f>
        <v>44711.66667</v>
      </c>
      <c r="B420" s="1">
        <f>IFERROR(__xludf.DUMMYFUNCTION("""COMPUTED_VALUE"""),92.76)</f>
        <v>92.76</v>
      </c>
    </row>
    <row r="421">
      <c r="A421" s="2">
        <f>IFERROR(__xludf.DUMMYFUNCTION("""COMPUTED_VALUE"""),44712.66666666667)</f>
        <v>44712.66667</v>
      </c>
      <c r="B421" s="1">
        <f>IFERROR(__xludf.DUMMYFUNCTION("""COMPUTED_VALUE"""),91.76)</f>
        <v>91.76</v>
      </c>
    </row>
    <row r="422">
      <c r="A422" s="2">
        <f>IFERROR(__xludf.DUMMYFUNCTION("""COMPUTED_VALUE"""),44713.66666666667)</f>
        <v>44713.66667</v>
      </c>
      <c r="B422" s="1">
        <f>IFERROR(__xludf.DUMMYFUNCTION("""COMPUTED_VALUE"""),92.01)</f>
        <v>92.01</v>
      </c>
    </row>
    <row r="423">
      <c r="A423" s="2">
        <f>IFERROR(__xludf.DUMMYFUNCTION("""COMPUTED_VALUE"""),44714.66666666667)</f>
        <v>44714.66667</v>
      </c>
      <c r="B423" s="1">
        <f>IFERROR(__xludf.DUMMYFUNCTION("""COMPUTED_VALUE"""),91.21)</f>
        <v>91.21</v>
      </c>
    </row>
    <row r="424">
      <c r="A424" s="2">
        <f>IFERROR(__xludf.DUMMYFUNCTION("""COMPUTED_VALUE"""),44715.66666666667)</f>
        <v>44715.66667</v>
      </c>
      <c r="B424" s="1">
        <f>IFERROR(__xludf.DUMMYFUNCTION("""COMPUTED_VALUE"""),92.05)</f>
        <v>92.05</v>
      </c>
    </row>
    <row r="425">
      <c r="A425" s="2">
        <f>IFERROR(__xludf.DUMMYFUNCTION("""COMPUTED_VALUE"""),44718.66666666667)</f>
        <v>44718.66667</v>
      </c>
      <c r="B425" s="1">
        <f>IFERROR(__xludf.DUMMYFUNCTION("""COMPUTED_VALUE"""),91.68)</f>
        <v>91.68</v>
      </c>
    </row>
    <row r="426">
      <c r="A426" s="2">
        <f>IFERROR(__xludf.DUMMYFUNCTION("""COMPUTED_VALUE"""),44719.66666666667)</f>
        <v>44719.66667</v>
      </c>
      <c r="B426" s="1">
        <f>IFERROR(__xludf.DUMMYFUNCTION("""COMPUTED_VALUE"""),90.29)</f>
        <v>90.29</v>
      </c>
    </row>
    <row r="427">
      <c r="A427" s="2">
        <f>IFERROR(__xludf.DUMMYFUNCTION("""COMPUTED_VALUE"""),44720.66666666667)</f>
        <v>44720.66667</v>
      </c>
      <c r="B427" s="1">
        <f>IFERROR(__xludf.DUMMYFUNCTION("""COMPUTED_VALUE"""),90.6)</f>
        <v>90.6</v>
      </c>
    </row>
    <row r="428">
      <c r="A428" s="2">
        <f>IFERROR(__xludf.DUMMYFUNCTION("""COMPUTED_VALUE"""),44721.66666666667)</f>
        <v>44721.66667</v>
      </c>
      <c r="B428" s="1">
        <f>IFERROR(__xludf.DUMMYFUNCTION("""COMPUTED_VALUE"""),89.3)</f>
        <v>89.3</v>
      </c>
    </row>
    <row r="429">
      <c r="A429" s="2">
        <f>IFERROR(__xludf.DUMMYFUNCTION("""COMPUTED_VALUE"""),44722.66666666667)</f>
        <v>44722.66667</v>
      </c>
      <c r="B429" s="1">
        <f>IFERROR(__xludf.DUMMYFUNCTION("""COMPUTED_VALUE"""),88.17)</f>
        <v>88.17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IFERROR(__xludf.DUMMYFUNCTION("""COMPUTED_VALUE"""),85.0)</f>
        <v>85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IFERROR(__xludf.DUMMYFUNCTION("""COMPUTED_VALUE"""),83.87)</f>
        <v>83.87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IFERROR(__xludf.DUMMYFUNCTION("""COMPUTED_VALUE"""),83.71)</f>
        <v>83.71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IFERROR(__xludf.DUMMYFUNCTION("""COMPUTED_VALUE"""),82.31)</f>
        <v>82.31</v>
      </c>
    </row>
    <row r="434">
      <c r="A434" s="2">
        <f>IFERROR(__xludf.DUMMYFUNCTION("""COMPUTED_VALUE"""),44732.66666666667)</f>
        <v>44732.66667</v>
      </c>
      <c r="B434" s="1">
        <f>IFERROR(__xludf.DUMMYFUNCTION("""COMPUTED_VALUE"""),81.87)</f>
        <v>81.87</v>
      </c>
    </row>
    <row r="435">
      <c r="A435" s="2">
        <f>IFERROR(__xludf.DUMMYFUNCTION("""COMPUTED_VALUE"""),44733.66666666667)</f>
        <v>44733.66667</v>
      </c>
      <c r="B435" s="1">
        <f>IFERROR(__xludf.DUMMYFUNCTION("""COMPUTED_VALUE"""),82.93)</f>
        <v>82.93</v>
      </c>
    </row>
    <row r="436">
      <c r="A436" s="2">
        <f>IFERROR(__xludf.DUMMYFUNCTION("""COMPUTED_VALUE"""),44734.66666666667)</f>
        <v>44734.66667</v>
      </c>
      <c r="B436" s="1">
        <f>IFERROR(__xludf.DUMMYFUNCTION("""COMPUTED_VALUE"""),82.74)</f>
        <v>82.74</v>
      </c>
    </row>
    <row r="437">
      <c r="A437" s="2">
        <f>IFERROR(__xludf.DUMMYFUNCTION("""COMPUTED_VALUE"""),44735.66666666667)</f>
        <v>44735.66667</v>
      </c>
      <c r="B437" s="1">
        <f>IFERROR(__xludf.DUMMYFUNCTION("""COMPUTED_VALUE"""),83.0)</f>
        <v>83</v>
      </c>
    </row>
    <row r="438">
      <c r="A438" s="2">
        <f>IFERROR(__xludf.DUMMYFUNCTION("""COMPUTED_VALUE"""),44736.66666666667)</f>
        <v>44736.66667</v>
      </c>
      <c r="B438" s="1">
        <f>IFERROR(__xludf.DUMMYFUNCTION("""COMPUTED_VALUE"""),83.62)</f>
        <v>83.62</v>
      </c>
    </row>
    <row r="439">
      <c r="A439" s="2">
        <f>IFERROR(__xludf.DUMMYFUNCTION("""COMPUTED_VALUE"""),44739.66666666667)</f>
        <v>44739.66667</v>
      </c>
      <c r="B439" s="1">
        <f>IFERROR(__xludf.DUMMYFUNCTION("""COMPUTED_VALUE"""),85.28)</f>
        <v>85.28</v>
      </c>
    </row>
    <row r="440">
      <c r="A440" s="2">
        <f>IFERROR(__xludf.DUMMYFUNCTION("""COMPUTED_VALUE"""),44740.66666666667)</f>
        <v>44740.66667</v>
      </c>
      <c r="B440" s="1">
        <f>IFERROR(__xludf.DUMMYFUNCTION("""COMPUTED_VALUE"""),86.01)</f>
        <v>86.01</v>
      </c>
    </row>
    <row r="441">
      <c r="A441" s="2">
        <f>IFERROR(__xludf.DUMMYFUNCTION("""COMPUTED_VALUE"""),44741.66666666667)</f>
        <v>44741.66667</v>
      </c>
      <c r="B441" s="1">
        <f>IFERROR(__xludf.DUMMYFUNCTION("""COMPUTED_VALUE"""),85.34)</f>
        <v>85.34</v>
      </c>
    </row>
    <row r="442">
      <c r="A442" s="2">
        <f>IFERROR(__xludf.DUMMYFUNCTION("""COMPUTED_VALUE"""),44742.66666666667)</f>
        <v>44742.66667</v>
      </c>
      <c r="B442" s="1">
        <f>IFERROR(__xludf.DUMMYFUNCTION("""COMPUTED_VALUE"""),83.75)</f>
        <v>83.75</v>
      </c>
    </row>
    <row r="443">
      <c r="A443" s="2">
        <f>IFERROR(__xludf.DUMMYFUNCTION("""COMPUTED_VALUE"""),44743.66666666667)</f>
        <v>44743.66667</v>
      </c>
      <c r="B443" s="1">
        <f>IFERROR(__xludf.DUMMYFUNCTION("""COMPUTED_VALUE"""),81.17)</f>
        <v>81.17</v>
      </c>
    </row>
    <row r="444">
      <c r="A444" s="2">
        <f>IFERROR(__xludf.DUMMYFUNCTION("""COMPUTED_VALUE"""),44746.66666666667)</f>
        <v>44746.66667</v>
      </c>
      <c r="B444" s="1">
        <f>IFERROR(__xludf.DUMMYFUNCTION("""COMPUTED_VALUE"""),82.07)</f>
        <v>82.07</v>
      </c>
    </row>
    <row r="445">
      <c r="A445" s="2">
        <f>IFERROR(__xludf.DUMMYFUNCTION("""COMPUTED_VALUE"""),44747.66666666667)</f>
        <v>44747.66667</v>
      </c>
      <c r="B445" s="1">
        <f>IFERROR(__xludf.DUMMYFUNCTION("""COMPUTED_VALUE"""),82.17)</f>
        <v>82.17</v>
      </c>
    </row>
    <row r="446">
      <c r="A446" s="2">
        <f>IFERROR(__xludf.DUMMYFUNCTION("""COMPUTED_VALUE"""),44748.66666666667)</f>
        <v>44748.66667</v>
      </c>
      <c r="B446" s="1">
        <f>IFERROR(__xludf.DUMMYFUNCTION("""COMPUTED_VALUE"""),81.79)</f>
        <v>81.79</v>
      </c>
    </row>
    <row r="447">
      <c r="A447" s="2">
        <f>IFERROR(__xludf.DUMMYFUNCTION("""COMPUTED_VALUE"""),44749.66666666667)</f>
        <v>44749.66667</v>
      </c>
      <c r="B447" s="1">
        <f>IFERROR(__xludf.DUMMYFUNCTION("""COMPUTED_VALUE"""),82.5)</f>
        <v>82.5</v>
      </c>
    </row>
    <row r="448">
      <c r="A448" s="2">
        <f>IFERROR(__xludf.DUMMYFUNCTION("""COMPUTED_VALUE"""),44750.66666666667)</f>
        <v>44750.66667</v>
      </c>
      <c r="B448" s="1">
        <f>IFERROR(__xludf.DUMMYFUNCTION("""COMPUTED_VALUE"""),82.86)</f>
        <v>82.86</v>
      </c>
    </row>
    <row r="449">
      <c r="A449" s="2">
        <f>IFERROR(__xludf.DUMMYFUNCTION("""COMPUTED_VALUE"""),44753.66666666667)</f>
        <v>44753.66667</v>
      </c>
      <c r="B449" s="1">
        <f>IFERROR(__xludf.DUMMYFUNCTION("""COMPUTED_VALUE"""),81.95)</f>
        <v>81.95</v>
      </c>
    </row>
    <row r="450">
      <c r="A450" s="2">
        <f>IFERROR(__xludf.DUMMYFUNCTION("""COMPUTED_VALUE"""),44754.66666666667)</f>
        <v>44754.66667</v>
      </c>
      <c r="B450" s="1">
        <f>IFERROR(__xludf.DUMMYFUNCTION("""COMPUTED_VALUE"""),81.91)</f>
        <v>81.91</v>
      </c>
    </row>
    <row r="451">
      <c r="A451" s="2">
        <f>IFERROR(__xludf.DUMMYFUNCTION("""COMPUTED_VALUE"""),44755.66666666667)</f>
        <v>44755.66667</v>
      </c>
      <c r="B451" s="1">
        <f>IFERROR(__xludf.DUMMYFUNCTION("""COMPUTED_VALUE"""),82.09)</f>
        <v>82.09</v>
      </c>
    </row>
    <row r="452">
      <c r="A452" s="2">
        <f>IFERROR(__xludf.DUMMYFUNCTION("""COMPUTED_VALUE"""),44756.66666666667)</f>
        <v>44756.66667</v>
      </c>
      <c r="B452" s="1">
        <f>IFERROR(__xludf.DUMMYFUNCTION("""COMPUTED_VALUE"""),82.54)</f>
        <v>82.54</v>
      </c>
    </row>
    <row r="453">
      <c r="A453" s="2">
        <f>IFERROR(__xludf.DUMMYFUNCTION("""COMPUTED_VALUE"""),44757.66666666667)</f>
        <v>44757.66667</v>
      </c>
      <c r="B453" s="1">
        <f>IFERROR(__xludf.DUMMYFUNCTION("""COMPUTED_VALUE"""),81.95)</f>
        <v>81.95</v>
      </c>
    </row>
    <row r="454">
      <c r="A454" s="2">
        <f>IFERROR(__xludf.DUMMYFUNCTION("""COMPUTED_VALUE"""),44760.66666666667)</f>
        <v>44760.66667</v>
      </c>
      <c r="B454" s="1">
        <f>IFERROR(__xludf.DUMMYFUNCTION("""COMPUTED_VALUE"""),82.96)</f>
        <v>82.96</v>
      </c>
    </row>
    <row r="455">
      <c r="A455" s="2">
        <f>IFERROR(__xludf.DUMMYFUNCTION("""COMPUTED_VALUE"""),44761.66666666667)</f>
        <v>44761.66667</v>
      </c>
      <c r="B455" s="1">
        <f>IFERROR(__xludf.DUMMYFUNCTION("""COMPUTED_VALUE"""),82.5)</f>
        <v>82.5</v>
      </c>
    </row>
    <row r="456">
      <c r="A456" s="2">
        <f>IFERROR(__xludf.DUMMYFUNCTION("""COMPUTED_VALUE"""),44762.66666666667)</f>
        <v>44762.66667</v>
      </c>
      <c r="B456" s="1">
        <f>IFERROR(__xludf.DUMMYFUNCTION("""COMPUTED_VALUE"""),83.92)</f>
        <v>83.92</v>
      </c>
    </row>
    <row r="457">
      <c r="A457" s="2">
        <f>IFERROR(__xludf.DUMMYFUNCTION("""COMPUTED_VALUE"""),44763.66666666667)</f>
        <v>44763.66667</v>
      </c>
      <c r="B457" s="1">
        <f>IFERROR(__xludf.DUMMYFUNCTION("""COMPUTED_VALUE"""),84.33)</f>
        <v>84.33</v>
      </c>
    </row>
    <row r="458">
      <c r="A458" s="2">
        <f>IFERROR(__xludf.DUMMYFUNCTION("""COMPUTED_VALUE"""),44764.66666666667)</f>
        <v>44764.66667</v>
      </c>
      <c r="B458" s="1">
        <f>IFERROR(__xludf.DUMMYFUNCTION("""COMPUTED_VALUE"""),84.3)</f>
        <v>84.3</v>
      </c>
    </row>
    <row r="459">
      <c r="A459" s="2">
        <f>IFERROR(__xludf.DUMMYFUNCTION("""COMPUTED_VALUE"""),44767.66666666667)</f>
        <v>44767.66667</v>
      </c>
      <c r="B459" s="1">
        <f>IFERROR(__xludf.DUMMYFUNCTION("""COMPUTED_VALUE"""),84.28)</f>
        <v>84.28</v>
      </c>
    </row>
    <row r="460">
      <c r="A460" s="2">
        <f>IFERROR(__xludf.DUMMYFUNCTION("""COMPUTED_VALUE"""),44768.66666666667)</f>
        <v>44768.66667</v>
      </c>
      <c r="B460" s="1">
        <f>IFERROR(__xludf.DUMMYFUNCTION("""COMPUTED_VALUE"""),84.47)</f>
        <v>84.47</v>
      </c>
    </row>
    <row r="461">
      <c r="A461" s="2">
        <f>IFERROR(__xludf.DUMMYFUNCTION("""COMPUTED_VALUE"""),44769.66666666667)</f>
        <v>44769.66667</v>
      </c>
      <c r="B461" s="1">
        <f>IFERROR(__xludf.DUMMYFUNCTION("""COMPUTED_VALUE"""),84.74)</f>
        <v>84.74</v>
      </c>
    </row>
    <row r="462">
      <c r="A462" s="2">
        <f>IFERROR(__xludf.DUMMYFUNCTION("""COMPUTED_VALUE"""),44770.66666666667)</f>
        <v>44770.66667</v>
      </c>
      <c r="B462" s="1">
        <f>IFERROR(__xludf.DUMMYFUNCTION("""COMPUTED_VALUE"""),85.51)</f>
        <v>85.51</v>
      </c>
    </row>
    <row r="463">
      <c r="A463" s="2">
        <f>IFERROR(__xludf.DUMMYFUNCTION("""COMPUTED_VALUE"""),44771.66666666667)</f>
        <v>44771.66667</v>
      </c>
      <c r="B463" s="1">
        <f>IFERROR(__xludf.DUMMYFUNCTION("""COMPUTED_VALUE"""),86.26)</f>
        <v>86.26</v>
      </c>
    </row>
    <row r="464">
      <c r="A464" s="2">
        <f>IFERROR(__xludf.DUMMYFUNCTION("""COMPUTED_VALUE"""),44774.66666666667)</f>
        <v>44774.66667</v>
      </c>
      <c r="B464" s="1">
        <f>IFERROR(__xludf.DUMMYFUNCTION("""COMPUTED_VALUE"""),86.86)</f>
        <v>86.86</v>
      </c>
    </row>
    <row r="465">
      <c r="A465" s="2">
        <f>IFERROR(__xludf.DUMMYFUNCTION("""COMPUTED_VALUE"""),44775.66666666667)</f>
        <v>44775.66667</v>
      </c>
      <c r="B465" s="1">
        <f>IFERROR(__xludf.DUMMYFUNCTION("""COMPUTED_VALUE"""),86.89)</f>
        <v>86.89</v>
      </c>
    </row>
    <row r="466">
      <c r="A466" s="2">
        <f>IFERROR(__xludf.DUMMYFUNCTION("""COMPUTED_VALUE"""),44776.66666666667)</f>
        <v>44776.66667</v>
      </c>
      <c r="B466" s="1">
        <f>IFERROR(__xludf.DUMMYFUNCTION("""COMPUTED_VALUE"""),86.61)</f>
        <v>86.61</v>
      </c>
    </row>
    <row r="467">
      <c r="A467" s="2">
        <f>IFERROR(__xludf.DUMMYFUNCTION("""COMPUTED_VALUE"""),44777.66666666667)</f>
        <v>44777.66667</v>
      </c>
      <c r="B467" s="1">
        <f>IFERROR(__xludf.DUMMYFUNCTION("""COMPUTED_VALUE"""),86.64)</f>
        <v>86.64</v>
      </c>
    </row>
    <row r="468">
      <c r="A468" s="2">
        <f>IFERROR(__xludf.DUMMYFUNCTION("""COMPUTED_VALUE"""),44778.66666666667)</f>
        <v>44778.66667</v>
      </c>
      <c r="B468" s="1">
        <f>IFERROR(__xludf.DUMMYFUNCTION("""COMPUTED_VALUE"""),87.19)</f>
        <v>87.19</v>
      </c>
    </row>
    <row r="469">
      <c r="A469" s="2">
        <f>IFERROR(__xludf.DUMMYFUNCTION("""COMPUTED_VALUE"""),44781.66666666667)</f>
        <v>44781.66667</v>
      </c>
      <c r="B469" s="1">
        <f>IFERROR(__xludf.DUMMYFUNCTION("""COMPUTED_VALUE"""),87.25)</f>
        <v>87.25</v>
      </c>
    </row>
    <row r="470">
      <c r="A470" s="2">
        <f>IFERROR(__xludf.DUMMYFUNCTION("""COMPUTED_VALUE"""),44782.66666666667)</f>
        <v>44782.66667</v>
      </c>
      <c r="B470" s="1">
        <f>IFERROR(__xludf.DUMMYFUNCTION("""COMPUTED_VALUE"""),87.32)</f>
        <v>87.32</v>
      </c>
    </row>
    <row r="471">
      <c r="A471" s="2">
        <f>IFERROR(__xludf.DUMMYFUNCTION("""COMPUTED_VALUE"""),44783.66666666667)</f>
        <v>44783.66667</v>
      </c>
      <c r="B471" s="1">
        <f>IFERROR(__xludf.DUMMYFUNCTION("""COMPUTED_VALUE"""),86.9)</f>
        <v>86.9</v>
      </c>
    </row>
    <row r="472">
      <c r="A472" s="2">
        <f>IFERROR(__xludf.DUMMYFUNCTION("""COMPUTED_VALUE"""),44784.66666666667)</f>
        <v>44784.66667</v>
      </c>
      <c r="B472" s="1">
        <f>IFERROR(__xludf.DUMMYFUNCTION("""COMPUTED_VALUE"""),87.88)</f>
        <v>87.88</v>
      </c>
    </row>
    <row r="473">
      <c r="A473" s="2">
        <f>IFERROR(__xludf.DUMMYFUNCTION("""COMPUTED_VALUE"""),44785.66666666667)</f>
        <v>44785.66667</v>
      </c>
      <c r="B473" s="1">
        <f>IFERROR(__xludf.DUMMYFUNCTION("""COMPUTED_VALUE"""),87.49)</f>
        <v>87.49</v>
      </c>
    </row>
    <row r="474">
      <c r="A474" s="2">
        <f>IFERROR(__xludf.DUMMYFUNCTION("""COMPUTED_VALUE"""),44788.66666666667)</f>
        <v>44788.66667</v>
      </c>
      <c r="B474" s="1">
        <f>IFERROR(__xludf.DUMMYFUNCTION("""COMPUTED_VALUE"""),87.92)</f>
        <v>87.92</v>
      </c>
    </row>
    <row r="475">
      <c r="A475" s="2">
        <f>IFERROR(__xludf.DUMMYFUNCTION("""COMPUTED_VALUE"""),44789.66666666667)</f>
        <v>44789.66667</v>
      </c>
      <c r="B475" s="1">
        <f>IFERROR(__xludf.DUMMYFUNCTION("""COMPUTED_VALUE"""),88.41)</f>
        <v>88.41</v>
      </c>
    </row>
    <row r="476">
      <c r="A476" s="2">
        <f>IFERROR(__xludf.DUMMYFUNCTION("""COMPUTED_VALUE"""),44790.66666666667)</f>
        <v>44790.66667</v>
      </c>
      <c r="B476" s="1">
        <f>IFERROR(__xludf.DUMMYFUNCTION("""COMPUTED_VALUE"""),88.85)</f>
        <v>88.85</v>
      </c>
    </row>
    <row r="477">
      <c r="A477" s="2">
        <f>IFERROR(__xludf.DUMMYFUNCTION("""COMPUTED_VALUE"""),44791.66666666667)</f>
        <v>44791.66667</v>
      </c>
      <c r="B477" s="1">
        <f>IFERROR(__xludf.DUMMYFUNCTION("""COMPUTED_VALUE"""),88.6)</f>
        <v>88.6</v>
      </c>
    </row>
    <row r="478">
      <c r="A478" s="2">
        <f>IFERROR(__xludf.DUMMYFUNCTION("""COMPUTED_VALUE"""),44792.66666666667)</f>
        <v>44792.66667</v>
      </c>
      <c r="B478" s="1">
        <f>IFERROR(__xludf.DUMMYFUNCTION("""COMPUTED_VALUE"""),88.64)</f>
        <v>88.64</v>
      </c>
    </row>
    <row r="479">
      <c r="A479" s="2">
        <f>IFERROR(__xludf.DUMMYFUNCTION("""COMPUTED_VALUE"""),44795.66666666667)</f>
        <v>44795.66667</v>
      </c>
      <c r="B479" s="1">
        <f>IFERROR(__xludf.DUMMYFUNCTION("""COMPUTED_VALUE"""),87.82)</f>
        <v>87.82</v>
      </c>
    </row>
    <row r="480">
      <c r="A480" s="2">
        <f>IFERROR(__xludf.DUMMYFUNCTION("""COMPUTED_VALUE"""),44796.66666666667)</f>
        <v>44796.66667</v>
      </c>
      <c r="B480" s="1">
        <f>IFERROR(__xludf.DUMMYFUNCTION("""COMPUTED_VALUE"""),86.76)</f>
        <v>86.76</v>
      </c>
    </row>
    <row r="481">
      <c r="A481" s="2">
        <f>IFERROR(__xludf.DUMMYFUNCTION("""COMPUTED_VALUE"""),44797.66666666667)</f>
        <v>44797.66667</v>
      </c>
      <c r="B481" s="1">
        <f>IFERROR(__xludf.DUMMYFUNCTION("""COMPUTED_VALUE"""),87.3)</f>
        <v>87.3</v>
      </c>
    </row>
    <row r="482">
      <c r="A482" s="2">
        <f>IFERROR(__xludf.DUMMYFUNCTION("""COMPUTED_VALUE"""),44798.66666666667)</f>
        <v>44798.66667</v>
      </c>
      <c r="B482" s="1">
        <f>IFERROR(__xludf.DUMMYFUNCTION("""COMPUTED_VALUE"""),87.93)</f>
        <v>87.93</v>
      </c>
    </row>
    <row r="483">
      <c r="A483" s="2">
        <f>IFERROR(__xludf.DUMMYFUNCTION("""COMPUTED_VALUE"""),44799.66666666667)</f>
        <v>44799.66667</v>
      </c>
      <c r="B483" s="1">
        <f>IFERROR(__xludf.DUMMYFUNCTION("""COMPUTED_VALUE"""),88.59)</f>
        <v>88.59</v>
      </c>
    </row>
    <row r="484">
      <c r="A484" s="2">
        <f>IFERROR(__xludf.DUMMYFUNCTION("""COMPUTED_VALUE"""),44802.66666666667)</f>
        <v>44802.66667</v>
      </c>
      <c r="B484" s="1">
        <f>IFERROR(__xludf.DUMMYFUNCTION("""COMPUTED_VALUE"""),86.85)</f>
        <v>86.85</v>
      </c>
    </row>
    <row r="485">
      <c r="A485" s="2">
        <f>IFERROR(__xludf.DUMMYFUNCTION("""COMPUTED_VALUE"""),44803.66666666667)</f>
        <v>44803.66667</v>
      </c>
      <c r="B485" s="1">
        <f>IFERROR(__xludf.DUMMYFUNCTION("""COMPUTED_VALUE"""),87.29)</f>
        <v>87.29</v>
      </c>
    </row>
    <row r="486">
      <c r="A486" s="2">
        <f>IFERROR(__xludf.DUMMYFUNCTION("""COMPUTED_VALUE"""),44804.66666666667)</f>
        <v>44804.66667</v>
      </c>
      <c r="B486" s="1">
        <f>IFERROR(__xludf.DUMMYFUNCTION("""COMPUTED_VALUE"""),87.25)</f>
        <v>87.25</v>
      </c>
    </row>
    <row r="487">
      <c r="A487" s="2">
        <f>IFERROR(__xludf.DUMMYFUNCTION("""COMPUTED_VALUE"""),44805.66666666667)</f>
        <v>44805.66667</v>
      </c>
      <c r="B487" s="1">
        <f>IFERROR(__xludf.DUMMYFUNCTION("""COMPUTED_VALUE"""),86.06)</f>
        <v>86.06</v>
      </c>
    </row>
    <row r="488">
      <c r="A488" s="2">
        <f>IFERROR(__xludf.DUMMYFUNCTION("""COMPUTED_VALUE"""),44806.66666666667)</f>
        <v>44806.66667</v>
      </c>
      <c r="B488" s="1">
        <f>IFERROR(__xludf.DUMMYFUNCTION("""COMPUTED_VALUE"""),85.89)</f>
        <v>85.89</v>
      </c>
    </row>
    <row r="489">
      <c r="A489" s="2">
        <f>IFERROR(__xludf.DUMMYFUNCTION("""COMPUTED_VALUE"""),44809.66666666667)</f>
        <v>44809.66667</v>
      </c>
      <c r="B489" s="1">
        <f>IFERROR(__xludf.DUMMYFUNCTION("""COMPUTED_VALUE"""),86.26)</f>
        <v>86.26</v>
      </c>
    </row>
    <row r="490">
      <c r="A490" s="2">
        <f>IFERROR(__xludf.DUMMYFUNCTION("""COMPUTED_VALUE"""),44810.66666666667)</f>
        <v>44810.66667</v>
      </c>
      <c r="B490" s="1">
        <f>IFERROR(__xludf.DUMMYFUNCTION("""COMPUTED_VALUE"""),85.99)</f>
        <v>85.99</v>
      </c>
    </row>
    <row r="491">
      <c r="A491" s="2">
        <f>IFERROR(__xludf.DUMMYFUNCTION("""COMPUTED_VALUE"""),44811.66666666667)</f>
        <v>44811.66667</v>
      </c>
      <c r="B491" s="1">
        <f>IFERROR(__xludf.DUMMYFUNCTION("""COMPUTED_VALUE"""),84.81)</f>
        <v>84.81</v>
      </c>
    </row>
    <row r="492">
      <c r="A492" s="2">
        <f>IFERROR(__xludf.DUMMYFUNCTION("""COMPUTED_VALUE"""),44812.66666666667)</f>
        <v>44812.66667</v>
      </c>
      <c r="B492" s="1">
        <f>IFERROR(__xludf.DUMMYFUNCTION("""COMPUTED_VALUE"""),86.47)</f>
        <v>86.47</v>
      </c>
    </row>
    <row r="493">
      <c r="A493" s="2">
        <f>IFERROR(__xludf.DUMMYFUNCTION("""COMPUTED_VALUE"""),44813.66666666667)</f>
        <v>44813.66667</v>
      </c>
      <c r="B493" s="1">
        <f>IFERROR(__xludf.DUMMYFUNCTION("""COMPUTED_VALUE"""),87.07)</f>
        <v>87.07</v>
      </c>
    </row>
    <row r="494">
      <c r="A494" s="2">
        <f>IFERROR(__xludf.DUMMYFUNCTION("""COMPUTED_VALUE"""),44816.66666666667)</f>
        <v>44816.66667</v>
      </c>
      <c r="B494" s="1">
        <f>IFERROR(__xludf.DUMMYFUNCTION("""COMPUTED_VALUE"""),87.95)</f>
        <v>87.95</v>
      </c>
    </row>
    <row r="495">
      <c r="A495" s="2">
        <f>IFERROR(__xludf.DUMMYFUNCTION("""COMPUTED_VALUE"""),44817.66666666667)</f>
        <v>44817.66667</v>
      </c>
      <c r="B495" s="1">
        <f>IFERROR(__xludf.DUMMYFUNCTION("""COMPUTED_VALUE"""),88.55)</f>
        <v>88.55</v>
      </c>
    </row>
    <row r="496">
      <c r="A496" s="2">
        <f>IFERROR(__xludf.DUMMYFUNCTION("""COMPUTED_VALUE"""),44818.66666666667)</f>
        <v>44818.66667</v>
      </c>
      <c r="B496" s="1">
        <f>IFERROR(__xludf.DUMMYFUNCTION("""COMPUTED_VALUE"""),86.21)</f>
        <v>86.21</v>
      </c>
    </row>
    <row r="497">
      <c r="A497" s="2">
        <f>IFERROR(__xludf.DUMMYFUNCTION("""COMPUTED_VALUE"""),44819.66666666667)</f>
        <v>44819.66667</v>
      </c>
      <c r="B497" s="1">
        <f>IFERROR(__xludf.DUMMYFUNCTION("""COMPUTED_VALUE"""),86.49)</f>
        <v>86.49</v>
      </c>
    </row>
    <row r="498">
      <c r="A498" s="2">
        <f>IFERROR(__xludf.DUMMYFUNCTION("""COMPUTED_VALUE"""),44820.66666666667)</f>
        <v>44820.66667</v>
      </c>
      <c r="B498" s="1">
        <f>IFERROR(__xludf.DUMMYFUNCTION("""COMPUTED_VALUE"""),85.17)</f>
        <v>85.17</v>
      </c>
    </row>
    <row r="499">
      <c r="A499" s="2">
        <f>IFERROR(__xludf.DUMMYFUNCTION("""COMPUTED_VALUE"""),44823.66666666667)</f>
        <v>44823.66667</v>
      </c>
      <c r="B499" s="1">
        <f>IFERROR(__xludf.DUMMYFUNCTION("""COMPUTED_VALUE"""),85.03)</f>
        <v>85.03</v>
      </c>
    </row>
    <row r="500">
      <c r="A500" s="2">
        <f>IFERROR(__xludf.DUMMYFUNCTION("""COMPUTED_VALUE"""),44824.66666666667)</f>
        <v>44824.66667</v>
      </c>
      <c r="B500" s="1">
        <f>IFERROR(__xludf.DUMMYFUNCTION("""COMPUTED_VALUE"""),86.14)</f>
        <v>86.14</v>
      </c>
    </row>
    <row r="501">
      <c r="A501" s="2">
        <f>IFERROR(__xludf.DUMMYFUNCTION("""COMPUTED_VALUE"""),44825.66666666667)</f>
        <v>44825.66667</v>
      </c>
      <c r="B501" s="1">
        <f>IFERROR(__xludf.DUMMYFUNCTION("""COMPUTED_VALUE"""),84.78)</f>
        <v>84.78</v>
      </c>
    </row>
    <row r="502">
      <c r="A502" s="2">
        <f>IFERROR(__xludf.DUMMYFUNCTION("""COMPUTED_VALUE"""),44827.66666666667)</f>
        <v>44827.66667</v>
      </c>
      <c r="B502" s="1">
        <f>IFERROR(__xludf.DUMMYFUNCTION("""COMPUTED_VALUE"""),83.18)</f>
        <v>83.18</v>
      </c>
    </row>
    <row r="503">
      <c r="A503" s="2">
        <f>IFERROR(__xludf.DUMMYFUNCTION("""COMPUTED_VALUE"""),44830.66666666667)</f>
        <v>44830.66667</v>
      </c>
      <c r="B503" s="1">
        <f>IFERROR(__xludf.DUMMYFUNCTION("""COMPUTED_VALUE"""),81.87)</f>
        <v>81.87</v>
      </c>
    </row>
    <row r="504">
      <c r="A504" s="2">
        <f>IFERROR(__xludf.DUMMYFUNCTION("""COMPUTED_VALUE"""),44831.66666666667)</f>
        <v>44831.66667</v>
      </c>
      <c r="B504" s="1">
        <f>IFERROR(__xludf.DUMMYFUNCTION("""COMPUTED_VALUE"""),82.09)</f>
        <v>82.09</v>
      </c>
    </row>
    <row r="505">
      <c r="A505" s="2">
        <f>IFERROR(__xludf.DUMMYFUNCTION("""COMPUTED_VALUE"""),44832.66666666667)</f>
        <v>44832.66667</v>
      </c>
      <c r="B505" s="1">
        <f>IFERROR(__xludf.DUMMYFUNCTION("""COMPUTED_VALUE"""),81.73)</f>
        <v>81.73</v>
      </c>
    </row>
    <row r="506">
      <c r="A506" s="2">
        <f>IFERROR(__xludf.DUMMYFUNCTION("""COMPUTED_VALUE"""),44833.66666666667)</f>
        <v>44833.66667</v>
      </c>
      <c r="B506" s="1">
        <f>IFERROR(__xludf.DUMMYFUNCTION("""COMPUTED_VALUE"""),82.88)</f>
        <v>82.88</v>
      </c>
    </row>
    <row r="507">
      <c r="A507" s="2">
        <f>IFERROR(__xludf.DUMMYFUNCTION("""COMPUTED_VALUE"""),44834.66666666667)</f>
        <v>44834.66667</v>
      </c>
      <c r="B507" s="1">
        <f>IFERROR(__xludf.DUMMYFUNCTION("""COMPUTED_VALUE"""),81.63)</f>
        <v>81.63</v>
      </c>
    </row>
    <row r="508">
      <c r="A508" s="2">
        <f>IFERROR(__xludf.DUMMYFUNCTION("""COMPUTED_VALUE"""),44837.66666666667)</f>
        <v>44837.66667</v>
      </c>
      <c r="B508" s="1">
        <f>IFERROR(__xludf.DUMMYFUNCTION("""COMPUTED_VALUE"""),80.2)</f>
        <v>80.2</v>
      </c>
    </row>
    <row r="509">
      <c r="A509" s="2">
        <f>IFERROR(__xludf.DUMMYFUNCTION("""COMPUTED_VALUE"""),44838.66666666667)</f>
        <v>44838.66667</v>
      </c>
      <c r="B509" s="1">
        <f>IFERROR(__xludf.DUMMYFUNCTION("""COMPUTED_VALUE"""),83.12)</f>
        <v>83.12</v>
      </c>
    </row>
    <row r="510">
      <c r="A510" s="2">
        <f>IFERROR(__xludf.DUMMYFUNCTION("""COMPUTED_VALUE"""),44839.66666666667)</f>
        <v>44839.66667</v>
      </c>
      <c r="B510" s="1">
        <f>IFERROR(__xludf.DUMMYFUNCTION("""COMPUTED_VALUE"""),84.63)</f>
        <v>84.63</v>
      </c>
    </row>
    <row r="511">
      <c r="A511" s="2">
        <f>IFERROR(__xludf.DUMMYFUNCTION("""COMPUTED_VALUE"""),44840.66666666667)</f>
        <v>44840.66667</v>
      </c>
      <c r="B511" s="1">
        <f>IFERROR(__xludf.DUMMYFUNCTION("""COMPUTED_VALUE"""),84.66)</f>
        <v>84.66</v>
      </c>
    </row>
    <row r="512">
      <c r="A512" s="2">
        <f>IFERROR(__xludf.DUMMYFUNCTION("""COMPUTED_VALUE"""),44841.66666666667)</f>
        <v>44841.66667</v>
      </c>
      <c r="B512" s="1">
        <f>IFERROR(__xludf.DUMMYFUNCTION("""COMPUTED_VALUE"""),84.02)</f>
        <v>84.02</v>
      </c>
    </row>
    <row r="513">
      <c r="A513" s="2">
        <f>IFERROR(__xludf.DUMMYFUNCTION("""COMPUTED_VALUE"""),44844.66666666667)</f>
        <v>44844.66667</v>
      </c>
      <c r="B513" s="1">
        <f>IFERROR(__xludf.DUMMYFUNCTION("""COMPUTED_VALUE"""),82.83)</f>
        <v>82.83</v>
      </c>
    </row>
    <row r="514">
      <c r="A514" s="2">
        <f>IFERROR(__xludf.DUMMYFUNCTION("""COMPUTED_VALUE"""),44845.66666666667)</f>
        <v>44845.66667</v>
      </c>
      <c r="B514" s="1">
        <f>IFERROR(__xludf.DUMMYFUNCTION("""COMPUTED_VALUE"""),82.53)</f>
        <v>82.53</v>
      </c>
    </row>
    <row r="515">
      <c r="A515" s="2">
        <f>IFERROR(__xludf.DUMMYFUNCTION("""COMPUTED_VALUE"""),44846.66666666667)</f>
        <v>44846.66667</v>
      </c>
      <c r="B515" s="1">
        <f>IFERROR(__xludf.DUMMYFUNCTION("""COMPUTED_VALUE"""),82.55)</f>
        <v>82.55</v>
      </c>
    </row>
    <row r="516">
      <c r="A516" s="2">
        <f>IFERROR(__xludf.DUMMYFUNCTION("""COMPUTED_VALUE"""),44847.66666666667)</f>
        <v>44847.66667</v>
      </c>
      <c r="B516" s="1">
        <f>IFERROR(__xludf.DUMMYFUNCTION("""COMPUTED_VALUE"""),82.41)</f>
        <v>82.41</v>
      </c>
    </row>
    <row r="517">
      <c r="A517" s="2">
        <f>IFERROR(__xludf.DUMMYFUNCTION("""COMPUTED_VALUE"""),44848.66666666667)</f>
        <v>44848.66667</v>
      </c>
      <c r="B517" s="1">
        <f>IFERROR(__xludf.DUMMYFUNCTION("""COMPUTED_VALUE"""),83.91)</f>
        <v>83.91</v>
      </c>
    </row>
    <row r="518">
      <c r="A518" s="2">
        <f>IFERROR(__xludf.DUMMYFUNCTION("""COMPUTED_VALUE"""),44851.66666666667)</f>
        <v>44851.66667</v>
      </c>
      <c r="B518" s="1">
        <f>IFERROR(__xludf.DUMMYFUNCTION("""COMPUTED_VALUE"""),82.68)</f>
        <v>82.68</v>
      </c>
    </row>
    <row r="519">
      <c r="A519" s="2">
        <f>IFERROR(__xludf.DUMMYFUNCTION("""COMPUTED_VALUE"""),44852.66666666667)</f>
        <v>44852.66667</v>
      </c>
      <c r="B519" s="1">
        <f>IFERROR(__xludf.DUMMYFUNCTION("""COMPUTED_VALUE"""),84.15)</f>
        <v>84.15</v>
      </c>
    </row>
    <row r="520">
      <c r="A520" s="2">
        <f>IFERROR(__xludf.DUMMYFUNCTION("""COMPUTED_VALUE"""),44853.66666666667)</f>
        <v>44853.66667</v>
      </c>
      <c r="B520" s="1">
        <f>IFERROR(__xludf.DUMMYFUNCTION("""COMPUTED_VALUE"""),84.37)</f>
        <v>84.37</v>
      </c>
    </row>
    <row r="521">
      <c r="A521" s="2">
        <f>IFERROR(__xludf.DUMMYFUNCTION("""COMPUTED_VALUE"""),44854.66666666667)</f>
        <v>44854.66667</v>
      </c>
      <c r="B521" s="1">
        <f>IFERROR(__xludf.DUMMYFUNCTION("""COMPUTED_VALUE"""),83.51)</f>
        <v>83.51</v>
      </c>
    </row>
    <row r="522">
      <c r="A522" s="2">
        <f>IFERROR(__xludf.DUMMYFUNCTION("""COMPUTED_VALUE"""),44855.66666666667)</f>
        <v>44855.66667</v>
      </c>
      <c r="B522" s="1">
        <f>IFERROR(__xludf.DUMMYFUNCTION("""COMPUTED_VALUE"""),82.86)</f>
        <v>82.86</v>
      </c>
    </row>
    <row r="523">
      <c r="A523" s="2">
        <f>IFERROR(__xludf.DUMMYFUNCTION("""COMPUTED_VALUE"""),44858.66666666667)</f>
        <v>44858.66667</v>
      </c>
      <c r="B523" s="1">
        <f>IFERROR(__xludf.DUMMYFUNCTION("""COMPUTED_VALUE"""),84.09)</f>
        <v>84.09</v>
      </c>
    </row>
    <row r="524">
      <c r="A524" s="2">
        <f>IFERROR(__xludf.DUMMYFUNCTION("""COMPUTED_VALUE"""),44859.66666666667)</f>
        <v>44859.66667</v>
      </c>
      <c r="B524" s="1">
        <f>IFERROR(__xludf.DUMMYFUNCTION("""COMPUTED_VALUE"""),84.38)</f>
        <v>84.38</v>
      </c>
    </row>
    <row r="525">
      <c r="A525" s="2">
        <f>IFERROR(__xludf.DUMMYFUNCTION("""COMPUTED_VALUE"""),44860.66666666667)</f>
        <v>44860.66667</v>
      </c>
      <c r="B525" s="1">
        <f>IFERROR(__xludf.DUMMYFUNCTION("""COMPUTED_VALUE"""),84.49)</f>
        <v>84.49</v>
      </c>
    </row>
    <row r="526">
      <c r="A526" s="2">
        <f>IFERROR(__xludf.DUMMYFUNCTION("""COMPUTED_VALUE"""),44861.66666666667)</f>
        <v>44861.66667</v>
      </c>
      <c r="B526" s="1">
        <f>IFERROR(__xludf.DUMMYFUNCTION("""COMPUTED_VALUE"""),84.97)</f>
        <v>84.97</v>
      </c>
    </row>
    <row r="527">
      <c r="A527" s="2">
        <f>IFERROR(__xludf.DUMMYFUNCTION("""COMPUTED_VALUE"""),44862.66666666667)</f>
        <v>44862.66667</v>
      </c>
      <c r="B527" s="1">
        <f>IFERROR(__xludf.DUMMYFUNCTION("""COMPUTED_VALUE"""),84.23)</f>
        <v>84.23</v>
      </c>
    </row>
    <row r="528">
      <c r="A528" s="2">
        <f>IFERROR(__xludf.DUMMYFUNCTION("""COMPUTED_VALUE"""),44865.66666666667)</f>
        <v>44865.66667</v>
      </c>
      <c r="B528" s="1">
        <f>IFERROR(__xludf.DUMMYFUNCTION("""COMPUTED_VALUE"""),85.19)</f>
        <v>85.19</v>
      </c>
    </row>
    <row r="529">
      <c r="A529" s="2">
        <f>IFERROR(__xludf.DUMMYFUNCTION("""COMPUTED_VALUE"""),44866.66666666667)</f>
        <v>44866.66667</v>
      </c>
      <c r="B529" s="1">
        <f>IFERROR(__xludf.DUMMYFUNCTION("""COMPUTED_VALUE"""),86.56)</f>
        <v>86.56</v>
      </c>
    </row>
    <row r="530">
      <c r="A530" s="2">
        <f>IFERROR(__xludf.DUMMYFUNCTION("""COMPUTED_VALUE"""),44867.66666666667)</f>
        <v>44867.66667</v>
      </c>
      <c r="B530" s="1">
        <f>IFERROR(__xludf.DUMMYFUNCTION("""COMPUTED_VALUE"""),86.75)</f>
        <v>86.75</v>
      </c>
    </row>
    <row r="531">
      <c r="A531" s="2">
        <f>IFERROR(__xludf.DUMMYFUNCTION("""COMPUTED_VALUE"""),44868.66666666667)</f>
        <v>44868.66667</v>
      </c>
      <c r="B531" s="1">
        <f>IFERROR(__xludf.DUMMYFUNCTION("""COMPUTED_VALUE"""),85.13)</f>
        <v>85.13</v>
      </c>
    </row>
    <row r="532">
      <c r="A532" s="2">
        <f>IFERROR(__xludf.DUMMYFUNCTION("""COMPUTED_VALUE"""),44869.66666666667)</f>
        <v>44869.66667</v>
      </c>
      <c r="B532" s="1">
        <f>IFERROR(__xludf.DUMMYFUNCTION("""COMPUTED_VALUE"""),85.52)</f>
        <v>85.52</v>
      </c>
    </row>
    <row r="533">
      <c r="A533" s="2">
        <f>IFERROR(__xludf.DUMMYFUNCTION("""COMPUTED_VALUE"""),44872.66666666667)</f>
        <v>44872.66667</v>
      </c>
      <c r="B533" s="1">
        <f>IFERROR(__xludf.DUMMYFUNCTION("""COMPUTED_VALUE"""),86.18)</f>
        <v>86.18</v>
      </c>
    </row>
    <row r="534">
      <c r="A534" s="2">
        <f>IFERROR(__xludf.DUMMYFUNCTION("""COMPUTED_VALUE"""),44873.66666666667)</f>
        <v>44873.66667</v>
      </c>
      <c r="B534" s="1">
        <f>IFERROR(__xludf.DUMMYFUNCTION("""COMPUTED_VALUE"""),86.48)</f>
        <v>86.48</v>
      </c>
    </row>
    <row r="535">
      <c r="A535" s="2">
        <f>IFERROR(__xludf.DUMMYFUNCTION("""COMPUTED_VALUE"""),44874.66666666667)</f>
        <v>44874.66667</v>
      </c>
      <c r="B535" s="1">
        <f>IFERROR(__xludf.DUMMYFUNCTION("""COMPUTED_VALUE"""),87.02)</f>
        <v>87.02</v>
      </c>
    </row>
    <row r="536">
      <c r="A536" s="2">
        <f>IFERROR(__xludf.DUMMYFUNCTION("""COMPUTED_VALUE"""),44875.66666666667)</f>
        <v>44875.66667</v>
      </c>
      <c r="B536" s="1">
        <f>IFERROR(__xludf.DUMMYFUNCTION("""COMPUTED_VALUE"""),86.54)</f>
        <v>86.54</v>
      </c>
    </row>
    <row r="537">
      <c r="A537" s="2">
        <f>IFERROR(__xludf.DUMMYFUNCTION("""COMPUTED_VALUE"""),44876.66666666667)</f>
        <v>44876.66667</v>
      </c>
      <c r="B537" s="1">
        <f>IFERROR(__xludf.DUMMYFUNCTION("""COMPUTED_VALUE"""),88.92)</f>
        <v>88.92</v>
      </c>
    </row>
    <row r="538">
      <c r="A538" s="2">
        <f>IFERROR(__xludf.DUMMYFUNCTION("""COMPUTED_VALUE"""),44879.66666666667)</f>
        <v>44879.66667</v>
      </c>
      <c r="B538" s="1">
        <f>IFERROR(__xludf.DUMMYFUNCTION("""COMPUTED_VALUE"""),88.8)</f>
        <v>88.8</v>
      </c>
    </row>
    <row r="539">
      <c r="A539" s="2">
        <f>IFERROR(__xludf.DUMMYFUNCTION("""COMPUTED_VALUE"""),44880.66666666667)</f>
        <v>44880.66667</v>
      </c>
      <c r="B539" s="1">
        <f>IFERROR(__xludf.DUMMYFUNCTION("""COMPUTED_VALUE"""),88.89)</f>
        <v>88.89</v>
      </c>
    </row>
    <row r="540">
      <c r="A540" s="2">
        <f>IFERROR(__xludf.DUMMYFUNCTION("""COMPUTED_VALUE"""),44881.66666666667)</f>
        <v>44881.66667</v>
      </c>
      <c r="B540" s="1">
        <f>IFERROR(__xludf.DUMMYFUNCTION("""COMPUTED_VALUE"""),88.63)</f>
        <v>88.63</v>
      </c>
    </row>
    <row r="541">
      <c r="A541" s="2">
        <f>IFERROR(__xludf.DUMMYFUNCTION("""COMPUTED_VALUE"""),44882.66666666667)</f>
        <v>44882.66667</v>
      </c>
      <c r="B541" s="1">
        <f>IFERROR(__xludf.DUMMYFUNCTION("""COMPUTED_VALUE"""),88.94)</f>
        <v>88.94</v>
      </c>
    </row>
    <row r="542">
      <c r="A542" s="2">
        <f>IFERROR(__xludf.DUMMYFUNCTION("""COMPUTED_VALUE"""),44883.66666666667)</f>
        <v>44883.66667</v>
      </c>
      <c r="B542" s="1">
        <f>IFERROR(__xludf.DUMMYFUNCTION("""COMPUTED_VALUE"""),89.09)</f>
        <v>89.09</v>
      </c>
    </row>
    <row r="543">
      <c r="A543" s="2">
        <f>IFERROR(__xludf.DUMMYFUNCTION("""COMPUTED_VALUE"""),44886.66666666667)</f>
        <v>44886.66667</v>
      </c>
      <c r="B543" s="1">
        <f>IFERROR(__xludf.DUMMYFUNCTION("""COMPUTED_VALUE"""),88.92)</f>
        <v>88.92</v>
      </c>
    </row>
    <row r="544">
      <c r="A544" s="2">
        <f>IFERROR(__xludf.DUMMYFUNCTION("""COMPUTED_VALUE"""),44887.66666666667)</f>
        <v>44887.66667</v>
      </c>
      <c r="B544" s="1">
        <f>IFERROR(__xludf.DUMMYFUNCTION("""COMPUTED_VALUE"""),89.46)</f>
        <v>89.46</v>
      </c>
    </row>
    <row r="545">
      <c r="A545" s="2">
        <f>IFERROR(__xludf.DUMMYFUNCTION("""COMPUTED_VALUE"""),44888.66666666667)</f>
        <v>44888.66667</v>
      </c>
      <c r="B545" s="1">
        <f>IFERROR(__xludf.DUMMYFUNCTION("""COMPUTED_VALUE"""),90.0)</f>
        <v>90</v>
      </c>
    </row>
    <row r="546">
      <c r="A546" s="2">
        <f>IFERROR(__xludf.DUMMYFUNCTION("""COMPUTED_VALUE"""),44889.66666666667)</f>
        <v>44889.66667</v>
      </c>
      <c r="B546" s="1">
        <f>IFERROR(__xludf.DUMMYFUNCTION("""COMPUTED_VALUE"""),90.13)</f>
        <v>90.13</v>
      </c>
    </row>
    <row r="547">
      <c r="A547" s="2">
        <f>IFERROR(__xludf.DUMMYFUNCTION("""COMPUTED_VALUE"""),44893.66666666667)</f>
        <v>44893.66667</v>
      </c>
      <c r="B547" s="1">
        <f>IFERROR(__xludf.DUMMYFUNCTION("""COMPUTED_VALUE"""),89.97)</f>
        <v>89.97</v>
      </c>
    </row>
    <row r="548">
      <c r="A548" s="2">
        <f>IFERROR(__xludf.DUMMYFUNCTION("""COMPUTED_VALUE"""),44894.66666666667)</f>
        <v>44894.66667</v>
      </c>
      <c r="B548" s="1">
        <f>IFERROR(__xludf.DUMMYFUNCTION("""COMPUTED_VALUE"""),90.24)</f>
        <v>90.24</v>
      </c>
    </row>
    <row r="549">
      <c r="A549" s="2">
        <f>IFERROR(__xludf.DUMMYFUNCTION("""COMPUTED_VALUE"""),44895.66666666667)</f>
        <v>44895.66667</v>
      </c>
      <c r="B549" s="1">
        <f>IFERROR(__xludf.DUMMYFUNCTION("""COMPUTED_VALUE"""),90.65)</f>
        <v>90.65</v>
      </c>
    </row>
    <row r="550">
      <c r="A550" s="2">
        <f>IFERROR(__xludf.DUMMYFUNCTION("""COMPUTED_VALUE"""),44896.66666666667)</f>
        <v>44896.66667</v>
      </c>
      <c r="B550" s="1">
        <f>IFERROR(__xludf.DUMMYFUNCTION("""COMPUTED_VALUE"""),91.54)</f>
        <v>91.54</v>
      </c>
    </row>
    <row r="551">
      <c r="A551" s="2">
        <f>IFERROR(__xludf.DUMMYFUNCTION("""COMPUTED_VALUE"""),44897.66666666667)</f>
        <v>44897.66667</v>
      </c>
      <c r="B551" s="1">
        <f>IFERROR(__xludf.DUMMYFUNCTION("""COMPUTED_VALUE"""),90.92)</f>
        <v>90.92</v>
      </c>
    </row>
    <row r="552">
      <c r="A552" s="2">
        <f>IFERROR(__xludf.DUMMYFUNCTION("""COMPUTED_VALUE"""),44900.66666666667)</f>
        <v>44900.66667</v>
      </c>
      <c r="B552" s="1">
        <f>IFERROR(__xludf.DUMMYFUNCTION("""COMPUTED_VALUE"""),91.23)</f>
        <v>91.23</v>
      </c>
    </row>
    <row r="553">
      <c r="A553" s="2">
        <f>IFERROR(__xludf.DUMMYFUNCTION("""COMPUTED_VALUE"""),44901.66666666667)</f>
        <v>44901.66667</v>
      </c>
      <c r="B553" s="1">
        <f>IFERROR(__xludf.DUMMYFUNCTION("""COMPUTED_VALUE"""),90.8)</f>
        <v>90.8</v>
      </c>
    </row>
    <row r="554">
      <c r="A554" s="2">
        <f>IFERROR(__xludf.DUMMYFUNCTION("""COMPUTED_VALUE"""),44902.66666666667)</f>
        <v>44902.66667</v>
      </c>
      <c r="B554" s="1">
        <f>IFERROR(__xludf.DUMMYFUNCTION("""COMPUTED_VALUE"""),89.99)</f>
        <v>89.99</v>
      </c>
    </row>
    <row r="555">
      <c r="A555" s="2">
        <f>IFERROR(__xludf.DUMMYFUNCTION("""COMPUTED_VALUE"""),44903.66666666667)</f>
        <v>44903.66667</v>
      </c>
      <c r="B555" s="1">
        <f>IFERROR(__xludf.DUMMYFUNCTION("""COMPUTED_VALUE"""),89.31)</f>
        <v>89.31</v>
      </c>
    </row>
    <row r="556">
      <c r="A556" s="2">
        <f>IFERROR(__xludf.DUMMYFUNCTION("""COMPUTED_VALUE"""),44904.66666666667)</f>
        <v>44904.66667</v>
      </c>
      <c r="B556" s="1">
        <f>IFERROR(__xludf.DUMMYFUNCTION("""COMPUTED_VALUE"""),89.81)</f>
        <v>89.81</v>
      </c>
    </row>
    <row r="557">
      <c r="A557" s="2">
        <f>IFERROR(__xludf.DUMMYFUNCTION("""COMPUTED_VALUE"""),44907.66666666667)</f>
        <v>44907.66667</v>
      </c>
      <c r="B557" s="1">
        <f>IFERROR(__xludf.DUMMYFUNCTION("""COMPUTED_VALUE"""),89.4)</f>
        <v>89.4</v>
      </c>
    </row>
    <row r="558">
      <c r="A558" s="2">
        <f>IFERROR(__xludf.DUMMYFUNCTION("""COMPUTED_VALUE"""),44908.66666666667)</f>
        <v>44908.66667</v>
      </c>
      <c r="B558" s="1">
        <f>IFERROR(__xludf.DUMMYFUNCTION("""COMPUTED_VALUE"""),89.63)</f>
        <v>89.63</v>
      </c>
    </row>
    <row r="559">
      <c r="A559" s="2">
        <f>IFERROR(__xludf.DUMMYFUNCTION("""COMPUTED_VALUE"""),44909.66666666667)</f>
        <v>44909.66667</v>
      </c>
      <c r="B559" s="1">
        <f>IFERROR(__xludf.DUMMYFUNCTION("""COMPUTED_VALUE"""),90.26)</f>
        <v>90.26</v>
      </c>
    </row>
    <row r="560">
      <c r="A560" s="2">
        <f>IFERROR(__xludf.DUMMYFUNCTION("""COMPUTED_VALUE"""),44910.66666666667)</f>
        <v>44910.66667</v>
      </c>
      <c r="B560" s="1">
        <f>IFERROR(__xludf.DUMMYFUNCTION("""COMPUTED_VALUE"""),89.66)</f>
        <v>89.66</v>
      </c>
    </row>
    <row r="561">
      <c r="A561" s="2">
        <f>IFERROR(__xludf.DUMMYFUNCTION("""COMPUTED_VALUE"""),44911.66666666667)</f>
        <v>44911.66667</v>
      </c>
      <c r="B561" s="1">
        <f>IFERROR(__xludf.DUMMYFUNCTION("""COMPUTED_VALUE"""),88.98)</f>
        <v>88.98</v>
      </c>
    </row>
    <row r="562">
      <c r="A562" s="2">
        <f>IFERROR(__xludf.DUMMYFUNCTION("""COMPUTED_VALUE"""),44914.66666666667)</f>
        <v>44914.66667</v>
      </c>
      <c r="B562" s="1">
        <f>IFERROR(__xludf.DUMMYFUNCTION("""COMPUTED_VALUE"""),88.8)</f>
        <v>88.8</v>
      </c>
    </row>
    <row r="563">
      <c r="A563" s="2">
        <f>IFERROR(__xludf.DUMMYFUNCTION("""COMPUTED_VALUE"""),44915.66666666667)</f>
        <v>44915.66667</v>
      </c>
      <c r="B563" s="1">
        <f>IFERROR(__xludf.DUMMYFUNCTION("""COMPUTED_VALUE"""),87.44)</f>
        <v>87.44</v>
      </c>
    </row>
    <row r="564">
      <c r="A564" s="2">
        <f>IFERROR(__xludf.DUMMYFUNCTION("""COMPUTED_VALUE"""),44916.66666666667)</f>
        <v>44916.66667</v>
      </c>
      <c r="B564" s="1">
        <f>IFERROR(__xludf.DUMMYFUNCTION("""COMPUTED_VALUE"""),88.5)</f>
        <v>88.5</v>
      </c>
    </row>
    <row r="565">
      <c r="A565" s="2">
        <f>IFERROR(__xludf.DUMMYFUNCTION("""COMPUTED_VALUE"""),44917.66666666667)</f>
        <v>44917.66667</v>
      </c>
      <c r="B565" s="1">
        <f>IFERROR(__xludf.DUMMYFUNCTION("""COMPUTED_VALUE"""),88.95)</f>
        <v>88.95</v>
      </c>
    </row>
    <row r="566">
      <c r="A566" s="2">
        <f>IFERROR(__xludf.DUMMYFUNCTION("""COMPUTED_VALUE"""),44918.66666666667)</f>
        <v>44918.66667</v>
      </c>
      <c r="B566" s="1">
        <f>IFERROR(__xludf.DUMMYFUNCTION("""COMPUTED_VALUE"""),88.36)</f>
        <v>88.36</v>
      </c>
    </row>
    <row r="567">
      <c r="A567" s="2">
        <f>IFERROR(__xludf.DUMMYFUNCTION("""COMPUTED_VALUE"""),44923.66666666667)</f>
        <v>44923.66667</v>
      </c>
      <c r="B567" s="1">
        <f>IFERROR(__xludf.DUMMYFUNCTION("""COMPUTED_VALUE"""),88.17)</f>
        <v>88.17</v>
      </c>
    </row>
    <row r="568">
      <c r="A568" s="2">
        <f>IFERROR(__xludf.DUMMYFUNCTION("""COMPUTED_VALUE"""),44924.66666666667)</f>
        <v>44924.66667</v>
      </c>
      <c r="B568" s="1">
        <f>IFERROR(__xludf.DUMMYFUNCTION("""COMPUTED_VALUE"""),87.44)</f>
        <v>87.44</v>
      </c>
    </row>
    <row r="569">
      <c r="A569" s="2">
        <f>IFERROR(__xludf.DUMMYFUNCTION("""COMPUTED_VALUE"""),44925.66666666667)</f>
        <v>44925.66667</v>
      </c>
      <c r="B569" s="1">
        <f>IFERROR(__xludf.DUMMYFUNCTION("""COMPUTED_VALUE"""),87.7)</f>
        <v>87.7</v>
      </c>
    </row>
    <row r="570">
      <c r="A570" s="2">
        <f>IFERROR(__xludf.DUMMYFUNCTION("""COMPUTED_VALUE"""),44929.66666666667)</f>
        <v>44929.66667</v>
      </c>
      <c r="B570" s="1">
        <f>IFERROR(__xludf.DUMMYFUNCTION("""COMPUTED_VALUE"""),85.82)</f>
        <v>85.82</v>
      </c>
    </row>
    <row r="571">
      <c r="A571" s="2">
        <f>IFERROR(__xludf.DUMMYFUNCTION("""COMPUTED_VALUE"""),44930.66666666667)</f>
        <v>44930.66667</v>
      </c>
      <c r="B571" s="1">
        <f>IFERROR(__xludf.DUMMYFUNCTION("""COMPUTED_VALUE"""),87.19)</f>
        <v>87.19</v>
      </c>
    </row>
    <row r="572">
      <c r="A572" s="2">
        <f>IFERROR(__xludf.DUMMYFUNCTION("""COMPUTED_VALUE"""),44931.66666666667)</f>
        <v>44931.66667</v>
      </c>
      <c r="B572" s="1">
        <f>IFERROR(__xludf.DUMMYFUNCTION("""COMPUTED_VALUE"""),87.32)</f>
        <v>87.32</v>
      </c>
    </row>
    <row r="573">
      <c r="A573" s="2">
        <f>IFERROR(__xludf.DUMMYFUNCTION("""COMPUTED_VALUE"""),44932.66666666667)</f>
        <v>44932.66667</v>
      </c>
      <c r="B573" s="1">
        <f>IFERROR(__xludf.DUMMYFUNCTION("""COMPUTED_VALUE"""),87.87)</f>
        <v>87.87</v>
      </c>
    </row>
    <row r="574">
      <c r="A574" s="2">
        <f>IFERROR(__xludf.DUMMYFUNCTION("""COMPUTED_VALUE"""),44935.66666666667)</f>
        <v>44935.66667</v>
      </c>
      <c r="B574" s="1">
        <f>IFERROR(__xludf.DUMMYFUNCTION("""COMPUTED_VALUE"""),88.4)</f>
        <v>88.4</v>
      </c>
    </row>
    <row r="575">
      <c r="A575" s="2">
        <f>IFERROR(__xludf.DUMMYFUNCTION("""COMPUTED_VALUE"""),44936.66666666667)</f>
        <v>44936.66667</v>
      </c>
      <c r="B575" s="1">
        <f>IFERROR(__xludf.DUMMYFUNCTION("""COMPUTED_VALUE"""),88.14)</f>
        <v>88.14</v>
      </c>
    </row>
    <row r="576">
      <c r="A576" s="2">
        <f>IFERROR(__xludf.DUMMYFUNCTION("""COMPUTED_VALUE"""),44937.66666666667)</f>
        <v>44937.66667</v>
      </c>
      <c r="B576" s="1">
        <f>IFERROR(__xludf.DUMMYFUNCTION("""COMPUTED_VALUE"""),88.96)</f>
        <v>88.96</v>
      </c>
    </row>
    <row r="577">
      <c r="A577" s="2">
        <f>IFERROR(__xludf.DUMMYFUNCTION("""COMPUTED_VALUE"""),44938.66666666667)</f>
        <v>44938.66667</v>
      </c>
      <c r="B577" s="1">
        <f>IFERROR(__xludf.DUMMYFUNCTION("""COMPUTED_VALUE"""),90.0)</f>
        <v>90</v>
      </c>
    </row>
    <row r="578">
      <c r="A578" s="2">
        <f>IFERROR(__xludf.DUMMYFUNCTION("""COMPUTED_VALUE"""),44939.66666666667)</f>
        <v>44939.66667</v>
      </c>
      <c r="B578" s="1">
        <f>IFERROR(__xludf.DUMMYFUNCTION("""COMPUTED_VALUE"""),90.65)</f>
        <v>90.65</v>
      </c>
    </row>
    <row r="579">
      <c r="A579" s="2">
        <f>IFERROR(__xludf.DUMMYFUNCTION("""COMPUTED_VALUE"""),44942.66666666667)</f>
        <v>44942.66667</v>
      </c>
      <c r="B579" s="1">
        <f>IFERROR(__xludf.DUMMYFUNCTION("""COMPUTED_VALUE"""),91.41)</f>
        <v>91.41</v>
      </c>
    </row>
    <row r="580">
      <c r="A580" s="2">
        <f>IFERROR(__xludf.DUMMYFUNCTION("""COMPUTED_VALUE"""),44943.66666666667)</f>
        <v>44943.66667</v>
      </c>
      <c r="B580" s="1">
        <f>IFERROR(__xludf.DUMMYFUNCTION("""COMPUTED_VALUE"""),91.31)</f>
        <v>91.31</v>
      </c>
    </row>
    <row r="581">
      <c r="A581" s="2">
        <f>IFERROR(__xludf.DUMMYFUNCTION("""COMPUTED_VALUE"""),44944.66666666667)</f>
        <v>44944.66667</v>
      </c>
      <c r="B581" s="1">
        <f>IFERROR(__xludf.DUMMYFUNCTION("""COMPUTED_VALUE"""),91.4)</f>
        <v>91.4</v>
      </c>
    </row>
    <row r="582">
      <c r="A582" s="2">
        <f>IFERROR(__xludf.DUMMYFUNCTION("""COMPUTED_VALUE"""),44945.66666666667)</f>
        <v>44945.66667</v>
      </c>
      <c r="B582" s="1">
        <f>IFERROR(__xludf.DUMMYFUNCTION("""COMPUTED_VALUE"""),91.95)</f>
        <v>91.95</v>
      </c>
    </row>
    <row r="583">
      <c r="A583" s="2">
        <f>IFERROR(__xludf.DUMMYFUNCTION("""COMPUTED_VALUE"""),44946.66666666667)</f>
        <v>44946.66667</v>
      </c>
      <c r="B583" s="1">
        <f>IFERROR(__xludf.DUMMYFUNCTION("""COMPUTED_VALUE"""),92.07)</f>
        <v>92.07</v>
      </c>
    </row>
    <row r="584">
      <c r="A584" s="2">
        <f>IFERROR(__xludf.DUMMYFUNCTION("""COMPUTED_VALUE"""),44949.66666666667)</f>
        <v>44949.66667</v>
      </c>
      <c r="B584" s="1">
        <f>IFERROR(__xludf.DUMMYFUNCTION("""COMPUTED_VALUE"""),92.2)</f>
        <v>92.2</v>
      </c>
    </row>
    <row r="585">
      <c r="A585" s="2">
        <f>IFERROR(__xludf.DUMMYFUNCTION("""COMPUTED_VALUE"""),44950.66666666667)</f>
        <v>44950.66667</v>
      </c>
      <c r="B585" s="1">
        <f>IFERROR(__xludf.DUMMYFUNCTION("""COMPUTED_VALUE"""),92.62)</f>
        <v>92.62</v>
      </c>
    </row>
    <row r="586">
      <c r="A586" s="2">
        <f>IFERROR(__xludf.DUMMYFUNCTION("""COMPUTED_VALUE"""),44951.66666666667)</f>
        <v>44951.66667</v>
      </c>
      <c r="B586" s="1">
        <f>IFERROR(__xludf.DUMMYFUNCTION("""COMPUTED_VALUE"""),92.35)</f>
        <v>92.35</v>
      </c>
    </row>
    <row r="587">
      <c r="A587" s="2">
        <f>IFERROR(__xludf.DUMMYFUNCTION("""COMPUTED_VALUE"""),44953.66666666667)</f>
        <v>44953.66667</v>
      </c>
      <c r="B587" s="1">
        <f>IFERROR(__xludf.DUMMYFUNCTION("""COMPUTED_VALUE"""),92.59)</f>
        <v>92.59</v>
      </c>
    </row>
    <row r="588">
      <c r="A588" s="2">
        <f>IFERROR(__xludf.DUMMYFUNCTION("""COMPUTED_VALUE"""),44956.66666666667)</f>
        <v>44956.66667</v>
      </c>
      <c r="B588" s="1">
        <f>IFERROR(__xludf.DUMMYFUNCTION("""COMPUTED_VALUE"""),92.48)</f>
        <v>92.48</v>
      </c>
    </row>
    <row r="589">
      <c r="A589" s="2">
        <f>IFERROR(__xludf.DUMMYFUNCTION("""COMPUTED_VALUE"""),44957.66666666667)</f>
        <v>44957.66667</v>
      </c>
      <c r="B589" s="1">
        <f>IFERROR(__xludf.DUMMYFUNCTION("""COMPUTED_VALUE"""),92.44)</f>
        <v>92.44</v>
      </c>
    </row>
    <row r="590">
      <c r="A590" s="2">
        <f>IFERROR(__xludf.DUMMYFUNCTION("""COMPUTED_VALUE"""),44958.66666666667)</f>
        <v>44958.66667</v>
      </c>
      <c r="B590" s="1">
        <f>IFERROR(__xludf.DUMMYFUNCTION("""COMPUTED_VALUE"""),92.69)</f>
        <v>92.69</v>
      </c>
    </row>
    <row r="591">
      <c r="A591" s="2">
        <f>IFERROR(__xludf.DUMMYFUNCTION("""COMPUTED_VALUE"""),44959.66666666667)</f>
        <v>44959.66667</v>
      </c>
      <c r="B591" s="1">
        <f>IFERROR(__xludf.DUMMYFUNCTION("""COMPUTED_VALUE"""),92.84)</f>
        <v>92.84</v>
      </c>
    </row>
    <row r="592">
      <c r="A592" s="2">
        <f>IFERROR(__xludf.DUMMYFUNCTION("""COMPUTED_VALUE"""),44960.66666666667)</f>
        <v>44960.66667</v>
      </c>
      <c r="B592" s="1">
        <f>IFERROR(__xludf.DUMMYFUNCTION("""COMPUTED_VALUE"""),93.43)</f>
        <v>93.43</v>
      </c>
    </row>
    <row r="593">
      <c r="A593" s="2">
        <f>IFERROR(__xludf.DUMMYFUNCTION("""COMPUTED_VALUE"""),44963.66666666667)</f>
        <v>44963.66667</v>
      </c>
      <c r="B593" s="1">
        <f>IFERROR(__xludf.DUMMYFUNCTION("""COMPUTED_VALUE"""),93.17)</f>
        <v>93.17</v>
      </c>
    </row>
    <row r="594">
      <c r="A594" s="2">
        <f>IFERROR(__xludf.DUMMYFUNCTION("""COMPUTED_VALUE"""),44964.66666666667)</f>
        <v>44964.66667</v>
      </c>
      <c r="B594" s="1">
        <f>IFERROR(__xludf.DUMMYFUNCTION("""COMPUTED_VALUE"""),92.65)</f>
        <v>92.65</v>
      </c>
    </row>
    <row r="595">
      <c r="A595" s="2">
        <f>IFERROR(__xludf.DUMMYFUNCTION("""COMPUTED_VALUE"""),44965.66666666667)</f>
        <v>44965.66667</v>
      </c>
      <c r="B595" s="1">
        <f>IFERROR(__xludf.DUMMYFUNCTION("""COMPUTED_VALUE"""),93.03)</f>
        <v>93.03</v>
      </c>
    </row>
    <row r="596">
      <c r="A596" s="2">
        <f>IFERROR(__xludf.DUMMYFUNCTION("""COMPUTED_VALUE"""),44966.66666666667)</f>
        <v>44966.66667</v>
      </c>
      <c r="B596" s="1">
        <f>IFERROR(__xludf.DUMMYFUNCTION("""COMPUTED_VALUE"""),92.54)</f>
        <v>92.54</v>
      </c>
    </row>
    <row r="597">
      <c r="A597" s="2">
        <f>IFERROR(__xludf.DUMMYFUNCTION("""COMPUTED_VALUE"""),44967.66666666667)</f>
        <v>44967.66667</v>
      </c>
      <c r="B597" s="1">
        <f>IFERROR(__xludf.DUMMYFUNCTION("""COMPUTED_VALUE"""),91.8)</f>
        <v>91.8</v>
      </c>
    </row>
    <row r="598">
      <c r="A598" s="2">
        <f>IFERROR(__xludf.DUMMYFUNCTION("""COMPUTED_VALUE"""),44970.66666666667)</f>
        <v>44970.66667</v>
      </c>
      <c r="B598" s="1">
        <f>IFERROR(__xludf.DUMMYFUNCTION("""COMPUTED_VALUE"""),91.6)</f>
        <v>91.6</v>
      </c>
    </row>
    <row r="599">
      <c r="A599" s="2">
        <f>IFERROR(__xludf.DUMMYFUNCTION("""COMPUTED_VALUE"""),44971.66666666667)</f>
        <v>44971.66667</v>
      </c>
      <c r="B599" s="1">
        <f>IFERROR(__xludf.DUMMYFUNCTION("""COMPUTED_VALUE"""),91.75)</f>
        <v>91.75</v>
      </c>
    </row>
    <row r="600">
      <c r="A600" s="2">
        <f>IFERROR(__xludf.DUMMYFUNCTION("""COMPUTED_VALUE"""),44972.66666666667)</f>
        <v>44972.66667</v>
      </c>
      <c r="B600" s="1">
        <f>IFERROR(__xludf.DUMMYFUNCTION("""COMPUTED_VALUE"""),90.86)</f>
        <v>90.86</v>
      </c>
    </row>
    <row r="601">
      <c r="A601" s="2">
        <f>IFERROR(__xludf.DUMMYFUNCTION("""COMPUTED_VALUE"""),44973.66666666667)</f>
        <v>44973.66667</v>
      </c>
      <c r="B601" s="1">
        <f>IFERROR(__xludf.DUMMYFUNCTION("""COMPUTED_VALUE"""),91.56)</f>
        <v>91.56</v>
      </c>
    </row>
    <row r="602">
      <c r="A602" s="2">
        <f>IFERROR(__xludf.DUMMYFUNCTION("""COMPUTED_VALUE"""),44974.66666666667)</f>
        <v>44974.66667</v>
      </c>
      <c r="B602" s="1">
        <f>IFERROR(__xludf.DUMMYFUNCTION("""COMPUTED_VALUE"""),90.81)</f>
        <v>90.81</v>
      </c>
    </row>
    <row r="603">
      <c r="A603" s="2">
        <f>IFERROR(__xludf.DUMMYFUNCTION("""COMPUTED_VALUE"""),44977.66666666667)</f>
        <v>44977.66667</v>
      </c>
      <c r="B603" s="1">
        <f>IFERROR(__xludf.DUMMYFUNCTION("""COMPUTED_VALUE"""),90.87)</f>
        <v>90.87</v>
      </c>
    </row>
    <row r="604">
      <c r="A604" s="2">
        <f>IFERROR(__xludf.DUMMYFUNCTION("""COMPUTED_VALUE"""),44978.66666666667)</f>
        <v>44978.66667</v>
      </c>
      <c r="B604" s="1">
        <f>IFERROR(__xludf.DUMMYFUNCTION("""COMPUTED_VALUE"""),90.7)</f>
        <v>90.7</v>
      </c>
    </row>
    <row r="605">
      <c r="A605" s="2">
        <f>IFERROR(__xludf.DUMMYFUNCTION("""COMPUTED_VALUE"""),44979.66666666667)</f>
        <v>44979.66667</v>
      </c>
      <c r="B605" s="1">
        <f>IFERROR(__xludf.DUMMYFUNCTION("""COMPUTED_VALUE"""),90.52)</f>
        <v>90.52</v>
      </c>
    </row>
    <row r="606">
      <c r="A606" s="2">
        <f>IFERROR(__xludf.DUMMYFUNCTION("""COMPUTED_VALUE"""),44980.66666666667)</f>
        <v>44980.66667</v>
      </c>
      <c r="B606" s="1">
        <f>IFERROR(__xludf.DUMMYFUNCTION("""COMPUTED_VALUE"""),90.25)</f>
        <v>90.25</v>
      </c>
    </row>
    <row r="607">
      <c r="A607" s="2">
        <f>IFERROR(__xludf.DUMMYFUNCTION("""COMPUTED_VALUE"""),44981.66666666667)</f>
        <v>44981.66667</v>
      </c>
      <c r="B607" s="1">
        <f>IFERROR(__xludf.DUMMYFUNCTION("""COMPUTED_VALUE"""),90.49)</f>
        <v>90.49</v>
      </c>
    </row>
    <row r="608">
      <c r="A608" s="2">
        <f>IFERROR(__xludf.DUMMYFUNCTION("""COMPUTED_VALUE"""),44984.66666666667)</f>
        <v>44984.66667</v>
      </c>
      <c r="B608" s="1">
        <f>IFERROR(__xludf.DUMMYFUNCTION("""COMPUTED_VALUE"""),89.52)</f>
        <v>89.52</v>
      </c>
    </row>
    <row r="609">
      <c r="A609" s="2">
        <f>IFERROR(__xludf.DUMMYFUNCTION("""COMPUTED_VALUE"""),44985.66666666667)</f>
        <v>44985.66667</v>
      </c>
      <c r="B609" s="1">
        <f>IFERROR(__xludf.DUMMYFUNCTION("""COMPUTED_VALUE"""),89.91)</f>
        <v>89.91</v>
      </c>
    </row>
    <row r="610">
      <c r="A610" s="2">
        <f>IFERROR(__xludf.DUMMYFUNCTION("""COMPUTED_VALUE"""),44986.66666666667)</f>
        <v>44986.66667</v>
      </c>
      <c r="B610" s="1">
        <f>IFERROR(__xludf.DUMMYFUNCTION("""COMPUTED_VALUE"""),89.96)</f>
        <v>89.96</v>
      </c>
    </row>
    <row r="611">
      <c r="A611" s="2">
        <f>IFERROR(__xludf.DUMMYFUNCTION("""COMPUTED_VALUE"""),44987.66666666667)</f>
        <v>44987.66667</v>
      </c>
      <c r="B611" s="1">
        <f>IFERROR(__xludf.DUMMYFUNCTION("""COMPUTED_VALUE"""),90.1)</f>
        <v>90.1</v>
      </c>
    </row>
    <row r="612">
      <c r="A612" s="2">
        <f>IFERROR(__xludf.DUMMYFUNCTION("""COMPUTED_VALUE"""),44988.66666666667)</f>
        <v>44988.66667</v>
      </c>
      <c r="B612" s="1">
        <f>IFERROR(__xludf.DUMMYFUNCTION("""COMPUTED_VALUE"""),90.46)</f>
        <v>90.46</v>
      </c>
    </row>
    <row r="613">
      <c r="A613" s="2">
        <f>IFERROR(__xludf.DUMMYFUNCTION("""COMPUTED_VALUE"""),44991.66666666667)</f>
        <v>44991.66667</v>
      </c>
      <c r="B613" s="1">
        <f>IFERROR(__xludf.DUMMYFUNCTION("""COMPUTED_VALUE"""),91.04)</f>
        <v>91.04</v>
      </c>
    </row>
    <row r="614">
      <c r="A614" s="2">
        <f>IFERROR(__xludf.DUMMYFUNCTION("""COMPUTED_VALUE"""),44992.66666666667)</f>
        <v>44992.66667</v>
      </c>
      <c r="B614" s="1">
        <f>IFERROR(__xludf.DUMMYFUNCTION("""COMPUTED_VALUE"""),91.54)</f>
        <v>91.54</v>
      </c>
    </row>
    <row r="615">
      <c r="A615" s="2">
        <f>IFERROR(__xludf.DUMMYFUNCTION("""COMPUTED_VALUE"""),44993.66666666667)</f>
        <v>44993.66667</v>
      </c>
      <c r="B615" s="1">
        <f>IFERROR(__xludf.DUMMYFUNCTION("""COMPUTED_VALUE"""),90.99)</f>
        <v>90.99</v>
      </c>
    </row>
    <row r="616">
      <c r="A616" s="2">
        <f>IFERROR(__xludf.DUMMYFUNCTION("""COMPUTED_VALUE"""),44994.66666666667)</f>
        <v>44994.66667</v>
      </c>
      <c r="B616" s="1">
        <f>IFERROR(__xludf.DUMMYFUNCTION("""COMPUTED_VALUE"""),91.45)</f>
        <v>91.45</v>
      </c>
    </row>
    <row r="617">
      <c r="A617" s="2">
        <f>IFERROR(__xludf.DUMMYFUNCTION("""COMPUTED_VALUE"""),44995.66666666667)</f>
        <v>44995.66667</v>
      </c>
      <c r="B617" s="1">
        <f>IFERROR(__xludf.DUMMYFUNCTION("""COMPUTED_VALUE"""),89.34)</f>
        <v>89.34</v>
      </c>
    </row>
    <row r="618">
      <c r="A618" s="2">
        <f>IFERROR(__xludf.DUMMYFUNCTION("""COMPUTED_VALUE"""),44998.66666666667)</f>
        <v>44998.66667</v>
      </c>
      <c r="B618" s="1">
        <f>IFERROR(__xludf.DUMMYFUNCTION("""COMPUTED_VALUE"""),88.87)</f>
        <v>88.87</v>
      </c>
    </row>
    <row r="619">
      <c r="A619" s="2">
        <f>IFERROR(__xludf.DUMMYFUNCTION("""COMPUTED_VALUE"""),44999.66666666667)</f>
        <v>44999.66667</v>
      </c>
      <c r="B619" s="1">
        <f>IFERROR(__xludf.DUMMYFUNCTION("""COMPUTED_VALUE"""),87.54)</f>
        <v>87.54</v>
      </c>
    </row>
    <row r="620">
      <c r="A620" s="2">
        <f>IFERROR(__xludf.DUMMYFUNCTION("""COMPUTED_VALUE"""),45000.66666666667)</f>
        <v>45000.66667</v>
      </c>
      <c r="B620" s="1">
        <f>IFERROR(__xludf.DUMMYFUNCTION("""COMPUTED_VALUE"""),88.35)</f>
        <v>88.35</v>
      </c>
    </row>
    <row r="621">
      <c r="A621" s="2">
        <f>IFERROR(__xludf.DUMMYFUNCTION("""COMPUTED_VALUE"""),45001.66666666667)</f>
        <v>45001.66667</v>
      </c>
      <c r="B621" s="1">
        <f>IFERROR(__xludf.DUMMYFUNCTION("""COMPUTED_VALUE"""),87.17)</f>
        <v>87.17</v>
      </c>
    </row>
    <row r="622">
      <c r="A622" s="2">
        <f>IFERROR(__xludf.DUMMYFUNCTION("""COMPUTED_VALUE"""),45002.66666666667)</f>
        <v>45002.66667</v>
      </c>
      <c r="B622" s="1">
        <f>IFERROR(__xludf.DUMMYFUNCTION("""COMPUTED_VALUE"""),87.49)</f>
        <v>87.49</v>
      </c>
    </row>
    <row r="623">
      <c r="A623" s="2">
        <f>IFERROR(__xludf.DUMMYFUNCTION("""COMPUTED_VALUE"""),45005.66666666667)</f>
        <v>45005.66667</v>
      </c>
      <c r="B623" s="1">
        <f>IFERROR(__xludf.DUMMYFUNCTION("""COMPUTED_VALUE"""),86.29)</f>
        <v>86.29</v>
      </c>
    </row>
    <row r="624">
      <c r="A624" s="2">
        <f>IFERROR(__xludf.DUMMYFUNCTION("""COMPUTED_VALUE"""),45006.66666666667)</f>
        <v>45006.66667</v>
      </c>
      <c r="B624" s="1">
        <f>IFERROR(__xludf.DUMMYFUNCTION("""COMPUTED_VALUE"""),87.03)</f>
        <v>87.03</v>
      </c>
    </row>
    <row r="625">
      <c r="A625" s="2">
        <f>IFERROR(__xludf.DUMMYFUNCTION("""COMPUTED_VALUE"""),45007.66666666667)</f>
        <v>45007.66667</v>
      </c>
      <c r="B625" s="1">
        <f>IFERROR(__xludf.DUMMYFUNCTION("""COMPUTED_VALUE"""),87.77)</f>
        <v>87.77</v>
      </c>
    </row>
    <row r="626">
      <c r="A626" s="2">
        <f>IFERROR(__xludf.DUMMYFUNCTION("""COMPUTED_VALUE"""),45008.66666666667)</f>
        <v>45008.66667</v>
      </c>
      <c r="B626" s="1">
        <f>IFERROR(__xludf.DUMMYFUNCTION("""COMPUTED_VALUE"""),87.15)</f>
        <v>87.15</v>
      </c>
    </row>
    <row r="627">
      <c r="A627" s="2">
        <f>IFERROR(__xludf.DUMMYFUNCTION("""COMPUTED_VALUE"""),45009.66666666667)</f>
        <v>45009.66667</v>
      </c>
      <c r="B627" s="1">
        <f>IFERROR(__xludf.DUMMYFUNCTION("""COMPUTED_VALUE"""),86.98)</f>
        <v>86.98</v>
      </c>
    </row>
    <row r="628">
      <c r="A628" s="2">
        <f>IFERROR(__xludf.DUMMYFUNCTION("""COMPUTED_VALUE"""),45012.66666666667)</f>
        <v>45012.66667</v>
      </c>
      <c r="B628" s="1">
        <f>IFERROR(__xludf.DUMMYFUNCTION("""COMPUTED_VALUE"""),87.1)</f>
        <v>87.1</v>
      </c>
    </row>
    <row r="629">
      <c r="A629" s="2">
        <f>IFERROR(__xludf.DUMMYFUNCTION("""COMPUTED_VALUE"""),45013.66666666667)</f>
        <v>45013.66667</v>
      </c>
      <c r="B629" s="1">
        <f>IFERROR(__xludf.DUMMYFUNCTION("""COMPUTED_VALUE"""),87.95)</f>
        <v>87.95</v>
      </c>
    </row>
    <row r="630">
      <c r="A630" s="2">
        <f>IFERROR(__xludf.DUMMYFUNCTION("""COMPUTED_VALUE"""),45014.66666666667)</f>
        <v>45014.66667</v>
      </c>
      <c r="B630" s="1">
        <f>IFERROR(__xludf.DUMMYFUNCTION("""COMPUTED_VALUE"""),88.18)</f>
        <v>88.18</v>
      </c>
    </row>
    <row r="631">
      <c r="A631" s="2">
        <f>IFERROR(__xludf.DUMMYFUNCTION("""COMPUTED_VALUE"""),45015.66666666667)</f>
        <v>45015.66667</v>
      </c>
      <c r="B631" s="1">
        <f>IFERROR(__xludf.DUMMYFUNCTION("""COMPUTED_VALUE"""),89.05)</f>
        <v>89.05</v>
      </c>
    </row>
    <row r="632">
      <c r="A632" s="2">
        <f>IFERROR(__xludf.DUMMYFUNCTION("""COMPUTED_VALUE"""),45016.66666666667)</f>
        <v>45016.66667</v>
      </c>
      <c r="B632" s="1">
        <f>IFERROR(__xludf.DUMMYFUNCTION("""COMPUTED_VALUE"""),89.78)</f>
        <v>89.78</v>
      </c>
    </row>
    <row r="633">
      <c r="A633" s="2">
        <f>IFERROR(__xludf.DUMMYFUNCTION("""COMPUTED_VALUE"""),45019.66666666667)</f>
        <v>45019.66667</v>
      </c>
      <c r="B633" s="1">
        <f>IFERROR(__xludf.DUMMYFUNCTION("""COMPUTED_VALUE"""),89.79)</f>
        <v>89.79</v>
      </c>
    </row>
    <row r="634">
      <c r="A634" s="2">
        <f>IFERROR(__xludf.DUMMYFUNCTION("""COMPUTED_VALUE"""),45020.66666666667)</f>
        <v>45020.66667</v>
      </c>
      <c r="B634" s="1">
        <f>IFERROR(__xludf.DUMMYFUNCTION("""COMPUTED_VALUE"""),89.93)</f>
        <v>89.93</v>
      </c>
    </row>
    <row r="635">
      <c r="A635" s="2">
        <f>IFERROR(__xludf.DUMMYFUNCTION("""COMPUTED_VALUE"""),45021.66666666667)</f>
        <v>45021.66667</v>
      </c>
      <c r="B635" s="1">
        <f>IFERROR(__xludf.DUMMYFUNCTION("""COMPUTED_VALUE"""),89.94)</f>
        <v>89.94</v>
      </c>
    </row>
    <row r="636">
      <c r="A636" s="2">
        <f>IFERROR(__xludf.DUMMYFUNCTION("""COMPUTED_VALUE"""),45022.66666666667)</f>
        <v>45022.66667</v>
      </c>
      <c r="B636" s="1">
        <f>IFERROR(__xludf.DUMMYFUNCTION("""COMPUTED_VALUE"""),89.73)</f>
        <v>89.73</v>
      </c>
    </row>
    <row r="637">
      <c r="A637" s="2">
        <f>IFERROR(__xludf.DUMMYFUNCTION("""COMPUTED_VALUE"""),45027.66666666667)</f>
        <v>45027.66667</v>
      </c>
      <c r="B637" s="1">
        <f>IFERROR(__xludf.DUMMYFUNCTION("""COMPUTED_VALUE"""),90.88)</f>
        <v>90.88</v>
      </c>
    </row>
    <row r="638">
      <c r="A638" s="2">
        <f>IFERROR(__xludf.DUMMYFUNCTION("""COMPUTED_VALUE"""),45028.66666666667)</f>
        <v>45028.66667</v>
      </c>
      <c r="B638" s="1">
        <f>IFERROR(__xludf.DUMMYFUNCTION("""COMPUTED_VALUE"""),91.31)</f>
        <v>91.31</v>
      </c>
    </row>
    <row r="639">
      <c r="A639" s="2">
        <f>IFERROR(__xludf.DUMMYFUNCTION("""COMPUTED_VALUE"""),45029.66666666667)</f>
        <v>45029.66667</v>
      </c>
      <c r="B639" s="1">
        <f>IFERROR(__xludf.DUMMYFUNCTION("""COMPUTED_VALUE"""),90.98)</f>
        <v>90.98</v>
      </c>
    </row>
    <row r="640">
      <c r="A640" s="2">
        <f>IFERROR(__xludf.DUMMYFUNCTION("""COMPUTED_VALUE"""),45030.66666666667)</f>
        <v>45030.66667</v>
      </c>
      <c r="B640" s="1">
        <f>IFERROR(__xludf.DUMMYFUNCTION("""COMPUTED_VALUE"""),91.51)</f>
        <v>91.51</v>
      </c>
    </row>
    <row r="641">
      <c r="A641" s="2">
        <f>IFERROR(__xludf.DUMMYFUNCTION("""COMPUTED_VALUE"""),45033.66666666667)</f>
        <v>45033.66667</v>
      </c>
      <c r="B641" s="1">
        <f>IFERROR(__xludf.DUMMYFUNCTION("""COMPUTED_VALUE"""),91.77)</f>
        <v>91.77</v>
      </c>
    </row>
    <row r="642">
      <c r="A642" s="2">
        <f>IFERROR(__xludf.DUMMYFUNCTION("""COMPUTED_VALUE"""),45034.66666666667)</f>
        <v>45034.66667</v>
      </c>
      <c r="B642" s="1">
        <f>IFERROR(__xludf.DUMMYFUNCTION("""COMPUTED_VALUE"""),91.47)</f>
        <v>91.47</v>
      </c>
    </row>
    <row r="643">
      <c r="A643" s="2">
        <f>IFERROR(__xludf.DUMMYFUNCTION("""COMPUTED_VALUE"""),45035.66666666667)</f>
        <v>45035.66667</v>
      </c>
      <c r="B643" s="1">
        <f>IFERROR(__xludf.DUMMYFUNCTION("""COMPUTED_VALUE"""),91.56)</f>
        <v>91.56</v>
      </c>
    </row>
    <row r="644">
      <c r="A644" s="2">
        <f>IFERROR(__xludf.DUMMYFUNCTION("""COMPUTED_VALUE"""),45036.66666666667)</f>
        <v>45036.66667</v>
      </c>
      <c r="B644" s="1">
        <f>IFERROR(__xludf.DUMMYFUNCTION("""COMPUTED_VALUE"""),91.53)</f>
        <v>91.53</v>
      </c>
    </row>
    <row r="645">
      <c r="A645" s="2">
        <f>IFERROR(__xludf.DUMMYFUNCTION("""COMPUTED_VALUE"""),45037.66666666667)</f>
        <v>45037.66667</v>
      </c>
      <c r="B645" s="1">
        <f>IFERROR(__xludf.DUMMYFUNCTION("""COMPUTED_VALUE"""),91.07)</f>
        <v>91.07</v>
      </c>
    </row>
    <row r="646">
      <c r="A646" s="2">
        <f>IFERROR(__xludf.DUMMYFUNCTION("""COMPUTED_VALUE"""),45040.66666666667)</f>
        <v>45040.66667</v>
      </c>
      <c r="B646" s="1">
        <f>IFERROR(__xludf.DUMMYFUNCTION("""COMPUTED_VALUE"""),91.01)</f>
        <v>91.01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IFERROR(__xludf.DUMMYFUNCTION("""COMPUTED_VALUE"""),90.96)</f>
        <v>90.96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IFERROR(__xludf.DUMMYFUNCTION("""COMPUTED_VALUE"""),90.6)</f>
        <v>90.6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IFERROR(__xludf.DUMMYFUNCTION("""COMPUTED_VALUE"""),90.88)</f>
        <v>90.88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IFERROR(__xludf.DUMMYFUNCTION("""COMPUTED_VALUE"""),91.2)</f>
        <v>91.2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IFERROR(__xludf.DUMMYFUNCTION("""COMPUTED_VALUE"""),90.28)</f>
        <v>90.28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IFERROR(__xludf.DUMMYFUNCTION("""COMPUTED_VALUE"""),89.41)</f>
        <v>89.41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IFERROR(__xludf.DUMMYFUNCTION("""COMPUTED_VALUE"""),89.45)</f>
        <v>89.45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IFERROR(__xludf.DUMMYFUNCTION("""COMPUTED_VALUE"""),89.76)</f>
        <v>89.76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IFERROR(__xludf.DUMMYFUNCTION("""COMPUTED_VALUE"""),90.5)</f>
        <v>90.5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IFERROR(__xludf.DUMMYFUNCTION("""COMPUTED_VALUE"""),90.33)</f>
        <v>90.33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IFERROR(__xludf.DUMMYFUNCTION("""COMPUTED_VALUE"""),90.31)</f>
        <v>90.31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IFERROR(__xludf.DUMMYFUNCTION("""COMPUTED_VALUE"""),90.4)</f>
        <v>90.4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IFERROR(__xludf.DUMMYFUNCTION("""COMPUTED_VALUE"""),90.45)</f>
        <v>90.45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IFERROR(__xludf.DUMMYFUNCTION("""COMPUTED_VALUE"""),90.7)</f>
        <v>90.7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IFERROR(__xludf.DUMMYFUNCTION("""COMPUTED_VALUE"""),90.32)</f>
        <v>90.32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IFERROR(__xludf.DUMMYFUNCTION("""COMPUTED_VALUE"""),89.8)</f>
        <v>89.8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IFERROR(__xludf.DUMMYFUNCTION("""COMPUTED_VALUE"""),90.31)</f>
        <v>90.31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IFERROR(__xludf.DUMMYFUNCTION("""COMPUTED_VALUE"""),90.87)</f>
        <v>90.87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IFERROR(__xludf.DUMMYFUNCTION("""COMPUTED_VALUE"""),90.68)</f>
        <v>90.68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IFERROR(__xludf.DUMMYFUNCTION("""COMPUTED_VALUE"""),90.61)</f>
        <v>90.61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IFERROR(__xludf.DUMMYFUNCTION("""COMPUTED_VALUE"""),89.98)</f>
        <v>89.98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IFERROR(__xludf.DUMMYFUNCTION("""COMPUTED_VALUE"""),89.08)</f>
        <v>89.08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IFERROR(__xludf.DUMMYFUNCTION("""COMPUTED_VALUE"""),89.25)</f>
        <v>89.25</v>
      </c>
    </row>
    <row r="670">
      <c r="A670" s="2">
        <f>IFERROR(__xludf.DUMMYFUNCTION("""COMPUTED_VALUE"""),45075.66666666667)</f>
        <v>45075.66667</v>
      </c>
      <c r="B670" s="1">
        <f>IFERROR(__xludf.DUMMYFUNCTION("""COMPUTED_VALUE"""),90.1)</f>
        <v>90.1</v>
      </c>
    </row>
    <row r="671">
      <c r="A671" s="2">
        <f>IFERROR(__xludf.DUMMYFUNCTION("""COMPUTED_VALUE"""),45076.66666666667)</f>
        <v>45076.66667</v>
      </c>
      <c r="B671" s="1">
        <f>IFERROR(__xludf.DUMMYFUNCTION("""COMPUTED_VALUE"""),89.97)</f>
        <v>89.97</v>
      </c>
    </row>
    <row r="672">
      <c r="A672" s="2">
        <f>IFERROR(__xludf.DUMMYFUNCTION("""COMPUTED_VALUE"""),45077.66666666667)</f>
        <v>45077.66667</v>
      </c>
      <c r="B672" s="1">
        <f>IFERROR(__xludf.DUMMYFUNCTION("""COMPUTED_VALUE"""),88.55)</f>
        <v>88.55</v>
      </c>
    </row>
    <row r="673">
      <c r="A673" s="2">
        <f>IFERROR(__xludf.DUMMYFUNCTION("""COMPUTED_VALUE"""),45078.66666666667)</f>
        <v>45078.66667</v>
      </c>
      <c r="B673" s="1">
        <f>IFERROR(__xludf.DUMMYFUNCTION("""COMPUTED_VALUE"""),88.8)</f>
        <v>88.8</v>
      </c>
    </row>
    <row r="674">
      <c r="A674" s="2">
        <f>IFERROR(__xludf.DUMMYFUNCTION("""COMPUTED_VALUE"""),45079.66666666667)</f>
        <v>45079.66667</v>
      </c>
      <c r="B674" s="1">
        <f>IFERROR(__xludf.DUMMYFUNCTION("""COMPUTED_VALUE"""),89.22)</f>
        <v>89.22</v>
      </c>
    </row>
    <row r="675">
      <c r="A675" s="2">
        <f>IFERROR(__xludf.DUMMYFUNCTION("""COMPUTED_VALUE"""),45082.66666666667)</f>
        <v>45082.66667</v>
      </c>
      <c r="B675" s="1">
        <f>IFERROR(__xludf.DUMMYFUNCTION("""COMPUTED_VALUE"""),90.14)</f>
        <v>90.14</v>
      </c>
    </row>
    <row r="676">
      <c r="A676" s="2">
        <f>IFERROR(__xludf.DUMMYFUNCTION("""COMPUTED_VALUE"""),45083.66666666667)</f>
        <v>45083.66667</v>
      </c>
      <c r="B676" s="1">
        <f>IFERROR(__xludf.DUMMYFUNCTION("""COMPUTED_VALUE"""),89.02)</f>
        <v>89.02</v>
      </c>
    </row>
    <row r="677">
      <c r="A677" s="2">
        <f>IFERROR(__xludf.DUMMYFUNCTION("""COMPUTED_VALUE"""),45084.66666666667)</f>
        <v>45084.66667</v>
      </c>
      <c r="B677" s="1">
        <f>IFERROR(__xludf.DUMMYFUNCTION("""COMPUTED_VALUE"""),88.92)</f>
        <v>88.92</v>
      </c>
    </row>
    <row r="678">
      <c r="A678" s="2">
        <f>IFERROR(__xludf.DUMMYFUNCTION("""COMPUTED_VALUE"""),45085.66666666667)</f>
        <v>45085.66667</v>
      </c>
      <c r="B678" s="1">
        <f>IFERROR(__xludf.DUMMYFUNCTION("""COMPUTED_VALUE"""),88.66)</f>
        <v>88.66</v>
      </c>
    </row>
    <row r="679">
      <c r="A679" s="2">
        <f>IFERROR(__xludf.DUMMYFUNCTION("""COMPUTED_VALUE"""),45086.66666666667)</f>
        <v>45086.66667</v>
      </c>
      <c r="B679" s="1">
        <f>IFERROR(__xludf.DUMMYFUNCTION("""COMPUTED_VALUE"""),88.96)</f>
        <v>88.96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IFERROR(__xludf.DUMMYFUNCTION("""COMPUTED_VALUE"""),89.14)</f>
        <v>89.14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IFERROR(__xludf.DUMMYFUNCTION("""COMPUTED_VALUE"""),89.43)</f>
        <v>89.43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IFERROR(__xludf.DUMMYFUNCTION("""COMPUTED_VALUE"""),89.61)</f>
        <v>89.61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IFERROR(__xludf.DUMMYFUNCTION("""COMPUTED_VALUE"""),90.59)</f>
        <v>90.59</v>
      </c>
    </row>
    <row r="684">
      <c r="A684" s="2">
        <f>IFERROR(__xludf.DUMMYFUNCTION("""COMPUTED_VALUE"""),45096.66666666667)</f>
        <v>45096.66667</v>
      </c>
      <c r="B684" s="1">
        <f>IFERROR(__xludf.DUMMYFUNCTION("""COMPUTED_VALUE"""),91.08)</f>
        <v>91.08</v>
      </c>
    </row>
    <row r="685">
      <c r="A685" s="2">
        <f>IFERROR(__xludf.DUMMYFUNCTION("""COMPUTED_VALUE"""),45097.66666666667)</f>
        <v>45097.66667</v>
      </c>
      <c r="B685" s="1">
        <f>IFERROR(__xludf.DUMMYFUNCTION("""COMPUTED_VALUE"""),91.84)</f>
        <v>91.84</v>
      </c>
    </row>
    <row r="686">
      <c r="A686" s="2">
        <f>IFERROR(__xludf.DUMMYFUNCTION("""COMPUTED_VALUE"""),45098.66666666667)</f>
        <v>45098.66667</v>
      </c>
      <c r="B686" s="1">
        <f>IFERROR(__xludf.DUMMYFUNCTION("""COMPUTED_VALUE"""),91.33)</f>
        <v>91.33</v>
      </c>
    </row>
    <row r="687">
      <c r="A687" s="2">
        <f>IFERROR(__xludf.DUMMYFUNCTION("""COMPUTED_VALUE"""),45099.66666666667)</f>
        <v>45099.66667</v>
      </c>
      <c r="B687" s="1">
        <f>IFERROR(__xludf.DUMMYFUNCTION("""COMPUTED_VALUE"""),89.82)</f>
        <v>89.82</v>
      </c>
    </row>
    <row r="688">
      <c r="A688" s="2">
        <f>IFERROR(__xludf.DUMMYFUNCTION("""COMPUTED_VALUE"""),45100.66666666667)</f>
        <v>45100.66667</v>
      </c>
      <c r="B688" s="1">
        <f>IFERROR(__xludf.DUMMYFUNCTION("""COMPUTED_VALUE"""),88.65)</f>
        <v>88.65</v>
      </c>
    </row>
    <row r="689">
      <c r="A689" s="2">
        <f>IFERROR(__xludf.DUMMYFUNCTION("""COMPUTED_VALUE"""),45103.66666666667)</f>
        <v>45103.66667</v>
      </c>
      <c r="B689" s="1">
        <f>IFERROR(__xludf.DUMMYFUNCTION("""COMPUTED_VALUE"""),88.38)</f>
        <v>88.38</v>
      </c>
    </row>
    <row r="690">
      <c r="A690" s="2">
        <f>IFERROR(__xludf.DUMMYFUNCTION("""COMPUTED_VALUE"""),45104.66666666667)</f>
        <v>45104.66667</v>
      </c>
      <c r="B690" s="1">
        <f>IFERROR(__xludf.DUMMYFUNCTION("""COMPUTED_VALUE"""),88.88)</f>
        <v>88.88</v>
      </c>
    </row>
    <row r="691">
      <c r="A691" s="2">
        <f>IFERROR(__xludf.DUMMYFUNCTION("""COMPUTED_VALUE"""),45105.66666666667)</f>
        <v>45105.66667</v>
      </c>
      <c r="B691" s="1">
        <f>IFERROR(__xludf.DUMMYFUNCTION("""COMPUTED_VALUE"""),89.82)</f>
        <v>89.82</v>
      </c>
    </row>
    <row r="692">
      <c r="A692" s="2">
        <f>IFERROR(__xludf.DUMMYFUNCTION("""COMPUTED_VALUE"""),45106.66666666667)</f>
        <v>45106.66667</v>
      </c>
      <c r="B692" s="1">
        <f>IFERROR(__xludf.DUMMYFUNCTION("""COMPUTED_VALUE"""),89.97)</f>
        <v>89.97</v>
      </c>
    </row>
    <row r="693">
      <c r="A693" s="2">
        <f>IFERROR(__xludf.DUMMYFUNCTION("""COMPUTED_VALUE"""),45107.66666666667)</f>
        <v>45107.66667</v>
      </c>
      <c r="B693" s="1">
        <f>IFERROR(__xludf.DUMMYFUNCTION("""COMPUTED_VALUE"""),90.07)</f>
        <v>90.07</v>
      </c>
    </row>
    <row r="694">
      <c r="A694" s="2">
        <f>IFERROR(__xludf.DUMMYFUNCTION("""COMPUTED_VALUE"""),45110.66666666667)</f>
        <v>45110.66667</v>
      </c>
      <c r="B694" s="1">
        <f>IFERROR(__xludf.DUMMYFUNCTION("""COMPUTED_VALUE"""),89.75)</f>
        <v>89.75</v>
      </c>
    </row>
    <row r="695">
      <c r="A695" s="2">
        <f>IFERROR(__xludf.DUMMYFUNCTION("""COMPUTED_VALUE"""),45111.66666666667)</f>
        <v>45111.66667</v>
      </c>
      <c r="B695" s="1">
        <f>IFERROR(__xludf.DUMMYFUNCTION("""COMPUTED_VALUE"""),90.14)</f>
        <v>90.14</v>
      </c>
    </row>
    <row r="696">
      <c r="A696" s="2">
        <f>IFERROR(__xludf.DUMMYFUNCTION("""COMPUTED_VALUE"""),45112.66666666667)</f>
        <v>45112.66667</v>
      </c>
      <c r="B696" s="1">
        <f>IFERROR(__xludf.DUMMYFUNCTION("""COMPUTED_VALUE"""),89.78)</f>
        <v>89.78</v>
      </c>
    </row>
    <row r="697">
      <c r="A697" s="2">
        <f>IFERROR(__xludf.DUMMYFUNCTION("""COMPUTED_VALUE"""),45113.66666666667)</f>
        <v>45113.66667</v>
      </c>
      <c r="B697" s="1">
        <f>IFERROR(__xludf.DUMMYFUNCTION("""COMPUTED_VALUE"""),88.71)</f>
        <v>88.71</v>
      </c>
    </row>
    <row r="698">
      <c r="A698" s="2">
        <f>IFERROR(__xludf.DUMMYFUNCTION("""COMPUTED_VALUE"""),45114.66666666667)</f>
        <v>45114.66667</v>
      </c>
      <c r="B698" s="1">
        <f>IFERROR(__xludf.DUMMYFUNCTION("""COMPUTED_VALUE"""),87.26)</f>
        <v>87.26</v>
      </c>
    </row>
    <row r="699">
      <c r="A699" s="2">
        <f>IFERROR(__xludf.DUMMYFUNCTION("""COMPUTED_VALUE"""),45117.66666666667)</f>
        <v>45117.66667</v>
      </c>
      <c r="B699" s="1">
        <f>IFERROR(__xludf.DUMMYFUNCTION("""COMPUTED_VALUE"""),86.81)</f>
        <v>86.81</v>
      </c>
    </row>
    <row r="700">
      <c r="A700" s="2">
        <f>IFERROR(__xludf.DUMMYFUNCTION("""COMPUTED_VALUE"""),45118.66666666667)</f>
        <v>45118.66667</v>
      </c>
      <c r="B700" s="1">
        <f>IFERROR(__xludf.DUMMYFUNCTION("""COMPUTED_VALUE"""),88.06)</f>
        <v>88.06</v>
      </c>
    </row>
    <row r="701">
      <c r="A701" s="2">
        <f>IFERROR(__xludf.DUMMYFUNCTION("""COMPUTED_VALUE"""),45119.66666666667)</f>
        <v>45119.66667</v>
      </c>
      <c r="B701" s="1">
        <f>IFERROR(__xludf.DUMMYFUNCTION("""COMPUTED_VALUE"""),88.45)</f>
        <v>88.45</v>
      </c>
    </row>
    <row r="702">
      <c r="A702" s="2">
        <f>IFERROR(__xludf.DUMMYFUNCTION("""COMPUTED_VALUE"""),45120.66666666667)</f>
        <v>45120.66667</v>
      </c>
      <c r="B702" s="1">
        <f>IFERROR(__xludf.DUMMYFUNCTION("""COMPUTED_VALUE"""),89.79)</f>
        <v>89.79</v>
      </c>
    </row>
    <row r="703">
      <c r="A703" s="2">
        <f>IFERROR(__xludf.DUMMYFUNCTION("""COMPUTED_VALUE"""),45121.66666666667)</f>
        <v>45121.66667</v>
      </c>
      <c r="B703" s="1">
        <f>IFERROR(__xludf.DUMMYFUNCTION("""COMPUTED_VALUE"""),90.52)</f>
        <v>90.52</v>
      </c>
    </row>
    <row r="704">
      <c r="A704" s="2">
        <f>IFERROR(__xludf.DUMMYFUNCTION("""COMPUTED_VALUE"""),45124.66666666667)</f>
        <v>45124.66667</v>
      </c>
      <c r="B704" s="1">
        <f>IFERROR(__xludf.DUMMYFUNCTION("""COMPUTED_VALUE"""),90.44)</f>
        <v>90.44</v>
      </c>
    </row>
    <row r="705">
      <c r="A705" s="2">
        <f>IFERROR(__xludf.DUMMYFUNCTION("""COMPUTED_VALUE"""),45125.66666666667)</f>
        <v>45125.66667</v>
      </c>
      <c r="B705" s="1">
        <f>IFERROR(__xludf.DUMMYFUNCTION("""COMPUTED_VALUE"""),90.25)</f>
        <v>90.25</v>
      </c>
    </row>
    <row r="706">
      <c r="A706" s="2">
        <f>IFERROR(__xludf.DUMMYFUNCTION("""COMPUTED_VALUE"""),45126.66666666667)</f>
        <v>45126.66667</v>
      </c>
      <c r="B706" s="1">
        <f>IFERROR(__xludf.DUMMYFUNCTION("""COMPUTED_VALUE"""),90.77)</f>
        <v>90.77</v>
      </c>
    </row>
    <row r="707">
      <c r="A707" s="2">
        <f>IFERROR(__xludf.DUMMYFUNCTION("""COMPUTED_VALUE"""),45127.66666666667)</f>
        <v>45127.66667</v>
      </c>
      <c r="B707" s="1">
        <f>IFERROR(__xludf.DUMMYFUNCTION("""COMPUTED_VALUE"""),90.8)</f>
        <v>90.8</v>
      </c>
    </row>
    <row r="708">
      <c r="A708" s="2">
        <f>IFERROR(__xludf.DUMMYFUNCTION("""COMPUTED_VALUE"""),45128.66666666667)</f>
        <v>45128.66667</v>
      </c>
      <c r="B708" s="1">
        <f>IFERROR(__xludf.DUMMYFUNCTION("""COMPUTED_VALUE"""),90.65)</f>
        <v>90.65</v>
      </c>
    </row>
    <row r="709">
      <c r="A709" s="2">
        <f>IFERROR(__xludf.DUMMYFUNCTION("""COMPUTED_VALUE"""),45131.66666666667)</f>
        <v>45131.66667</v>
      </c>
      <c r="B709" s="1">
        <f>IFERROR(__xludf.DUMMYFUNCTION("""COMPUTED_VALUE"""),90.53)</f>
        <v>90.53</v>
      </c>
    </row>
    <row r="710">
      <c r="A710" s="2">
        <f>IFERROR(__xludf.DUMMYFUNCTION("""COMPUTED_VALUE"""),45132.66666666667)</f>
        <v>45132.66667</v>
      </c>
      <c r="B710" s="1">
        <f>IFERROR(__xludf.DUMMYFUNCTION("""COMPUTED_VALUE"""),90.87)</f>
        <v>90.87</v>
      </c>
    </row>
    <row r="711">
      <c r="A711" s="2">
        <f>IFERROR(__xludf.DUMMYFUNCTION("""COMPUTED_VALUE"""),45133.66666666667)</f>
        <v>45133.66667</v>
      </c>
      <c r="B711" s="1">
        <f>IFERROR(__xludf.DUMMYFUNCTION("""COMPUTED_VALUE"""),91.65)</f>
        <v>91.65</v>
      </c>
    </row>
    <row r="712">
      <c r="A712" s="2">
        <f>IFERROR(__xludf.DUMMYFUNCTION("""COMPUTED_VALUE"""),45134.66666666667)</f>
        <v>45134.66667</v>
      </c>
      <c r="B712" s="1">
        <f>IFERROR(__xludf.DUMMYFUNCTION("""COMPUTED_VALUE"""),92.37)</f>
        <v>92.37</v>
      </c>
    </row>
    <row r="713">
      <c r="A713" s="2">
        <f>IFERROR(__xludf.DUMMYFUNCTION("""COMPUTED_VALUE"""),45135.66666666667)</f>
        <v>45135.66667</v>
      </c>
      <c r="B713" s="1">
        <f>IFERROR(__xludf.DUMMYFUNCTION("""COMPUTED_VALUE"""),91.65)</f>
        <v>91.65</v>
      </c>
    </row>
    <row r="714">
      <c r="A714" s="2">
        <f>IFERROR(__xludf.DUMMYFUNCTION("""COMPUTED_VALUE"""),45138.66666666667)</f>
        <v>45138.66667</v>
      </c>
      <c r="B714" s="1">
        <f>IFERROR(__xludf.DUMMYFUNCTION("""COMPUTED_VALUE"""),91.72)</f>
        <v>91.72</v>
      </c>
    </row>
    <row r="715">
      <c r="A715" s="2">
        <f>IFERROR(__xludf.DUMMYFUNCTION("""COMPUTED_VALUE"""),45139.66666666667)</f>
        <v>45139.66667</v>
      </c>
      <c r="B715" s="1">
        <f>IFERROR(__xludf.DUMMYFUNCTION("""COMPUTED_VALUE"""),92.28)</f>
        <v>92.28</v>
      </c>
    </row>
    <row r="716">
      <c r="A716" s="2">
        <f>IFERROR(__xludf.DUMMYFUNCTION("""COMPUTED_VALUE"""),45140.66666666667)</f>
        <v>45140.66667</v>
      </c>
      <c r="B716" s="1">
        <f>IFERROR(__xludf.DUMMYFUNCTION("""COMPUTED_VALUE"""),91.07)</f>
        <v>91.07</v>
      </c>
    </row>
    <row r="717">
      <c r="A717" s="2">
        <f>IFERROR(__xludf.DUMMYFUNCTION("""COMPUTED_VALUE"""),45141.66666666667)</f>
        <v>45141.66667</v>
      </c>
      <c r="B717" s="1">
        <f>IFERROR(__xludf.DUMMYFUNCTION("""COMPUTED_VALUE"""),90.54)</f>
        <v>90.54</v>
      </c>
    </row>
    <row r="718">
      <c r="A718" s="2">
        <f>IFERROR(__xludf.DUMMYFUNCTION("""COMPUTED_VALUE"""),45142.66666666667)</f>
        <v>45142.66667</v>
      </c>
      <c r="B718" s="1">
        <f>IFERROR(__xludf.DUMMYFUNCTION("""COMPUTED_VALUE"""),90.67)</f>
        <v>90.67</v>
      </c>
    </row>
    <row r="719">
      <c r="A719" s="2">
        <f>IFERROR(__xludf.DUMMYFUNCTION("""COMPUTED_VALUE"""),45145.66666666667)</f>
        <v>45145.66667</v>
      </c>
      <c r="B719" s="1">
        <f>IFERROR(__xludf.DUMMYFUNCTION("""COMPUTED_VALUE"""),90.53)</f>
        <v>90.53</v>
      </c>
    </row>
    <row r="720">
      <c r="A720" s="2">
        <f>IFERROR(__xludf.DUMMYFUNCTION("""COMPUTED_VALUE"""),45146.66666666667)</f>
        <v>45146.66667</v>
      </c>
      <c r="B720" s="1">
        <f>IFERROR(__xludf.DUMMYFUNCTION("""COMPUTED_VALUE"""),90.5)</f>
        <v>90.5</v>
      </c>
    </row>
    <row r="721">
      <c r="A721" s="2">
        <f>IFERROR(__xludf.DUMMYFUNCTION("""COMPUTED_VALUE"""),45147.66666666667)</f>
        <v>45147.66667</v>
      </c>
      <c r="B721" s="1">
        <f>IFERROR(__xludf.DUMMYFUNCTION("""COMPUTED_VALUE"""),90.84)</f>
        <v>90.84</v>
      </c>
    </row>
    <row r="722">
      <c r="A722" s="2">
        <f>IFERROR(__xludf.DUMMYFUNCTION("""COMPUTED_VALUE"""),45148.66666666667)</f>
        <v>45148.66667</v>
      </c>
      <c r="B722" s="1">
        <f>IFERROR(__xludf.DUMMYFUNCTION("""COMPUTED_VALUE"""),91.08)</f>
        <v>91.08</v>
      </c>
    </row>
    <row r="723">
      <c r="A723" s="2">
        <f>IFERROR(__xludf.DUMMYFUNCTION("""COMPUTED_VALUE"""),45149.66666666667)</f>
        <v>45149.66667</v>
      </c>
      <c r="B723" s="1">
        <f>IFERROR(__xludf.DUMMYFUNCTION("""COMPUTED_VALUE"""),90.93)</f>
        <v>90.93</v>
      </c>
    </row>
    <row r="724">
      <c r="A724" s="2">
        <f>IFERROR(__xludf.DUMMYFUNCTION("""COMPUTED_VALUE"""),45152.66666666667)</f>
        <v>45152.66667</v>
      </c>
      <c r="B724" s="1">
        <f>IFERROR(__xludf.DUMMYFUNCTION("""COMPUTED_VALUE"""),90.22)</f>
        <v>90.22</v>
      </c>
    </row>
    <row r="725">
      <c r="A725" s="2">
        <f>IFERROR(__xludf.DUMMYFUNCTION("""COMPUTED_VALUE"""),45153.66666666667)</f>
        <v>45153.66667</v>
      </c>
      <c r="B725" s="1">
        <f>IFERROR(__xludf.DUMMYFUNCTION("""COMPUTED_VALUE"""),90.52)</f>
        <v>90.52</v>
      </c>
    </row>
    <row r="726">
      <c r="A726" s="2">
        <f>IFERROR(__xludf.DUMMYFUNCTION("""COMPUTED_VALUE"""),45154.66666666667)</f>
        <v>45154.66667</v>
      </c>
      <c r="B726" s="1">
        <f>IFERROR(__xludf.DUMMYFUNCTION("""COMPUTED_VALUE"""),89.35)</f>
        <v>89.35</v>
      </c>
    </row>
    <row r="727">
      <c r="A727" s="2">
        <f>IFERROR(__xludf.DUMMYFUNCTION("""COMPUTED_VALUE"""),45155.66666666667)</f>
        <v>45155.66667</v>
      </c>
      <c r="B727" s="1">
        <f>IFERROR(__xludf.DUMMYFUNCTION("""COMPUTED_VALUE"""),88.77)</f>
        <v>88.77</v>
      </c>
    </row>
    <row r="728">
      <c r="A728" s="2">
        <f>IFERROR(__xludf.DUMMYFUNCTION("""COMPUTED_VALUE"""),45156.66666666667)</f>
        <v>45156.66667</v>
      </c>
      <c r="B728" s="1">
        <f>IFERROR(__xludf.DUMMYFUNCTION("""COMPUTED_VALUE"""),88.84)</f>
        <v>88.84</v>
      </c>
    </row>
    <row r="729">
      <c r="A729" s="2">
        <f>IFERROR(__xludf.DUMMYFUNCTION("""COMPUTED_VALUE"""),45159.66666666667)</f>
        <v>45159.66667</v>
      </c>
      <c r="B729" s="1">
        <f>IFERROR(__xludf.DUMMYFUNCTION("""COMPUTED_VALUE"""),88.43)</f>
        <v>88.43</v>
      </c>
    </row>
    <row r="730">
      <c r="A730" s="2">
        <f>IFERROR(__xludf.DUMMYFUNCTION("""COMPUTED_VALUE"""),45160.66666666667)</f>
        <v>45160.66667</v>
      </c>
      <c r="B730" s="1">
        <f>IFERROR(__xludf.DUMMYFUNCTION("""COMPUTED_VALUE"""),88.55)</f>
        <v>88.55</v>
      </c>
    </row>
    <row r="731">
      <c r="A731" s="2">
        <f>IFERROR(__xludf.DUMMYFUNCTION("""COMPUTED_VALUE"""),45161.66666666667)</f>
        <v>45161.66667</v>
      </c>
      <c r="B731" s="1">
        <f>IFERROR(__xludf.DUMMYFUNCTION("""COMPUTED_VALUE"""),88.86)</f>
        <v>88.86</v>
      </c>
    </row>
    <row r="732">
      <c r="A732" s="2">
        <f>IFERROR(__xludf.DUMMYFUNCTION("""COMPUTED_VALUE"""),45162.66666666667)</f>
        <v>45162.66667</v>
      </c>
      <c r="B732" s="1">
        <f>IFERROR(__xludf.DUMMYFUNCTION("""COMPUTED_VALUE"""),89.31)</f>
        <v>89.31</v>
      </c>
    </row>
    <row r="733">
      <c r="A733" s="2">
        <f>IFERROR(__xludf.DUMMYFUNCTION("""COMPUTED_VALUE"""),45163.66666666667)</f>
        <v>45163.66667</v>
      </c>
      <c r="B733" s="1">
        <f>IFERROR(__xludf.DUMMYFUNCTION("""COMPUTED_VALUE"""),88.47)</f>
        <v>88.47</v>
      </c>
    </row>
    <row r="734">
      <c r="A734" s="2">
        <f>IFERROR(__xludf.DUMMYFUNCTION("""COMPUTED_VALUE"""),45166.66666666667)</f>
        <v>45166.66667</v>
      </c>
      <c r="B734" s="1">
        <f>IFERROR(__xludf.DUMMYFUNCTION("""COMPUTED_VALUE"""),89.05)</f>
        <v>89.05</v>
      </c>
    </row>
    <row r="735">
      <c r="A735" s="2">
        <f>IFERROR(__xludf.DUMMYFUNCTION("""COMPUTED_VALUE"""),45167.66666666667)</f>
        <v>45167.66667</v>
      </c>
      <c r="B735" s="1">
        <f>IFERROR(__xludf.DUMMYFUNCTION("""COMPUTED_VALUE"""),89.65)</f>
        <v>89.65</v>
      </c>
    </row>
    <row r="736">
      <c r="A736" s="2">
        <f>IFERROR(__xludf.DUMMYFUNCTION("""COMPUTED_VALUE"""),45168.66666666667)</f>
        <v>45168.66667</v>
      </c>
      <c r="B736" s="1">
        <f>IFERROR(__xludf.DUMMYFUNCTION("""COMPUTED_VALUE"""),90.85)</f>
        <v>90.85</v>
      </c>
    </row>
    <row r="737">
      <c r="A737" s="2">
        <f>IFERROR(__xludf.DUMMYFUNCTION("""COMPUTED_VALUE"""),45169.66666666667)</f>
        <v>45169.66667</v>
      </c>
      <c r="B737" s="1">
        <f>IFERROR(__xludf.DUMMYFUNCTION("""COMPUTED_VALUE"""),91.06)</f>
        <v>91.06</v>
      </c>
    </row>
    <row r="738">
      <c r="A738" s="2">
        <f>IFERROR(__xludf.DUMMYFUNCTION("""COMPUTED_VALUE"""),45170.66666666667)</f>
        <v>45170.66667</v>
      </c>
      <c r="B738" s="1">
        <f>IFERROR(__xludf.DUMMYFUNCTION("""COMPUTED_VALUE"""),90.8)</f>
        <v>90.8</v>
      </c>
    </row>
    <row r="739">
      <c r="A739" s="2">
        <f>IFERROR(__xludf.DUMMYFUNCTION("""COMPUTED_VALUE"""),45173.66666666667)</f>
        <v>45173.66667</v>
      </c>
      <c r="B739" s="1">
        <f>IFERROR(__xludf.DUMMYFUNCTION("""COMPUTED_VALUE"""),91.38)</f>
        <v>91.38</v>
      </c>
    </row>
    <row r="740">
      <c r="A740" s="2">
        <f>IFERROR(__xludf.DUMMYFUNCTION("""COMPUTED_VALUE"""),45174.66666666667)</f>
        <v>45174.66667</v>
      </c>
      <c r="B740" s="1">
        <f>IFERROR(__xludf.DUMMYFUNCTION("""COMPUTED_VALUE"""),91.28)</f>
        <v>91.28</v>
      </c>
    </row>
    <row r="741">
      <c r="A741" s="2">
        <f>IFERROR(__xludf.DUMMYFUNCTION("""COMPUTED_VALUE"""),45175.66666666667)</f>
        <v>45175.66667</v>
      </c>
      <c r="B741" s="1">
        <f>IFERROR(__xludf.DUMMYFUNCTION("""COMPUTED_VALUE"""),90.64)</f>
        <v>90.64</v>
      </c>
    </row>
    <row r="742">
      <c r="A742" s="2">
        <f>IFERROR(__xludf.DUMMYFUNCTION("""COMPUTED_VALUE"""),45176.66666666667)</f>
        <v>45176.66667</v>
      </c>
      <c r="B742" s="1">
        <f>IFERROR(__xludf.DUMMYFUNCTION("""COMPUTED_VALUE"""),89.85)</f>
        <v>89.85</v>
      </c>
    </row>
    <row r="743">
      <c r="A743" s="2">
        <f>IFERROR(__xludf.DUMMYFUNCTION("""COMPUTED_VALUE"""),45177.66666666667)</f>
        <v>45177.66667</v>
      </c>
      <c r="B743" s="1">
        <f>IFERROR(__xludf.DUMMYFUNCTION("""COMPUTED_VALUE"""),89.61)</f>
        <v>89.61</v>
      </c>
    </row>
    <row r="744">
      <c r="A744" s="2">
        <f>IFERROR(__xludf.DUMMYFUNCTION("""COMPUTED_VALUE"""),45180.66666666667)</f>
        <v>45180.66667</v>
      </c>
      <c r="B744" s="1">
        <f>IFERROR(__xludf.DUMMYFUNCTION("""COMPUTED_VALUE"""),90.18)</f>
        <v>90.18</v>
      </c>
    </row>
    <row r="745">
      <c r="A745" s="2">
        <f>IFERROR(__xludf.DUMMYFUNCTION("""COMPUTED_VALUE"""),45181.66666666667)</f>
        <v>45181.66667</v>
      </c>
      <c r="B745" s="1">
        <f>IFERROR(__xludf.DUMMYFUNCTION("""COMPUTED_VALUE"""),90.35)</f>
        <v>90.35</v>
      </c>
    </row>
    <row r="746">
      <c r="A746" s="2">
        <f>IFERROR(__xludf.DUMMYFUNCTION("""COMPUTED_VALUE"""),45182.66666666667)</f>
        <v>45182.66667</v>
      </c>
      <c r="B746" s="1">
        <f>IFERROR(__xludf.DUMMYFUNCTION("""COMPUTED_VALUE"""),89.79)</f>
        <v>89.79</v>
      </c>
    </row>
    <row r="747">
      <c r="A747" s="2">
        <f>IFERROR(__xludf.DUMMYFUNCTION("""COMPUTED_VALUE"""),45183.66666666667)</f>
        <v>45183.66667</v>
      </c>
      <c r="B747" s="1">
        <f>IFERROR(__xludf.DUMMYFUNCTION("""COMPUTED_VALUE"""),90.13)</f>
        <v>90.13</v>
      </c>
    </row>
    <row r="748">
      <c r="A748" s="2">
        <f>IFERROR(__xludf.DUMMYFUNCTION("""COMPUTED_VALUE"""),45184.66666666667)</f>
        <v>45184.66667</v>
      </c>
      <c r="B748" s="1">
        <f>IFERROR(__xludf.DUMMYFUNCTION("""COMPUTED_VALUE"""),91.29)</f>
        <v>91.29</v>
      </c>
    </row>
    <row r="749">
      <c r="A749" s="2">
        <f>IFERROR(__xludf.DUMMYFUNCTION("""COMPUTED_VALUE"""),45187.66666666667)</f>
        <v>45187.66667</v>
      </c>
      <c r="B749" s="1">
        <f>IFERROR(__xludf.DUMMYFUNCTION("""COMPUTED_VALUE"""),90.66)</f>
        <v>90.66</v>
      </c>
    </row>
    <row r="750">
      <c r="A750" s="2">
        <f>IFERROR(__xludf.DUMMYFUNCTION("""COMPUTED_VALUE"""),45188.66666666667)</f>
        <v>45188.66667</v>
      </c>
      <c r="B750" s="1">
        <f>IFERROR(__xludf.DUMMYFUNCTION("""COMPUTED_VALUE"""),90.27)</f>
        <v>90.27</v>
      </c>
    </row>
    <row r="751">
      <c r="A751" s="2">
        <f>IFERROR(__xludf.DUMMYFUNCTION("""COMPUTED_VALUE"""),45189.66666666667)</f>
        <v>45189.66667</v>
      </c>
      <c r="B751" s="1">
        <f>IFERROR(__xludf.DUMMYFUNCTION("""COMPUTED_VALUE"""),89.83)</f>
        <v>89.83</v>
      </c>
    </row>
    <row r="752">
      <c r="A752" s="2">
        <f>IFERROR(__xludf.DUMMYFUNCTION("""COMPUTED_VALUE"""),45190.66666666667)</f>
        <v>45190.66667</v>
      </c>
      <c r="B752" s="1">
        <f>IFERROR(__xludf.DUMMYFUNCTION("""COMPUTED_VALUE"""),88.65)</f>
        <v>88.65</v>
      </c>
    </row>
    <row r="753">
      <c r="A753" s="2">
        <f>IFERROR(__xludf.DUMMYFUNCTION("""COMPUTED_VALUE"""),45191.66666666667)</f>
        <v>45191.66667</v>
      </c>
      <c r="B753" s="1">
        <f>IFERROR(__xludf.DUMMYFUNCTION("""COMPUTED_VALUE"""),88.65)</f>
        <v>88.65</v>
      </c>
    </row>
    <row r="754">
      <c r="A754" s="2">
        <f>IFERROR(__xludf.DUMMYFUNCTION("""COMPUTED_VALUE"""),45194.66666666667)</f>
        <v>45194.66667</v>
      </c>
      <c r="B754" s="1">
        <f>IFERROR(__xludf.DUMMYFUNCTION("""COMPUTED_VALUE"""),88.79)</f>
        <v>88.79</v>
      </c>
    </row>
    <row r="755">
      <c r="A755" s="2">
        <f>IFERROR(__xludf.DUMMYFUNCTION("""COMPUTED_VALUE"""),45195.66666666667)</f>
        <v>45195.66667</v>
      </c>
      <c r="B755" s="1">
        <f>IFERROR(__xludf.DUMMYFUNCTION("""COMPUTED_VALUE"""),88.31)</f>
        <v>88.31</v>
      </c>
    </row>
    <row r="756">
      <c r="A756" s="2">
        <f>IFERROR(__xludf.DUMMYFUNCTION("""COMPUTED_VALUE"""),45196.66666666667)</f>
        <v>45196.66667</v>
      </c>
      <c r="B756" s="1">
        <f>IFERROR(__xludf.DUMMYFUNCTION("""COMPUTED_VALUE"""),88.23)</f>
        <v>88.23</v>
      </c>
    </row>
    <row r="757">
      <c r="A757" s="2">
        <f>IFERROR(__xludf.DUMMYFUNCTION("""COMPUTED_VALUE"""),45197.66666666667)</f>
        <v>45197.66667</v>
      </c>
      <c r="B757" s="1">
        <f>IFERROR(__xludf.DUMMYFUNCTION("""COMPUTED_VALUE"""),88.14)</f>
        <v>88.14</v>
      </c>
    </row>
    <row r="758">
      <c r="A758" s="2">
        <f>IFERROR(__xludf.DUMMYFUNCTION("""COMPUTED_VALUE"""),45198.66666666667)</f>
        <v>45198.66667</v>
      </c>
      <c r="B758" s="1">
        <f>IFERROR(__xludf.DUMMYFUNCTION("""COMPUTED_VALUE"""),88.43)</f>
        <v>88.43</v>
      </c>
    </row>
    <row r="759">
      <c r="A759" s="2">
        <f>IFERROR(__xludf.DUMMYFUNCTION("""COMPUTED_VALUE"""),45201.66666666667)</f>
        <v>45201.66667</v>
      </c>
      <c r="B759" s="1">
        <f>IFERROR(__xludf.DUMMYFUNCTION("""COMPUTED_VALUE"""),86.97)</f>
        <v>86.97</v>
      </c>
    </row>
    <row r="760">
      <c r="A760" s="2">
        <f>IFERROR(__xludf.DUMMYFUNCTION("""COMPUTED_VALUE"""),45202.66666666667)</f>
        <v>45202.66667</v>
      </c>
      <c r="B760" s="1">
        <f>IFERROR(__xludf.DUMMYFUNCTION("""COMPUTED_VALUE"""),85.79)</f>
        <v>85.79</v>
      </c>
    </row>
    <row r="761">
      <c r="A761" s="2">
        <f>IFERROR(__xludf.DUMMYFUNCTION("""COMPUTED_VALUE"""),45203.66666666667)</f>
        <v>45203.66667</v>
      </c>
      <c r="B761" s="1">
        <f>IFERROR(__xludf.DUMMYFUNCTION("""COMPUTED_VALUE"""),85.16)</f>
        <v>85.16</v>
      </c>
    </row>
    <row r="762">
      <c r="A762" s="2">
        <f>IFERROR(__xludf.DUMMYFUNCTION("""COMPUTED_VALUE"""),45204.66666666667)</f>
        <v>45204.66667</v>
      </c>
      <c r="B762" s="1">
        <f>IFERROR(__xludf.DUMMYFUNCTION("""COMPUTED_VALUE"""),85.66)</f>
        <v>85.66</v>
      </c>
    </row>
    <row r="763">
      <c r="A763" s="2">
        <f>IFERROR(__xludf.DUMMYFUNCTION("""COMPUTED_VALUE"""),45205.66666666667)</f>
        <v>45205.66667</v>
      </c>
      <c r="B763" s="1">
        <f>IFERROR(__xludf.DUMMYFUNCTION("""COMPUTED_VALUE"""),85.98)</f>
        <v>85.98</v>
      </c>
    </row>
    <row r="764">
      <c r="A764" s="2">
        <f>IFERROR(__xludf.DUMMYFUNCTION("""COMPUTED_VALUE"""),45208.66666666667)</f>
        <v>45208.66667</v>
      </c>
      <c r="B764" s="1">
        <f>IFERROR(__xludf.DUMMYFUNCTION("""COMPUTED_VALUE"""),86.14)</f>
        <v>86.14</v>
      </c>
    </row>
    <row r="765">
      <c r="A765" s="2">
        <f>IFERROR(__xludf.DUMMYFUNCTION("""COMPUTED_VALUE"""),45209.66666666667)</f>
        <v>45209.66667</v>
      </c>
      <c r="B765" s="1">
        <f>IFERROR(__xludf.DUMMYFUNCTION("""COMPUTED_VALUE"""),87.04)</f>
        <v>87.04</v>
      </c>
    </row>
    <row r="766">
      <c r="A766" s="2">
        <f>IFERROR(__xludf.DUMMYFUNCTION("""COMPUTED_VALUE"""),45210.66666666667)</f>
        <v>45210.66667</v>
      </c>
      <c r="B766" s="1">
        <f>IFERROR(__xludf.DUMMYFUNCTION("""COMPUTED_VALUE"""),87.6)</f>
        <v>87.6</v>
      </c>
    </row>
    <row r="767">
      <c r="A767" s="2">
        <f>IFERROR(__xludf.DUMMYFUNCTION("""COMPUTED_VALUE"""),45211.66666666667)</f>
        <v>45211.66667</v>
      </c>
      <c r="B767" s="1">
        <f>IFERROR(__xludf.DUMMYFUNCTION("""COMPUTED_VALUE"""),87.69)</f>
        <v>87.69</v>
      </c>
    </row>
    <row r="768">
      <c r="A768" s="2">
        <f>IFERROR(__xludf.DUMMYFUNCTION("""COMPUTED_VALUE"""),45212.66666666667)</f>
        <v>45212.66667</v>
      </c>
      <c r="B768" s="1">
        <f>IFERROR(__xludf.DUMMYFUNCTION("""COMPUTED_VALUE"""),87.19)</f>
        <v>87.19</v>
      </c>
    </row>
    <row r="769">
      <c r="A769" s="2">
        <f>IFERROR(__xludf.DUMMYFUNCTION("""COMPUTED_VALUE"""),45215.66666666667)</f>
        <v>45215.66667</v>
      </c>
      <c r="B769" s="1">
        <f>IFERROR(__xludf.DUMMYFUNCTION("""COMPUTED_VALUE"""),86.85)</f>
        <v>86.85</v>
      </c>
    </row>
    <row r="770">
      <c r="A770" s="2">
        <f>IFERROR(__xludf.DUMMYFUNCTION("""COMPUTED_VALUE"""),45216.66666666667)</f>
        <v>45216.66667</v>
      </c>
      <c r="B770" s="1">
        <f>IFERROR(__xludf.DUMMYFUNCTION("""COMPUTED_VALUE"""),87.22)</f>
        <v>87.22</v>
      </c>
    </row>
    <row r="771">
      <c r="A771" s="2">
        <f>IFERROR(__xludf.DUMMYFUNCTION("""COMPUTED_VALUE"""),45217.66666666667)</f>
        <v>45217.66667</v>
      </c>
      <c r="B771" s="1">
        <f>IFERROR(__xludf.DUMMYFUNCTION("""COMPUTED_VALUE"""),87.41)</f>
        <v>87.41</v>
      </c>
    </row>
    <row r="772">
      <c r="A772" s="2">
        <f>IFERROR(__xludf.DUMMYFUNCTION("""COMPUTED_VALUE"""),45218.66666666667)</f>
        <v>45218.66667</v>
      </c>
      <c r="B772" s="1">
        <f>IFERROR(__xludf.DUMMYFUNCTION("""COMPUTED_VALUE"""),86.22)</f>
        <v>86.22</v>
      </c>
    </row>
    <row r="773">
      <c r="A773" s="2">
        <f>IFERROR(__xludf.DUMMYFUNCTION("""COMPUTED_VALUE"""),45219.66666666667)</f>
        <v>45219.66667</v>
      </c>
      <c r="B773" s="1">
        <f>IFERROR(__xludf.DUMMYFUNCTION("""COMPUTED_VALUE"""),85.33)</f>
        <v>85.33</v>
      </c>
    </row>
    <row r="774">
      <c r="A774" s="2">
        <f>IFERROR(__xludf.DUMMYFUNCTION("""COMPUTED_VALUE"""),45222.66666666667)</f>
        <v>45222.66667</v>
      </c>
      <c r="B774" s="1">
        <f>IFERROR(__xludf.DUMMYFUNCTION("""COMPUTED_VALUE"""),84.63)</f>
        <v>84.63</v>
      </c>
    </row>
    <row r="775">
      <c r="A775" s="2">
        <f>IFERROR(__xludf.DUMMYFUNCTION("""COMPUTED_VALUE"""),45223.66666666667)</f>
        <v>45223.66667</v>
      </c>
      <c r="B775" s="1">
        <f>IFERROR(__xludf.DUMMYFUNCTION("""COMPUTED_VALUE"""),84.8)</f>
        <v>84.8</v>
      </c>
    </row>
    <row r="776">
      <c r="A776" s="2">
        <f>IFERROR(__xludf.DUMMYFUNCTION("""COMPUTED_VALUE"""),45224.66666666667)</f>
        <v>45224.66667</v>
      </c>
      <c r="B776" s="1">
        <f>IFERROR(__xludf.DUMMYFUNCTION("""COMPUTED_VALUE"""),84.81)</f>
        <v>84.81</v>
      </c>
    </row>
    <row r="777">
      <c r="A777" s="2">
        <f>IFERROR(__xludf.DUMMYFUNCTION("""COMPUTED_VALUE"""),45225.66666666667)</f>
        <v>45225.66667</v>
      </c>
      <c r="B777" s="1">
        <f>IFERROR(__xludf.DUMMYFUNCTION("""COMPUTED_VALUE"""),84.25)</f>
        <v>84.25</v>
      </c>
    </row>
    <row r="778">
      <c r="A778" s="2">
        <f>IFERROR(__xludf.DUMMYFUNCTION("""COMPUTED_VALUE"""),45226.66666666667)</f>
        <v>45226.66667</v>
      </c>
      <c r="B778" s="1">
        <f>IFERROR(__xludf.DUMMYFUNCTION("""COMPUTED_VALUE"""),84.42)</f>
        <v>84.42</v>
      </c>
    </row>
    <row r="779">
      <c r="A779" s="2">
        <f>IFERROR(__xludf.DUMMYFUNCTION("""COMPUTED_VALUE"""),45229.66666666667)</f>
        <v>45229.66667</v>
      </c>
      <c r="B779" s="1">
        <f>IFERROR(__xludf.DUMMYFUNCTION("""COMPUTED_VALUE"""),83.77)</f>
        <v>83.77</v>
      </c>
    </row>
    <row r="780">
      <c r="A780" s="2">
        <f>IFERROR(__xludf.DUMMYFUNCTION("""COMPUTED_VALUE"""),45230.66666666667)</f>
        <v>45230.66667</v>
      </c>
      <c r="B780" s="1">
        <f>IFERROR(__xludf.DUMMYFUNCTION("""COMPUTED_VALUE"""),83.79)</f>
        <v>83.79</v>
      </c>
    </row>
    <row r="781">
      <c r="A781" s="2">
        <f>IFERROR(__xludf.DUMMYFUNCTION("""COMPUTED_VALUE"""),45231.66666666667)</f>
        <v>45231.66667</v>
      </c>
      <c r="B781" s="1">
        <f>IFERROR(__xludf.DUMMYFUNCTION("""COMPUTED_VALUE"""),84.56)</f>
        <v>84.56</v>
      </c>
    </row>
    <row r="782">
      <c r="A782" s="2">
        <f>IFERROR(__xludf.DUMMYFUNCTION("""COMPUTED_VALUE"""),45232.66666666667)</f>
        <v>45232.66667</v>
      </c>
      <c r="B782" s="1">
        <f>IFERROR(__xludf.DUMMYFUNCTION("""COMPUTED_VALUE"""),85.33)</f>
        <v>85.33</v>
      </c>
    </row>
    <row r="783">
      <c r="A783" s="2">
        <f>IFERROR(__xludf.DUMMYFUNCTION("""COMPUTED_VALUE"""),45233.66666666667)</f>
        <v>45233.66667</v>
      </c>
      <c r="B783" s="1">
        <f>IFERROR(__xludf.DUMMYFUNCTION("""COMPUTED_VALUE"""),86.3)</f>
        <v>86.3</v>
      </c>
    </row>
    <row r="784">
      <c r="A784" s="2">
        <f>IFERROR(__xludf.DUMMYFUNCTION("""COMPUTED_VALUE"""),45236.66666666667)</f>
        <v>45236.66667</v>
      </c>
      <c r="B784" s="1">
        <f>IFERROR(__xludf.DUMMYFUNCTION("""COMPUTED_VALUE"""),86.52)</f>
        <v>86.52</v>
      </c>
    </row>
    <row r="785">
      <c r="A785" s="2">
        <f>IFERROR(__xludf.DUMMYFUNCTION("""COMPUTED_VALUE"""),45237.66666666667)</f>
        <v>45237.66667</v>
      </c>
      <c r="B785" s="1">
        <f>IFERROR(__xludf.DUMMYFUNCTION("""COMPUTED_VALUE"""),86.33)</f>
        <v>86.33</v>
      </c>
    </row>
    <row r="786">
      <c r="A786" s="2">
        <f>IFERROR(__xludf.DUMMYFUNCTION("""COMPUTED_VALUE"""),45238.66666666667)</f>
        <v>45238.66667</v>
      </c>
      <c r="B786" s="1">
        <f>IFERROR(__xludf.DUMMYFUNCTION("""COMPUTED_VALUE"""),86.52)</f>
        <v>86.52</v>
      </c>
    </row>
    <row r="787">
      <c r="A787" s="2">
        <f>IFERROR(__xludf.DUMMYFUNCTION("""COMPUTED_VALUE"""),45239.66666666667)</f>
        <v>45239.66667</v>
      </c>
      <c r="B787" s="1">
        <f>IFERROR(__xludf.DUMMYFUNCTION("""COMPUTED_VALUE"""),86.93)</f>
        <v>86.93</v>
      </c>
    </row>
    <row r="788">
      <c r="A788" s="2">
        <f>IFERROR(__xludf.DUMMYFUNCTION("""COMPUTED_VALUE"""),45240.66666666667)</f>
        <v>45240.66667</v>
      </c>
      <c r="B788" s="1">
        <f>IFERROR(__xludf.DUMMYFUNCTION("""COMPUTED_VALUE"""),86.42)</f>
        <v>86.42</v>
      </c>
    </row>
    <row r="789">
      <c r="A789" s="2">
        <f>IFERROR(__xludf.DUMMYFUNCTION("""COMPUTED_VALUE"""),45243.66666666667)</f>
        <v>45243.66667</v>
      </c>
      <c r="B789" s="1">
        <f>IFERROR(__xludf.DUMMYFUNCTION("""COMPUTED_VALUE"""),86.08)</f>
        <v>86.08</v>
      </c>
    </row>
    <row r="790">
      <c r="A790" s="2">
        <f>IFERROR(__xludf.DUMMYFUNCTION("""COMPUTED_VALUE"""),45244.66666666667)</f>
        <v>45244.66667</v>
      </c>
      <c r="B790" s="1">
        <f>IFERROR(__xludf.DUMMYFUNCTION("""COMPUTED_VALUE"""),86.92)</f>
        <v>86.92</v>
      </c>
    </row>
    <row r="791">
      <c r="A791" s="2">
        <f>IFERROR(__xludf.DUMMYFUNCTION("""COMPUTED_VALUE"""),45245.66666666667)</f>
        <v>45245.66667</v>
      </c>
      <c r="B791" s="1">
        <f>IFERROR(__xludf.DUMMYFUNCTION("""COMPUTED_VALUE"""),88.13)</f>
        <v>88.13</v>
      </c>
    </row>
    <row r="792">
      <c r="A792" s="2">
        <f>IFERROR(__xludf.DUMMYFUNCTION("""COMPUTED_VALUE"""),45246.66666666667)</f>
        <v>45246.66667</v>
      </c>
      <c r="B792" s="1">
        <f>IFERROR(__xludf.DUMMYFUNCTION("""COMPUTED_VALUE"""),87.66)</f>
        <v>87.66</v>
      </c>
    </row>
    <row r="793">
      <c r="A793" s="2">
        <f>IFERROR(__xludf.DUMMYFUNCTION("""COMPUTED_VALUE"""),45247.66666666667)</f>
        <v>45247.66667</v>
      </c>
      <c r="B793" s="1">
        <f>IFERROR(__xludf.DUMMYFUNCTION("""COMPUTED_VALUE"""),87.56)</f>
        <v>87.56</v>
      </c>
    </row>
    <row r="794">
      <c r="A794" s="2">
        <f>IFERROR(__xludf.DUMMYFUNCTION("""COMPUTED_VALUE"""),45250.66666666667)</f>
        <v>45250.66667</v>
      </c>
      <c r="B794" s="1">
        <f>IFERROR(__xludf.DUMMYFUNCTION("""COMPUTED_VALUE"""),87.63)</f>
        <v>87.63</v>
      </c>
    </row>
    <row r="795">
      <c r="A795" s="2">
        <f>IFERROR(__xludf.DUMMYFUNCTION("""COMPUTED_VALUE"""),45251.66666666667)</f>
        <v>45251.66667</v>
      </c>
      <c r="B795" s="1">
        <f>IFERROR(__xludf.DUMMYFUNCTION("""COMPUTED_VALUE"""),87.94)</f>
        <v>87.94</v>
      </c>
    </row>
    <row r="796">
      <c r="A796" s="2">
        <f>IFERROR(__xludf.DUMMYFUNCTION("""COMPUTED_VALUE"""),45252.66666666667)</f>
        <v>45252.66667</v>
      </c>
      <c r="B796" s="1">
        <f>IFERROR(__xludf.DUMMYFUNCTION("""COMPUTED_VALUE"""),87.86)</f>
        <v>87.86</v>
      </c>
    </row>
    <row r="797">
      <c r="A797" s="2">
        <f>IFERROR(__xludf.DUMMYFUNCTION("""COMPUTED_VALUE"""),45253.66666666667)</f>
        <v>45253.66667</v>
      </c>
      <c r="B797" s="1">
        <f>IFERROR(__xludf.DUMMYFUNCTION("""COMPUTED_VALUE"""),87.31)</f>
        <v>87.31</v>
      </c>
    </row>
    <row r="798">
      <c r="A798" s="2">
        <f>IFERROR(__xludf.DUMMYFUNCTION("""COMPUTED_VALUE"""),45254.66666666667)</f>
        <v>45254.66667</v>
      </c>
      <c r="B798" s="1">
        <f>IFERROR(__xludf.DUMMYFUNCTION("""COMPUTED_VALUE"""),87.47)</f>
        <v>87.47</v>
      </c>
    </row>
    <row r="799">
      <c r="A799" s="2">
        <f>IFERROR(__xludf.DUMMYFUNCTION("""COMPUTED_VALUE"""),45257.66666666667)</f>
        <v>45257.66667</v>
      </c>
      <c r="B799" s="1">
        <f>IFERROR(__xludf.DUMMYFUNCTION("""COMPUTED_VALUE"""),86.8)</f>
        <v>86.8</v>
      </c>
    </row>
    <row r="800">
      <c r="A800" s="2">
        <f>IFERROR(__xludf.DUMMYFUNCTION("""COMPUTED_VALUE"""),45258.66666666667)</f>
        <v>45258.66667</v>
      </c>
      <c r="B800" s="1">
        <f>IFERROR(__xludf.DUMMYFUNCTION("""COMPUTED_VALUE"""),87.14)</f>
        <v>87.14</v>
      </c>
    </row>
    <row r="801">
      <c r="A801" s="2">
        <f>IFERROR(__xludf.DUMMYFUNCTION("""COMPUTED_VALUE"""),45259.66666666667)</f>
        <v>45259.66667</v>
      </c>
      <c r="B801" s="1">
        <f>IFERROR(__xludf.DUMMYFUNCTION("""COMPUTED_VALUE"""),87.42)</f>
        <v>87.42</v>
      </c>
    </row>
    <row r="802">
      <c r="A802" s="2">
        <f>IFERROR(__xludf.DUMMYFUNCTION("""COMPUTED_VALUE"""),45260.66666666667)</f>
        <v>45260.66667</v>
      </c>
      <c r="B802" s="1">
        <f>IFERROR(__xludf.DUMMYFUNCTION("""COMPUTED_VALUE"""),88.0)</f>
        <v>88</v>
      </c>
    </row>
    <row r="803">
      <c r="A803" s="2">
        <f>IFERROR(__xludf.DUMMYFUNCTION("""COMPUTED_VALUE"""),45261.66666666667)</f>
        <v>45261.66667</v>
      </c>
      <c r="B803" s="1">
        <f>IFERROR(__xludf.DUMMYFUNCTION("""COMPUTED_VALUE"""),87.92)</f>
        <v>87.92</v>
      </c>
    </row>
    <row r="804">
      <c r="A804" s="2">
        <f>IFERROR(__xludf.DUMMYFUNCTION("""COMPUTED_VALUE"""),45264.66666666667)</f>
        <v>45264.66667</v>
      </c>
      <c r="B804" s="1">
        <f>IFERROR(__xludf.DUMMYFUNCTION("""COMPUTED_VALUE"""),88.58)</f>
        <v>88.58</v>
      </c>
    </row>
    <row r="805">
      <c r="A805" s="2">
        <f>IFERROR(__xludf.DUMMYFUNCTION("""COMPUTED_VALUE"""),45265.66666666667)</f>
        <v>45265.66667</v>
      </c>
      <c r="B805" s="1">
        <f>IFERROR(__xludf.DUMMYFUNCTION("""COMPUTED_VALUE"""),87.72)</f>
        <v>87.72</v>
      </c>
    </row>
    <row r="806">
      <c r="A806" s="2">
        <f>IFERROR(__xludf.DUMMYFUNCTION("""COMPUTED_VALUE"""),45266.66666666667)</f>
        <v>45266.66667</v>
      </c>
      <c r="B806" s="1">
        <f>IFERROR(__xludf.DUMMYFUNCTION("""COMPUTED_VALUE"""),89.25)</f>
        <v>89.25</v>
      </c>
    </row>
    <row r="807">
      <c r="A807" s="2">
        <f>IFERROR(__xludf.DUMMYFUNCTION("""COMPUTED_VALUE"""),45267.66666666667)</f>
        <v>45267.66667</v>
      </c>
      <c r="B807" s="1">
        <f>IFERROR(__xludf.DUMMYFUNCTION("""COMPUTED_VALUE"""),89.13)</f>
        <v>89.13</v>
      </c>
    </row>
    <row r="808">
      <c r="A808" s="2">
        <f>IFERROR(__xludf.DUMMYFUNCTION("""COMPUTED_VALUE"""),45268.66666666667)</f>
        <v>45268.66667</v>
      </c>
      <c r="B808" s="1">
        <f>IFERROR(__xludf.DUMMYFUNCTION("""COMPUTED_VALUE"""),89.44)</f>
        <v>89.44</v>
      </c>
    </row>
    <row r="809">
      <c r="A809" s="2">
        <f>IFERROR(__xludf.DUMMYFUNCTION("""COMPUTED_VALUE"""),45271.66666666667)</f>
        <v>45271.66667</v>
      </c>
      <c r="B809" s="1">
        <f>IFERROR(__xludf.DUMMYFUNCTION("""COMPUTED_VALUE"""),89.45)</f>
        <v>89.45</v>
      </c>
    </row>
    <row r="810">
      <c r="A810" s="2">
        <f>IFERROR(__xludf.DUMMYFUNCTION("""COMPUTED_VALUE"""),45272.66666666667)</f>
        <v>45272.66667</v>
      </c>
      <c r="B810" s="1">
        <f>IFERROR(__xludf.DUMMYFUNCTION("""COMPUTED_VALUE"""),89.88)</f>
        <v>89.88</v>
      </c>
    </row>
    <row r="811">
      <c r="A811" s="2">
        <f>IFERROR(__xludf.DUMMYFUNCTION("""COMPUTED_VALUE"""),45273.66666666667)</f>
        <v>45273.66667</v>
      </c>
      <c r="B811" s="1">
        <f>IFERROR(__xludf.DUMMYFUNCTION("""COMPUTED_VALUE"""),90.16)</f>
        <v>90.16</v>
      </c>
    </row>
    <row r="812">
      <c r="A812" s="2">
        <f>IFERROR(__xludf.DUMMYFUNCTION("""COMPUTED_VALUE"""),45274.66666666667)</f>
        <v>45274.66667</v>
      </c>
      <c r="B812" s="1">
        <f>IFERROR(__xludf.DUMMYFUNCTION("""COMPUTED_VALUE"""),91.64)</f>
        <v>91.64</v>
      </c>
    </row>
    <row r="813">
      <c r="A813" s="2">
        <f>IFERROR(__xludf.DUMMYFUNCTION("""COMPUTED_VALUE"""),45275.66666666667)</f>
        <v>45275.66667</v>
      </c>
      <c r="B813" s="1">
        <f>IFERROR(__xludf.DUMMYFUNCTION("""COMPUTED_VALUE"""),92.44)</f>
        <v>92.44</v>
      </c>
    </row>
    <row r="814">
      <c r="A814" s="2">
        <f>IFERROR(__xludf.DUMMYFUNCTION("""COMPUTED_VALUE"""),45278.66666666667)</f>
        <v>45278.66667</v>
      </c>
      <c r="B814" s="1">
        <f>IFERROR(__xludf.DUMMYFUNCTION("""COMPUTED_VALUE"""),92.23)</f>
        <v>92.23</v>
      </c>
    </row>
    <row r="815">
      <c r="A815" s="2">
        <f>IFERROR(__xludf.DUMMYFUNCTION("""COMPUTED_VALUE"""),45279.66666666667)</f>
        <v>45279.66667</v>
      </c>
      <c r="B815" s="1">
        <f>IFERROR(__xludf.DUMMYFUNCTION("""COMPUTED_VALUE"""),93.07)</f>
        <v>93.07</v>
      </c>
    </row>
    <row r="816">
      <c r="A816" s="2">
        <f>IFERROR(__xludf.DUMMYFUNCTION("""COMPUTED_VALUE"""),45280.66666666667)</f>
        <v>45280.66667</v>
      </c>
      <c r="B816" s="1">
        <f>IFERROR(__xludf.DUMMYFUNCTION("""COMPUTED_VALUE"""),93.68)</f>
        <v>93.68</v>
      </c>
    </row>
    <row r="817">
      <c r="A817" s="2">
        <f>IFERROR(__xludf.DUMMYFUNCTION("""COMPUTED_VALUE"""),45281.66666666667)</f>
        <v>45281.66667</v>
      </c>
      <c r="B817" s="1">
        <f>IFERROR(__xludf.DUMMYFUNCTION("""COMPUTED_VALUE"""),93.2)</f>
        <v>93.2</v>
      </c>
    </row>
    <row r="818">
      <c r="A818" s="2">
        <f>IFERROR(__xludf.DUMMYFUNCTION("""COMPUTED_VALUE"""),45282.66666666667)</f>
        <v>45282.66667</v>
      </c>
      <c r="B818" s="1">
        <f>IFERROR(__xludf.DUMMYFUNCTION("""COMPUTED_VALUE"""),93.15)</f>
        <v>93.15</v>
      </c>
    </row>
    <row r="819">
      <c r="A819" s="2">
        <f>IFERROR(__xludf.DUMMYFUNCTION("""COMPUTED_VALUE"""),45287.66666666667)</f>
        <v>45287.66667</v>
      </c>
      <c r="B819" s="1">
        <f>IFERROR(__xludf.DUMMYFUNCTION("""COMPUTED_VALUE"""),93.95)</f>
        <v>93.95</v>
      </c>
    </row>
    <row r="820">
      <c r="A820" s="2">
        <f>IFERROR(__xludf.DUMMYFUNCTION("""COMPUTED_VALUE"""),45288.66666666667)</f>
        <v>45288.66667</v>
      </c>
      <c r="B820" s="1">
        <f>IFERROR(__xludf.DUMMYFUNCTION("""COMPUTED_VALUE"""),94.74)</f>
        <v>94.74</v>
      </c>
    </row>
    <row r="821">
      <c r="A821" s="2">
        <f>IFERROR(__xludf.DUMMYFUNCTION("""COMPUTED_VALUE"""),45289.66666666667)</f>
        <v>45289.66667</v>
      </c>
      <c r="B821" s="1">
        <f>IFERROR(__xludf.DUMMYFUNCTION("""COMPUTED_VALUE"""),94.41)</f>
        <v>94.41</v>
      </c>
    </row>
    <row r="822">
      <c r="A822" s="2">
        <f>IFERROR(__xludf.DUMMYFUNCTION("""COMPUTED_VALUE"""),45293.66666666667)</f>
        <v>45293.66667</v>
      </c>
      <c r="B822" s="1">
        <f>IFERROR(__xludf.DUMMYFUNCTION("""COMPUTED_VALUE"""),94.18)</f>
        <v>94.18</v>
      </c>
    </row>
    <row r="823">
      <c r="A823" s="2">
        <f>IFERROR(__xludf.DUMMYFUNCTION("""COMPUTED_VALUE"""),45294.66666666667)</f>
        <v>45294.66667</v>
      </c>
      <c r="B823" s="1">
        <f>IFERROR(__xludf.DUMMYFUNCTION("""COMPUTED_VALUE"""),92.87)</f>
        <v>92.87</v>
      </c>
    </row>
    <row r="824">
      <c r="A824" s="2">
        <f>IFERROR(__xludf.DUMMYFUNCTION("""COMPUTED_VALUE"""),45295.66666666667)</f>
        <v>45295.66667</v>
      </c>
      <c r="B824" s="1">
        <f>IFERROR(__xludf.DUMMYFUNCTION("""COMPUTED_VALUE"""),92.51)</f>
        <v>92.51</v>
      </c>
    </row>
    <row r="825">
      <c r="A825" s="2">
        <f>IFERROR(__xludf.DUMMYFUNCTION("""COMPUTED_VALUE"""),45296.66666666667)</f>
        <v>45296.66667</v>
      </c>
      <c r="B825" s="1">
        <f>IFERROR(__xludf.DUMMYFUNCTION("""COMPUTED_VALUE"""),92.43)</f>
        <v>92.43</v>
      </c>
    </row>
    <row r="826">
      <c r="A826" s="2">
        <f>IFERROR(__xludf.DUMMYFUNCTION("""COMPUTED_VALUE"""),45299.66666666667)</f>
        <v>45299.66667</v>
      </c>
      <c r="B826" s="1">
        <f>IFERROR(__xludf.DUMMYFUNCTION("""COMPUTED_VALUE"""),91.96)</f>
        <v>91.96</v>
      </c>
    </row>
    <row r="827">
      <c r="A827" s="2">
        <f>IFERROR(__xludf.DUMMYFUNCTION("""COMPUTED_VALUE"""),45300.66666666667)</f>
        <v>45300.66667</v>
      </c>
      <c r="B827" s="1">
        <f>IFERROR(__xludf.DUMMYFUNCTION("""COMPUTED_VALUE"""),92.82)</f>
        <v>92.82</v>
      </c>
    </row>
    <row r="828">
      <c r="A828" s="2">
        <f>IFERROR(__xludf.DUMMYFUNCTION("""COMPUTED_VALUE"""),45301.66666666667)</f>
        <v>45301.66667</v>
      </c>
      <c r="B828" s="1">
        <f>IFERROR(__xludf.DUMMYFUNCTION("""COMPUTED_VALUE"""),92.2)</f>
        <v>92.2</v>
      </c>
    </row>
    <row r="829">
      <c r="A829" s="2">
        <f>IFERROR(__xludf.DUMMYFUNCTION("""COMPUTED_VALUE"""),45302.66666666667)</f>
        <v>45302.66667</v>
      </c>
      <c r="B829" s="1">
        <f>IFERROR(__xludf.DUMMYFUNCTION("""COMPUTED_VALUE"""),92.7)</f>
        <v>92.7</v>
      </c>
    </row>
    <row r="830">
      <c r="A830" s="2">
        <f>IFERROR(__xludf.DUMMYFUNCTION("""COMPUTED_VALUE"""),45303.66666666667)</f>
        <v>45303.66667</v>
      </c>
      <c r="B830" s="1">
        <f>IFERROR(__xludf.DUMMYFUNCTION("""COMPUTED_VALUE"""),92.47)</f>
        <v>92.47</v>
      </c>
    </row>
    <row r="831">
      <c r="A831" s="2">
        <f>IFERROR(__xludf.DUMMYFUNCTION("""COMPUTED_VALUE"""),45306.66666666667)</f>
        <v>45306.66667</v>
      </c>
      <c r="B831" s="1">
        <f>IFERROR(__xludf.DUMMYFUNCTION("""COMPUTED_VALUE"""),92.59)</f>
        <v>92.59</v>
      </c>
    </row>
    <row r="832">
      <c r="A832" s="2">
        <f>IFERROR(__xludf.DUMMYFUNCTION("""COMPUTED_VALUE"""),45307.66666666667)</f>
        <v>45307.66667</v>
      </c>
      <c r="B832" s="1">
        <f>IFERROR(__xludf.DUMMYFUNCTION("""COMPUTED_VALUE"""),91.54)</f>
        <v>91.54</v>
      </c>
    </row>
    <row r="833">
      <c r="A833" s="2">
        <f>IFERROR(__xludf.DUMMYFUNCTION("""COMPUTED_VALUE"""),45308.66666666667)</f>
        <v>45308.66667</v>
      </c>
      <c r="B833" s="1">
        <f>IFERROR(__xludf.DUMMYFUNCTION("""COMPUTED_VALUE"""),91.24)</f>
        <v>91.24</v>
      </c>
    </row>
    <row r="834">
      <c r="A834" s="2">
        <f>IFERROR(__xludf.DUMMYFUNCTION("""COMPUTED_VALUE"""),45309.66666666667)</f>
        <v>45309.66667</v>
      </c>
      <c r="B834" s="1">
        <f>IFERROR(__xludf.DUMMYFUNCTION("""COMPUTED_VALUE"""),90.68)</f>
        <v>90.68</v>
      </c>
    </row>
    <row r="835">
      <c r="A835" s="2">
        <f>IFERROR(__xludf.DUMMYFUNCTION("""COMPUTED_VALUE"""),45310.66666666667)</f>
        <v>45310.66667</v>
      </c>
      <c r="B835" s="1">
        <f>IFERROR(__xludf.DUMMYFUNCTION("""COMPUTED_VALUE"""),91.65)</f>
        <v>91.65</v>
      </c>
    </row>
    <row r="836">
      <c r="A836" s="2">
        <f>IFERROR(__xludf.DUMMYFUNCTION("""COMPUTED_VALUE"""),45313.66666666667)</f>
        <v>45313.66667</v>
      </c>
      <c r="B836" s="1">
        <f>IFERROR(__xludf.DUMMYFUNCTION("""COMPUTED_VALUE"""),92.22)</f>
        <v>92.22</v>
      </c>
    </row>
    <row r="837">
      <c r="A837" s="2">
        <f>IFERROR(__xludf.DUMMYFUNCTION("""COMPUTED_VALUE"""),45314.66666666667)</f>
        <v>45314.66667</v>
      </c>
      <c r="B837" s="1">
        <f>IFERROR(__xludf.DUMMYFUNCTION("""COMPUTED_VALUE"""),92.7)</f>
        <v>92.7</v>
      </c>
    </row>
    <row r="838">
      <c r="A838" s="2">
        <f>IFERROR(__xludf.DUMMYFUNCTION("""COMPUTED_VALUE"""),45315.66666666667)</f>
        <v>45315.66667</v>
      </c>
      <c r="B838" s="1">
        <f>IFERROR(__xludf.DUMMYFUNCTION("""COMPUTED_VALUE"""),92.78)</f>
        <v>92.78</v>
      </c>
    </row>
    <row r="839">
      <c r="A839" s="2">
        <f>IFERROR(__xludf.DUMMYFUNCTION("""COMPUTED_VALUE"""),45316.66666666667)</f>
        <v>45316.66667</v>
      </c>
      <c r="B839" s="1">
        <f>IFERROR(__xludf.DUMMYFUNCTION("""COMPUTED_VALUE"""),93.25)</f>
        <v>93.25</v>
      </c>
    </row>
    <row r="840">
      <c r="A840" s="2">
        <f>IFERROR(__xludf.DUMMYFUNCTION("""COMPUTED_VALUE"""),45320.66666666667)</f>
        <v>45320.66667</v>
      </c>
      <c r="B840" s="1">
        <f>IFERROR(__xludf.DUMMYFUNCTION("""COMPUTED_VALUE"""),93.52)</f>
        <v>93.52</v>
      </c>
    </row>
    <row r="841">
      <c r="A841" s="2">
        <f>IFERROR(__xludf.DUMMYFUNCTION("""COMPUTED_VALUE"""),45321.66666666667)</f>
        <v>45321.66667</v>
      </c>
      <c r="B841" s="1">
        <f>IFERROR(__xludf.DUMMYFUNCTION("""COMPUTED_VALUE"""),93.76)</f>
        <v>93.76</v>
      </c>
    </row>
    <row r="842">
      <c r="A842" s="2">
        <f>IFERROR(__xludf.DUMMYFUNCTION("""COMPUTED_VALUE"""),45322.66666666667)</f>
        <v>45322.66667</v>
      </c>
      <c r="B842" s="1">
        <f>IFERROR(__xludf.DUMMYFUNCTION("""COMPUTED_VALUE"""),94.74)</f>
        <v>94.74</v>
      </c>
    </row>
    <row r="843">
      <c r="A843" s="2">
        <f>IFERROR(__xludf.DUMMYFUNCTION("""COMPUTED_VALUE"""),45323.66666666667)</f>
        <v>45323.66667</v>
      </c>
      <c r="B843" s="1">
        <f>IFERROR(__xludf.DUMMYFUNCTION("""COMPUTED_VALUE"""),93.58)</f>
        <v>93.58</v>
      </c>
    </row>
    <row r="844">
      <c r="A844" s="2">
        <f>IFERROR(__xludf.DUMMYFUNCTION("""COMPUTED_VALUE"""),45324.66666666667)</f>
        <v>45324.66667</v>
      </c>
      <c r="B844" s="1">
        <f>IFERROR(__xludf.DUMMYFUNCTION("""COMPUTED_VALUE"""),94.94)</f>
        <v>94.94</v>
      </c>
    </row>
    <row r="845">
      <c r="A845" s="2">
        <f>IFERROR(__xludf.DUMMYFUNCTION("""COMPUTED_VALUE"""),45327.66666666667)</f>
        <v>45327.66667</v>
      </c>
      <c r="B845" s="1">
        <f>IFERROR(__xludf.DUMMYFUNCTION("""COMPUTED_VALUE"""),94.06)</f>
        <v>94.06</v>
      </c>
    </row>
    <row r="846">
      <c r="A846" s="2">
        <f>IFERROR(__xludf.DUMMYFUNCTION("""COMPUTED_VALUE"""),45328.66666666667)</f>
        <v>45328.66667</v>
      </c>
      <c r="B846" s="1">
        <f>IFERROR(__xludf.DUMMYFUNCTION("""COMPUTED_VALUE"""),93.58)</f>
        <v>93.58</v>
      </c>
    </row>
    <row r="847">
      <c r="A847" s="2">
        <f>IFERROR(__xludf.DUMMYFUNCTION("""COMPUTED_VALUE"""),45329.66666666667)</f>
        <v>45329.66667</v>
      </c>
      <c r="B847" s="1">
        <f>IFERROR(__xludf.DUMMYFUNCTION("""COMPUTED_VALUE"""),94.0)</f>
        <v>94</v>
      </c>
    </row>
    <row r="848">
      <c r="A848" s="2">
        <f>IFERROR(__xludf.DUMMYFUNCTION("""COMPUTED_VALUE"""),45330.66666666667)</f>
        <v>45330.66667</v>
      </c>
      <c r="B848" s="1">
        <f>IFERROR(__xludf.DUMMYFUNCTION("""COMPUTED_VALUE"""),94.32)</f>
        <v>94.32</v>
      </c>
    </row>
    <row r="849">
      <c r="A849" s="2">
        <f>IFERROR(__xludf.DUMMYFUNCTION("""COMPUTED_VALUE"""),45331.66666666667)</f>
        <v>45331.66667</v>
      </c>
      <c r="B849" s="1">
        <f>IFERROR(__xludf.DUMMYFUNCTION("""COMPUTED_VALUE"""),94.38)</f>
        <v>94.38</v>
      </c>
    </row>
    <row r="850">
      <c r="A850" s="2">
        <f>IFERROR(__xludf.DUMMYFUNCTION("""COMPUTED_VALUE"""),45334.66666666667)</f>
        <v>45334.66667</v>
      </c>
      <c r="B850" s="1">
        <f>IFERROR(__xludf.DUMMYFUNCTION("""COMPUTED_VALUE"""),94.02)</f>
        <v>94.02</v>
      </c>
    </row>
    <row r="851">
      <c r="A851" s="2">
        <f>IFERROR(__xludf.DUMMYFUNCTION("""COMPUTED_VALUE"""),45335.66666666667)</f>
        <v>45335.66667</v>
      </c>
      <c r="B851" s="1">
        <f>IFERROR(__xludf.DUMMYFUNCTION("""COMPUTED_VALUE"""),93.9)</f>
        <v>93.9</v>
      </c>
    </row>
    <row r="852">
      <c r="A852" s="2">
        <f>IFERROR(__xludf.DUMMYFUNCTION("""COMPUTED_VALUE"""),45336.66666666667)</f>
        <v>45336.66667</v>
      </c>
      <c r="B852" s="1">
        <f>IFERROR(__xludf.DUMMYFUNCTION("""COMPUTED_VALUE"""),93.16)</f>
        <v>93.16</v>
      </c>
    </row>
    <row r="853">
      <c r="A853" s="2">
        <f>IFERROR(__xludf.DUMMYFUNCTION("""COMPUTED_VALUE"""),45337.66666666667)</f>
        <v>45337.66667</v>
      </c>
      <c r="B853" s="1">
        <f>IFERROR(__xludf.DUMMYFUNCTION("""COMPUTED_VALUE"""),93.93)</f>
        <v>93.93</v>
      </c>
    </row>
    <row r="854">
      <c r="A854" s="2">
        <f>IFERROR(__xludf.DUMMYFUNCTION("""COMPUTED_VALUE"""),45338.66666666667)</f>
        <v>45338.66667</v>
      </c>
      <c r="B854" s="1">
        <f>IFERROR(__xludf.DUMMYFUNCTION("""COMPUTED_VALUE"""),94.56)</f>
        <v>94.56</v>
      </c>
    </row>
    <row r="855">
      <c r="A855" s="2">
        <f>IFERROR(__xludf.DUMMYFUNCTION("""COMPUTED_VALUE"""),45341.66666666667)</f>
        <v>45341.66667</v>
      </c>
      <c r="B855" s="1">
        <f>IFERROR(__xludf.DUMMYFUNCTION("""COMPUTED_VALUE"""),94.63)</f>
        <v>94.63</v>
      </c>
    </row>
    <row r="856">
      <c r="A856" s="2">
        <f>IFERROR(__xludf.DUMMYFUNCTION("""COMPUTED_VALUE"""),45342.66666666667)</f>
        <v>45342.66667</v>
      </c>
      <c r="B856" s="1">
        <f>IFERROR(__xludf.DUMMYFUNCTION("""COMPUTED_VALUE"""),94.65)</f>
        <v>94.65</v>
      </c>
    </row>
    <row r="857">
      <c r="A857" s="2">
        <f>IFERROR(__xludf.DUMMYFUNCTION("""COMPUTED_VALUE"""),45343.66666666667)</f>
        <v>45343.66667</v>
      </c>
      <c r="B857" s="1">
        <f>IFERROR(__xludf.DUMMYFUNCTION("""COMPUTED_VALUE"""),94.17)</f>
        <v>94.17</v>
      </c>
    </row>
    <row r="858">
      <c r="A858" s="2">
        <f>IFERROR(__xludf.DUMMYFUNCTION("""COMPUTED_VALUE"""),45344.66666666667)</f>
        <v>45344.66667</v>
      </c>
      <c r="B858" s="1">
        <f>IFERROR(__xludf.DUMMYFUNCTION("""COMPUTED_VALUE"""),94.31)</f>
        <v>94.31</v>
      </c>
    </row>
    <row r="859">
      <c r="A859" s="2">
        <f>IFERROR(__xludf.DUMMYFUNCTION("""COMPUTED_VALUE"""),45345.66666666667)</f>
        <v>45345.66667</v>
      </c>
      <c r="B859" s="1">
        <f>IFERROR(__xludf.DUMMYFUNCTION("""COMPUTED_VALUE"""),94.71)</f>
        <v>94.71</v>
      </c>
    </row>
    <row r="860">
      <c r="A860" s="2">
        <f>IFERROR(__xludf.DUMMYFUNCTION("""COMPUTED_VALUE"""),45348.66666666667)</f>
        <v>45348.66667</v>
      </c>
      <c r="B860" s="1">
        <f>IFERROR(__xludf.DUMMYFUNCTION("""COMPUTED_VALUE"""),94.85)</f>
        <v>94.85</v>
      </c>
    </row>
    <row r="861">
      <c r="A861" s="2">
        <f>IFERROR(__xludf.DUMMYFUNCTION("""COMPUTED_VALUE"""),45349.66666666667)</f>
        <v>45349.66667</v>
      </c>
      <c r="B861" s="1">
        <f>IFERROR(__xludf.DUMMYFUNCTION("""COMPUTED_VALUE"""),95.01)</f>
        <v>95.01</v>
      </c>
    </row>
    <row r="862">
      <c r="A862" s="2">
        <f>IFERROR(__xludf.DUMMYFUNCTION("""COMPUTED_VALUE"""),45350.66666666667)</f>
        <v>45350.66667</v>
      </c>
      <c r="B862" s="1">
        <f>IFERROR(__xludf.DUMMYFUNCTION("""COMPUTED_VALUE"""),95.1)</f>
        <v>95.1</v>
      </c>
    </row>
    <row r="863">
      <c r="A863" s="2">
        <f>IFERROR(__xludf.DUMMYFUNCTION("""COMPUTED_VALUE"""),45351.66666666667)</f>
        <v>45351.66667</v>
      </c>
      <c r="B863" s="1">
        <f>IFERROR(__xludf.DUMMYFUNCTION("""COMPUTED_VALUE"""),95.63)</f>
        <v>95.63</v>
      </c>
    </row>
    <row r="864">
      <c r="A864" s="2">
        <f>IFERROR(__xludf.DUMMYFUNCTION("""COMPUTED_VALUE"""),45352.66666666667)</f>
        <v>45352.66667</v>
      </c>
      <c r="B864" s="1">
        <f>IFERROR(__xludf.DUMMYFUNCTION("""COMPUTED_VALUE"""),96.3)</f>
        <v>96.3</v>
      </c>
    </row>
    <row r="865">
      <c r="A865" s="2">
        <f>IFERROR(__xludf.DUMMYFUNCTION("""COMPUTED_VALUE"""),45355.66666666667)</f>
        <v>45355.66667</v>
      </c>
      <c r="B865" s="1">
        <f>IFERROR(__xludf.DUMMYFUNCTION("""COMPUTED_VALUE"""),96.18)</f>
        <v>96.18</v>
      </c>
    </row>
    <row r="866">
      <c r="A866" s="2">
        <f>IFERROR(__xludf.DUMMYFUNCTION("""COMPUTED_VALUE"""),45356.66666666667)</f>
        <v>45356.66667</v>
      </c>
      <c r="B866" s="1">
        <f>IFERROR(__xludf.DUMMYFUNCTION("""COMPUTED_VALUE"""),96.13)</f>
        <v>96.13</v>
      </c>
    </row>
    <row r="867">
      <c r="A867" s="2">
        <f>IFERROR(__xludf.DUMMYFUNCTION("""COMPUTED_VALUE"""),45357.66666666667)</f>
        <v>45357.66667</v>
      </c>
      <c r="B867" s="1">
        <f>IFERROR(__xludf.DUMMYFUNCTION("""COMPUTED_VALUE"""),96.3)</f>
        <v>96.3</v>
      </c>
    </row>
    <row r="868">
      <c r="A868" s="2">
        <f>IFERROR(__xludf.DUMMYFUNCTION("""COMPUTED_VALUE"""),45358.66666666667)</f>
        <v>45358.66667</v>
      </c>
      <c r="B868" s="1">
        <f>IFERROR(__xludf.DUMMYFUNCTION("""COMPUTED_VALUE"""),97.04)</f>
        <v>97.04</v>
      </c>
    </row>
    <row r="869">
      <c r="A869" s="2">
        <f>IFERROR(__xludf.DUMMYFUNCTION("""COMPUTED_VALUE"""),45359.66666666667)</f>
        <v>45359.66667</v>
      </c>
      <c r="B869" s="1">
        <f>IFERROR(__xludf.DUMMYFUNCTION("""COMPUTED_VALUE"""),98.05)</f>
        <v>98.05</v>
      </c>
    </row>
    <row r="870">
      <c r="A870" s="2">
        <f>IFERROR(__xludf.DUMMYFUNCTION("""COMPUTED_VALUE"""),45362.66666666667)</f>
        <v>45362.66667</v>
      </c>
      <c r="B870" s="1">
        <f>IFERROR(__xludf.DUMMYFUNCTION("""COMPUTED_VALUE"""),96.35)</f>
        <v>96.35</v>
      </c>
    </row>
    <row r="871">
      <c r="A871" s="2">
        <f>IFERROR(__xludf.DUMMYFUNCTION("""COMPUTED_VALUE"""),45363.66666666667)</f>
        <v>45363.66667</v>
      </c>
      <c r="B871" s="1">
        <f>IFERROR(__xludf.DUMMYFUNCTION("""COMPUTED_VALUE"""),96.42)</f>
        <v>96.42</v>
      </c>
    </row>
    <row r="872">
      <c r="A872" s="2">
        <f>IFERROR(__xludf.DUMMYFUNCTION("""COMPUTED_VALUE"""),45364.66666666667)</f>
        <v>45364.66667</v>
      </c>
      <c r="B872" s="1">
        <f>IFERROR(__xludf.DUMMYFUNCTION("""COMPUTED_VALUE"""),96.69)</f>
        <v>96.69</v>
      </c>
    </row>
    <row r="873">
      <c r="A873" s="2">
        <f>IFERROR(__xludf.DUMMYFUNCTION("""COMPUTED_VALUE"""),45365.66666666667)</f>
        <v>45365.66667</v>
      </c>
      <c r="B873" s="1">
        <f>IFERROR(__xludf.DUMMYFUNCTION("""COMPUTED_VALUE"""),96.5)</f>
        <v>96.5</v>
      </c>
    </row>
    <row r="874">
      <c r="A874" s="2">
        <f>IFERROR(__xludf.DUMMYFUNCTION("""COMPUTED_VALUE"""),45366.66666666667)</f>
        <v>45366.66667</v>
      </c>
      <c r="B874" s="1">
        <f>IFERROR(__xludf.DUMMYFUNCTION("""COMPUTED_VALUE"""),95.9)</f>
        <v>95.9</v>
      </c>
    </row>
    <row r="875">
      <c r="A875" s="2">
        <f>IFERROR(__xludf.DUMMYFUNCTION("""COMPUTED_VALUE"""),45369.66666666667)</f>
        <v>45369.66667</v>
      </c>
      <c r="B875" s="1">
        <f>IFERROR(__xludf.DUMMYFUNCTION("""COMPUTED_VALUE"""),96.05)</f>
        <v>96.05</v>
      </c>
    </row>
    <row r="876">
      <c r="A876" s="2">
        <f>IFERROR(__xludf.DUMMYFUNCTION("""COMPUTED_VALUE"""),45370.66666666667)</f>
        <v>45370.66667</v>
      </c>
      <c r="B876" s="1">
        <f>IFERROR(__xludf.DUMMYFUNCTION("""COMPUTED_VALUE"""),96.35)</f>
        <v>96.35</v>
      </c>
    </row>
    <row r="877">
      <c r="A877" s="2">
        <f>IFERROR(__xludf.DUMMYFUNCTION("""COMPUTED_VALUE"""),45371.66666666667)</f>
        <v>45371.66667</v>
      </c>
      <c r="B877" s="1">
        <f>IFERROR(__xludf.DUMMYFUNCTION("""COMPUTED_VALUE"""),96.28)</f>
        <v>96.28</v>
      </c>
    </row>
    <row r="878">
      <c r="A878" s="2">
        <f>IFERROR(__xludf.DUMMYFUNCTION("""COMPUTED_VALUE"""),45372.66666666667)</f>
        <v>45372.66667</v>
      </c>
      <c r="B878" s="1">
        <f>IFERROR(__xludf.DUMMYFUNCTION("""COMPUTED_VALUE"""),97.37)</f>
        <v>97.37</v>
      </c>
    </row>
    <row r="879">
      <c r="A879" s="2">
        <f>IFERROR(__xludf.DUMMYFUNCTION("""COMPUTED_VALUE"""),45373.66666666667)</f>
        <v>45373.66667</v>
      </c>
      <c r="B879" s="1">
        <f>IFERROR(__xludf.DUMMYFUNCTION("""COMPUTED_VALUE"""),97.17)</f>
        <v>97.17</v>
      </c>
    </row>
    <row r="880">
      <c r="A880" s="2">
        <f>IFERROR(__xludf.DUMMYFUNCTION("""COMPUTED_VALUE"""),45376.66666666667)</f>
        <v>45376.66667</v>
      </c>
      <c r="B880" s="1">
        <f>IFERROR(__xludf.DUMMYFUNCTION("""COMPUTED_VALUE"""),97.77)</f>
        <v>97.77</v>
      </c>
    </row>
    <row r="881">
      <c r="A881" s="2">
        <f>IFERROR(__xludf.DUMMYFUNCTION("""COMPUTED_VALUE"""),45377.66666666667)</f>
        <v>45377.66667</v>
      </c>
      <c r="B881" s="1">
        <f>IFERROR(__xludf.DUMMYFUNCTION("""COMPUTED_VALUE"""),97.38)</f>
        <v>97.38</v>
      </c>
    </row>
    <row r="882">
      <c r="A882" s="2">
        <f>IFERROR(__xludf.DUMMYFUNCTION("""COMPUTED_VALUE"""),45378.66666666667)</f>
        <v>45378.66667</v>
      </c>
      <c r="B882" s="1">
        <f>IFERROR(__xludf.DUMMYFUNCTION("""COMPUTED_VALUE"""),97.83)</f>
        <v>97.83</v>
      </c>
    </row>
    <row r="883">
      <c r="A883" s="2">
        <f>IFERROR(__xludf.DUMMYFUNCTION("""COMPUTED_VALUE"""),45379.66666666667)</f>
        <v>45379.66667</v>
      </c>
      <c r="B883" s="1">
        <f>IFERROR(__xludf.DUMMYFUNCTION("""COMPUTED_VALUE"""),98.84)</f>
        <v>98.84</v>
      </c>
    </row>
    <row r="884">
      <c r="A884" s="2">
        <f>IFERROR(__xludf.DUMMYFUNCTION("""COMPUTED_VALUE"""),45384.66666666667)</f>
        <v>45384.66667</v>
      </c>
      <c r="B884" s="1">
        <f>IFERROR(__xludf.DUMMYFUNCTION("""COMPUTED_VALUE"""),97.81)</f>
        <v>97.81</v>
      </c>
    </row>
    <row r="885">
      <c r="A885" s="2">
        <f>IFERROR(__xludf.DUMMYFUNCTION("""COMPUTED_VALUE"""),45385.66666666667)</f>
        <v>45385.66667</v>
      </c>
      <c r="B885" s="1">
        <f>IFERROR(__xludf.DUMMYFUNCTION("""COMPUTED_VALUE"""),96.51)</f>
        <v>96.51</v>
      </c>
    </row>
    <row r="886">
      <c r="A886" s="2">
        <f>IFERROR(__xludf.DUMMYFUNCTION("""COMPUTED_VALUE"""),45386.66666666667)</f>
        <v>45386.66667</v>
      </c>
      <c r="B886" s="1">
        <f>IFERROR(__xludf.DUMMYFUNCTION("""COMPUTED_VALUE"""),97.02)</f>
        <v>97.02</v>
      </c>
    </row>
    <row r="887">
      <c r="A887" s="2">
        <f>IFERROR(__xludf.DUMMYFUNCTION("""COMPUTED_VALUE"""),45387.66666666667)</f>
        <v>45387.66667</v>
      </c>
      <c r="B887" s="1">
        <f>IFERROR(__xludf.DUMMYFUNCTION("""COMPUTED_VALUE"""),96.41)</f>
        <v>96.41</v>
      </c>
    </row>
    <row r="888">
      <c r="A888" s="2">
        <f>IFERROR(__xludf.DUMMYFUNCTION("""COMPUTED_VALUE"""),45390.66666666667)</f>
        <v>45390.66667</v>
      </c>
      <c r="B888" s="1">
        <f>IFERROR(__xludf.DUMMYFUNCTION("""COMPUTED_VALUE"""),96.63)</f>
        <v>96.63</v>
      </c>
    </row>
    <row r="889">
      <c r="A889" s="2">
        <f>IFERROR(__xludf.DUMMYFUNCTION("""COMPUTED_VALUE"""),45391.66666666667)</f>
        <v>45391.66667</v>
      </c>
      <c r="B889" s="1">
        <f>IFERROR(__xludf.DUMMYFUNCTION("""COMPUTED_VALUE"""),97.1)</f>
        <v>97.1</v>
      </c>
    </row>
    <row r="890">
      <c r="A890" s="2">
        <f>IFERROR(__xludf.DUMMYFUNCTION("""COMPUTED_VALUE"""),45392.66666666667)</f>
        <v>45392.66667</v>
      </c>
      <c r="B890" s="1">
        <f>IFERROR(__xludf.DUMMYFUNCTION("""COMPUTED_VALUE"""),97.33)</f>
        <v>97.33</v>
      </c>
    </row>
    <row r="891">
      <c r="A891" s="2">
        <f>IFERROR(__xludf.DUMMYFUNCTION("""COMPUTED_VALUE"""),45393.66666666667)</f>
        <v>45393.66667</v>
      </c>
      <c r="B891" s="1">
        <f>IFERROR(__xludf.DUMMYFUNCTION("""COMPUTED_VALUE"""),96.92)</f>
        <v>96.92</v>
      </c>
    </row>
    <row r="892">
      <c r="A892" s="2">
        <f>IFERROR(__xludf.DUMMYFUNCTION("""COMPUTED_VALUE"""),45394.66666666667)</f>
        <v>45394.66667</v>
      </c>
      <c r="B892" s="1">
        <f>IFERROR(__xludf.DUMMYFUNCTION("""COMPUTED_VALUE"""),96.6)</f>
        <v>96.6</v>
      </c>
    </row>
    <row r="893">
      <c r="A893" s="2">
        <f>IFERROR(__xludf.DUMMYFUNCTION("""COMPUTED_VALUE"""),45397.66666666667)</f>
        <v>45397.66667</v>
      </c>
      <c r="B893" s="1">
        <f>IFERROR(__xludf.DUMMYFUNCTION("""COMPUTED_VALUE"""),96.18)</f>
        <v>96.18</v>
      </c>
    </row>
    <row r="894">
      <c r="A894" s="2">
        <f>IFERROR(__xludf.DUMMYFUNCTION("""COMPUTED_VALUE"""),45398.66666666667)</f>
        <v>45398.66667</v>
      </c>
      <c r="B894" s="1">
        <f>IFERROR(__xludf.DUMMYFUNCTION("""COMPUTED_VALUE"""),94.44)</f>
        <v>94.44</v>
      </c>
    </row>
    <row r="895">
      <c r="A895" s="2">
        <f>IFERROR(__xludf.DUMMYFUNCTION("""COMPUTED_VALUE"""),45399.66666666667)</f>
        <v>45399.66667</v>
      </c>
      <c r="B895" s="1">
        <f>IFERROR(__xludf.DUMMYFUNCTION("""COMPUTED_VALUE"""),94.35)</f>
        <v>94.35</v>
      </c>
    </row>
    <row r="896">
      <c r="A896" s="2">
        <f>IFERROR(__xludf.DUMMYFUNCTION("""COMPUTED_VALUE"""),45400.66666666667)</f>
        <v>45400.66667</v>
      </c>
      <c r="B896" s="1">
        <f>IFERROR(__xludf.DUMMYFUNCTION("""COMPUTED_VALUE"""),94.77)</f>
        <v>94.77</v>
      </c>
    </row>
    <row r="897">
      <c r="A897" s="2">
        <f>IFERROR(__xludf.DUMMYFUNCTION("""COMPUTED_VALUE"""),45401.66666666667)</f>
        <v>45401.66667</v>
      </c>
      <c r="B897" s="1">
        <f>IFERROR(__xludf.DUMMYFUNCTION("""COMPUTED_VALUE"""),93.87)</f>
        <v>93.87</v>
      </c>
    </row>
    <row r="898">
      <c r="A898" s="2">
        <f>IFERROR(__xludf.DUMMYFUNCTION("""COMPUTED_VALUE"""),45404.66666666667)</f>
        <v>45404.66667</v>
      </c>
      <c r="B898" s="1">
        <f>IFERROR(__xludf.DUMMYFUNCTION("""COMPUTED_VALUE"""),94.88)</f>
        <v>94.88</v>
      </c>
    </row>
    <row r="899">
      <c r="A899" s="2">
        <f>IFERROR(__xludf.DUMMYFUNCTION("""COMPUTED_VALUE"""),45405.66666666667)</f>
        <v>45405.66667</v>
      </c>
      <c r="B899" s="1">
        <f>IFERROR(__xludf.DUMMYFUNCTION("""COMPUTED_VALUE"""),95.31)</f>
        <v>95.31</v>
      </c>
    </row>
    <row r="900">
      <c r="A900" s="2">
        <f>IFERROR(__xludf.DUMMYFUNCTION("""COMPUTED_VALUE"""),45406.66666666667)</f>
        <v>45406.66667</v>
      </c>
      <c r="B900" s="1">
        <f>IFERROR(__xludf.DUMMYFUNCTION("""COMPUTED_VALUE"""),95.34)</f>
        <v>95.34</v>
      </c>
    </row>
    <row r="901">
      <c r="A901" s="2">
        <f>IFERROR(__xludf.DUMMYFUNCTION("""COMPUTED_VALUE"""),45408.66666666667)</f>
        <v>45408.66667</v>
      </c>
      <c r="B901" s="1">
        <f>IFERROR(__xludf.DUMMYFUNCTION("""COMPUTED_VALUE"""),94.0)</f>
        <v>94</v>
      </c>
    </row>
    <row r="902">
      <c r="A902" s="2">
        <f>IFERROR(__xludf.DUMMYFUNCTION("""COMPUTED_VALUE"""),45411.66666666667)</f>
        <v>45411.66667</v>
      </c>
      <c r="B902" s="1">
        <f>IFERROR(__xludf.DUMMYFUNCTION("""COMPUTED_VALUE"""),94.79)</f>
        <v>94.79</v>
      </c>
    </row>
    <row r="903">
      <c r="A903" s="2">
        <f>IFERROR(__xludf.DUMMYFUNCTION("""COMPUTED_VALUE"""),45412.66666666667)</f>
        <v>45412.66667</v>
      </c>
      <c r="B903" s="1">
        <f>IFERROR(__xludf.DUMMYFUNCTION("""COMPUTED_VALUE"""),95.09)</f>
        <v>95.09</v>
      </c>
    </row>
    <row r="904">
      <c r="A904" s="2">
        <f>IFERROR(__xludf.DUMMYFUNCTION("""COMPUTED_VALUE"""),45413.66666666667)</f>
        <v>45413.66667</v>
      </c>
      <c r="B904" s="1">
        <f>IFERROR(__xludf.DUMMYFUNCTION("""COMPUTED_VALUE"""),93.97)</f>
        <v>93.97</v>
      </c>
    </row>
    <row r="905">
      <c r="A905" s="2">
        <f>IFERROR(__xludf.DUMMYFUNCTION("""COMPUTED_VALUE"""),45414.66666666667)</f>
        <v>45414.66667</v>
      </c>
      <c r="B905" s="1">
        <f>IFERROR(__xludf.DUMMYFUNCTION("""COMPUTED_VALUE"""),94.18)</f>
        <v>94.18</v>
      </c>
    </row>
    <row r="906">
      <c r="A906" s="2">
        <f>IFERROR(__xludf.DUMMYFUNCTION("""COMPUTED_VALUE"""),45415.66666666667)</f>
        <v>45415.66667</v>
      </c>
      <c r="B906" s="1">
        <f>IFERROR(__xludf.DUMMYFUNCTION("""COMPUTED_VALUE"""),94.71)</f>
        <v>94.71</v>
      </c>
    </row>
    <row r="907">
      <c r="A907" s="2">
        <f>IFERROR(__xludf.DUMMYFUNCTION("""COMPUTED_VALUE"""),45418.66666666667)</f>
        <v>45418.66667</v>
      </c>
      <c r="B907" s="1">
        <f>IFERROR(__xludf.DUMMYFUNCTION("""COMPUTED_VALUE"""),95.31)</f>
        <v>95.31</v>
      </c>
    </row>
    <row r="908">
      <c r="A908" s="2">
        <f>IFERROR(__xludf.DUMMYFUNCTION("""COMPUTED_VALUE"""),45419.66666666667)</f>
        <v>45419.66667</v>
      </c>
      <c r="B908" s="1">
        <f>IFERROR(__xludf.DUMMYFUNCTION("""COMPUTED_VALUE"""),96.79)</f>
        <v>96.79</v>
      </c>
    </row>
    <row r="909">
      <c r="A909" s="2">
        <f>IFERROR(__xludf.DUMMYFUNCTION("""COMPUTED_VALUE"""),45420.66666666667)</f>
        <v>45420.66667</v>
      </c>
      <c r="B909" s="1">
        <f>IFERROR(__xludf.DUMMYFUNCTION("""COMPUTED_VALUE"""),96.9)</f>
        <v>96.9</v>
      </c>
    </row>
    <row r="910">
      <c r="A910" s="2">
        <f>IFERROR(__xludf.DUMMYFUNCTION("""COMPUTED_VALUE"""),45421.66666666667)</f>
        <v>45421.66667</v>
      </c>
      <c r="B910" s="1">
        <f>IFERROR(__xludf.DUMMYFUNCTION("""COMPUTED_VALUE"""),96.01)</f>
        <v>96.01</v>
      </c>
    </row>
    <row r="911">
      <c r="A911" s="2">
        <f>IFERROR(__xludf.DUMMYFUNCTION("""COMPUTED_VALUE"""),45422.66666666667)</f>
        <v>45422.66667</v>
      </c>
      <c r="B911" s="1">
        <f>IFERROR(__xludf.DUMMYFUNCTION("""COMPUTED_VALUE"""),96.36)</f>
        <v>96.36</v>
      </c>
    </row>
    <row r="912">
      <c r="A912" s="2">
        <f>IFERROR(__xludf.DUMMYFUNCTION("""COMPUTED_VALUE"""),45425.66666666667)</f>
        <v>45425.66667</v>
      </c>
      <c r="B912" s="1">
        <f>IFERROR(__xludf.DUMMYFUNCTION("""COMPUTED_VALUE"""),96.5)</f>
        <v>96.5</v>
      </c>
    </row>
    <row r="913">
      <c r="A913" s="2">
        <f>IFERROR(__xludf.DUMMYFUNCTION("""COMPUTED_VALUE"""),45426.66666666667)</f>
        <v>45426.66667</v>
      </c>
      <c r="B913" s="1">
        <f>IFERROR(__xludf.DUMMYFUNCTION("""COMPUTED_VALUE"""),96.2)</f>
        <v>96.2</v>
      </c>
    </row>
    <row r="914">
      <c r="A914" s="2">
        <f>IFERROR(__xludf.DUMMYFUNCTION("""COMPUTED_VALUE"""),45427.66666666667)</f>
        <v>45427.66667</v>
      </c>
      <c r="B914" s="1">
        <f>IFERROR(__xludf.DUMMYFUNCTION("""COMPUTED_VALUE"""),96.59)</f>
        <v>96.59</v>
      </c>
    </row>
    <row r="915">
      <c r="A915" s="2">
        <f>IFERROR(__xludf.DUMMYFUNCTION("""COMPUTED_VALUE"""),45428.66666666667)</f>
        <v>45428.66667</v>
      </c>
      <c r="B915" s="1">
        <f>IFERROR(__xludf.DUMMYFUNCTION("""COMPUTED_VALUE"""),98.13)</f>
        <v>98.13</v>
      </c>
    </row>
    <row r="916">
      <c r="A916" s="2">
        <f>IFERROR(__xludf.DUMMYFUNCTION("""COMPUTED_VALUE"""),45429.66666666667)</f>
        <v>45429.66667</v>
      </c>
      <c r="B916" s="1">
        <f>IFERROR(__xludf.DUMMYFUNCTION("""COMPUTED_VALUE"""),97.24)</f>
        <v>97.24</v>
      </c>
    </row>
    <row r="917">
      <c r="A917" s="2">
        <f>IFERROR(__xludf.DUMMYFUNCTION("""COMPUTED_VALUE"""),45432.66666666667)</f>
        <v>45432.66667</v>
      </c>
      <c r="B917" s="1">
        <f>IFERROR(__xludf.DUMMYFUNCTION("""COMPUTED_VALUE"""),97.92)</f>
        <v>97.92</v>
      </c>
    </row>
    <row r="918">
      <c r="A918" s="2">
        <f>IFERROR(__xludf.DUMMYFUNCTION("""COMPUTED_VALUE"""),45433.66666666667)</f>
        <v>45433.66667</v>
      </c>
      <c r="B918" s="1">
        <f>IFERROR(__xludf.DUMMYFUNCTION("""COMPUTED_VALUE"""),97.78)</f>
        <v>97.78</v>
      </c>
    </row>
    <row r="919">
      <c r="A919" s="2">
        <f>IFERROR(__xludf.DUMMYFUNCTION("""COMPUTED_VALUE"""),45434.66666666667)</f>
        <v>45434.66667</v>
      </c>
      <c r="B919" s="1">
        <f>IFERROR(__xludf.DUMMYFUNCTION("""COMPUTED_VALUE"""),97.72)</f>
        <v>97.72</v>
      </c>
    </row>
    <row r="920">
      <c r="A920" s="2">
        <f>IFERROR(__xludf.DUMMYFUNCTION("""COMPUTED_VALUE"""),45435.66666666667)</f>
        <v>45435.66667</v>
      </c>
      <c r="B920" s="1">
        <f>IFERROR(__xludf.DUMMYFUNCTION("""COMPUTED_VALUE"""),97.3)</f>
        <v>97.3</v>
      </c>
    </row>
    <row r="921">
      <c r="A921" s="2">
        <f>IFERROR(__xludf.DUMMYFUNCTION("""COMPUTED_VALUE"""),45436.66666666667)</f>
        <v>45436.66667</v>
      </c>
      <c r="B921" s="1">
        <f>IFERROR(__xludf.DUMMYFUNCTION("""COMPUTED_VALUE"""),96.25)</f>
        <v>96.25</v>
      </c>
    </row>
    <row r="922">
      <c r="A922" s="2">
        <f>IFERROR(__xludf.DUMMYFUNCTION("""COMPUTED_VALUE"""),45439.66666666667)</f>
        <v>45439.66667</v>
      </c>
      <c r="B922" s="1">
        <f>IFERROR(__xludf.DUMMYFUNCTION("""COMPUTED_VALUE"""),97.02)</f>
        <v>97.02</v>
      </c>
    </row>
    <row r="923">
      <c r="A923" s="2">
        <f>IFERROR(__xludf.DUMMYFUNCTION("""COMPUTED_VALUE"""),45440.66666666667)</f>
        <v>45440.66667</v>
      </c>
      <c r="B923" s="1">
        <f>IFERROR(__xludf.DUMMYFUNCTION("""COMPUTED_VALUE"""),96.75)</f>
        <v>96.75</v>
      </c>
    </row>
    <row r="924">
      <c r="A924" s="2">
        <f>IFERROR(__xludf.DUMMYFUNCTION("""COMPUTED_VALUE"""),45441.66666666667)</f>
        <v>45441.66667</v>
      </c>
      <c r="B924" s="1">
        <f>IFERROR(__xludf.DUMMYFUNCTION("""COMPUTED_VALUE"""),95.43)</f>
        <v>95.43</v>
      </c>
    </row>
    <row r="925">
      <c r="A925" s="2">
        <f>IFERROR(__xludf.DUMMYFUNCTION("""COMPUTED_VALUE"""),45442.66666666667)</f>
        <v>45442.66667</v>
      </c>
      <c r="B925" s="1">
        <f>IFERROR(__xludf.DUMMYFUNCTION("""COMPUTED_VALUE"""),95.0)</f>
        <v>95</v>
      </c>
    </row>
    <row r="926">
      <c r="A926" s="2">
        <f>IFERROR(__xludf.DUMMYFUNCTION("""COMPUTED_VALUE"""),45443.66666666667)</f>
        <v>45443.66667</v>
      </c>
      <c r="B926" s="1">
        <f>IFERROR(__xludf.DUMMYFUNCTION("""COMPUTED_VALUE"""),95.9)</f>
        <v>95.9</v>
      </c>
    </row>
    <row r="927">
      <c r="A927" s="2">
        <f>IFERROR(__xludf.DUMMYFUNCTION("""COMPUTED_VALUE"""),45446.66666666667)</f>
        <v>45446.66667</v>
      </c>
      <c r="B927" s="1">
        <f>IFERROR(__xludf.DUMMYFUNCTION("""COMPUTED_VALUE"""),96.65)</f>
        <v>96.65</v>
      </c>
    </row>
    <row r="928">
      <c r="A928" s="2">
        <f>IFERROR(__xludf.DUMMYFUNCTION("""COMPUTED_VALUE"""),45447.66666666667)</f>
        <v>45447.66667</v>
      </c>
      <c r="B928" s="1">
        <f>IFERROR(__xludf.DUMMYFUNCTION("""COMPUTED_VALUE"""),96.28)</f>
        <v>96.28</v>
      </c>
    </row>
    <row r="929">
      <c r="A929" s="2">
        <f>IFERROR(__xludf.DUMMYFUNCTION("""COMPUTED_VALUE"""),45448.66666666667)</f>
        <v>45448.66667</v>
      </c>
      <c r="B929" s="1">
        <f>IFERROR(__xludf.DUMMYFUNCTION("""COMPUTED_VALUE"""),96.64)</f>
        <v>96.64</v>
      </c>
    </row>
    <row r="930">
      <c r="A930" s="2">
        <f>IFERROR(__xludf.DUMMYFUNCTION("""COMPUTED_VALUE"""),45449.66666666667)</f>
        <v>45449.66667</v>
      </c>
      <c r="B930" s="1">
        <f>IFERROR(__xludf.DUMMYFUNCTION("""COMPUTED_VALUE"""),97.34)</f>
        <v>97.34</v>
      </c>
    </row>
    <row r="931">
      <c r="A931" s="2">
        <f>IFERROR(__xludf.DUMMYFUNCTION("""COMPUTED_VALUE"""),45450.66666666667)</f>
        <v>45450.66667</v>
      </c>
      <c r="B931" s="1">
        <f>IFERROR(__xludf.DUMMYFUNCTION("""COMPUTED_VALUE"""),97.77)</f>
        <v>97.77</v>
      </c>
    </row>
    <row r="932">
      <c r="A932" s="2">
        <f>IFERROR(__xludf.DUMMYFUNCTION("""COMPUTED_VALUE"""),45454.66666666667)</f>
        <v>45454.66667</v>
      </c>
      <c r="B932" s="1">
        <f>IFERROR(__xludf.DUMMYFUNCTION("""COMPUTED_VALUE"""),96.5)</f>
        <v>96.5</v>
      </c>
    </row>
    <row r="933">
      <c r="A933" s="2">
        <f>IFERROR(__xludf.DUMMYFUNCTION("""COMPUTED_VALUE"""),45455.66666666667)</f>
        <v>45455.66667</v>
      </c>
      <c r="B933" s="1">
        <f>IFERROR(__xludf.DUMMYFUNCTION("""COMPUTED_VALUE"""),96.01)</f>
        <v>96.01</v>
      </c>
    </row>
    <row r="934">
      <c r="A934" s="2">
        <f>IFERROR(__xludf.DUMMYFUNCTION("""COMPUTED_VALUE"""),45456.66666666667)</f>
        <v>45456.66667</v>
      </c>
      <c r="B934" s="1">
        <f>IFERROR(__xludf.DUMMYFUNCTION("""COMPUTED_VALUE"""),96.46)</f>
        <v>96.46</v>
      </c>
    </row>
    <row r="935">
      <c r="A935" s="2">
        <f>IFERROR(__xludf.DUMMYFUNCTION("""COMPUTED_VALUE"""),45457.66666666667)</f>
        <v>45457.66667</v>
      </c>
      <c r="B935" s="1">
        <f>IFERROR(__xludf.DUMMYFUNCTION("""COMPUTED_VALUE"""),96.13)</f>
        <v>96.13</v>
      </c>
    </row>
    <row r="936">
      <c r="A936" s="2">
        <f>IFERROR(__xludf.DUMMYFUNCTION("""COMPUTED_VALUE"""),45460.66666666667)</f>
        <v>45460.66667</v>
      </c>
      <c r="B936" s="1">
        <f>IFERROR(__xludf.DUMMYFUNCTION("""COMPUTED_VALUE"""),95.82)</f>
        <v>95.82</v>
      </c>
    </row>
    <row r="937">
      <c r="A937" s="2">
        <f>IFERROR(__xludf.DUMMYFUNCTION("""COMPUTED_VALUE"""),45461.66666666667)</f>
        <v>45461.66667</v>
      </c>
      <c r="B937" s="1">
        <f>IFERROR(__xludf.DUMMYFUNCTION("""COMPUTED_VALUE"""),96.73)</f>
        <v>96.73</v>
      </c>
    </row>
    <row r="938">
      <c r="A938" s="2">
        <f>IFERROR(__xludf.DUMMYFUNCTION("""COMPUTED_VALUE"""),45462.66666666667)</f>
        <v>45462.66667</v>
      </c>
      <c r="B938" s="1">
        <f>IFERROR(__xludf.DUMMYFUNCTION("""COMPUTED_VALUE"""),96.62)</f>
        <v>96.62</v>
      </c>
    </row>
    <row r="939">
      <c r="A939" s="2">
        <f>IFERROR(__xludf.DUMMYFUNCTION("""COMPUTED_VALUE"""),45463.66666666667)</f>
        <v>45463.66667</v>
      </c>
      <c r="B939" s="1">
        <f>IFERROR(__xludf.DUMMYFUNCTION("""COMPUTED_VALUE"""),96.63)</f>
        <v>96.63</v>
      </c>
    </row>
    <row r="940">
      <c r="A940" s="2">
        <f>IFERROR(__xludf.DUMMYFUNCTION("""COMPUTED_VALUE"""),45464.66666666667)</f>
        <v>45464.66667</v>
      </c>
      <c r="B940" s="1">
        <f>IFERROR(__xludf.DUMMYFUNCTION("""COMPUTED_VALUE"""),97.0)</f>
        <v>97</v>
      </c>
    </row>
    <row r="941">
      <c r="A941" s="2">
        <f>IFERROR(__xludf.DUMMYFUNCTION("""COMPUTED_VALUE"""),45467.66666666667)</f>
        <v>45467.66667</v>
      </c>
      <c r="B941" s="1">
        <f>IFERROR(__xludf.DUMMYFUNCTION("""COMPUTED_VALUE"""),96.25)</f>
        <v>96.25</v>
      </c>
    </row>
    <row r="942">
      <c r="A942" s="2">
        <f>IFERROR(__xludf.DUMMYFUNCTION("""COMPUTED_VALUE"""),45468.66666666667)</f>
        <v>45468.66667</v>
      </c>
      <c r="B942" s="1">
        <f>IFERROR(__xludf.DUMMYFUNCTION("""COMPUTED_VALUE"""),97.53)</f>
        <v>97.53</v>
      </c>
    </row>
    <row r="943">
      <c r="A943" s="2">
        <f>IFERROR(__xludf.DUMMYFUNCTION("""COMPUTED_VALUE"""),45469.66666666667)</f>
        <v>45469.66667</v>
      </c>
      <c r="B943" s="1">
        <f>IFERROR(__xludf.DUMMYFUNCTION("""COMPUTED_VALUE"""),96.79)</f>
        <v>96.79</v>
      </c>
    </row>
    <row r="944">
      <c r="A944" s="2">
        <f>IFERROR(__xludf.DUMMYFUNCTION("""COMPUTED_VALUE"""),45470.66666666667)</f>
        <v>45470.66667</v>
      </c>
      <c r="B944" s="1">
        <f>IFERROR(__xludf.DUMMYFUNCTION("""COMPUTED_VALUE"""),96.66)</f>
        <v>96.66</v>
      </c>
    </row>
    <row r="945">
      <c r="A945" s="2">
        <f>IFERROR(__xludf.DUMMYFUNCTION("""COMPUTED_VALUE"""),45471.66666666667)</f>
        <v>45471.66667</v>
      </c>
      <c r="B945" s="1">
        <f>IFERROR(__xludf.DUMMYFUNCTION("""COMPUTED_VALUE"""),96.77)</f>
        <v>96.77</v>
      </c>
    </row>
    <row r="946">
      <c r="A946" s="2">
        <f>IFERROR(__xludf.DUMMYFUNCTION("""COMPUTED_VALUE"""),45474.66666666667)</f>
        <v>45474.66667</v>
      </c>
      <c r="B946" s="1">
        <f>IFERROR(__xludf.DUMMYFUNCTION("""COMPUTED_VALUE"""),95.93)</f>
        <v>95.93</v>
      </c>
    </row>
    <row r="947">
      <c r="A947" s="2">
        <f>IFERROR(__xludf.DUMMYFUNCTION("""COMPUTED_VALUE"""),45475.66666666667)</f>
        <v>45475.66667</v>
      </c>
      <c r="B947" s="1">
        <f>IFERROR(__xludf.DUMMYFUNCTION("""COMPUTED_VALUE"""),95.51)</f>
        <v>95.51</v>
      </c>
    </row>
    <row r="948">
      <c r="A948" s="2">
        <f>IFERROR(__xludf.DUMMYFUNCTION("""COMPUTED_VALUE"""),45476.66666666667)</f>
        <v>45476.66667</v>
      </c>
      <c r="B948" s="1">
        <f>IFERROR(__xludf.DUMMYFUNCTION("""COMPUTED_VALUE"""),95.76)</f>
        <v>95.76</v>
      </c>
    </row>
    <row r="949">
      <c r="A949" s="2">
        <f>IFERROR(__xludf.DUMMYFUNCTION("""COMPUTED_VALUE"""),45477.66666666667)</f>
        <v>45477.66667</v>
      </c>
      <c r="B949" s="1">
        <f>IFERROR(__xludf.DUMMYFUNCTION("""COMPUTED_VALUE"""),96.89)</f>
        <v>96.89</v>
      </c>
    </row>
    <row r="950">
      <c r="A950" s="2">
        <f>IFERROR(__xludf.DUMMYFUNCTION("""COMPUTED_VALUE"""),45478.66666666667)</f>
        <v>45478.66667</v>
      </c>
      <c r="B950" s="1">
        <f>IFERROR(__xludf.DUMMYFUNCTION("""COMPUTED_VALUE"""),96.79)</f>
        <v>96.79</v>
      </c>
    </row>
    <row r="951">
      <c r="A951" s="2">
        <f>IFERROR(__xludf.DUMMYFUNCTION("""COMPUTED_VALUE"""),45481.66666666667)</f>
        <v>45481.66667</v>
      </c>
      <c r="B951" s="1">
        <f>IFERROR(__xludf.DUMMYFUNCTION("""COMPUTED_VALUE"""),96.05)</f>
        <v>96.05</v>
      </c>
    </row>
    <row r="952">
      <c r="A952" s="2">
        <f>IFERROR(__xludf.DUMMYFUNCTION("""COMPUTED_VALUE"""),45482.66666666667)</f>
        <v>45482.66667</v>
      </c>
      <c r="B952" s="1">
        <f>IFERROR(__xludf.DUMMYFUNCTION("""COMPUTED_VALUE"""),96.81)</f>
        <v>96.81</v>
      </c>
    </row>
    <row r="953">
      <c r="A953" s="2">
        <f>IFERROR(__xludf.DUMMYFUNCTION("""COMPUTED_VALUE"""),45483.66666666667)</f>
        <v>45483.66667</v>
      </c>
      <c r="B953" s="1">
        <f>IFERROR(__xludf.DUMMYFUNCTION("""COMPUTED_VALUE"""),96.69)</f>
        <v>96.69</v>
      </c>
    </row>
    <row r="954">
      <c r="A954" s="2">
        <f>IFERROR(__xludf.DUMMYFUNCTION("""COMPUTED_VALUE"""),45484.66666666667)</f>
        <v>45484.66667</v>
      </c>
      <c r="B954" s="1">
        <f>IFERROR(__xludf.DUMMYFUNCTION("""COMPUTED_VALUE"""),97.61)</f>
        <v>97.61</v>
      </c>
    </row>
    <row r="955">
      <c r="A955" s="2">
        <f>IFERROR(__xludf.DUMMYFUNCTION("""COMPUTED_VALUE"""),45485.66666666667)</f>
        <v>45485.66667</v>
      </c>
      <c r="B955" s="1">
        <f>IFERROR(__xludf.DUMMYFUNCTION("""COMPUTED_VALUE"""),98.47)</f>
        <v>98.47</v>
      </c>
    </row>
    <row r="956">
      <c r="A956" s="2">
        <f>IFERROR(__xludf.DUMMYFUNCTION("""COMPUTED_VALUE"""),45488.66666666667)</f>
        <v>45488.66667</v>
      </c>
      <c r="B956" s="1">
        <f>IFERROR(__xludf.DUMMYFUNCTION("""COMPUTED_VALUE"""),99.21)</f>
        <v>99.21</v>
      </c>
    </row>
    <row r="957">
      <c r="A957" s="2">
        <f>IFERROR(__xludf.DUMMYFUNCTION("""COMPUTED_VALUE"""),45489.66666666667)</f>
        <v>45489.66667</v>
      </c>
      <c r="B957" s="1">
        <f>IFERROR(__xludf.DUMMYFUNCTION("""COMPUTED_VALUE"""),98.97)</f>
        <v>98.97</v>
      </c>
    </row>
    <row r="958">
      <c r="A958" s="2">
        <f>IFERROR(__xludf.DUMMYFUNCTION("""COMPUTED_VALUE"""),45490.66666666667)</f>
        <v>45490.66667</v>
      </c>
      <c r="B958" s="1">
        <f>IFERROR(__xludf.DUMMYFUNCTION("""COMPUTED_VALUE"""),99.71)</f>
        <v>99.71</v>
      </c>
    </row>
    <row r="959">
      <c r="A959" s="2">
        <f>IFERROR(__xludf.DUMMYFUNCTION("""COMPUTED_VALUE"""),45491.66666666667)</f>
        <v>45491.66667</v>
      </c>
      <c r="B959" s="1">
        <f>IFERROR(__xludf.DUMMYFUNCTION("""COMPUTED_VALUE"""),99.38)</f>
        <v>99.38</v>
      </c>
    </row>
    <row r="960">
      <c r="A960" s="2">
        <f>IFERROR(__xludf.DUMMYFUNCTION("""COMPUTED_VALUE"""),45492.66666666667)</f>
        <v>45492.66667</v>
      </c>
      <c r="B960" s="1">
        <f>IFERROR(__xludf.DUMMYFUNCTION("""COMPUTED_VALUE"""),98.55)</f>
        <v>98.55</v>
      </c>
    </row>
    <row r="961">
      <c r="A961" s="2">
        <f>IFERROR(__xludf.DUMMYFUNCTION("""COMPUTED_VALUE"""),45495.66666666667)</f>
        <v>45495.66667</v>
      </c>
      <c r="B961" s="1">
        <f>IFERROR(__xludf.DUMMYFUNCTION("""COMPUTED_VALUE"""),98.1)</f>
        <v>98.1</v>
      </c>
    </row>
    <row r="962">
      <c r="A962" s="2">
        <f>IFERROR(__xludf.DUMMYFUNCTION("""COMPUTED_VALUE"""),45496.66666666667)</f>
        <v>45496.66667</v>
      </c>
      <c r="B962" s="1">
        <f>IFERROR(__xludf.DUMMYFUNCTION("""COMPUTED_VALUE"""),98.64)</f>
        <v>98.64</v>
      </c>
    </row>
    <row r="963">
      <c r="A963" s="2">
        <f>IFERROR(__xludf.DUMMYFUNCTION("""COMPUTED_VALUE"""),45497.66666666667)</f>
        <v>45497.66667</v>
      </c>
      <c r="B963" s="1">
        <f>IFERROR(__xludf.DUMMYFUNCTION("""COMPUTED_VALUE"""),98.46)</f>
        <v>98.46</v>
      </c>
    </row>
    <row r="964">
      <c r="A964" s="2">
        <f>IFERROR(__xludf.DUMMYFUNCTION("""COMPUTED_VALUE"""),45498.66666666667)</f>
        <v>45498.66667</v>
      </c>
      <c r="B964" s="1">
        <f>IFERROR(__xludf.DUMMYFUNCTION("""COMPUTED_VALUE"""),97.23)</f>
        <v>97.23</v>
      </c>
    </row>
    <row r="965">
      <c r="A965" s="2">
        <f>IFERROR(__xludf.DUMMYFUNCTION("""COMPUTED_VALUE"""),45499.66666666667)</f>
        <v>45499.66667</v>
      </c>
      <c r="B965" s="1">
        <f>IFERROR(__xludf.DUMMYFUNCTION("""COMPUTED_VALUE"""),97.98)</f>
        <v>97.98</v>
      </c>
    </row>
    <row r="966">
      <c r="A966" s="2">
        <f>IFERROR(__xludf.DUMMYFUNCTION("""COMPUTED_VALUE"""),45502.66666666667)</f>
        <v>45502.66667</v>
      </c>
      <c r="B966" s="1">
        <f>IFERROR(__xludf.DUMMYFUNCTION("""COMPUTED_VALUE"""),98.77)</f>
        <v>98.77</v>
      </c>
    </row>
    <row r="967">
      <c r="A967" s="2">
        <f>IFERROR(__xludf.DUMMYFUNCTION("""COMPUTED_VALUE"""),45503.66666666667)</f>
        <v>45503.66667</v>
      </c>
      <c r="B967" s="1">
        <f>IFERROR(__xludf.DUMMYFUNCTION("""COMPUTED_VALUE"""),98.32)</f>
        <v>98.32</v>
      </c>
    </row>
    <row r="968">
      <c r="A968" s="2">
        <f>IFERROR(__xludf.DUMMYFUNCTION("""COMPUTED_VALUE"""),45504.66666666667)</f>
        <v>45504.66667</v>
      </c>
      <c r="B968" s="1">
        <f>IFERROR(__xludf.DUMMYFUNCTION("""COMPUTED_VALUE"""),100.06)</f>
        <v>100.06</v>
      </c>
    </row>
    <row r="969">
      <c r="A969" s="2">
        <f>IFERROR(__xludf.DUMMYFUNCTION("""COMPUTED_VALUE"""),45505.66666666667)</f>
        <v>45505.66667</v>
      </c>
      <c r="B969" s="1">
        <f>IFERROR(__xludf.DUMMYFUNCTION("""COMPUTED_VALUE"""),100.32)</f>
        <v>100.32</v>
      </c>
    </row>
    <row r="970">
      <c r="A970" s="2">
        <f>IFERROR(__xludf.DUMMYFUNCTION("""COMPUTED_VALUE"""),45506.66666666667)</f>
        <v>45506.66667</v>
      </c>
      <c r="B970" s="1">
        <f>IFERROR(__xludf.DUMMYFUNCTION("""COMPUTED_VALUE"""),98.17)</f>
        <v>98.17</v>
      </c>
    </row>
    <row r="971">
      <c r="A971" s="2">
        <f>IFERROR(__xludf.DUMMYFUNCTION("""COMPUTED_VALUE"""),45509.66666666667)</f>
        <v>45509.66667</v>
      </c>
      <c r="B971" s="1">
        <f>IFERROR(__xludf.DUMMYFUNCTION("""COMPUTED_VALUE"""),94.58)</f>
        <v>94.58</v>
      </c>
    </row>
    <row r="972">
      <c r="A972" s="2">
        <f>IFERROR(__xludf.DUMMYFUNCTION("""COMPUTED_VALUE"""),45510.66666666667)</f>
        <v>45510.66667</v>
      </c>
      <c r="B972" s="1">
        <f>IFERROR(__xludf.DUMMYFUNCTION("""COMPUTED_VALUE"""),95.03)</f>
        <v>95.03</v>
      </c>
    </row>
    <row r="973">
      <c r="A973" s="2">
        <f>IFERROR(__xludf.DUMMYFUNCTION("""COMPUTED_VALUE"""),45511.66666666667)</f>
        <v>45511.66667</v>
      </c>
      <c r="B973" s="1">
        <f>IFERROR(__xludf.DUMMYFUNCTION("""COMPUTED_VALUE"""),95.24)</f>
        <v>95.24</v>
      </c>
    </row>
    <row r="974">
      <c r="A974" s="2">
        <f>IFERROR(__xludf.DUMMYFUNCTION("""COMPUTED_VALUE"""),45512.66666666667)</f>
        <v>45512.66667</v>
      </c>
      <c r="B974" s="1">
        <f>IFERROR(__xludf.DUMMYFUNCTION("""COMPUTED_VALUE"""),94.95)</f>
        <v>94.95</v>
      </c>
    </row>
    <row r="975">
      <c r="A975" s="2">
        <f>IFERROR(__xludf.DUMMYFUNCTION("""COMPUTED_VALUE"""),45513.66666666667)</f>
        <v>45513.66667</v>
      </c>
      <c r="B975" s="1">
        <f>IFERROR(__xludf.DUMMYFUNCTION("""COMPUTED_VALUE"""),96.17)</f>
        <v>96.17</v>
      </c>
    </row>
    <row r="976">
      <c r="A976" s="2">
        <f>IFERROR(__xludf.DUMMYFUNCTION("""COMPUTED_VALUE"""),45516.66666666667)</f>
        <v>45516.66667</v>
      </c>
      <c r="B976" s="1">
        <f>IFERROR(__xludf.DUMMYFUNCTION("""COMPUTED_VALUE"""),96.62)</f>
        <v>96.62</v>
      </c>
    </row>
    <row r="977">
      <c r="A977" s="2">
        <f>IFERROR(__xludf.DUMMYFUNCTION("""COMPUTED_VALUE"""),45517.66666666667)</f>
        <v>45517.66667</v>
      </c>
      <c r="B977" s="1">
        <f>IFERROR(__xludf.DUMMYFUNCTION("""COMPUTED_VALUE"""),96.77)</f>
        <v>96.77</v>
      </c>
    </row>
    <row r="978">
      <c r="A978" s="2">
        <f>IFERROR(__xludf.DUMMYFUNCTION("""COMPUTED_VALUE"""),45518.66666666667)</f>
        <v>45518.66667</v>
      </c>
      <c r="B978" s="1">
        <f>IFERROR(__xludf.DUMMYFUNCTION("""COMPUTED_VALUE"""),97.11)</f>
        <v>97.11</v>
      </c>
    </row>
    <row r="979">
      <c r="A979" s="2">
        <f>IFERROR(__xludf.DUMMYFUNCTION("""COMPUTED_VALUE"""),45519.66666666667)</f>
        <v>45519.66667</v>
      </c>
      <c r="B979" s="1">
        <f>IFERROR(__xludf.DUMMYFUNCTION("""COMPUTED_VALUE"""),97.34)</f>
        <v>97.34</v>
      </c>
    </row>
    <row r="980">
      <c r="A980" s="2">
        <f>IFERROR(__xludf.DUMMYFUNCTION("""COMPUTED_VALUE"""),45520.66666666667)</f>
        <v>45520.66667</v>
      </c>
      <c r="B980" s="1">
        <f>IFERROR(__xludf.DUMMYFUNCTION("""COMPUTED_VALUE"""),98.55)</f>
        <v>98.55</v>
      </c>
    </row>
    <row r="981">
      <c r="A981" s="2">
        <f>IFERROR(__xludf.DUMMYFUNCTION("""COMPUTED_VALUE"""),45523.66666666667)</f>
        <v>45523.66667</v>
      </c>
      <c r="B981" s="1">
        <f>IFERROR(__xludf.DUMMYFUNCTION("""COMPUTED_VALUE"""),98.74)</f>
        <v>98.74</v>
      </c>
    </row>
    <row r="982">
      <c r="A982" s="2">
        <f>IFERROR(__xludf.DUMMYFUNCTION("""COMPUTED_VALUE"""),45524.66666666667)</f>
        <v>45524.66667</v>
      </c>
      <c r="B982" s="1">
        <f>IFERROR(__xludf.DUMMYFUNCTION("""COMPUTED_VALUE"""),98.92)</f>
        <v>98.92</v>
      </c>
    </row>
    <row r="983">
      <c r="A983" s="2">
        <f>IFERROR(__xludf.DUMMYFUNCTION("""COMPUTED_VALUE"""),45525.66666666667)</f>
        <v>45525.66667</v>
      </c>
      <c r="B983" s="1">
        <f>IFERROR(__xludf.DUMMYFUNCTION("""COMPUTED_VALUE"""),99.26)</f>
        <v>99.26</v>
      </c>
    </row>
    <row r="984">
      <c r="A984" s="2">
        <f>IFERROR(__xludf.DUMMYFUNCTION("""COMPUTED_VALUE"""),45526.66666666667)</f>
        <v>45526.66667</v>
      </c>
      <c r="B984" s="1">
        <f>IFERROR(__xludf.DUMMYFUNCTION("""COMPUTED_VALUE"""),99.57)</f>
        <v>99.57</v>
      </c>
    </row>
    <row r="985">
      <c r="A985" s="2">
        <f>IFERROR(__xludf.DUMMYFUNCTION("""COMPUTED_VALUE"""),45527.66666666667)</f>
        <v>45527.66667</v>
      </c>
      <c r="B985" s="1">
        <f>IFERROR(__xludf.DUMMYFUNCTION("""COMPUTED_VALUE"""),99.49)</f>
        <v>99.49</v>
      </c>
    </row>
    <row r="986">
      <c r="A986" s="2">
        <f>IFERROR(__xludf.DUMMYFUNCTION("""COMPUTED_VALUE"""),45530.66666666667)</f>
        <v>45530.66667</v>
      </c>
      <c r="B986" s="1">
        <f>IFERROR(__xludf.DUMMYFUNCTION("""COMPUTED_VALUE"""),100.24)</f>
        <v>100.24</v>
      </c>
    </row>
    <row r="987">
      <c r="A987" s="2">
        <f>IFERROR(__xludf.DUMMYFUNCTION("""COMPUTED_VALUE"""),45531.66666666667)</f>
        <v>45531.66667</v>
      </c>
      <c r="B987" s="1">
        <f>IFERROR(__xludf.DUMMYFUNCTION("""COMPUTED_VALUE"""),100.1)</f>
        <v>100.1</v>
      </c>
    </row>
    <row r="988">
      <c r="A988" s="2">
        <f>IFERROR(__xludf.DUMMYFUNCTION("""COMPUTED_VALUE"""),45532.66666666667)</f>
        <v>45532.66667</v>
      </c>
      <c r="B988" s="1">
        <f>IFERROR(__xludf.DUMMYFUNCTION("""COMPUTED_VALUE"""),100.14)</f>
        <v>100.14</v>
      </c>
    </row>
    <row r="989">
      <c r="A989" s="2">
        <f>IFERROR(__xludf.DUMMYFUNCTION("""COMPUTED_VALUE"""),45533.66666666667)</f>
        <v>45533.66667</v>
      </c>
      <c r="B989" s="1">
        <f>IFERROR(__xludf.DUMMYFUNCTION("""COMPUTED_VALUE"""),99.92)</f>
        <v>99.92</v>
      </c>
    </row>
    <row r="990">
      <c r="A990" s="2">
        <f>IFERROR(__xludf.DUMMYFUNCTION("""COMPUTED_VALUE"""),45534.66666666667)</f>
        <v>45534.66667</v>
      </c>
      <c r="B990" s="1">
        <f>IFERROR(__xludf.DUMMYFUNCTION("""COMPUTED_VALUE"""),100.48)</f>
        <v>100.48</v>
      </c>
    </row>
    <row r="991">
      <c r="A991" s="2">
        <f>IFERROR(__xludf.DUMMYFUNCTION("""COMPUTED_VALUE"""),45537.66666666667)</f>
        <v>45537.66667</v>
      </c>
      <c r="B991" s="1">
        <f>IFERROR(__xludf.DUMMYFUNCTION("""COMPUTED_VALUE"""),100.73)</f>
        <v>100.73</v>
      </c>
    </row>
    <row r="992">
      <c r="A992" s="2">
        <f>IFERROR(__xludf.DUMMYFUNCTION("""COMPUTED_VALUE"""),45538.66666666667)</f>
        <v>45538.66667</v>
      </c>
      <c r="B992" s="1">
        <f>IFERROR(__xludf.DUMMYFUNCTION("""COMPUTED_VALUE"""),100.78)</f>
        <v>100.78</v>
      </c>
    </row>
    <row r="993">
      <c r="A993" s="2">
        <f>IFERROR(__xludf.DUMMYFUNCTION("""COMPUTED_VALUE"""),45539.66666666667)</f>
        <v>45539.66667</v>
      </c>
      <c r="B993" s="1">
        <f>IFERROR(__xludf.DUMMYFUNCTION("""COMPUTED_VALUE"""),98.94)</f>
        <v>98.94</v>
      </c>
    </row>
    <row r="994">
      <c r="A994" s="2">
        <f>IFERROR(__xludf.DUMMYFUNCTION("""COMPUTED_VALUE"""),45540.66666666667)</f>
        <v>45540.66667</v>
      </c>
      <c r="B994" s="1">
        <f>IFERROR(__xludf.DUMMYFUNCTION("""COMPUTED_VALUE"""),99.41)</f>
        <v>99.41</v>
      </c>
    </row>
    <row r="995">
      <c r="A995" s="2">
        <f>IFERROR(__xludf.DUMMYFUNCTION("""COMPUTED_VALUE"""),45541.66666666667)</f>
        <v>45541.66667</v>
      </c>
      <c r="B995" s="1">
        <f>IFERROR(__xludf.DUMMYFUNCTION("""COMPUTED_VALUE"""),99.79)</f>
        <v>99.79</v>
      </c>
    </row>
    <row r="996">
      <c r="A996" s="2">
        <f>IFERROR(__xludf.DUMMYFUNCTION("""COMPUTED_VALUE"""),45544.66666666667)</f>
        <v>45544.66667</v>
      </c>
      <c r="B996" s="1">
        <f>IFERROR(__xludf.DUMMYFUNCTION("""COMPUTED_VALUE"""),99.48)</f>
        <v>99.48</v>
      </c>
    </row>
    <row r="997">
      <c r="A997" s="2">
        <f>IFERROR(__xludf.DUMMYFUNCTION("""COMPUTED_VALUE"""),45545.66666666667)</f>
        <v>45545.66667</v>
      </c>
      <c r="B997" s="1">
        <f>IFERROR(__xludf.DUMMYFUNCTION("""COMPUTED_VALUE"""),99.86)</f>
        <v>99.86</v>
      </c>
    </row>
    <row r="998">
      <c r="A998" s="2">
        <f>IFERROR(__xludf.DUMMYFUNCTION("""COMPUTED_VALUE"""),45546.66666666667)</f>
        <v>45546.66667</v>
      </c>
      <c r="B998" s="1">
        <f>IFERROR(__xludf.DUMMYFUNCTION("""COMPUTED_VALUE"""),99.59)</f>
        <v>99.59</v>
      </c>
    </row>
    <row r="999">
      <c r="A999" s="2">
        <f>IFERROR(__xludf.DUMMYFUNCTION("""COMPUTED_VALUE"""),45547.66666666667)</f>
        <v>45547.66667</v>
      </c>
      <c r="B999" s="1">
        <f>IFERROR(__xludf.DUMMYFUNCTION("""COMPUTED_VALUE"""),100.93)</f>
        <v>100.93</v>
      </c>
    </row>
    <row r="1000">
      <c r="A1000" s="2">
        <f>IFERROR(__xludf.DUMMYFUNCTION("""COMPUTED_VALUE"""),45548.66666666667)</f>
        <v>45548.66667</v>
      </c>
      <c r="B1000" s="1">
        <f>IFERROR(__xludf.DUMMYFUNCTION("""COMPUTED_VALUE"""),101.3)</f>
        <v>101.3</v>
      </c>
    </row>
    <row r="1001">
      <c r="A1001" s="2">
        <f>IFERROR(__xludf.DUMMYFUNCTION("""COMPUTED_VALUE"""),45551.66666666667)</f>
        <v>45551.66667</v>
      </c>
      <c r="B1001" s="1">
        <f>IFERROR(__xludf.DUMMYFUNCTION("""COMPUTED_VALUE"""),101.56)</f>
        <v>101.56</v>
      </c>
    </row>
    <row r="1002">
      <c r="A1002" s="2">
        <f>IFERROR(__xludf.DUMMYFUNCTION("""COMPUTED_VALUE"""),45552.66666666667)</f>
        <v>45552.66667</v>
      </c>
      <c r="B1002" s="1">
        <f>IFERROR(__xludf.DUMMYFUNCTION("""COMPUTED_VALUE"""),101.78)</f>
        <v>101.78</v>
      </c>
    </row>
    <row r="1003">
      <c r="A1003" s="2">
        <f>IFERROR(__xludf.DUMMYFUNCTION("""COMPUTED_VALUE"""),45553.66666666667)</f>
        <v>45553.66667</v>
      </c>
      <c r="B1003" s="1">
        <f>IFERROR(__xludf.DUMMYFUNCTION("""COMPUTED_VALUE"""),101.84)</f>
        <v>101.84</v>
      </c>
    </row>
    <row r="1004">
      <c r="A1004" s="2">
        <f>IFERROR(__xludf.DUMMYFUNCTION("""COMPUTED_VALUE"""),45554.66666666667)</f>
        <v>45554.66667</v>
      </c>
      <c r="B1004" s="1">
        <f>IFERROR(__xludf.DUMMYFUNCTION("""COMPUTED_VALUE"""),102.49)</f>
        <v>102.49</v>
      </c>
    </row>
    <row r="1005">
      <c r="A1005" s="2">
        <f>IFERROR(__xludf.DUMMYFUNCTION("""COMPUTED_VALUE"""),45555.66666666667)</f>
        <v>45555.66667</v>
      </c>
      <c r="B1005" s="1">
        <f>IFERROR(__xludf.DUMMYFUNCTION("""COMPUTED_VALUE"""),102.65)</f>
        <v>102.65</v>
      </c>
    </row>
    <row r="1006">
      <c r="A1006" s="2">
        <f>IFERROR(__xludf.DUMMYFUNCTION("""COMPUTED_VALUE"""),45558.66666666667)</f>
        <v>45558.66667</v>
      </c>
      <c r="B1006" s="1">
        <f>IFERROR(__xludf.DUMMYFUNCTION("""COMPUTED_VALUE"""),102.01)</f>
        <v>102.01</v>
      </c>
    </row>
    <row r="1007">
      <c r="A1007" s="2">
        <f>IFERROR(__xludf.DUMMYFUNCTION("""COMPUTED_VALUE"""),45559.66666666667)</f>
        <v>45559.66667</v>
      </c>
      <c r="B1007" s="1">
        <f>IFERROR(__xludf.DUMMYFUNCTION("""COMPUTED_VALUE"""),102.0)</f>
        <v>102</v>
      </c>
    </row>
    <row r="1008">
      <c r="A1008" s="2">
        <f>IFERROR(__xludf.DUMMYFUNCTION("""COMPUTED_VALUE"""),45560.66666666667)</f>
        <v>45560.66667</v>
      </c>
      <c r="B1008" s="1">
        <f>IFERROR(__xludf.DUMMYFUNCTION("""COMPUTED_VALUE"""),101.74)</f>
        <v>101.74</v>
      </c>
    </row>
    <row r="1009">
      <c r="A1009" s="2">
        <f>IFERROR(__xludf.DUMMYFUNCTION("""COMPUTED_VALUE"""),45561.66666666667)</f>
        <v>45561.66667</v>
      </c>
      <c r="B1009" s="1">
        <f>IFERROR(__xludf.DUMMYFUNCTION("""COMPUTED_VALUE"""),102.74)</f>
        <v>102.74</v>
      </c>
    </row>
    <row r="1010">
      <c r="A1010" s="2">
        <f>IFERROR(__xludf.DUMMYFUNCTION("""COMPUTED_VALUE"""),45562.66666666667)</f>
        <v>45562.66667</v>
      </c>
      <c r="B1010" s="1">
        <f>IFERROR(__xludf.DUMMYFUNCTION("""COMPUTED_VALUE"""),102.9)</f>
        <v>102.9</v>
      </c>
    </row>
    <row r="1011">
      <c r="A1011" s="2">
        <f>IFERROR(__xludf.DUMMYFUNCTION("""COMPUTED_VALUE"""),45565.66666666667)</f>
        <v>45565.66667</v>
      </c>
      <c r="B1011" s="1">
        <f>IFERROR(__xludf.DUMMYFUNCTION("""COMPUTED_VALUE"""),103.58)</f>
        <v>103.58</v>
      </c>
    </row>
    <row r="1012">
      <c r="A1012" s="2">
        <f>IFERROR(__xludf.DUMMYFUNCTION("""COMPUTED_VALUE"""),45566.66666666667)</f>
        <v>45566.66667</v>
      </c>
      <c r="B1012" s="1">
        <f>IFERROR(__xludf.DUMMYFUNCTION("""COMPUTED_VALUE"""),101.79)</f>
        <v>101.79</v>
      </c>
    </row>
    <row r="1013">
      <c r="A1013" s="2">
        <f>IFERROR(__xludf.DUMMYFUNCTION("""COMPUTED_VALUE"""),45567.66666666667)</f>
        <v>45567.66667</v>
      </c>
      <c r="B1013" s="1">
        <f>IFERROR(__xludf.DUMMYFUNCTION("""COMPUTED_VALUE"""),101.68)</f>
        <v>101.68</v>
      </c>
    </row>
    <row r="1014">
      <c r="A1014" s="2">
        <f>IFERROR(__xludf.DUMMYFUNCTION("""COMPUTED_VALUE"""),45568.66666666667)</f>
        <v>45568.66667</v>
      </c>
      <c r="B1014" s="1">
        <f>IFERROR(__xludf.DUMMYFUNCTION("""COMPUTED_VALUE"""),101.79)</f>
        <v>101.79</v>
      </c>
    </row>
    <row r="1015">
      <c r="A1015" s="2">
        <f>IFERROR(__xludf.DUMMYFUNCTION("""COMPUTED_VALUE"""),45569.66666666667)</f>
        <v>45569.66667</v>
      </c>
      <c r="B1015" s="1">
        <f>IFERROR(__xludf.DUMMYFUNCTION("""COMPUTED_VALUE"""),101.1)</f>
        <v>101.1</v>
      </c>
    </row>
    <row r="1016">
      <c r="A1016" s="2">
        <f>IFERROR(__xludf.DUMMYFUNCTION("""COMPUTED_VALUE"""),45572.66666666667)</f>
        <v>45572.66667</v>
      </c>
      <c r="B1016" s="1">
        <f>IFERROR(__xludf.DUMMYFUNCTION("""COMPUTED_VALUE"""),101.83)</f>
        <v>101.83</v>
      </c>
    </row>
    <row r="1017">
      <c r="A1017" s="2">
        <f>IFERROR(__xludf.DUMMYFUNCTION("""COMPUTED_VALUE"""),45573.66666666667)</f>
        <v>45573.66667</v>
      </c>
      <c r="B1017" s="1">
        <f>IFERROR(__xludf.DUMMYFUNCTION("""COMPUTED_VALUE"""),101.43)</f>
        <v>101.43</v>
      </c>
    </row>
    <row r="1018">
      <c r="A1018" s="2">
        <f>IFERROR(__xludf.DUMMYFUNCTION("""COMPUTED_VALUE"""),45574.66666666667)</f>
        <v>45574.66667</v>
      </c>
      <c r="B1018" s="1">
        <f>IFERROR(__xludf.DUMMYFUNCTION("""COMPUTED_VALUE"""),101.56)</f>
        <v>101.56</v>
      </c>
    </row>
    <row r="1019">
      <c r="A1019" s="2">
        <f>IFERROR(__xludf.DUMMYFUNCTION("""COMPUTED_VALUE"""),45575.66666666667)</f>
        <v>45575.66667</v>
      </c>
      <c r="B1019" s="1">
        <f>IFERROR(__xludf.DUMMYFUNCTION("""COMPUTED_VALUE"""),101.96)</f>
        <v>101.96</v>
      </c>
    </row>
    <row r="1020">
      <c r="A1020" s="2">
        <f>IFERROR(__xludf.DUMMYFUNCTION("""COMPUTED_VALUE"""),45576.66666666667)</f>
        <v>45576.66667</v>
      </c>
      <c r="B1020" s="1">
        <f>IFERROR(__xludf.DUMMYFUNCTION("""COMPUTED_VALUE"""),101.9)</f>
        <v>101.9</v>
      </c>
    </row>
    <row r="1021">
      <c r="A1021" s="2">
        <f>IFERROR(__xludf.DUMMYFUNCTION("""COMPUTED_VALUE"""),45579.66666666667)</f>
        <v>45579.66667</v>
      </c>
      <c r="B1021" s="1">
        <f>IFERROR(__xludf.DUMMYFUNCTION("""COMPUTED_VALUE"""),102.35)</f>
        <v>102.35</v>
      </c>
    </row>
    <row r="1022">
      <c r="A1022" s="2">
        <f>IFERROR(__xludf.DUMMYFUNCTION("""COMPUTED_VALUE"""),45580.66666666667)</f>
        <v>45580.66667</v>
      </c>
      <c r="B1022" s="1">
        <f>IFERROR(__xludf.DUMMYFUNCTION("""COMPUTED_VALUE"""),103.25)</f>
        <v>103.25</v>
      </c>
    </row>
    <row r="1023">
      <c r="A1023" s="2">
        <f>IFERROR(__xludf.DUMMYFUNCTION("""COMPUTED_VALUE"""),45581.66666666667)</f>
        <v>45581.66667</v>
      </c>
      <c r="B1023" s="1">
        <f>IFERROR(__xludf.DUMMYFUNCTION("""COMPUTED_VALUE"""),102.84)</f>
        <v>102.84</v>
      </c>
    </row>
    <row r="1024">
      <c r="A1024" s="2">
        <f>IFERROR(__xludf.DUMMYFUNCTION("""COMPUTED_VALUE"""),45582.66666666667)</f>
        <v>45582.66667</v>
      </c>
      <c r="B1024" s="1">
        <f>IFERROR(__xludf.DUMMYFUNCTION("""COMPUTED_VALUE"""),103.67)</f>
        <v>103.67</v>
      </c>
    </row>
    <row r="1025">
      <c r="A1025" s="2">
        <f>IFERROR(__xludf.DUMMYFUNCTION("""COMPUTED_VALUE"""),45583.66666666667)</f>
        <v>45583.66667</v>
      </c>
      <c r="B1025" s="1">
        <f>IFERROR(__xludf.DUMMYFUNCTION("""COMPUTED_VALUE"""),102.78)</f>
        <v>102.78</v>
      </c>
    </row>
    <row r="1026">
      <c r="A1026" s="2">
        <f>IFERROR(__xludf.DUMMYFUNCTION("""COMPUTED_VALUE"""),45586.66666666667)</f>
        <v>45586.66667</v>
      </c>
      <c r="B1026" s="1">
        <f>IFERROR(__xludf.DUMMYFUNCTION("""COMPUTED_VALUE"""),103.58)</f>
        <v>103.58</v>
      </c>
    </row>
    <row r="1027">
      <c r="A1027" s="2">
        <f>IFERROR(__xludf.DUMMYFUNCTION("""COMPUTED_VALUE"""),45587.66666666667)</f>
        <v>45587.66667</v>
      </c>
      <c r="B1027" s="1">
        <f>IFERROR(__xludf.DUMMYFUNCTION("""COMPUTED_VALUE"""),101.81)</f>
        <v>101.81</v>
      </c>
    </row>
    <row r="1028">
      <c r="A1028" s="2">
        <f>IFERROR(__xludf.DUMMYFUNCTION("""COMPUTED_VALUE"""),45588.66666666667)</f>
        <v>45588.66667</v>
      </c>
      <c r="B1028" s="1">
        <f>IFERROR(__xludf.DUMMYFUNCTION("""COMPUTED_VALUE"""),101.92)</f>
        <v>101.92</v>
      </c>
    </row>
    <row r="1029">
      <c r="A1029" s="2">
        <f>IFERROR(__xludf.DUMMYFUNCTION("""COMPUTED_VALUE"""),45589.66666666667)</f>
        <v>45589.66667</v>
      </c>
      <c r="B1029" s="1">
        <f>IFERROR(__xludf.DUMMYFUNCTION("""COMPUTED_VALUE"""),101.83)</f>
        <v>101.83</v>
      </c>
    </row>
    <row r="1030">
      <c r="A1030" s="2">
        <f>IFERROR(__xludf.DUMMYFUNCTION("""COMPUTED_VALUE"""),45590.66666666667)</f>
        <v>45590.66667</v>
      </c>
      <c r="B1030" s="1">
        <f>IFERROR(__xludf.DUMMYFUNCTION("""COMPUTED_VALUE"""),101.9)</f>
        <v>101.9</v>
      </c>
    </row>
    <row r="1031">
      <c r="A1031" s="2">
        <f>IFERROR(__xludf.DUMMYFUNCTION("""COMPUTED_VALUE"""),45593.66666666667)</f>
        <v>45593.66667</v>
      </c>
      <c r="B1031" s="1">
        <f>IFERROR(__xludf.DUMMYFUNCTION("""COMPUTED_VALUE"""),102.06)</f>
        <v>102.06</v>
      </c>
    </row>
    <row r="1032">
      <c r="A1032" s="2">
        <f>IFERROR(__xludf.DUMMYFUNCTION("""COMPUTED_VALUE"""),45594.66666666667)</f>
        <v>45594.66667</v>
      </c>
      <c r="B1032" s="1">
        <f>IFERROR(__xludf.DUMMYFUNCTION("""COMPUTED_VALUE"""),102.34)</f>
        <v>102.34</v>
      </c>
    </row>
    <row r="1033">
      <c r="A1033" s="2">
        <f>IFERROR(__xludf.DUMMYFUNCTION("""COMPUTED_VALUE"""),45595.66666666667)</f>
        <v>45595.66667</v>
      </c>
      <c r="B1033" s="1">
        <f>IFERROR(__xludf.DUMMYFUNCTION("""COMPUTED_VALUE"""),101.5)</f>
        <v>101.5</v>
      </c>
    </row>
    <row r="1034">
      <c r="A1034" s="2">
        <f>IFERROR(__xludf.DUMMYFUNCTION("""COMPUTED_VALUE"""),45596.66666666667)</f>
        <v>45596.66667</v>
      </c>
      <c r="B1034" s="1">
        <f>IFERROR(__xludf.DUMMYFUNCTION("""COMPUTED_VALUE"""),101.18)</f>
        <v>101.18</v>
      </c>
    </row>
    <row r="1035">
      <c r="A1035" s="2">
        <f>IFERROR(__xludf.DUMMYFUNCTION("""COMPUTED_VALUE"""),45597.66666666667)</f>
        <v>45597.66667</v>
      </c>
      <c r="B1035" s="1">
        <f>IFERROR(__xludf.DUMMYFUNCTION("""COMPUTED_VALUE"""),100.73)</f>
        <v>100.73</v>
      </c>
    </row>
    <row r="1036">
      <c r="A1036" s="2">
        <f>IFERROR(__xludf.DUMMYFUNCTION("""COMPUTED_VALUE"""),45600.66666666667)</f>
        <v>45600.66667</v>
      </c>
      <c r="B1036" s="1">
        <f>IFERROR(__xludf.DUMMYFUNCTION("""COMPUTED_VALUE"""),101.26)</f>
        <v>101.26</v>
      </c>
    </row>
    <row r="1037">
      <c r="A1037" s="2">
        <f>IFERROR(__xludf.DUMMYFUNCTION("""COMPUTED_VALUE"""),45601.66666666667)</f>
        <v>45601.66667</v>
      </c>
      <c r="B1037" s="1">
        <f>IFERROR(__xludf.DUMMYFUNCTION("""COMPUTED_VALUE"""),100.9)</f>
        <v>100.9</v>
      </c>
    </row>
    <row r="1038">
      <c r="A1038" s="2">
        <f>IFERROR(__xludf.DUMMYFUNCTION("""COMPUTED_VALUE"""),45602.66666666667)</f>
        <v>45602.66667</v>
      </c>
      <c r="B1038" s="1">
        <f>IFERROR(__xludf.DUMMYFUNCTION("""COMPUTED_VALUE"""),101.73)</f>
        <v>101.73</v>
      </c>
    </row>
    <row r="1039">
      <c r="A1039" s="2">
        <f>IFERROR(__xludf.DUMMYFUNCTION("""COMPUTED_VALUE"""),45603.66666666667)</f>
        <v>45603.66667</v>
      </c>
      <c r="B1039" s="1">
        <f>IFERROR(__xludf.DUMMYFUNCTION("""COMPUTED_VALUE"""),102.1)</f>
        <v>102.1</v>
      </c>
    </row>
    <row r="1040">
      <c r="A1040" s="2">
        <f>IFERROR(__xludf.DUMMYFUNCTION("""COMPUTED_VALUE"""),45604.66666666667)</f>
        <v>45604.66667</v>
      </c>
      <c r="B1040" s="1">
        <f>IFERROR(__xludf.DUMMYFUNCTION("""COMPUTED_VALUE"""),103.0)</f>
        <v>103</v>
      </c>
    </row>
    <row r="1041">
      <c r="A1041" s="2">
        <f>IFERROR(__xludf.DUMMYFUNCTION("""COMPUTED_VALUE"""),45607.66666666667)</f>
        <v>45607.66667</v>
      </c>
      <c r="B1041" s="1">
        <f>IFERROR(__xludf.DUMMYFUNCTION("""COMPUTED_VALUE"""),102.63)</f>
        <v>102.63</v>
      </c>
    </row>
    <row r="1042">
      <c r="A1042" s="2">
        <f>IFERROR(__xludf.DUMMYFUNCTION("""COMPUTED_VALUE"""),45608.66666666667)</f>
        <v>45608.66667</v>
      </c>
      <c r="B1042" s="1">
        <f>IFERROR(__xludf.DUMMYFUNCTION("""COMPUTED_VALUE"""),102.56)</f>
        <v>102.56</v>
      </c>
    </row>
    <row r="1043">
      <c r="A1043" s="2">
        <f>IFERROR(__xludf.DUMMYFUNCTION("""COMPUTED_VALUE"""),45609.66666666667)</f>
        <v>45609.66667</v>
      </c>
      <c r="B1043" s="1">
        <f>IFERROR(__xludf.DUMMYFUNCTION("""COMPUTED_VALUE"""),101.91)</f>
        <v>101.91</v>
      </c>
    </row>
    <row r="1044">
      <c r="A1044" s="2">
        <f>IFERROR(__xludf.DUMMYFUNCTION("""COMPUTED_VALUE"""),45610.66666666667)</f>
        <v>45610.66667</v>
      </c>
      <c r="B1044" s="1">
        <f>IFERROR(__xludf.DUMMYFUNCTION("""COMPUTED_VALUE"""),102.33)</f>
        <v>102.33</v>
      </c>
    </row>
    <row r="1045">
      <c r="A1045" s="2">
        <f>IFERROR(__xludf.DUMMYFUNCTION("""COMPUTED_VALUE"""),45611.66666666667)</f>
        <v>45611.66667</v>
      </c>
      <c r="B1045" s="1">
        <f>IFERROR(__xludf.DUMMYFUNCTION("""COMPUTED_VALUE"""),103.02)</f>
        <v>103.02</v>
      </c>
    </row>
    <row r="1046">
      <c r="A1046" s="2">
        <f>IFERROR(__xludf.DUMMYFUNCTION("""COMPUTED_VALUE"""),45614.66666666667)</f>
        <v>45614.66667</v>
      </c>
      <c r="B1046" s="1">
        <f>IFERROR(__xludf.DUMMYFUNCTION("""COMPUTED_VALUE"""),103.25)</f>
        <v>103.25</v>
      </c>
    </row>
    <row r="1047">
      <c r="A1047" s="2">
        <f>IFERROR(__xludf.DUMMYFUNCTION("""COMPUTED_VALUE"""),45615.66666666667)</f>
        <v>45615.66667</v>
      </c>
      <c r="B1047" s="1">
        <f>IFERROR(__xludf.DUMMYFUNCTION("""COMPUTED_VALUE"""),104.16)</f>
        <v>104.16</v>
      </c>
    </row>
    <row r="1048">
      <c r="A1048" s="2">
        <f>IFERROR(__xludf.DUMMYFUNCTION("""COMPUTED_VALUE"""),45616.66666666667)</f>
        <v>45616.66667</v>
      </c>
      <c r="B1048" s="1">
        <f>IFERROR(__xludf.DUMMYFUNCTION("""COMPUTED_VALUE"""),103.5)</f>
        <v>103.5</v>
      </c>
    </row>
    <row r="1049">
      <c r="A1049" s="2">
        <f>IFERROR(__xludf.DUMMYFUNCTION("""COMPUTED_VALUE"""),45617.66666666667)</f>
        <v>45617.66667</v>
      </c>
      <c r="B1049" s="1">
        <f>IFERROR(__xludf.DUMMYFUNCTION("""COMPUTED_VALUE"""),103.4)</f>
        <v>103.4</v>
      </c>
    </row>
    <row r="1050">
      <c r="A1050" s="2">
        <f>IFERROR(__xludf.DUMMYFUNCTION("""COMPUTED_VALUE"""),45618.66666666667)</f>
        <v>45618.66667</v>
      </c>
      <c r="B1050" s="1">
        <f>IFERROR(__xludf.DUMMYFUNCTION("""COMPUTED_VALUE"""),104.33)</f>
        <v>104.33</v>
      </c>
    </row>
    <row r="1051">
      <c r="A1051" s="2">
        <f>IFERROR(__xludf.DUMMYFUNCTION("""COMPUTED_VALUE"""),45621.66666666667)</f>
        <v>45621.66667</v>
      </c>
      <c r="B1051" s="1">
        <f>IFERROR(__xludf.DUMMYFUNCTION("""COMPUTED_VALUE"""),104.7)</f>
        <v>104.7</v>
      </c>
    </row>
    <row r="1052">
      <c r="A1052" s="2">
        <f>IFERROR(__xludf.DUMMYFUNCTION("""COMPUTED_VALUE"""),45622.66666666667)</f>
        <v>45622.66667</v>
      </c>
      <c r="B1052" s="1">
        <f>IFERROR(__xludf.DUMMYFUNCTION("""COMPUTED_VALUE"""),103.94)</f>
        <v>103.94</v>
      </c>
    </row>
    <row r="1053">
      <c r="A1053" s="2">
        <f>IFERROR(__xludf.DUMMYFUNCTION("""COMPUTED_VALUE"""),45623.66666666667)</f>
        <v>45623.66667</v>
      </c>
      <c r="B1053" s="1">
        <f>IFERROR(__xludf.DUMMYFUNCTION("""COMPUTED_VALUE"""),104.54)</f>
        <v>104.54</v>
      </c>
    </row>
    <row r="1054">
      <c r="A1054" s="2">
        <f>IFERROR(__xludf.DUMMYFUNCTION("""COMPUTED_VALUE"""),45624.66666666667)</f>
        <v>45624.66667</v>
      </c>
      <c r="B1054" s="1">
        <f>IFERROR(__xludf.DUMMYFUNCTION("""COMPUTED_VALUE"""),105.07)</f>
        <v>105.07</v>
      </c>
    </row>
    <row r="1055">
      <c r="A1055" s="2">
        <f>IFERROR(__xludf.DUMMYFUNCTION("""COMPUTED_VALUE"""),45625.66666666667)</f>
        <v>45625.66667</v>
      </c>
      <c r="B1055" s="1">
        <f>IFERROR(__xludf.DUMMYFUNCTION("""COMPUTED_VALUE"""),104.87)</f>
        <v>104.87</v>
      </c>
    </row>
    <row r="1056">
      <c r="A1056" s="2">
        <f>IFERROR(__xludf.DUMMYFUNCTION("""COMPUTED_VALUE"""),45628.66666666667)</f>
        <v>45628.66667</v>
      </c>
      <c r="B1056" s="1">
        <f>IFERROR(__xludf.DUMMYFUNCTION("""COMPUTED_VALUE"""),105.07)</f>
        <v>105.07</v>
      </c>
    </row>
    <row r="1057">
      <c r="A1057" s="2">
        <f>IFERROR(__xludf.DUMMYFUNCTION("""COMPUTED_VALUE"""),45629.66666666667)</f>
        <v>45629.66667</v>
      </c>
      <c r="B1057" s="1">
        <f>IFERROR(__xludf.DUMMYFUNCTION("""COMPUTED_VALUE"""),105.64)</f>
        <v>105.64</v>
      </c>
    </row>
    <row r="1058">
      <c r="A1058" s="2">
        <f>IFERROR(__xludf.DUMMYFUNCTION("""COMPUTED_VALUE"""),45630.66666666667)</f>
        <v>45630.66667</v>
      </c>
      <c r="B1058" s="1">
        <f>IFERROR(__xludf.DUMMYFUNCTION("""COMPUTED_VALUE"""),105.31)</f>
        <v>105.31</v>
      </c>
    </row>
    <row r="1059">
      <c r="A1059" s="2">
        <f>IFERROR(__xludf.DUMMYFUNCTION("""COMPUTED_VALUE"""),45631.66666666667)</f>
        <v>45631.66667</v>
      </c>
      <c r="B1059" s="1">
        <f>IFERROR(__xludf.DUMMYFUNCTION("""COMPUTED_VALUE"""),105.43)</f>
        <v>105.43</v>
      </c>
    </row>
    <row r="1060">
      <c r="A1060" s="2">
        <f>IFERROR(__xludf.DUMMYFUNCTION("""COMPUTED_VALUE"""),45632.66666666667)</f>
        <v>45632.66667</v>
      </c>
      <c r="B1060" s="1">
        <f>IFERROR(__xludf.DUMMYFUNCTION("""COMPUTED_VALUE"""),104.73)</f>
        <v>104.73</v>
      </c>
    </row>
    <row r="1061">
      <c r="A1061" s="2">
        <f>IFERROR(__xludf.DUMMYFUNCTION("""COMPUTED_VALUE"""),45635.66666666667)</f>
        <v>45635.66667</v>
      </c>
      <c r="B1061" s="1">
        <f>IFERROR(__xludf.DUMMYFUNCTION("""COMPUTED_VALUE"""),104.74)</f>
        <v>104.74</v>
      </c>
    </row>
    <row r="1062">
      <c r="A1062" s="2">
        <f>IFERROR(__xludf.DUMMYFUNCTION("""COMPUTED_VALUE"""),45636.66666666667)</f>
        <v>45636.66667</v>
      </c>
      <c r="B1062" s="1">
        <f>IFERROR(__xludf.DUMMYFUNCTION("""COMPUTED_VALUE"""),104.36)</f>
        <v>104.36</v>
      </c>
    </row>
    <row r="1063">
      <c r="A1063" s="2">
        <f>IFERROR(__xludf.DUMMYFUNCTION("""COMPUTED_VALUE"""),45637.66666666667)</f>
        <v>45637.66667</v>
      </c>
      <c r="B1063" s="1">
        <f>IFERROR(__xludf.DUMMYFUNCTION("""COMPUTED_VALUE"""),103.88)</f>
        <v>103.88</v>
      </c>
    </row>
    <row r="1064">
      <c r="A1064" s="2">
        <f>IFERROR(__xludf.DUMMYFUNCTION("""COMPUTED_VALUE"""),45638.66666666667)</f>
        <v>45638.66667</v>
      </c>
      <c r="B1064" s="1">
        <f>IFERROR(__xludf.DUMMYFUNCTION("""COMPUTED_VALUE"""),103.65)</f>
        <v>103.65</v>
      </c>
    </row>
    <row r="1065">
      <c r="A1065" s="2">
        <f>IFERROR(__xludf.DUMMYFUNCTION("""COMPUTED_VALUE"""),45639.66666666667)</f>
        <v>45639.66667</v>
      </c>
      <c r="B1065" s="1">
        <f>IFERROR(__xludf.DUMMYFUNCTION("""COMPUTED_VALUE"""),103.19)</f>
        <v>103.19</v>
      </c>
    </row>
    <row r="1066">
      <c r="A1066" s="2">
        <f>IFERROR(__xludf.DUMMYFUNCTION("""COMPUTED_VALUE"""),45642.66666666667)</f>
        <v>45642.66667</v>
      </c>
      <c r="B1066" s="1">
        <f>IFERROR(__xludf.DUMMYFUNCTION("""COMPUTED_VALUE"""),102.53)</f>
        <v>102.53</v>
      </c>
    </row>
    <row r="1067">
      <c r="A1067" s="2">
        <f>IFERROR(__xludf.DUMMYFUNCTION("""COMPUTED_VALUE"""),45643.66666666667)</f>
        <v>45643.66667</v>
      </c>
      <c r="B1067" s="1">
        <f>IFERROR(__xludf.DUMMYFUNCTION("""COMPUTED_VALUE"""),103.39)</f>
        <v>103.39</v>
      </c>
    </row>
    <row r="1068">
      <c r="A1068" s="2">
        <f>IFERROR(__xludf.DUMMYFUNCTION("""COMPUTED_VALUE"""),45644.66666666667)</f>
        <v>45644.66667</v>
      </c>
      <c r="B1068" s="1">
        <f>IFERROR(__xludf.DUMMYFUNCTION("""COMPUTED_VALUE"""),103.33)</f>
        <v>103.33</v>
      </c>
    </row>
    <row r="1069">
      <c r="A1069" s="2">
        <f>IFERROR(__xludf.DUMMYFUNCTION("""COMPUTED_VALUE"""),45645.66666666667)</f>
        <v>45645.66667</v>
      </c>
      <c r="B1069" s="1">
        <f>IFERROR(__xludf.DUMMYFUNCTION("""COMPUTED_VALUE"""),101.64)</f>
        <v>101.64</v>
      </c>
    </row>
    <row r="1070">
      <c r="A1070" s="2">
        <f>IFERROR(__xludf.DUMMYFUNCTION("""COMPUTED_VALUE"""),45646.66666666667)</f>
        <v>45646.66667</v>
      </c>
      <c r="B1070" s="1">
        <f>IFERROR(__xludf.DUMMYFUNCTION("""COMPUTED_VALUE"""),100.33)</f>
        <v>100.33</v>
      </c>
    </row>
    <row r="1071">
      <c r="A1071" s="2">
        <f>IFERROR(__xludf.DUMMYFUNCTION("""COMPUTED_VALUE"""),45649.66666666667)</f>
        <v>45649.66667</v>
      </c>
      <c r="B1071" s="1">
        <f>IFERROR(__xludf.DUMMYFUNCTION("""COMPUTED_VALUE"""),102.1)</f>
        <v>102.1</v>
      </c>
    </row>
    <row r="1072">
      <c r="A1072" s="2">
        <f>IFERROR(__xludf.DUMMYFUNCTION("""COMPUTED_VALUE"""),45650.59027777778)</f>
        <v>45650.59028</v>
      </c>
      <c r="B1072" s="1">
        <f>IFERROR(__xludf.DUMMYFUNCTION("""COMPUTED_VALUE"""),102.28)</f>
        <v>102.28</v>
      </c>
    </row>
    <row r="1073">
      <c r="A1073" s="2">
        <f>IFERROR(__xludf.DUMMYFUNCTION("""COMPUTED_VALUE"""),45653.66666666667)</f>
        <v>45653.66667</v>
      </c>
      <c r="B1073" s="1">
        <f>IFERROR(__xludf.DUMMYFUNCTION("""COMPUTED_VALUE"""),102.81)</f>
        <v>102.81</v>
      </c>
    </row>
    <row r="1074">
      <c r="A1074" s="2">
        <f>IFERROR(__xludf.DUMMYFUNCTION("""COMPUTED_VALUE"""),45656.66666666667)</f>
        <v>45656.66667</v>
      </c>
      <c r="B1074" s="1">
        <f>IFERROR(__xludf.DUMMYFUNCTION("""COMPUTED_VALUE"""),102.61)</f>
        <v>102.61</v>
      </c>
    </row>
    <row r="1075">
      <c r="A1075" s="2">
        <f>IFERROR(__xludf.DUMMYFUNCTION("""COMPUTED_VALUE"""),45657.59027777778)</f>
        <v>45657.59028</v>
      </c>
      <c r="B1075" s="1">
        <f>IFERROR(__xludf.DUMMYFUNCTION("""COMPUTED_VALUE"""),101.73)</f>
        <v>101.73</v>
      </c>
    </row>
    <row r="1076">
      <c r="A1076" s="2">
        <f>IFERROR(__xludf.DUMMYFUNCTION("""COMPUTED_VALUE"""),45659.66666666667)</f>
        <v>45659.66667</v>
      </c>
      <c r="B1076" s="1">
        <f>IFERROR(__xludf.DUMMYFUNCTION("""COMPUTED_VALUE"""),101.27)</f>
        <v>101.27</v>
      </c>
    </row>
    <row r="1077">
      <c r="A1077" s="2">
        <f>IFERROR(__xludf.DUMMYFUNCTION("""COMPUTED_VALUE"""),45660.66666666667)</f>
        <v>45660.66667</v>
      </c>
      <c r="B1077" s="1">
        <f>IFERROR(__xludf.DUMMYFUNCTION("""COMPUTED_VALUE"""),101.87)</f>
        <v>101.87</v>
      </c>
    </row>
    <row r="1078">
      <c r="A1078" s="2">
        <f>IFERROR(__xludf.DUMMYFUNCTION("""COMPUTED_VALUE"""),45663.66666666667)</f>
        <v>45663.66667</v>
      </c>
      <c r="B1078" s="1">
        <f>IFERROR(__xludf.DUMMYFUNCTION("""COMPUTED_VALUE"""),101.92)</f>
        <v>101.92</v>
      </c>
    </row>
    <row r="1079">
      <c r="A1079" s="2">
        <f>IFERROR(__xludf.DUMMYFUNCTION("""COMPUTED_VALUE"""),45664.66666666667)</f>
        <v>45664.66667</v>
      </c>
      <c r="B1079" s="1">
        <f>IFERROR(__xludf.DUMMYFUNCTION("""COMPUTED_VALUE"""),102.23)</f>
        <v>102.23</v>
      </c>
    </row>
    <row r="1080">
      <c r="A1080" s="2">
        <f>IFERROR(__xludf.DUMMYFUNCTION("""COMPUTED_VALUE"""),45665.66666666667)</f>
        <v>45665.66667</v>
      </c>
      <c r="B1080" s="1">
        <f>IFERROR(__xludf.DUMMYFUNCTION("""COMPUTED_VALUE"""),103.03)</f>
        <v>103.03</v>
      </c>
    </row>
    <row r="1081">
      <c r="A1081" s="2">
        <f>IFERROR(__xludf.DUMMYFUNCTION("""COMPUTED_VALUE"""),45666.66666666667)</f>
        <v>45666.66667</v>
      </c>
      <c r="B1081" s="1">
        <f>IFERROR(__xludf.DUMMYFUNCTION("""COMPUTED_VALUE"""),102.72)</f>
        <v>102.72</v>
      </c>
    </row>
    <row r="1082">
      <c r="A1082" s="2">
        <f>IFERROR(__xludf.DUMMYFUNCTION("""COMPUTED_VALUE"""),45667.66666666667)</f>
        <v>45667.66667</v>
      </c>
      <c r="B1082" s="1">
        <f>IFERROR(__xludf.DUMMYFUNCTION("""COMPUTED_VALUE"""),102.37)</f>
        <v>102.37</v>
      </c>
    </row>
    <row r="1083">
      <c r="A1083" s="2">
        <f>IFERROR(__xludf.DUMMYFUNCTION("""COMPUTED_VALUE"""),45670.66666666667)</f>
        <v>45670.66667</v>
      </c>
      <c r="B1083" s="1">
        <f>IFERROR(__xludf.DUMMYFUNCTION("""COMPUTED_VALUE"""),101.07)</f>
        <v>101.07</v>
      </c>
    </row>
    <row r="1084">
      <c r="A1084" s="2">
        <f>IFERROR(__xludf.DUMMYFUNCTION("""COMPUTED_VALUE"""),45671.66666666667)</f>
        <v>45671.66667</v>
      </c>
      <c r="B1084" s="1">
        <f>IFERROR(__xludf.DUMMYFUNCTION("""COMPUTED_VALUE"""),101.55)</f>
        <v>101.55</v>
      </c>
    </row>
    <row r="1085">
      <c r="A1085" s="2">
        <f>IFERROR(__xludf.DUMMYFUNCTION("""COMPUTED_VALUE"""),45672.66666666667)</f>
        <v>45672.66667</v>
      </c>
      <c r="B1085" s="1">
        <f>IFERROR(__xludf.DUMMYFUNCTION("""COMPUTED_VALUE"""),101.33)</f>
        <v>101.33</v>
      </c>
    </row>
    <row r="1086">
      <c r="A1086" s="2">
        <f>IFERROR(__xludf.DUMMYFUNCTION("""COMPUTED_VALUE"""),45673.66666666667)</f>
        <v>45673.66667</v>
      </c>
      <c r="B1086" s="1">
        <f>IFERROR(__xludf.DUMMYFUNCTION("""COMPUTED_VALUE"""),102.69)</f>
        <v>102.69</v>
      </c>
    </row>
    <row r="1087">
      <c r="A1087" s="2">
        <f>IFERROR(__xludf.DUMMYFUNCTION("""COMPUTED_VALUE"""),45674.66666666667)</f>
        <v>45674.66667</v>
      </c>
      <c r="B1087" s="1">
        <f>IFERROR(__xludf.DUMMYFUNCTION("""COMPUTED_VALUE"""),102.49)</f>
        <v>102.49</v>
      </c>
    </row>
    <row r="1088">
      <c r="A1088" s="2">
        <f>IFERROR(__xludf.DUMMYFUNCTION("""COMPUTED_VALUE"""),45677.66666666667)</f>
        <v>45677.66667</v>
      </c>
      <c r="B1088" s="1">
        <f>IFERROR(__xludf.DUMMYFUNCTION("""COMPUTED_VALUE"""),102.99)</f>
        <v>102.99</v>
      </c>
    </row>
    <row r="1089">
      <c r="A1089" s="2">
        <f>IFERROR(__xludf.DUMMYFUNCTION("""COMPUTED_VALUE"""),45678.66666666667)</f>
        <v>45678.66667</v>
      </c>
      <c r="B1089" s="1">
        <f>IFERROR(__xludf.DUMMYFUNCTION("""COMPUTED_VALUE"""),103.67)</f>
        <v>103.67</v>
      </c>
    </row>
    <row r="1090">
      <c r="A1090" s="2">
        <f>IFERROR(__xludf.DUMMYFUNCTION("""COMPUTED_VALUE"""),45679.66666666667)</f>
        <v>45679.66667</v>
      </c>
      <c r="B1090" s="1">
        <f>IFERROR(__xludf.DUMMYFUNCTION("""COMPUTED_VALUE"""),103.97)</f>
        <v>103.97</v>
      </c>
    </row>
    <row r="1091">
      <c r="A1091" s="2">
        <f>IFERROR(__xludf.DUMMYFUNCTION("""COMPUTED_VALUE"""),45680.66666666667)</f>
        <v>45680.66667</v>
      </c>
      <c r="B1091" s="1">
        <f>IFERROR(__xludf.DUMMYFUNCTION("""COMPUTED_VALUE"""),103.39)</f>
        <v>103.39</v>
      </c>
    </row>
    <row r="1092">
      <c r="A1092" s="2">
        <f>IFERROR(__xludf.DUMMYFUNCTION("""COMPUTED_VALUE"""),45681.66666666667)</f>
        <v>45681.66667</v>
      </c>
      <c r="B1092" s="1">
        <f>IFERROR(__xludf.DUMMYFUNCTION("""COMPUTED_VALUE"""),103.75)</f>
        <v>103.75</v>
      </c>
    </row>
    <row r="1093">
      <c r="A1093" s="2">
        <f>IFERROR(__xludf.DUMMYFUNCTION("""COMPUTED_VALUE"""),45685.66666666667)</f>
        <v>45685.66667</v>
      </c>
      <c r="B1093" s="1">
        <f>IFERROR(__xludf.DUMMYFUNCTION("""COMPUTED_VALUE"""),103.62)</f>
        <v>103.62</v>
      </c>
    </row>
    <row r="1094">
      <c r="A1094" s="2">
        <f>IFERROR(__xludf.DUMMYFUNCTION("""COMPUTED_VALUE"""),45686.66666666667)</f>
        <v>45686.66667</v>
      </c>
      <c r="B1094" s="1">
        <f>IFERROR(__xludf.DUMMYFUNCTION("""COMPUTED_VALUE"""),104.14)</f>
        <v>104.14</v>
      </c>
    </row>
    <row r="1095">
      <c r="A1095" s="2">
        <f>IFERROR(__xludf.DUMMYFUNCTION("""COMPUTED_VALUE"""),45687.66666666667)</f>
        <v>45687.66667</v>
      </c>
      <c r="B1095" s="1">
        <f>IFERROR(__xludf.DUMMYFUNCTION("""COMPUTED_VALUE"""),104.75)</f>
        <v>104.75</v>
      </c>
    </row>
    <row r="1096">
      <c r="A1096" s="2">
        <f>IFERROR(__xludf.DUMMYFUNCTION("""COMPUTED_VALUE"""),45688.66666666667)</f>
        <v>45688.66667</v>
      </c>
      <c r="B1096" s="1">
        <f>IFERROR(__xludf.DUMMYFUNCTION("""COMPUTED_VALUE"""),105.21)</f>
        <v>105.21</v>
      </c>
    </row>
    <row r="1097">
      <c r="A1097" s="2">
        <f>IFERROR(__xludf.DUMMYFUNCTION("""COMPUTED_VALUE"""),45691.66666666667)</f>
        <v>45691.66667</v>
      </c>
      <c r="B1097" s="1">
        <f>IFERROR(__xludf.DUMMYFUNCTION("""COMPUTED_VALUE"""),103.33)</f>
        <v>103.33</v>
      </c>
    </row>
    <row r="1098">
      <c r="A1098" s="2">
        <f>IFERROR(__xludf.DUMMYFUNCTION("""COMPUTED_VALUE"""),45692.66666666667)</f>
        <v>45692.66667</v>
      </c>
      <c r="B1098" s="1">
        <f>IFERROR(__xludf.DUMMYFUNCTION("""COMPUTED_VALUE"""),103.31)</f>
        <v>103.31</v>
      </c>
    </row>
    <row r="1099">
      <c r="A1099" s="2">
        <f>IFERROR(__xludf.DUMMYFUNCTION("""COMPUTED_VALUE"""),45693.66666666667)</f>
        <v>45693.66667</v>
      </c>
      <c r="B1099" s="1">
        <f>IFERROR(__xludf.DUMMYFUNCTION("""COMPUTED_VALUE"""),103.83)</f>
        <v>103.83</v>
      </c>
    </row>
    <row r="1100">
      <c r="A1100" s="2">
        <f>IFERROR(__xludf.DUMMYFUNCTION("""COMPUTED_VALUE"""),45694.66666666667)</f>
        <v>45694.66667</v>
      </c>
      <c r="B1100" s="1">
        <f>IFERROR(__xludf.DUMMYFUNCTION("""COMPUTED_VALUE"""),105.05)</f>
        <v>105.05</v>
      </c>
    </row>
    <row r="1101">
      <c r="A1101" s="2">
        <f>IFERROR(__xludf.DUMMYFUNCTION("""COMPUTED_VALUE"""),45695.66666666667)</f>
        <v>45695.66667</v>
      </c>
      <c r="B1101" s="1">
        <f>IFERROR(__xludf.DUMMYFUNCTION("""COMPUTED_VALUE"""),104.95)</f>
        <v>104.95</v>
      </c>
    </row>
    <row r="1102">
      <c r="A1102" s="2">
        <f>IFERROR(__xludf.DUMMYFUNCTION("""COMPUTED_VALUE"""),45698.66666666667)</f>
        <v>45698.66667</v>
      </c>
      <c r="B1102" s="1">
        <f>IFERROR(__xludf.DUMMYFUNCTION("""COMPUTED_VALUE"""),104.59)</f>
        <v>104.59</v>
      </c>
    </row>
    <row r="1103">
      <c r="A1103" s="2">
        <f>IFERROR(__xludf.DUMMYFUNCTION("""COMPUTED_VALUE"""),45699.66666666667)</f>
        <v>45699.66667</v>
      </c>
      <c r="B1103" s="1">
        <f>IFERROR(__xludf.DUMMYFUNCTION("""COMPUTED_VALUE"""),104.62)</f>
        <v>104.62</v>
      </c>
    </row>
    <row r="1104">
      <c r="A1104" s="2">
        <f>IFERROR(__xludf.DUMMYFUNCTION("""COMPUTED_VALUE"""),45700.66666666667)</f>
        <v>45700.66667</v>
      </c>
      <c r="B1104" s="1">
        <f>IFERROR(__xludf.DUMMYFUNCTION("""COMPUTED_VALUE"""),105.17)</f>
        <v>105.17</v>
      </c>
    </row>
    <row r="1105">
      <c r="A1105" s="2">
        <f>IFERROR(__xludf.DUMMYFUNCTION("""COMPUTED_VALUE"""),45701.66666666667)</f>
        <v>45701.66667</v>
      </c>
      <c r="B1105" s="1">
        <f>IFERROR(__xludf.DUMMYFUNCTION("""COMPUTED_VALUE"""),105.33)</f>
        <v>105.33</v>
      </c>
    </row>
    <row r="1106">
      <c r="A1106" s="2">
        <f>IFERROR(__xludf.DUMMYFUNCTION("""COMPUTED_VALUE"""),45702.66666666667)</f>
        <v>45702.66667</v>
      </c>
      <c r="B1106" s="1">
        <f>IFERROR(__xludf.DUMMYFUNCTION("""COMPUTED_VALUE"""),105.55)</f>
        <v>105.55</v>
      </c>
    </row>
    <row r="1107">
      <c r="A1107" s="2">
        <f>IFERROR(__xludf.DUMMYFUNCTION("""COMPUTED_VALUE"""),45705.66666666667)</f>
        <v>45705.66667</v>
      </c>
      <c r="B1107" s="1">
        <f>IFERROR(__xludf.DUMMYFUNCTION("""COMPUTED_VALUE"""),105.4)</f>
        <v>105.4</v>
      </c>
    </row>
    <row r="1108">
      <c r="A1108" s="2">
        <f>IFERROR(__xludf.DUMMYFUNCTION("""COMPUTED_VALUE"""),45706.66666666667)</f>
        <v>45706.66667</v>
      </c>
      <c r="B1108" s="1">
        <f>IFERROR(__xludf.DUMMYFUNCTION("""COMPUTED_VALUE"""),104.69)</f>
        <v>104.69</v>
      </c>
    </row>
    <row r="1109">
      <c r="A1109" s="2">
        <f>IFERROR(__xludf.DUMMYFUNCTION("""COMPUTED_VALUE"""),45707.66666666667)</f>
        <v>45707.66667</v>
      </c>
      <c r="B1109" s="1">
        <f>IFERROR(__xludf.DUMMYFUNCTION("""COMPUTED_VALUE"""),104.03)</f>
        <v>104.03</v>
      </c>
    </row>
    <row r="1110">
      <c r="A1110" s="2">
        <f>IFERROR(__xludf.DUMMYFUNCTION("""COMPUTED_VALUE"""),45708.66666666667)</f>
        <v>45708.66667</v>
      </c>
      <c r="B1110" s="1">
        <f>IFERROR(__xludf.DUMMYFUNCTION("""COMPUTED_VALUE"""),102.9)</f>
        <v>102.9</v>
      </c>
    </row>
    <row r="1111">
      <c r="A1111" s="2">
        <f>IFERROR(__xludf.DUMMYFUNCTION("""COMPUTED_VALUE"""),45709.66666666667)</f>
        <v>45709.66667</v>
      </c>
      <c r="B1111" s="1">
        <f>IFERROR(__xludf.DUMMYFUNCTION("""COMPUTED_VALUE"""),102.68)</f>
        <v>102.68</v>
      </c>
    </row>
    <row r="1112">
      <c r="A1112" s="2">
        <f>IFERROR(__xludf.DUMMYFUNCTION("""COMPUTED_VALUE"""),45712.66666666667)</f>
        <v>45712.66667</v>
      </c>
      <c r="B1112" s="1">
        <f>IFERROR(__xludf.DUMMYFUNCTION("""COMPUTED_VALUE"""),102.85)</f>
        <v>102.85</v>
      </c>
    </row>
    <row r="1113">
      <c r="A1113" s="2">
        <f>IFERROR(__xludf.DUMMYFUNCTION("""COMPUTED_VALUE"""),45713.66666666667)</f>
        <v>45713.66667</v>
      </c>
      <c r="B1113" s="1">
        <f>IFERROR(__xludf.DUMMYFUNCTION("""COMPUTED_VALUE"""),102.17)</f>
        <v>102.17</v>
      </c>
    </row>
    <row r="1114">
      <c r="A1114" s="2">
        <f>IFERROR(__xludf.DUMMYFUNCTION("""COMPUTED_VALUE"""),45714.66666666667)</f>
        <v>45714.66667</v>
      </c>
      <c r="B1114" s="1">
        <f>IFERROR(__xludf.DUMMYFUNCTION("""COMPUTED_VALUE"""),102.07)</f>
        <v>102.07</v>
      </c>
    </row>
    <row r="1115">
      <c r="A1115" s="2">
        <f>IFERROR(__xludf.DUMMYFUNCTION("""COMPUTED_VALUE"""),45715.66666666667)</f>
        <v>45715.66667</v>
      </c>
      <c r="B1115" s="1">
        <f>IFERROR(__xludf.DUMMYFUNCTION("""COMPUTED_VALUE"""),102.41)</f>
        <v>102.41</v>
      </c>
    </row>
    <row r="1116">
      <c r="A1116" s="2">
        <f>IFERROR(__xludf.DUMMYFUNCTION("""COMPUTED_VALUE"""),45716.66666666667)</f>
        <v>45716.66667</v>
      </c>
      <c r="B1116" s="1">
        <f>IFERROR(__xludf.DUMMYFUNCTION("""COMPUTED_VALUE"""),101.16)</f>
        <v>101.16</v>
      </c>
    </row>
    <row r="1117">
      <c r="A1117" s="2">
        <f>IFERROR(__xludf.DUMMYFUNCTION("""COMPUTED_VALUE"""),45719.66666666667)</f>
        <v>45719.66667</v>
      </c>
      <c r="B1117" s="1">
        <f>IFERROR(__xludf.DUMMYFUNCTION("""COMPUTED_VALUE"""),102.14)</f>
        <v>102.14</v>
      </c>
    </row>
    <row r="1118">
      <c r="A1118" s="2">
        <f>IFERROR(__xludf.DUMMYFUNCTION("""COMPUTED_VALUE"""),45720.66666666667)</f>
        <v>45720.66667</v>
      </c>
      <c r="B1118" s="1">
        <f>IFERROR(__xludf.DUMMYFUNCTION("""COMPUTED_VALUE"""),101.48)</f>
        <v>101.48</v>
      </c>
    </row>
    <row r="1119">
      <c r="A1119" s="2">
        <f>IFERROR(__xludf.DUMMYFUNCTION("""COMPUTED_VALUE"""),45721.66666666667)</f>
        <v>45721.66667</v>
      </c>
      <c r="B1119" s="1">
        <f>IFERROR(__xludf.DUMMYFUNCTION("""COMPUTED_VALUE"""),100.94)</f>
        <v>100.94</v>
      </c>
    </row>
    <row r="1120">
      <c r="A1120" s="2">
        <f>IFERROR(__xludf.DUMMYFUNCTION("""COMPUTED_VALUE"""),45722.66666666667)</f>
        <v>45722.66667</v>
      </c>
      <c r="B1120" s="1">
        <f>IFERROR(__xludf.DUMMYFUNCTION("""COMPUTED_VALUE"""),100.73)</f>
        <v>100.73</v>
      </c>
    </row>
    <row r="1121">
      <c r="A1121" s="2">
        <f>IFERROR(__xludf.DUMMYFUNCTION("""COMPUTED_VALUE"""),45723.66666666667)</f>
        <v>45723.66667</v>
      </c>
      <c r="B1121" s="1">
        <f>IFERROR(__xludf.DUMMYFUNCTION("""COMPUTED_VALUE"""),98.91)</f>
        <v>98.91</v>
      </c>
    </row>
    <row r="1122">
      <c r="A1122" s="2">
        <f>IFERROR(__xludf.DUMMYFUNCTION("""COMPUTED_VALUE"""),45726.66666666667)</f>
        <v>45726.66667</v>
      </c>
      <c r="B1122" s="1">
        <f>IFERROR(__xludf.DUMMYFUNCTION("""COMPUTED_VALUE"""),99.21)</f>
        <v>99.21</v>
      </c>
    </row>
    <row r="1123">
      <c r="A1123" s="2">
        <f>IFERROR(__xludf.DUMMYFUNCTION("""COMPUTED_VALUE"""),45727.66666666667)</f>
        <v>45727.66667</v>
      </c>
      <c r="B1123" s="1">
        <f>IFERROR(__xludf.DUMMYFUNCTION("""COMPUTED_VALUE"""),98.27)</f>
        <v>98.27</v>
      </c>
    </row>
    <row r="1124">
      <c r="A1124" s="2">
        <f>IFERROR(__xludf.DUMMYFUNCTION("""COMPUTED_VALUE"""),45728.66666666667)</f>
        <v>45728.66667</v>
      </c>
      <c r="B1124" s="1">
        <f>IFERROR(__xludf.DUMMYFUNCTION("""COMPUTED_VALUE"""),96.95)</f>
        <v>96.95</v>
      </c>
    </row>
    <row r="1125">
      <c r="A1125" s="2">
        <f>IFERROR(__xludf.DUMMYFUNCTION("""COMPUTED_VALUE"""),45729.66666666667)</f>
        <v>45729.66667</v>
      </c>
      <c r="B1125" s="1">
        <f>IFERROR(__xludf.DUMMYFUNCTION("""COMPUTED_VALUE"""),96.59)</f>
        <v>96.59</v>
      </c>
    </row>
    <row r="1126">
      <c r="A1126" s="2">
        <f>IFERROR(__xludf.DUMMYFUNCTION("""COMPUTED_VALUE"""),45730.66666666667)</f>
        <v>45730.66667</v>
      </c>
      <c r="B1126" s="1">
        <f>IFERROR(__xludf.DUMMYFUNCTION("""COMPUTED_VALUE"""),97.07)</f>
        <v>97.07</v>
      </c>
    </row>
    <row r="1127">
      <c r="A1127" s="2">
        <f>IFERROR(__xludf.DUMMYFUNCTION("""COMPUTED_VALUE"""),45733.66666666667)</f>
        <v>45733.66667</v>
      </c>
      <c r="B1127" s="1">
        <f>IFERROR(__xludf.DUMMYFUNCTION("""COMPUTED_VALUE"""),97.91)</f>
        <v>97.91</v>
      </c>
    </row>
    <row r="1128">
      <c r="A1128" s="2">
        <f>IFERROR(__xludf.DUMMYFUNCTION("""COMPUTED_VALUE"""),45734.66666666667)</f>
        <v>45734.66667</v>
      </c>
      <c r="B1128" s="1">
        <f>IFERROR(__xludf.DUMMYFUNCTION("""COMPUTED_VALUE"""),98.0)</f>
        <v>98</v>
      </c>
    </row>
    <row r="1129">
      <c r="A1129" s="2">
        <f>IFERROR(__xludf.DUMMYFUNCTION("""COMPUTED_VALUE"""),45735.66666666667)</f>
        <v>45735.66667</v>
      </c>
      <c r="B1129" s="1">
        <f>IFERROR(__xludf.DUMMYFUNCTION("""COMPUTED_VALUE"""),97.6)</f>
        <v>97.6</v>
      </c>
    </row>
    <row r="1130">
      <c r="A1130" s="2">
        <f>IFERROR(__xludf.DUMMYFUNCTION("""COMPUTED_VALUE"""),45736.66666666667)</f>
        <v>45736.66667</v>
      </c>
      <c r="B1130" s="1">
        <f>IFERROR(__xludf.DUMMYFUNCTION("""COMPUTED_VALUE"""),98.77)</f>
        <v>98.77</v>
      </c>
    </row>
    <row r="1131">
      <c r="A1131" s="2">
        <f>IFERROR(__xludf.DUMMYFUNCTION("""COMPUTED_VALUE"""),45737.66666666667)</f>
        <v>45737.66667</v>
      </c>
      <c r="B1131" s="1">
        <f>IFERROR(__xludf.DUMMYFUNCTION("""COMPUTED_VALUE"""),98.87)</f>
        <v>98.87</v>
      </c>
    </row>
    <row r="1132">
      <c r="A1132" s="2">
        <f>IFERROR(__xludf.DUMMYFUNCTION("""COMPUTED_VALUE"""),45740.66666666667)</f>
        <v>45740.66667</v>
      </c>
      <c r="B1132" s="1">
        <f>IFERROR(__xludf.DUMMYFUNCTION("""COMPUTED_VALUE"""),99.0)</f>
        <v>99</v>
      </c>
    </row>
    <row r="1133">
      <c r="A1133" s="2">
        <f>IFERROR(__xludf.DUMMYFUNCTION("""COMPUTED_VALUE"""),45741.66666666667)</f>
        <v>45741.66667</v>
      </c>
      <c r="B1133" s="1">
        <f>IFERROR(__xludf.DUMMYFUNCTION("""COMPUTED_VALUE"""),99.05)</f>
        <v>99.05</v>
      </c>
    </row>
    <row r="1134">
      <c r="A1134" s="2">
        <f>IFERROR(__xludf.DUMMYFUNCTION("""COMPUTED_VALUE"""),45742.66666666667)</f>
        <v>45742.66667</v>
      </c>
      <c r="B1134" s="1">
        <f>IFERROR(__xludf.DUMMYFUNCTION("""COMPUTED_VALUE"""),99.74)</f>
        <v>99.74</v>
      </c>
    </row>
    <row r="1135">
      <c r="A1135" s="2">
        <f>IFERROR(__xludf.DUMMYFUNCTION("""COMPUTED_VALUE"""),45743.66666666667)</f>
        <v>45743.66667</v>
      </c>
      <c r="B1135" s="1">
        <f>IFERROR(__xludf.DUMMYFUNCTION("""COMPUTED_VALUE"""),99.43)</f>
        <v>99.43</v>
      </c>
    </row>
    <row r="1136">
      <c r="A1136" s="2">
        <f>IFERROR(__xludf.DUMMYFUNCTION("""COMPUTED_VALUE"""),45744.66666666667)</f>
        <v>45744.66667</v>
      </c>
      <c r="B1136" s="1">
        <f>IFERROR(__xludf.DUMMYFUNCTION("""COMPUTED_VALUE"""),99.55)</f>
        <v>99.55</v>
      </c>
    </row>
    <row r="1137">
      <c r="A1137" s="2">
        <f>IFERROR(__xludf.DUMMYFUNCTION("""COMPUTED_VALUE"""),45747.66666666667)</f>
        <v>45747.66667</v>
      </c>
      <c r="B1137" s="1">
        <f>IFERROR(__xludf.DUMMYFUNCTION("""COMPUTED_VALUE"""),97.86)</f>
        <v>97.86</v>
      </c>
    </row>
    <row r="1138">
      <c r="A1138" s="2">
        <f>IFERROR(__xludf.DUMMYFUNCTION("""COMPUTED_VALUE"""),45748.66666666667)</f>
        <v>45748.66667</v>
      </c>
      <c r="B1138" s="1">
        <f>IFERROR(__xludf.DUMMYFUNCTION("""COMPUTED_VALUE"""),98.09)</f>
        <v>98.09</v>
      </c>
    </row>
    <row r="1139">
      <c r="A1139" s="2">
        <f>IFERROR(__xludf.DUMMYFUNCTION("""COMPUTED_VALUE"""),45749.66666666667)</f>
        <v>45749.66667</v>
      </c>
      <c r="B1139" s="1">
        <f>IFERROR(__xludf.DUMMYFUNCTION("""COMPUTED_VALUE"""),98.16)</f>
        <v>98.16</v>
      </c>
    </row>
    <row r="1140">
      <c r="A1140" s="2">
        <f>IFERROR(__xludf.DUMMYFUNCTION("""COMPUTED_VALUE"""),45750.66666666667)</f>
        <v>45750.66667</v>
      </c>
      <c r="B1140" s="1">
        <f>IFERROR(__xludf.DUMMYFUNCTION("""COMPUTED_VALUE"""),97.25)</f>
        <v>97.25</v>
      </c>
    </row>
    <row r="1141">
      <c r="A1141" s="2">
        <f>IFERROR(__xludf.DUMMYFUNCTION("""COMPUTED_VALUE"""),45751.66666666667)</f>
        <v>45751.66667</v>
      </c>
      <c r="B1141" s="1">
        <f>IFERROR(__xludf.DUMMYFUNCTION("""COMPUTED_VALUE"""),94.88)</f>
        <v>94.88</v>
      </c>
    </row>
    <row r="1142">
      <c r="A1142" s="2">
        <f>IFERROR(__xludf.DUMMYFUNCTION("""COMPUTED_VALUE"""),45754.66666666667)</f>
        <v>45754.66667</v>
      </c>
      <c r="B1142" s="1">
        <f>IFERROR(__xludf.DUMMYFUNCTION("""COMPUTED_VALUE"""),90.9)</f>
        <v>90.9</v>
      </c>
    </row>
    <row r="1143">
      <c r="A1143" s="2">
        <f>IFERROR(__xludf.DUMMYFUNCTION("""COMPUTED_VALUE"""),45755.66666666667)</f>
        <v>45755.66667</v>
      </c>
      <c r="B1143" s="1">
        <f>IFERROR(__xludf.DUMMYFUNCTION("""COMPUTED_VALUE"""),92.98)</f>
        <v>92.98</v>
      </c>
    </row>
    <row r="1144">
      <c r="A1144" s="2">
        <f>IFERROR(__xludf.DUMMYFUNCTION("""COMPUTED_VALUE"""),45756.66666666667)</f>
        <v>45756.66667</v>
      </c>
      <c r="B1144" s="1">
        <f>IFERROR(__xludf.DUMMYFUNCTION("""COMPUTED_VALUE"""),91.21)</f>
        <v>91.21</v>
      </c>
    </row>
    <row r="1145">
      <c r="A1145" s="2">
        <f>IFERROR(__xludf.DUMMYFUNCTION("""COMPUTED_VALUE"""),45757.66666666667)</f>
        <v>45757.66667</v>
      </c>
      <c r="B1145" s="1">
        <f>IFERROR(__xludf.DUMMYFUNCTION("""COMPUTED_VALUE"""),95.4)</f>
        <v>95.4</v>
      </c>
    </row>
    <row r="1146">
      <c r="A1146" s="2">
        <f>IFERROR(__xludf.DUMMYFUNCTION("""COMPUTED_VALUE"""),45758.66666666667)</f>
        <v>45758.66667</v>
      </c>
      <c r="B1146" s="1">
        <f>IFERROR(__xludf.DUMMYFUNCTION("""COMPUTED_VALUE"""),94.68)</f>
        <v>94.68</v>
      </c>
    </row>
    <row r="1147">
      <c r="A1147" s="2">
        <f>IFERROR(__xludf.DUMMYFUNCTION("""COMPUTED_VALUE"""),45761.66666666667)</f>
        <v>45761.66667</v>
      </c>
      <c r="B1147" s="1">
        <f>IFERROR(__xludf.DUMMYFUNCTION("""COMPUTED_VALUE"""),95.93)</f>
        <v>95.93</v>
      </c>
    </row>
    <row r="1148">
      <c r="A1148" s="2">
        <f>IFERROR(__xludf.DUMMYFUNCTION("""COMPUTED_VALUE"""),45762.66666666667)</f>
        <v>45762.66667</v>
      </c>
      <c r="B1148" s="1">
        <f>IFERROR(__xludf.DUMMYFUNCTION("""COMPUTED_VALUE"""),96.06)</f>
        <v>96.06</v>
      </c>
    </row>
    <row r="1149">
      <c r="A1149" s="2">
        <f>IFERROR(__xludf.DUMMYFUNCTION("""COMPUTED_VALUE"""),45763.66666666667)</f>
        <v>45763.66667</v>
      </c>
      <c r="B1149" s="1">
        <f>IFERROR(__xludf.DUMMYFUNCTION("""COMPUTED_VALUE"""),96.01)</f>
        <v>96.01</v>
      </c>
    </row>
    <row r="1150">
      <c r="A1150" s="2">
        <f>IFERROR(__xludf.DUMMYFUNCTION("""COMPUTED_VALUE"""),45764.66666666667)</f>
        <v>45764.66667</v>
      </c>
      <c r="B1150" s="1">
        <f>IFERROR(__xludf.DUMMYFUNCTION("""COMPUTED_VALUE"""),96.77)</f>
        <v>96.77</v>
      </c>
    </row>
    <row r="1151">
      <c r="A1151" s="2">
        <f>IFERROR(__xludf.DUMMYFUNCTION("""COMPUTED_VALUE"""),45769.66666666667)</f>
        <v>45769.66667</v>
      </c>
      <c r="B1151" s="1">
        <f>IFERROR(__xludf.DUMMYFUNCTION("""COMPUTED_VALUE"""),96.73)</f>
        <v>96.73</v>
      </c>
    </row>
    <row r="1152">
      <c r="A1152" s="2">
        <f>IFERROR(__xludf.DUMMYFUNCTION("""COMPUTED_VALUE"""),45770.66666666667)</f>
        <v>45770.66667</v>
      </c>
      <c r="B1152" s="1">
        <f>IFERROR(__xludf.DUMMYFUNCTION("""COMPUTED_VALUE"""),98.03)</f>
        <v>98.03</v>
      </c>
    </row>
    <row r="1153">
      <c r="A1153" s="2">
        <f>IFERROR(__xludf.DUMMYFUNCTION("""COMPUTED_VALUE"""),45771.66666666667)</f>
        <v>45771.66667</v>
      </c>
      <c r="B1153" s="1">
        <f>IFERROR(__xludf.DUMMYFUNCTION("""COMPUTED_VALUE"""),98.63)</f>
        <v>98.63</v>
      </c>
    </row>
    <row r="1154">
      <c r="A1154" s="2">
        <f>IFERROR(__xludf.DUMMYFUNCTION("""COMPUTED_VALUE"""),45775.66666666667)</f>
        <v>45775.66667</v>
      </c>
      <c r="B1154" s="1">
        <f>IFERROR(__xludf.DUMMYFUNCTION("""COMPUTED_VALUE"""),98.99)</f>
        <v>98.99</v>
      </c>
    </row>
    <row r="1155">
      <c r="A1155" s="2">
        <f>IFERROR(__xludf.DUMMYFUNCTION("""COMPUTED_VALUE"""),45776.66666666667)</f>
        <v>45776.66667</v>
      </c>
      <c r="B1155" s="1">
        <f>IFERROR(__xludf.DUMMYFUNCTION("""COMPUTED_VALUE"""),99.89)</f>
        <v>99.89</v>
      </c>
    </row>
    <row r="1156">
      <c r="A1156" s="2">
        <f>IFERROR(__xludf.DUMMYFUNCTION("""COMPUTED_VALUE"""),45777.66666666667)</f>
        <v>45777.66667</v>
      </c>
      <c r="B1156" s="1">
        <f>IFERROR(__xludf.DUMMYFUNCTION("""COMPUTED_VALUE"""),100.5)</f>
        <v>100.5</v>
      </c>
    </row>
    <row r="1157">
      <c r="A1157" s="2">
        <f>IFERROR(__xludf.DUMMYFUNCTION("""COMPUTED_VALUE"""),45778.66666666667)</f>
        <v>45778.66667</v>
      </c>
      <c r="B1157" s="1">
        <f>IFERROR(__xludf.DUMMYFUNCTION("""COMPUTED_VALUE"""),100.84)</f>
        <v>100.84</v>
      </c>
    </row>
    <row r="1158">
      <c r="A1158" s="2">
        <f>IFERROR(__xludf.DUMMYFUNCTION("""COMPUTED_VALUE"""),45779.66666666667)</f>
        <v>45779.66667</v>
      </c>
      <c r="B1158" s="1">
        <f>IFERROR(__xludf.DUMMYFUNCTION("""COMPUTED_VALUE"""),101.97)</f>
        <v>101.97</v>
      </c>
    </row>
    <row r="1159">
      <c r="A1159" s="2">
        <f>IFERROR(__xludf.DUMMYFUNCTION("""COMPUTED_VALUE"""),45782.66666666667)</f>
        <v>45782.66667</v>
      </c>
      <c r="B1159" s="1">
        <f>IFERROR(__xludf.DUMMYFUNCTION("""COMPUTED_VALUE"""),100.96)</f>
        <v>100.96</v>
      </c>
    </row>
    <row r="1160">
      <c r="A1160" s="2">
        <f>IFERROR(__xludf.DUMMYFUNCTION("""COMPUTED_VALUE"""),45783.66666666667)</f>
        <v>45783.66667</v>
      </c>
      <c r="B1160" s="1">
        <f>IFERROR(__xludf.DUMMYFUNCTION("""COMPUTED_VALUE"""),100.94)</f>
        <v>100.94</v>
      </c>
    </row>
    <row r="1161">
      <c r="A1161" s="2">
        <f>IFERROR(__xludf.DUMMYFUNCTION("""COMPUTED_VALUE"""),45784.66666666667)</f>
        <v>45784.66667</v>
      </c>
      <c r="B1161" s="1">
        <f>IFERROR(__xludf.DUMMYFUNCTION("""COMPUTED_VALUE"""),101.32)</f>
        <v>101.32</v>
      </c>
    </row>
    <row r="1162">
      <c r="A1162" s="2">
        <f>IFERROR(__xludf.DUMMYFUNCTION("""COMPUTED_VALUE"""),45785.66666666667)</f>
        <v>45785.66667</v>
      </c>
      <c r="B1162" s="1">
        <f>IFERROR(__xludf.DUMMYFUNCTION("""COMPUTED_VALUE"""),101.61)</f>
        <v>101.61</v>
      </c>
    </row>
    <row r="1163">
      <c r="A1163" s="2">
        <f>IFERROR(__xludf.DUMMYFUNCTION("""COMPUTED_VALUE"""),45786.66666666667)</f>
        <v>45786.66667</v>
      </c>
      <c r="B1163" s="1">
        <f>IFERROR(__xludf.DUMMYFUNCTION("""COMPUTED_VALUE"""),102.04)</f>
        <v>102.04</v>
      </c>
    </row>
    <row r="1164">
      <c r="A1164" s="2">
        <f>IFERROR(__xludf.DUMMYFUNCTION("""COMPUTED_VALUE"""),45789.66666666667)</f>
        <v>45789.66667</v>
      </c>
      <c r="B1164" s="1">
        <f>IFERROR(__xludf.DUMMYFUNCTION("""COMPUTED_VALUE"""),102.21)</f>
        <v>102.21</v>
      </c>
    </row>
    <row r="1165">
      <c r="A1165" s="2">
        <f>IFERROR(__xludf.DUMMYFUNCTION("""COMPUTED_VALUE"""),45790.66666666667)</f>
        <v>45790.66667</v>
      </c>
      <c r="B1165" s="1">
        <f>IFERROR(__xludf.DUMMYFUNCTION("""COMPUTED_VALUE"""),102.76)</f>
        <v>102.76</v>
      </c>
    </row>
    <row r="1166">
      <c r="A1166" s="2">
        <f>IFERROR(__xludf.DUMMYFUNCTION("""COMPUTED_VALUE"""),45791.66666666667)</f>
        <v>45791.66667</v>
      </c>
      <c r="B1166" s="1">
        <f>IFERROR(__xludf.DUMMYFUNCTION("""COMPUTED_VALUE"""),102.84)</f>
        <v>102.84</v>
      </c>
    </row>
    <row r="1167">
      <c r="A1167" s="2">
        <f>IFERROR(__xludf.DUMMYFUNCTION("""COMPUTED_VALUE"""),45792.66666666667)</f>
        <v>45792.66667</v>
      </c>
      <c r="B1167" s="1">
        <f>IFERROR(__xludf.DUMMYFUNCTION("""COMPUTED_VALUE"""),103.02)</f>
        <v>103.02</v>
      </c>
    </row>
    <row r="1168">
      <c r="A1168" s="2">
        <f>IFERROR(__xludf.DUMMYFUNCTION("""COMPUTED_VALUE"""),45793.66666666667)</f>
        <v>45793.66667</v>
      </c>
      <c r="B1168" s="1">
        <f>IFERROR(__xludf.DUMMYFUNCTION("""COMPUTED_VALUE"""),103.59)</f>
        <v>103.59</v>
      </c>
    </row>
    <row r="1169">
      <c r="A1169" s="2">
        <f>IFERROR(__xludf.DUMMYFUNCTION("""COMPUTED_VALUE"""),45796.66666666667)</f>
        <v>45796.66667</v>
      </c>
      <c r="B1169" s="1">
        <f>IFERROR(__xludf.DUMMYFUNCTION("""COMPUTED_VALUE"""),103.06)</f>
        <v>103.06</v>
      </c>
    </row>
    <row r="1170">
      <c r="A1170" s="2">
        <f>IFERROR(__xludf.DUMMYFUNCTION("""COMPUTED_VALUE"""),45797.66666666667)</f>
        <v>45797.66667</v>
      </c>
      <c r="B1170" s="1">
        <f>IFERROR(__xludf.DUMMYFUNCTION("""COMPUTED_VALUE"""),103.66)</f>
        <v>103.66</v>
      </c>
    </row>
    <row r="1171">
      <c r="A1171" s="2">
        <f>IFERROR(__xludf.DUMMYFUNCTION("""COMPUTED_VALUE"""),45798.66666666667)</f>
        <v>45798.66667</v>
      </c>
      <c r="B1171" s="1">
        <f>IFERROR(__xludf.DUMMYFUNCTION("""COMPUTED_VALUE"""),104.16)</f>
        <v>104.16</v>
      </c>
    </row>
    <row r="1172">
      <c r="A1172" s="2">
        <f>IFERROR(__xludf.DUMMYFUNCTION("""COMPUTED_VALUE"""),45799.66666666667)</f>
        <v>45799.66667</v>
      </c>
      <c r="B1172" s="1">
        <f>IFERROR(__xludf.DUMMYFUNCTION("""COMPUTED_VALUE"""),103.68)</f>
        <v>103.68</v>
      </c>
    </row>
    <row r="1173">
      <c r="A1173" s="2">
        <f>IFERROR(__xludf.DUMMYFUNCTION("""COMPUTED_VALUE"""),45800.66666666667)</f>
        <v>45800.66667</v>
      </c>
      <c r="B1173" s="1">
        <f>IFERROR(__xludf.DUMMYFUNCTION("""COMPUTED_VALUE"""),103.86)</f>
        <v>103.86</v>
      </c>
    </row>
    <row r="1174">
      <c r="A1174" s="2">
        <f>IFERROR(__xludf.DUMMYFUNCTION("""COMPUTED_VALUE"""),45803.66666666667)</f>
        <v>45803.66667</v>
      </c>
      <c r="B1174" s="1">
        <f>IFERROR(__xludf.DUMMYFUNCTION("""COMPUTED_VALUE"""),103.93)</f>
        <v>103.93</v>
      </c>
    </row>
    <row r="1175">
      <c r="A1175" s="2">
        <f>IFERROR(__xludf.DUMMYFUNCTION("""COMPUTED_VALUE"""),45804.66666666667)</f>
        <v>45804.66667</v>
      </c>
      <c r="B1175" s="1">
        <f>IFERROR(__xludf.DUMMYFUNCTION("""COMPUTED_VALUE"""),104.48)</f>
        <v>104.48</v>
      </c>
    </row>
    <row r="1176">
      <c r="A1176" s="2">
        <f>IFERROR(__xludf.DUMMYFUNCTION("""COMPUTED_VALUE"""),45805.66666666667)</f>
        <v>45805.66667</v>
      </c>
      <c r="B1176" s="1">
        <f>IFERROR(__xludf.DUMMYFUNCTION("""COMPUTED_VALUE"""),104.31)</f>
        <v>104.31</v>
      </c>
    </row>
    <row r="1177">
      <c r="A1177" s="2">
        <f>IFERROR(__xludf.DUMMYFUNCTION("""COMPUTED_VALUE"""),45806.66666666667)</f>
        <v>45806.66667</v>
      </c>
      <c r="B1177" s="1">
        <f>IFERROR(__xludf.DUMMYFUNCTION("""COMPUTED_VALUE"""),104.53)</f>
        <v>104.53</v>
      </c>
    </row>
    <row r="1178">
      <c r="A1178" s="2">
        <f>IFERROR(__xludf.DUMMYFUNCTION("""COMPUTED_VALUE"""),45807.66666666667)</f>
        <v>45807.66667</v>
      </c>
      <c r="B1178" s="1">
        <f>IFERROR(__xludf.DUMMYFUNCTION("""COMPUTED_VALUE"""),104.77)</f>
        <v>104.77</v>
      </c>
    </row>
    <row r="1179">
      <c r="A1179" s="2">
        <f>IFERROR(__xludf.DUMMYFUNCTION("""COMPUTED_VALUE"""),45810.66666666667)</f>
        <v>45810.66667</v>
      </c>
      <c r="B1179" s="1">
        <f>IFERROR(__xludf.DUMMYFUNCTION("""COMPUTED_VALUE"""),104.58)</f>
        <v>104.58</v>
      </c>
    </row>
    <row r="1180">
      <c r="A1180" s="2">
        <f>IFERROR(__xludf.DUMMYFUNCTION("""COMPUTED_VALUE"""),45811.66666666667)</f>
        <v>45811.66667</v>
      </c>
      <c r="B1180" s="1">
        <f>IFERROR(__xludf.DUMMYFUNCTION("""COMPUTED_VALUE"""),105.2)</f>
        <v>105.2</v>
      </c>
    </row>
    <row r="1181">
      <c r="A1181" s="2">
        <f>IFERROR(__xludf.DUMMYFUNCTION("""COMPUTED_VALUE"""),45812.66666666667)</f>
        <v>45812.66667</v>
      </c>
      <c r="B1181" s="1">
        <f>IFERROR(__xludf.DUMMYFUNCTION("""COMPUTED_VALUE"""),106.13)</f>
        <v>106.13</v>
      </c>
    </row>
    <row r="1182">
      <c r="A1182" s="2">
        <f>IFERROR(__xludf.DUMMYFUNCTION("""COMPUTED_VALUE"""),45813.66666666667)</f>
        <v>45813.66667</v>
      </c>
      <c r="B1182" s="1">
        <f>IFERROR(__xludf.DUMMYFUNCTION("""COMPUTED_VALUE"""),106.15)</f>
        <v>106.15</v>
      </c>
    </row>
    <row r="1183">
      <c r="A1183" s="2">
        <f>IFERROR(__xludf.DUMMYFUNCTION("""COMPUTED_VALUE"""),45814.66666666667)</f>
        <v>45814.66667</v>
      </c>
      <c r="B1183" s="1">
        <f>IFERROR(__xludf.DUMMYFUNCTION("""COMPUTED_VALUE"""),105.83)</f>
        <v>105.83</v>
      </c>
    </row>
    <row r="1184">
      <c r="A1184" s="2">
        <f>IFERROR(__xludf.DUMMYFUNCTION("""COMPUTED_VALUE"""),45818.66666666667)</f>
        <v>45818.66667</v>
      </c>
      <c r="B1184" s="1">
        <f>IFERROR(__xludf.DUMMYFUNCTION("""COMPUTED_VALUE"""),106.69)</f>
        <v>106.69</v>
      </c>
    </row>
    <row r="1185">
      <c r="A1185" s="2">
        <f>IFERROR(__xludf.DUMMYFUNCTION("""COMPUTED_VALUE"""),45819.66666666667)</f>
        <v>45819.66667</v>
      </c>
      <c r="B1185" s="1">
        <f>IFERROR(__xludf.DUMMYFUNCTION("""COMPUTED_VALUE"""),106.76)</f>
        <v>106.76</v>
      </c>
    </row>
    <row r="1186">
      <c r="A1186" s="2">
        <f>IFERROR(__xludf.DUMMYFUNCTION("""COMPUTED_VALUE"""),45820.66666666667)</f>
        <v>45820.66667</v>
      </c>
      <c r="B1186" s="1">
        <f>IFERROR(__xludf.DUMMYFUNCTION("""COMPUTED_VALUE"""),106.44)</f>
        <v>106.44</v>
      </c>
    </row>
    <row r="1187">
      <c r="A1187" s="2">
        <f>IFERROR(__xludf.DUMMYFUNCTION("""COMPUTED_VALUE"""),45821.66666666667)</f>
        <v>45821.66667</v>
      </c>
      <c r="B1187" s="1">
        <f>IFERROR(__xludf.DUMMYFUNCTION("""COMPUTED_VALUE"""),106.2)</f>
        <v>106.2</v>
      </c>
    </row>
    <row r="1188">
      <c r="A1188" s="2">
        <f>IFERROR(__xludf.DUMMYFUNCTION("""COMPUTED_VALUE"""),45824.66666666667)</f>
        <v>45824.66667</v>
      </c>
      <c r="B1188" s="1">
        <f>IFERROR(__xludf.DUMMYFUNCTION("""COMPUTED_VALUE"""),106.2)</f>
        <v>106.2</v>
      </c>
    </row>
    <row r="1189">
      <c r="A1189" s="2">
        <f>IFERROR(__xludf.DUMMYFUNCTION("""COMPUTED_VALUE"""),45825.66666666667)</f>
        <v>45825.66667</v>
      </c>
      <c r="B1189" s="1">
        <f>IFERROR(__xludf.DUMMYFUNCTION("""COMPUTED_VALUE"""),106.11)</f>
        <v>106.11</v>
      </c>
    </row>
    <row r="1190">
      <c r="A1190" s="2">
        <f>IFERROR(__xludf.DUMMYFUNCTION("""COMPUTED_VALUE"""),45826.66666666667)</f>
        <v>45826.66667</v>
      </c>
      <c r="B1190" s="1">
        <f>IFERROR(__xludf.DUMMYFUNCTION("""COMPUTED_VALUE"""),105.99)</f>
        <v>105.99</v>
      </c>
    </row>
    <row r="1191">
      <c r="A1191" s="2">
        <f>IFERROR(__xludf.DUMMYFUNCTION("""COMPUTED_VALUE"""),45827.66666666667)</f>
        <v>45827.66667</v>
      </c>
      <c r="B1191" s="1">
        <f>IFERROR(__xludf.DUMMYFUNCTION("""COMPUTED_VALUE"""),105.93)</f>
        <v>105.93</v>
      </c>
    </row>
    <row r="1192">
      <c r="A1192" s="2">
        <f>IFERROR(__xludf.DUMMYFUNCTION("""COMPUTED_VALUE"""),45828.66666666667)</f>
        <v>45828.66667</v>
      </c>
      <c r="B1192" s="1">
        <f>IFERROR(__xludf.DUMMYFUNCTION("""COMPUTED_VALUE"""),105.69)</f>
        <v>105.69</v>
      </c>
    </row>
    <row r="1193">
      <c r="A1193" s="2">
        <f>IFERROR(__xludf.DUMMYFUNCTION("""COMPUTED_VALUE"""),45831.66666666667)</f>
        <v>45831.66667</v>
      </c>
      <c r="B1193" s="1">
        <f>IFERROR(__xludf.DUMMYFUNCTION("""COMPUTED_VALUE"""),105.3)</f>
        <v>105.3</v>
      </c>
    </row>
    <row r="1194">
      <c r="A1194" s="2">
        <f>IFERROR(__xludf.DUMMYFUNCTION("""COMPUTED_VALUE"""),45832.66666666667)</f>
        <v>45832.66667</v>
      </c>
      <c r="B1194" s="1">
        <f>IFERROR(__xludf.DUMMYFUNCTION("""COMPUTED_VALUE"""),106.32)</f>
        <v>106.32</v>
      </c>
    </row>
    <row r="1195">
      <c r="A1195" s="2">
        <f>IFERROR(__xludf.DUMMYFUNCTION("""COMPUTED_VALUE"""),45833.66666666667)</f>
        <v>45833.66667</v>
      </c>
      <c r="B1195" s="1">
        <f>IFERROR(__xludf.DUMMYFUNCTION("""COMPUTED_VALUE"""),106.3)</f>
        <v>106.3</v>
      </c>
    </row>
    <row r="1196">
      <c r="A1196" s="2">
        <f>IFERROR(__xludf.DUMMYFUNCTION("""COMPUTED_VALUE"""),45834.66666666667)</f>
        <v>45834.66667</v>
      </c>
      <c r="B1196" s="1">
        <f>IFERROR(__xludf.DUMMYFUNCTION("""COMPUTED_VALUE"""),106.26)</f>
        <v>106.26</v>
      </c>
    </row>
    <row r="1197">
      <c r="A1197" s="2">
        <f>IFERROR(__xludf.DUMMYFUNCTION("""COMPUTED_VALUE"""),45835.66666666667)</f>
        <v>45835.66667</v>
      </c>
      <c r="B1197" s="1">
        <f>IFERROR(__xludf.DUMMYFUNCTION("""COMPUTED_VALUE"""),106.01)</f>
        <v>106.01</v>
      </c>
    </row>
    <row r="1198">
      <c r="A1198" s="2">
        <f>IFERROR(__xludf.DUMMYFUNCTION("""COMPUTED_VALUE"""),45838.66666666667)</f>
        <v>45838.66667</v>
      </c>
      <c r="B1198" s="1">
        <f>IFERROR(__xludf.DUMMYFUNCTION("""COMPUTED_VALUE"""),106.36)</f>
        <v>106.36</v>
      </c>
    </row>
    <row r="1199">
      <c r="A1199" s="2">
        <f>IFERROR(__xludf.DUMMYFUNCTION("""COMPUTED_VALUE"""),45839.66666666667)</f>
        <v>45839.66667</v>
      </c>
      <c r="B1199" s="1">
        <f>IFERROR(__xludf.DUMMYFUNCTION("""COMPUTED_VALUE"""),105.68)</f>
        <v>105.68</v>
      </c>
    </row>
    <row r="1200">
      <c r="A1200" s="2">
        <f>IFERROR(__xludf.DUMMYFUNCTION("""COMPUTED_VALUE"""),45840.66666666667)</f>
        <v>45840.66667</v>
      </c>
      <c r="B1200" s="1">
        <f>IFERROR(__xludf.DUMMYFUNCTION("""COMPUTED_VALUE"""),106.36)</f>
        <v>106.36</v>
      </c>
    </row>
    <row r="1201">
      <c r="A1201" s="2">
        <f>IFERROR(__xludf.DUMMYFUNCTION("""COMPUTED_VALUE"""),45841.66666666667)</f>
        <v>45841.66667</v>
      </c>
      <c r="B1201" s="1">
        <f>IFERROR(__xludf.DUMMYFUNCTION("""COMPUTED_VALUE"""),106.32)</f>
        <v>106.32</v>
      </c>
    </row>
    <row r="1202">
      <c r="A1202" s="2">
        <f>IFERROR(__xludf.DUMMYFUNCTION("""COMPUTED_VALUE"""),45842.66666666667)</f>
        <v>45842.66667</v>
      </c>
      <c r="B1202" s="1">
        <f>IFERROR(__xludf.DUMMYFUNCTION("""COMPUTED_VALUE"""),106.39)</f>
        <v>106.39</v>
      </c>
    </row>
    <row r="1203">
      <c r="A1203" s="2">
        <f>IFERROR(__xludf.DUMMYFUNCTION("""COMPUTED_VALUE"""),45845.66666666667)</f>
        <v>45845.66667</v>
      </c>
      <c r="B1203" s="1">
        <f>IFERROR(__xludf.DUMMYFUNCTION("""COMPUTED_VALUE"""),106.2)</f>
        <v>106.2</v>
      </c>
    </row>
    <row r="1204">
      <c r="A1204" s="2">
        <f>IFERROR(__xludf.DUMMYFUNCTION("""COMPUTED_VALUE"""),45846.66666666667)</f>
        <v>45846.66667</v>
      </c>
      <c r="B1204" s="1">
        <f>IFERROR(__xludf.DUMMYFUNCTION("""COMPUTED_VALUE"""),106.17)</f>
        <v>106.17</v>
      </c>
    </row>
    <row r="1205">
      <c r="A1205" s="2">
        <f>IFERROR(__xludf.DUMMYFUNCTION("""COMPUTED_VALUE"""),45847.66666666667)</f>
        <v>45847.66667</v>
      </c>
      <c r="B1205" s="1">
        <f>IFERROR(__xludf.DUMMYFUNCTION("""COMPUTED_VALUE"""),105.63)</f>
        <v>105.63</v>
      </c>
    </row>
    <row r="1206">
      <c r="A1206" s="2">
        <f>IFERROR(__xludf.DUMMYFUNCTION("""COMPUTED_VALUE"""),45848.66666666667)</f>
        <v>45848.66667</v>
      </c>
      <c r="B1206" s="1">
        <f>IFERROR(__xludf.DUMMYFUNCTION("""COMPUTED_VALUE"""),106.24)</f>
        <v>106.24</v>
      </c>
    </row>
    <row r="1207">
      <c r="A1207" s="2">
        <f>IFERROR(__xludf.DUMMYFUNCTION("""COMPUTED_VALUE"""),45849.66666666667)</f>
        <v>45849.66667</v>
      </c>
      <c r="B1207" s="1">
        <f>IFERROR(__xludf.DUMMYFUNCTION("""COMPUTED_VALUE"""),106.13)</f>
        <v>106.13</v>
      </c>
    </row>
    <row r="1208">
      <c r="A1208" s="2">
        <f>IFERROR(__xludf.DUMMYFUNCTION("""COMPUTED_VALUE"""),45852.66666666667)</f>
        <v>45852.66667</v>
      </c>
      <c r="B1208" s="1">
        <f>IFERROR(__xludf.DUMMYFUNCTION("""COMPUTED_VALUE"""),106.01)</f>
        <v>106.01</v>
      </c>
    </row>
    <row r="1209">
      <c r="A1209" s="2">
        <f>IFERROR(__xludf.DUMMYFUNCTION("""COMPUTED_VALUE"""),45853.66666666667)</f>
        <v>45853.66667</v>
      </c>
      <c r="B1209" s="1">
        <f>IFERROR(__xludf.DUMMYFUNCTION("""COMPUTED_VALUE"""),106.8)</f>
        <v>106.8</v>
      </c>
    </row>
    <row r="1210">
      <c r="A1210" s="2">
        <f>IFERROR(__xludf.DUMMYFUNCTION("""COMPUTED_VALUE"""),45854.66666666667)</f>
        <v>45854.66667</v>
      </c>
      <c r="B1210" s="1">
        <f>IFERROR(__xludf.DUMMYFUNCTION("""COMPUTED_VALUE"""),105.93)</f>
        <v>105.93</v>
      </c>
    </row>
    <row r="1211">
      <c r="A1211" s="2">
        <f>IFERROR(__xludf.DUMMYFUNCTION("""COMPUTED_VALUE"""),45855.66666666667)</f>
        <v>45855.66667</v>
      </c>
      <c r="B1211" s="1">
        <f>IFERROR(__xludf.DUMMYFUNCTION("""COMPUTED_VALUE"""),106.94)</f>
        <v>106.94</v>
      </c>
    </row>
    <row r="1212">
      <c r="A1212" s="2">
        <f>IFERROR(__xludf.DUMMYFUNCTION("""COMPUTED_VALUE"""),45856.66666666667)</f>
        <v>45856.66667</v>
      </c>
      <c r="B1212" s="1">
        <f>IFERROR(__xludf.DUMMYFUNCTION("""COMPUTED_VALUE"""),108.37)</f>
        <v>108.37</v>
      </c>
    </row>
    <row r="1213">
      <c r="A1213" s="2">
        <f>IFERROR(__xludf.DUMMYFUNCTION("""COMPUTED_VALUE"""),45859.66666666667)</f>
        <v>45859.66667</v>
      </c>
      <c r="B1213" s="1">
        <f>IFERROR(__xludf.DUMMYFUNCTION("""COMPUTED_VALUE"""),107.28)</f>
        <v>107.28</v>
      </c>
    </row>
    <row r="1214">
      <c r="A1214" s="2">
        <f>IFERROR(__xludf.DUMMYFUNCTION("""COMPUTED_VALUE"""),45860.66666666667)</f>
        <v>45860.66667</v>
      </c>
      <c r="B1214" s="1">
        <f>IFERROR(__xludf.DUMMYFUNCTION("""COMPUTED_VALUE"""),107.45)</f>
        <v>107.45</v>
      </c>
    </row>
    <row r="1215">
      <c r="A1215" s="2">
        <f>IFERROR(__xludf.DUMMYFUNCTION("""COMPUTED_VALUE"""),45861.66666666667)</f>
        <v>45861.66667</v>
      </c>
      <c r="B1215" s="1">
        <f>IFERROR(__xludf.DUMMYFUNCTION("""COMPUTED_VALUE"""),108.15)</f>
        <v>108.15</v>
      </c>
    </row>
    <row r="1216">
      <c r="A1216" s="2">
        <f>IFERROR(__xludf.DUMMYFUNCTION("""COMPUTED_VALUE"""),45862.66666666667)</f>
        <v>45862.66667</v>
      </c>
      <c r="B1216" s="1">
        <f>IFERROR(__xludf.DUMMYFUNCTION("""COMPUTED_VALUE"""),107.82)</f>
        <v>107.82</v>
      </c>
    </row>
    <row r="1217">
      <c r="A1217" s="2">
        <f>IFERROR(__xludf.DUMMYFUNCTION("""COMPUTED_VALUE"""),45863.66666666667)</f>
        <v>45863.66667</v>
      </c>
      <c r="B1217" s="1">
        <f>IFERROR(__xludf.DUMMYFUNCTION("""COMPUTED_VALUE"""),107.32)</f>
        <v>107.32</v>
      </c>
    </row>
    <row r="1218">
      <c r="A1218" s="2">
        <f>IFERROR(__xludf.DUMMYFUNCTION("""COMPUTED_VALUE"""),45866.66666666667)</f>
        <v>45866.66667</v>
      </c>
      <c r="B1218" s="1">
        <f>IFERROR(__xludf.DUMMYFUNCTION("""COMPUTED_VALUE"""),107.73)</f>
        <v>107.73</v>
      </c>
    </row>
    <row r="1219">
      <c r="A1219" s="2">
        <f>IFERROR(__xludf.DUMMYFUNCTION("""COMPUTED_VALUE"""),45867.66666666667)</f>
        <v>45867.66667</v>
      </c>
      <c r="B1219" s="1">
        <f>IFERROR(__xludf.DUMMYFUNCTION("""COMPUTED_VALUE"""),107.73)</f>
        <v>107.73</v>
      </c>
    </row>
    <row r="1220">
      <c r="A1220" s="2">
        <f>IFERROR(__xludf.DUMMYFUNCTION("""COMPUTED_VALUE"""),45868.66666666667)</f>
        <v>45868.66667</v>
      </c>
      <c r="B1220" s="1">
        <f>IFERROR(__xludf.DUMMYFUNCTION("""COMPUTED_VALUE"""),108.41)</f>
        <v>108.41</v>
      </c>
    </row>
    <row r="1221">
      <c r="A1221" s="2">
        <f>IFERROR(__xludf.DUMMYFUNCTION("""COMPUTED_VALUE"""),45869.66666666667)</f>
        <v>45869.66667</v>
      </c>
      <c r="B1221" s="1">
        <f>IFERROR(__xludf.DUMMYFUNCTION("""COMPUTED_VALUE"""),108.19)</f>
        <v>108.19</v>
      </c>
    </row>
    <row r="1222">
      <c r="A1222" s="2">
        <f>IFERROR(__xludf.DUMMYFUNCTION("""COMPUTED_VALUE"""),45870.66666666667)</f>
        <v>45870.66667</v>
      </c>
      <c r="B1222" s="1">
        <f>IFERROR(__xludf.DUMMYFUNCTION("""COMPUTED_VALUE"""),107.25)</f>
        <v>107.25</v>
      </c>
    </row>
    <row r="1223">
      <c r="A1223" s="2">
        <f>IFERROR(__xludf.DUMMYFUNCTION("""COMPUTED_VALUE"""),45873.66666666667)</f>
        <v>45873.66667</v>
      </c>
      <c r="B1223" s="1">
        <f>IFERROR(__xludf.DUMMYFUNCTION("""COMPUTED_VALUE"""),107.28)</f>
        <v>107.28</v>
      </c>
    </row>
    <row r="1224">
      <c r="A1224" s="2">
        <f>IFERROR(__xludf.DUMMYFUNCTION("""COMPUTED_VALUE"""),45874.66666666667)</f>
        <v>45874.66667</v>
      </c>
      <c r="B1224" s="1">
        <f>IFERROR(__xludf.DUMMYFUNCTION("""COMPUTED_VALUE"""),108.61)</f>
        <v>108.61</v>
      </c>
    </row>
    <row r="1225">
      <c r="A1225" s="2">
        <f>IFERROR(__xludf.DUMMYFUNCTION("""COMPUTED_VALUE"""),45875.66666666667)</f>
        <v>45875.66667</v>
      </c>
      <c r="B1225" s="1">
        <f>IFERROR(__xludf.DUMMYFUNCTION("""COMPUTED_VALUE"""),109.48)</f>
        <v>109.48</v>
      </c>
    </row>
    <row r="1226">
      <c r="A1226" s="2">
        <f>IFERROR(__xludf.DUMMYFUNCTION("""COMPUTED_VALUE"""),45876.66666666667)</f>
        <v>45876.66667</v>
      </c>
      <c r="B1226" s="1">
        <f>IFERROR(__xludf.DUMMYFUNCTION("""COMPUTED_VALUE"""),109.35)</f>
        <v>109.35</v>
      </c>
    </row>
    <row r="1227">
      <c r="A1227" s="2">
        <f>IFERROR(__xludf.DUMMYFUNCTION("""COMPUTED_VALUE"""),45877.66666666667)</f>
        <v>45877.66667</v>
      </c>
      <c r="B1227" s="1">
        <f>IFERROR(__xludf.DUMMYFUNCTION("""COMPUTED_VALUE"""),109.07)</f>
        <v>109.07</v>
      </c>
    </row>
    <row r="1228">
      <c r="A1228" s="2">
        <f>IFERROR(__xludf.DUMMYFUNCTION("""COMPUTED_VALUE"""),45880.66666666667)</f>
        <v>45880.66667</v>
      </c>
      <c r="B1228" s="1">
        <f>IFERROR(__xludf.DUMMYFUNCTION("""COMPUTED_VALUE"""),109.52)</f>
        <v>109.52</v>
      </c>
    </row>
    <row r="1229">
      <c r="A1229" s="2">
        <f>IFERROR(__xludf.DUMMYFUNCTION("""COMPUTED_VALUE"""),45881.66666666667)</f>
        <v>45881.66667</v>
      </c>
      <c r="B1229" s="1">
        <f>IFERROR(__xludf.DUMMYFUNCTION("""COMPUTED_VALUE"""),110.02)</f>
        <v>110.02</v>
      </c>
    </row>
    <row r="1230">
      <c r="A1230" s="2">
        <f>IFERROR(__xludf.DUMMYFUNCTION("""COMPUTED_VALUE"""),45882.66666666667)</f>
        <v>45882.66667</v>
      </c>
      <c r="B1230" s="1">
        <f>IFERROR(__xludf.DUMMYFUNCTION("""COMPUTED_VALUE"""),109.39)</f>
        <v>109.39</v>
      </c>
    </row>
    <row r="1231">
      <c r="A1231" s="2">
        <f>IFERROR(__xludf.DUMMYFUNCTION("""COMPUTED_VALUE"""),45883.66666666667)</f>
        <v>45883.66667</v>
      </c>
      <c r="B1231" s="1">
        <f>IFERROR(__xludf.DUMMYFUNCTION("""COMPUTED_VALUE"""),110.01)</f>
        <v>110.01</v>
      </c>
    </row>
    <row r="1232">
      <c r="A1232" s="2">
        <f>IFERROR(__xludf.DUMMYFUNCTION("""COMPUTED_VALUE"""),45884.66666666667)</f>
        <v>45884.66667</v>
      </c>
      <c r="B1232" s="1">
        <f>IFERROR(__xludf.DUMMYFUNCTION("""COMPUTED_VALUE"""),110.79)</f>
        <v>110.79</v>
      </c>
    </row>
    <row r="1233">
      <c r="A1233" s="2">
        <f>IFERROR(__xludf.DUMMYFUNCTION("""COMPUTED_VALUE"""),45887.66666666667)</f>
        <v>45887.66667</v>
      </c>
      <c r="B1233" s="1">
        <f>IFERROR(__xludf.DUMMYFUNCTION("""COMPUTED_VALUE"""),110.99)</f>
        <v>110.99</v>
      </c>
    </row>
    <row r="1234">
      <c r="A1234" s="2">
        <f>IFERROR(__xludf.DUMMYFUNCTION("""COMPUTED_VALUE"""),45888.66666666667)</f>
        <v>45888.66667</v>
      </c>
      <c r="B1234" s="1">
        <f>IFERROR(__xludf.DUMMYFUNCTION("""COMPUTED_VALUE"""),110.38)</f>
        <v>110.38</v>
      </c>
    </row>
    <row r="1235">
      <c r="A1235" s="2">
        <f>IFERROR(__xludf.DUMMYFUNCTION("""COMPUTED_VALUE"""),45889.66666666667)</f>
        <v>45889.66667</v>
      </c>
      <c r="B1235" s="1">
        <f>IFERROR(__xludf.DUMMYFUNCTION("""COMPUTED_VALUE"""),110.72)</f>
        <v>110.72</v>
      </c>
    </row>
    <row r="1236">
      <c r="A1236" s="2">
        <f>IFERROR(__xludf.DUMMYFUNCTION("""COMPUTED_VALUE"""),45890.66666666667)</f>
        <v>45890.66667</v>
      </c>
      <c r="B1236" s="1">
        <f>IFERROR(__xludf.DUMMYFUNCTION("""COMPUTED_VALUE"""),111.92)</f>
        <v>111.92</v>
      </c>
    </row>
    <row r="1237">
      <c r="A1237" s="2">
        <f>IFERROR(__xludf.DUMMYFUNCTION("""COMPUTED_VALUE"""),45891.66666666667)</f>
        <v>45891.66667</v>
      </c>
      <c r="B1237" s="1">
        <f>IFERROR(__xludf.DUMMYFUNCTION("""COMPUTED_VALUE"""),111.36)</f>
        <v>111.36</v>
      </c>
    </row>
    <row r="1238">
      <c r="A1238" s="2">
        <f>IFERROR(__xludf.DUMMYFUNCTION("""COMPUTED_VALUE"""),45894.66666666667)</f>
        <v>45894.66667</v>
      </c>
      <c r="B1238" s="1">
        <f>IFERROR(__xludf.DUMMYFUNCTION("""COMPUTED_VALUE"""),111.47)</f>
        <v>111.47</v>
      </c>
    </row>
    <row r="1239">
      <c r="A1239" s="2">
        <f>IFERROR(__xludf.DUMMYFUNCTION("""COMPUTED_VALUE"""),45895.66666666667)</f>
        <v>45895.66667</v>
      </c>
      <c r="B1239" s="1">
        <f>IFERROR(__xludf.DUMMYFUNCTION("""COMPUTED_VALUE"""),111.08)</f>
        <v>111.08</v>
      </c>
    </row>
    <row r="1240">
      <c r="A1240" s="2">
        <f>IFERROR(__xludf.DUMMYFUNCTION("""COMPUTED_VALUE"""),45896.66666666667)</f>
        <v>45896.66667</v>
      </c>
      <c r="B1240" s="1">
        <f>IFERROR(__xludf.DUMMYFUNCTION("""COMPUTED_VALUE"""),111.49)</f>
        <v>111.49</v>
      </c>
    </row>
    <row r="1241">
      <c r="A1241" s="2">
        <f>IFERROR(__xludf.DUMMYFUNCTION("""COMPUTED_VALUE"""),45897.66666666667)</f>
        <v>45897.66667</v>
      </c>
      <c r="B1241" s="1">
        <f>IFERROR(__xludf.DUMMYFUNCTION("""COMPUTED_VALUE"""),111.74)</f>
        <v>111.74</v>
      </c>
    </row>
    <row r="1242">
      <c r="A1242" s="2">
        <f>IFERROR(__xludf.DUMMYFUNCTION("""COMPUTED_VALUE"""),45898.66666666667)</f>
        <v>45898.66667</v>
      </c>
      <c r="B1242" s="1">
        <f>IFERROR(__xludf.DUMMYFUNCTION("""COMPUTED_VALUE"""),111.62)</f>
        <v>111.62</v>
      </c>
    </row>
    <row r="1243">
      <c r="A1243" s="2">
        <f>IFERROR(__xludf.DUMMYFUNCTION("""COMPUTED_VALUE"""),45901.66666666667)</f>
        <v>45901.66667</v>
      </c>
      <c r="B1243" s="1">
        <f>IFERROR(__xludf.DUMMYFUNCTION("""COMPUTED_VALUE"""),111.14)</f>
        <v>111.14</v>
      </c>
    </row>
    <row r="1244">
      <c r="A1244" s="2">
        <f>IFERROR(__xludf.DUMMYFUNCTION("""COMPUTED_VALUE"""),45902.66666666667)</f>
        <v>45902.66667</v>
      </c>
      <c r="B1244" s="1">
        <f>IFERROR(__xludf.DUMMYFUNCTION("""COMPUTED_VALUE"""),111.0)</f>
        <v>111</v>
      </c>
    </row>
    <row r="1245">
      <c r="A1245" s="2">
        <f>IFERROR(__xludf.DUMMYFUNCTION("""COMPUTED_VALUE"""),45903.66666666667)</f>
        <v>45903.66667</v>
      </c>
      <c r="B1245" s="1">
        <f>IFERROR(__xludf.DUMMYFUNCTION("""COMPUTED_VALUE"""),109.02)</f>
        <v>109.02</v>
      </c>
    </row>
    <row r="1246">
      <c r="A1246" s="2">
        <f>IFERROR(__xludf.DUMMYFUNCTION("""COMPUTED_VALUE"""),45904.66666666667)</f>
        <v>45904.66667</v>
      </c>
      <c r="B1246" s="1">
        <f>IFERROR(__xludf.DUMMYFUNCTION("""COMPUTED_VALUE"""),110.32)</f>
        <v>110.32</v>
      </c>
    </row>
    <row r="1247">
      <c r="A1247" s="2">
        <f>IFERROR(__xludf.DUMMYFUNCTION("""COMPUTED_VALUE"""),45905.66666666667)</f>
        <v>45905.66667</v>
      </c>
      <c r="B1247" s="1">
        <f>IFERROR(__xludf.DUMMYFUNCTION("""COMPUTED_VALUE"""),110.92)</f>
        <v>110.92</v>
      </c>
    </row>
    <row r="1248">
      <c r="A1248" s="2">
        <f>IFERROR(__xludf.DUMMYFUNCTION("""COMPUTED_VALUE"""),45908.66666666667)</f>
        <v>45908.66667</v>
      </c>
      <c r="B1248" s="1">
        <f>IFERROR(__xludf.DUMMYFUNCTION("""COMPUTED_VALUE"""),110.59)</f>
        <v>110.59</v>
      </c>
    </row>
    <row r="1249">
      <c r="A1249" s="2">
        <f>IFERROR(__xludf.DUMMYFUNCTION("""COMPUTED_VALUE"""),45909.66666666667)</f>
        <v>45909.66667</v>
      </c>
      <c r="B1249" s="1">
        <f>IFERROR(__xludf.DUMMYFUNCTION("""COMPUTED_VALUE"""),110.08)</f>
        <v>110.08</v>
      </c>
    </row>
    <row r="1250">
      <c r="A1250" s="2">
        <f>IFERROR(__xludf.DUMMYFUNCTION("""COMPUTED_VALUE"""),45910.66666666667)</f>
        <v>45910.66667</v>
      </c>
      <c r="B1250" s="1">
        <f>IFERROR(__xludf.DUMMYFUNCTION("""COMPUTED_VALUE"""),110.41)</f>
        <v>110.41</v>
      </c>
    </row>
    <row r="1251">
      <c r="A1251" s="2">
        <f>IFERROR(__xludf.DUMMYFUNCTION("""COMPUTED_VALUE"""),45911.66666666667)</f>
        <v>45911.66667</v>
      </c>
      <c r="B1251" s="1">
        <f>IFERROR(__xludf.DUMMYFUNCTION("""COMPUTED_VALUE"""),110.16)</f>
        <v>110.16</v>
      </c>
    </row>
    <row r="1252">
      <c r="A1252" s="2">
        <f>IFERROR(__xludf.DUMMYFUNCTION("""COMPUTED_VALUE"""),45912.66666666667)</f>
        <v>45912.66667</v>
      </c>
      <c r="B1252" s="1">
        <f>IFERROR(__xludf.DUMMYFUNCTION("""COMPUTED_VALUE"""),110.93)</f>
        <v>110.93</v>
      </c>
    </row>
    <row r="1253">
      <c r="A1253" s="2">
        <f>IFERROR(__xludf.DUMMYFUNCTION("""COMPUTED_VALUE"""),45915.66666666667)</f>
        <v>45915.66667</v>
      </c>
      <c r="B1253" s="1">
        <f>IFERROR(__xludf.DUMMYFUNCTION("""COMPUTED_VALUE"""),110.77)</f>
        <v>110.77</v>
      </c>
    </row>
    <row r="1254">
      <c r="A1254" s="2">
        <f>IFERROR(__xludf.DUMMYFUNCTION("""COMPUTED_VALUE"""),45916.66666666667)</f>
        <v>45916.66667</v>
      </c>
      <c r="B1254" s="1">
        <f>IFERROR(__xludf.DUMMYFUNCTION("""COMPUTED_VALUE"""),111.18)</f>
        <v>111.18</v>
      </c>
    </row>
    <row r="1255">
      <c r="A1255" s="2">
        <f>IFERROR(__xludf.DUMMYFUNCTION("""COMPUTED_VALUE"""),45917.66666666667)</f>
        <v>45917.66667</v>
      </c>
      <c r="B1255" s="1">
        <f>IFERROR(__xludf.DUMMYFUNCTION("""COMPUTED_VALUE"""),110.34)</f>
        <v>110.34</v>
      </c>
    </row>
    <row r="1256">
      <c r="A1256" s="2">
        <f>IFERROR(__xludf.DUMMYFUNCTION("""COMPUTED_VALUE"""),45918.66666666667)</f>
        <v>45918.66667</v>
      </c>
      <c r="B1256" s="1">
        <f>IFERROR(__xludf.DUMMYFUNCTION("""COMPUTED_VALUE"""),109.59)</f>
        <v>109.59</v>
      </c>
    </row>
    <row r="1257">
      <c r="A1257" s="2">
        <f>IFERROR(__xludf.DUMMYFUNCTION("""COMPUTED_VALUE"""),45919.66666666667)</f>
        <v>45919.66667</v>
      </c>
      <c r="B1257" s="1">
        <f>IFERROR(__xludf.DUMMYFUNCTION("""COMPUTED_VALUE"""),109.85)</f>
        <v>109.85</v>
      </c>
    </row>
    <row r="1258">
      <c r="A1258" s="2">
        <f>IFERROR(__xludf.DUMMYFUNCTION("""COMPUTED_VALUE"""),45922.66666666667)</f>
        <v>45922.66667</v>
      </c>
      <c r="B1258" s="1">
        <f>IFERROR(__xludf.DUMMYFUNCTION("""COMPUTED_VALUE"""),110.37)</f>
        <v>110.37</v>
      </c>
    </row>
    <row r="1259">
      <c r="A1259" s="2">
        <f>IFERROR(__xludf.DUMMYFUNCTION("""COMPUTED_VALUE"""),45923.66666666667)</f>
        <v>45923.66667</v>
      </c>
      <c r="B1259" s="1">
        <f>IFERROR(__xludf.DUMMYFUNCTION("""COMPUTED_VALUE"""),110.81)</f>
        <v>110.81</v>
      </c>
    </row>
    <row r="1260">
      <c r="A1260" s="2">
        <f>IFERROR(__xludf.DUMMYFUNCTION("""COMPUTED_VALUE"""),45924.66666666667)</f>
        <v>45924.66667</v>
      </c>
      <c r="B1260" s="1">
        <f>IFERROR(__xludf.DUMMYFUNCTION("""COMPUTED_VALUE"""),109.74)</f>
        <v>109.74</v>
      </c>
    </row>
    <row r="1261">
      <c r="A1261" s="2">
        <f>IFERROR(__xludf.DUMMYFUNCTION("""COMPUTED_VALUE"""),45925.66666666667)</f>
        <v>45925.66667</v>
      </c>
      <c r="B1261" s="1">
        <f>IFERROR(__xludf.DUMMYFUNCTION("""COMPUTED_VALUE"""),109.93)</f>
        <v>109.93</v>
      </c>
    </row>
    <row r="1262">
      <c r="A1262" s="2">
        <f>IFERROR(__xludf.DUMMYFUNCTION("""COMPUTED_VALUE"""),45926.66666666667)</f>
        <v>45926.66667</v>
      </c>
      <c r="B1262" s="1">
        <f>IFERROR(__xludf.DUMMYFUNCTION("""COMPUTED_VALUE"""),110.13)</f>
        <v>110.13</v>
      </c>
    </row>
    <row r="1263">
      <c r="A1263" s="2">
        <f>IFERROR(__xludf.DUMMYFUNCTION("""COMPUTED_VALUE"""),45929.66666666667)</f>
        <v>45929.66667</v>
      </c>
      <c r="B1263" s="1">
        <f>IFERROR(__xludf.DUMMYFUNCTION("""COMPUTED_VALUE"""),111.07)</f>
        <v>111.07</v>
      </c>
    </row>
    <row r="1264">
      <c r="A1264" s="2">
        <f>IFERROR(__xludf.DUMMYFUNCTION("""COMPUTED_VALUE"""),45930.66666666667)</f>
        <v>45930.66667</v>
      </c>
      <c r="B1264" s="1">
        <f>IFERROR(__xludf.DUMMYFUNCTION("""COMPUTED_VALUE"""),110.9)</f>
        <v>110.9</v>
      </c>
    </row>
    <row r="1265">
      <c r="A1265" s="2">
        <f>IFERROR(__xludf.DUMMYFUNCTION("""COMPUTED_VALUE"""),45931.66666666667)</f>
        <v>45931.66667</v>
      </c>
      <c r="B1265" s="1">
        <f>IFERROR(__xludf.DUMMYFUNCTION("""COMPUTED_VALUE"""),109.76)</f>
        <v>109.76</v>
      </c>
    </row>
    <row r="1266">
      <c r="A1266" s="2">
        <f>IFERROR(__xludf.DUMMYFUNCTION("""COMPUTED_VALUE"""),45932.66666666667)</f>
        <v>45932.66667</v>
      </c>
      <c r="B1266" s="1">
        <f>IFERROR(__xludf.DUMMYFUNCTION("""COMPUTED_VALUE"""),111.05)</f>
        <v>111.05</v>
      </c>
    </row>
    <row r="1267">
      <c r="A1267" s="2">
        <f>IFERROR(__xludf.DUMMYFUNCTION("""COMPUTED_VALUE"""),45933.66666666667)</f>
        <v>45933.66667</v>
      </c>
      <c r="B1267" s="1">
        <f>IFERROR(__xludf.DUMMYFUNCTION("""COMPUTED_VALUE"""),111.56)</f>
        <v>111.56</v>
      </c>
    </row>
    <row r="1268">
      <c r="A1268" s="2">
        <f>IFERROR(__xludf.DUMMYFUNCTION("""COMPUTED_VALUE"""),45936.66666666667)</f>
        <v>45936.66667</v>
      </c>
      <c r="B1268" s="1">
        <f>IFERROR(__xludf.DUMMYFUNCTION("""COMPUTED_VALUE"""),111.43)</f>
        <v>111.43</v>
      </c>
    </row>
    <row r="1269">
      <c r="A1269" s="2">
        <f>IFERROR(__xludf.DUMMYFUNCTION("""COMPUTED_VALUE"""),45937.66666666667)</f>
        <v>45937.66667</v>
      </c>
      <c r="B1269" s="1">
        <f>IFERROR(__xludf.DUMMYFUNCTION("""COMPUTED_VALUE"""),111.13)</f>
        <v>111.13</v>
      </c>
    </row>
    <row r="1270">
      <c r="A1270" s="2">
        <f>IFERROR(__xludf.DUMMYFUNCTION("""COMPUTED_VALUE"""),45938.66666666667)</f>
        <v>45938.66667</v>
      </c>
      <c r="B1270" s="1">
        <f>IFERROR(__xludf.DUMMYFUNCTION("""COMPUTED_VALUE"""),110.98)</f>
        <v>110.98</v>
      </c>
    </row>
    <row r="1271">
      <c r="A1271" s="2">
        <f>IFERROR(__xludf.DUMMYFUNCTION("""COMPUTED_VALUE"""),45939.66666666667)</f>
        <v>45939.66667</v>
      </c>
      <c r="B1271" s="1">
        <f>IFERROR(__xludf.DUMMYFUNCTION("""COMPUTED_VALUE"""),111.28)</f>
        <v>111.28</v>
      </c>
    </row>
    <row r="1272">
      <c r="A1272" s="2">
        <f>IFERROR(__xludf.DUMMYFUNCTION("""COMPUTED_VALUE"""),45940.66666666667)</f>
        <v>45940.66667</v>
      </c>
      <c r="B1272" s="1">
        <f>IFERROR(__xludf.DUMMYFUNCTION("""COMPUTED_VALUE"""),111.13)</f>
        <v>111.13</v>
      </c>
    </row>
    <row r="1273">
      <c r="A1273" s="2">
        <f>IFERROR(__xludf.DUMMYFUNCTION("""COMPUTED_VALUE"""),45943.66666666667)</f>
        <v>45943.66667</v>
      </c>
      <c r="B1273" s="1">
        <f>IFERROR(__xludf.DUMMYFUNCTION("""COMPUTED_VALUE"""),110.27)</f>
        <v>110.27</v>
      </c>
    </row>
    <row r="1274">
      <c r="A1274" s="2">
        <f>IFERROR(__xludf.DUMMYFUNCTION("""COMPUTED_VALUE"""),45944.66666666667)</f>
        <v>45944.66667</v>
      </c>
      <c r="B1274" s="1">
        <f>IFERROR(__xludf.DUMMYFUNCTION("""COMPUTED_VALUE"""),110.45)</f>
        <v>110.45</v>
      </c>
    </row>
    <row r="1275">
      <c r="A1275" s="2">
        <f>IFERROR(__xludf.DUMMYFUNCTION("""COMPUTED_VALUE"""),45945.66666666667)</f>
        <v>45945.66667</v>
      </c>
      <c r="B1275" s="1">
        <f>IFERROR(__xludf.DUMMYFUNCTION("""COMPUTED_VALUE"""),111.57)</f>
        <v>111.57</v>
      </c>
    </row>
    <row r="1276">
      <c r="A1276" s="2">
        <f>IFERROR(__xludf.DUMMYFUNCTION("""COMPUTED_VALUE"""),45946.66666666667)</f>
        <v>45946.66667</v>
      </c>
      <c r="B1276" s="1">
        <f>IFERROR(__xludf.DUMMYFUNCTION("""COMPUTED_VALUE"""),112.6)</f>
        <v>112.6</v>
      </c>
    </row>
    <row r="1277">
      <c r="A1277" s="2">
        <f>IFERROR(__xludf.DUMMYFUNCTION("""COMPUTED_VALUE"""),45947.66666666667)</f>
        <v>45947.66667</v>
      </c>
      <c r="B1277" s="1">
        <f>IFERROR(__xludf.DUMMYFUNCTION("""COMPUTED_VALUE"""),111.73)</f>
        <v>111.73</v>
      </c>
    </row>
    <row r="1278">
      <c r="A1278" s="2">
        <f>IFERROR(__xludf.DUMMYFUNCTION("""COMPUTED_VALUE"""),45950.66666666667)</f>
        <v>45950.66667</v>
      </c>
      <c r="B1278" s="1">
        <f>IFERROR(__xludf.DUMMYFUNCTION("""COMPUTED_VALUE"""),112.01)</f>
        <v>112.01</v>
      </c>
    </row>
    <row r="1279">
      <c r="A1279" s="2">
        <f>IFERROR(__xludf.DUMMYFUNCTION("""COMPUTED_VALUE"""),45951.66666666667)</f>
        <v>45951.66667</v>
      </c>
      <c r="B1279" s="1">
        <f>IFERROR(__xludf.DUMMYFUNCTION("""COMPUTED_VALUE"""),112.82)</f>
        <v>112.82</v>
      </c>
    </row>
    <row r="1280">
      <c r="A1280" s="2">
        <f>IFERROR(__xludf.DUMMYFUNCTION("""COMPUTED_VALUE"""),45952.66666666667)</f>
        <v>45952.66667</v>
      </c>
      <c r="B1280" s="1">
        <f>IFERROR(__xludf.DUMMYFUNCTION("""COMPUTED_VALUE"""),111.98)</f>
        <v>111.98</v>
      </c>
    </row>
    <row r="1281">
      <c r="A1281" s="2">
        <f>IFERROR(__xludf.DUMMYFUNCTION("""COMPUTED_VALUE"""),45953.66666666667)</f>
        <v>45953.66667</v>
      </c>
      <c r="B1281" s="1">
        <f>IFERROR(__xludf.DUMMYFUNCTION("""COMPUTED_VALUE"""),112.18)</f>
        <v>112.18</v>
      </c>
    </row>
    <row r="1282">
      <c r="A1282" s="2">
        <f>IFERROR(__xludf.DUMMYFUNCTION("""COMPUTED_VALUE"""),45954.66666666667)</f>
        <v>45954.66667</v>
      </c>
      <c r="B1282" s="1">
        <f>IFERROR(__xludf.DUMMYFUNCTION("""COMPUTED_VALUE"""),112.0)</f>
        <v>112</v>
      </c>
    </row>
    <row r="1283">
      <c r="A1283" s="2">
        <f>IFERROR(__xludf.DUMMYFUNCTION("""COMPUTED_VALUE"""),45957.66666666667)</f>
        <v>45957.66667</v>
      </c>
      <c r="B1283" s="1">
        <f>IFERROR(__xludf.DUMMYFUNCTION("""COMPUTED_VALUE"""),112.4)</f>
        <v>112.4</v>
      </c>
    </row>
    <row r="1284">
      <c r="A1284" s="2">
        <f>IFERROR(__xludf.DUMMYFUNCTION("""COMPUTED_VALUE"""),45958.66666666667)</f>
        <v>45958.66667</v>
      </c>
      <c r="B1284" s="1">
        <f>IFERROR(__xludf.DUMMYFUNCTION("""COMPUTED_VALUE"""),111.83)</f>
        <v>111.83</v>
      </c>
    </row>
    <row r="1285">
      <c r="A1285" s="2">
        <f>IFERROR(__xludf.DUMMYFUNCTION("""COMPUTED_VALUE"""),45959.66666666667)</f>
        <v>45959.66667</v>
      </c>
      <c r="B1285" s="1">
        <f>IFERROR(__xludf.DUMMYFUNCTION("""COMPUTED_VALUE"""),110.89)</f>
        <v>110.89</v>
      </c>
    </row>
    <row r="1286">
      <c r="A1286" s="2">
        <f>IFERROR(__xludf.DUMMYFUNCTION("""COMPUTED_VALUE"""),45960.66666666667)</f>
        <v>45960.66667</v>
      </c>
      <c r="B1286" s="1">
        <f>IFERROR(__xludf.DUMMYFUNCTION("""COMPUTED_VALUE"""),110.33)</f>
        <v>110.33</v>
      </c>
    </row>
    <row r="1287">
      <c r="A1287" s="2">
        <f>IFERROR(__xludf.DUMMYFUNCTION("""COMPUTED_VALUE"""),45961.66666666667)</f>
        <v>45961.66667</v>
      </c>
      <c r="B1287" s="1">
        <f>IFERROR(__xludf.DUMMYFUNCTION("""COMPUTED_VALUE"""),110.36)</f>
        <v>110.36</v>
      </c>
    </row>
    <row r="1288">
      <c r="A1288" s="2">
        <f>IFERROR(__xludf.DUMMYFUNCTION("""COMPUTED_VALUE"""),45965.66666666667)</f>
        <v>45965.66667</v>
      </c>
      <c r="B1288" s="1">
        <f>IFERROR(__xludf.DUMMYFUNCTION("""COMPUTED_VALUE"""),109.4)</f>
        <v>109.4</v>
      </c>
    </row>
    <row r="1289">
      <c r="A1289" s="2">
        <f>IFERROR(__xludf.DUMMYFUNCTION("""COMPUTED_VALUE"""),45966.66666666667)</f>
        <v>45966.66667</v>
      </c>
      <c r="B1289" s="1">
        <f>IFERROR(__xludf.DUMMYFUNCTION("""COMPUTED_VALUE"""),109.3)</f>
        <v>109.3</v>
      </c>
    </row>
    <row r="1290">
      <c r="A1290" s="2">
        <f>IFERROR(__xludf.DUMMYFUNCTION("""COMPUTED_VALUE"""),45967.66666666667)</f>
        <v>45967.66667</v>
      </c>
      <c r="B1290" s="1">
        <f>IFERROR(__xludf.DUMMYFUNCTION("""COMPUTED_VALUE"""),109.59)</f>
        <v>109.59</v>
      </c>
    </row>
    <row r="1291">
      <c r="A1291" s="2">
        <f>IFERROR(__xludf.DUMMYFUNCTION("""COMPUTED_VALUE"""),45968.66666666667)</f>
        <v>45968.66667</v>
      </c>
      <c r="B1291" s="1">
        <f>IFERROR(__xludf.DUMMYFUNCTION("""COMPUTED_VALUE"""),108.83)</f>
        <v>108.83</v>
      </c>
    </row>
    <row r="1292">
      <c r="A1292" s="2">
        <f>IFERROR(__xludf.DUMMYFUNCTION("""COMPUTED_VALUE"""),45971.66666666667)</f>
        <v>45971.66667</v>
      </c>
      <c r="B1292" s="1">
        <f>IFERROR(__xludf.DUMMYFUNCTION("""COMPUTED_VALUE"""),109.66)</f>
        <v>109.66</v>
      </c>
    </row>
    <row r="1293">
      <c r="A1293" s="2">
        <f>IFERROR(__xludf.DUMMYFUNCTION("""COMPUTED_VALUE"""),45972.66666666667)</f>
        <v>45972.66667</v>
      </c>
      <c r="B1293" s="1">
        <f>IFERROR(__xludf.DUMMYFUNCTION("""COMPUTED_VALUE"""),109.68)</f>
        <v>109.68</v>
      </c>
    </row>
    <row r="1294">
      <c r="A1294" s="2">
        <f>IFERROR(__xludf.DUMMYFUNCTION("""COMPUTED_VALUE"""),45973.66666666667)</f>
        <v>45973.66667</v>
      </c>
      <c r="B1294" s="1">
        <f>IFERROR(__xludf.DUMMYFUNCTION("""COMPUTED_VALUE"""),109.39)</f>
        <v>109.39</v>
      </c>
    </row>
    <row r="1295">
      <c r="A1295" s="2">
        <f>IFERROR(__xludf.DUMMYFUNCTION("""COMPUTED_VALUE"""),45974.66666666667)</f>
        <v>45974.66667</v>
      </c>
      <c r="B1295" s="1">
        <f>IFERROR(__xludf.DUMMYFUNCTION("""COMPUTED_VALUE"""),108.85)</f>
        <v>108.85</v>
      </c>
    </row>
    <row r="1296">
      <c r="A1296" s="2">
        <f>IFERROR(__xludf.DUMMYFUNCTION("""COMPUTED_VALUE"""),45975.66666666667)</f>
        <v>45975.66667</v>
      </c>
      <c r="B1296" s="1">
        <f>IFERROR(__xludf.DUMMYFUNCTION("""COMPUTED_VALUE"""),107.41)</f>
        <v>107.41</v>
      </c>
    </row>
    <row r="1297">
      <c r="A1297" s="2">
        <f>IFERROR(__xludf.DUMMYFUNCTION("""COMPUTED_VALUE"""),45978.66666666667)</f>
        <v>45978.66667</v>
      </c>
      <c r="B1297" s="1">
        <f>IFERROR(__xludf.DUMMYFUNCTION("""COMPUTED_VALUE"""),107.55)</f>
        <v>107.55</v>
      </c>
    </row>
    <row r="1298">
      <c r="A1298" s="2">
        <f>IFERROR(__xludf.DUMMYFUNCTION("""COMPUTED_VALUE"""),45979.66666666667)</f>
        <v>45979.66667</v>
      </c>
      <c r="B1298" s="1">
        <f>IFERROR(__xludf.DUMMYFUNCTION("""COMPUTED_VALUE"""),105.41)</f>
        <v>105.41</v>
      </c>
    </row>
    <row r="1299">
      <c r="A1299" s="2">
        <f>IFERROR(__xludf.DUMMYFUNCTION("""COMPUTED_VALUE"""),45980.66666666667)</f>
        <v>45980.66667</v>
      </c>
      <c r="B1299" s="1">
        <f>IFERROR(__xludf.DUMMYFUNCTION("""COMPUTED_VALUE"""),105.08)</f>
        <v>105.08</v>
      </c>
    </row>
    <row r="1300">
      <c r="A1300" s="2">
        <f>IFERROR(__xludf.DUMMYFUNCTION("""COMPUTED_VALUE"""),45981.66666666667)</f>
        <v>45981.66667</v>
      </c>
      <c r="B1300" s="1">
        <f>IFERROR(__xludf.DUMMYFUNCTION("""COMPUTED_VALUE"""),106.46)</f>
        <v>106.46</v>
      </c>
    </row>
    <row r="1301">
      <c r="A1301" s="2">
        <f>IFERROR(__xludf.DUMMYFUNCTION("""COMPUTED_VALUE"""),45982.66666666667)</f>
        <v>45982.66667</v>
      </c>
      <c r="B1301" s="1">
        <f>IFERROR(__xludf.DUMMYFUNCTION("""COMPUTED_VALUE"""),104.78)</f>
        <v>104.78</v>
      </c>
    </row>
    <row r="1302">
      <c r="A1302" s="2">
        <f>IFERROR(__xludf.DUMMYFUNCTION("""COMPUTED_VALUE"""),45985.66666666667)</f>
        <v>45985.66667</v>
      </c>
      <c r="B1302" s="1">
        <f>IFERROR(__xludf.DUMMYFUNCTION("""COMPUTED_VALUE"""),106.04)</f>
        <v>106.04</v>
      </c>
    </row>
    <row r="1303">
      <c r="A1303" s="2">
        <f>IFERROR(__xludf.DUMMYFUNCTION("""COMPUTED_VALUE"""),45986.66666666667)</f>
        <v>45986.66667</v>
      </c>
      <c r="B1303" s="1">
        <f>IFERROR(__xludf.DUMMYFUNCTION("""COMPUTED_VALUE"""),106.28)</f>
        <v>106.28</v>
      </c>
    </row>
    <row r="1304">
      <c r="A1304" s="2">
        <f>IFERROR(__xludf.DUMMYFUNCTION("""COMPUTED_VALUE"""),45987.66666666667)</f>
        <v>45987.66667</v>
      </c>
      <c r="B1304" s="1">
        <f>IFERROR(__xludf.DUMMYFUNCTION("""COMPUTED_VALUE"""),107.24)</f>
        <v>107.24</v>
      </c>
    </row>
    <row r="1305">
      <c r="A1305" s="2">
        <f>IFERROR(__xludf.DUMMYFUNCTION("""COMPUTED_VALUE"""),45988.66666666667)</f>
        <v>45988.66667</v>
      </c>
      <c r="B1305" s="1">
        <f>IFERROR(__xludf.DUMMYFUNCTION("""COMPUTED_VALUE"""),107.4)</f>
        <v>107.4</v>
      </c>
    </row>
    <row r="1306">
      <c r="A1306" s="2">
        <f>IFERROR(__xludf.DUMMYFUNCTION("""COMPUTED_VALUE"""),45989.66666666667)</f>
        <v>45989.66667</v>
      </c>
      <c r="B1306" s="1">
        <f>IFERROR(__xludf.DUMMYFUNCTION("""COMPUTED_VALUE"""),107.32)</f>
        <v>107.32</v>
      </c>
    </row>
    <row r="1307">
      <c r="A1307" s="2">
        <f>IFERROR(__xludf.DUMMYFUNCTION("""COMPUTED_VALUE"""),45992.66666666667)</f>
        <v>45992.66667</v>
      </c>
      <c r="B1307" s="1">
        <f>IFERROR(__xludf.DUMMYFUNCTION("""COMPUTED_VALUE"""),106.7)</f>
        <v>106.7</v>
      </c>
    </row>
    <row r="1308">
      <c r="A1308" s="2">
        <f>IFERROR(__xludf.DUMMYFUNCTION("""COMPUTED_VALUE"""),45993.66666666667)</f>
        <v>45993.66667</v>
      </c>
      <c r="B1308" s="1">
        <f>IFERROR(__xludf.DUMMYFUNCTION("""COMPUTED_VALUE"""),106.89)</f>
        <v>106.89</v>
      </c>
    </row>
    <row r="1309">
      <c r="A1309" s="2">
        <f>IFERROR(__xludf.DUMMYFUNCTION("""COMPUTED_VALUE"""),45994.66666666667)</f>
        <v>45994.66667</v>
      </c>
      <c r="B1309" s="1">
        <f>IFERROR(__xludf.DUMMYFUNCTION("""COMPUTED_VALUE"""),107.05)</f>
        <v>107.05</v>
      </c>
    </row>
    <row r="1310">
      <c r="A1310" s="2">
        <f>IFERROR(__xludf.DUMMYFUNCTION("""COMPUTED_VALUE"""),45995.66666666667)</f>
        <v>45995.66667</v>
      </c>
      <c r="B1310" s="1">
        <f>IFERROR(__xludf.DUMMYFUNCTION("""COMPUTED_VALUE"""),107.33)</f>
        <v>107.33</v>
      </c>
    </row>
    <row r="1311">
      <c r="A1311" s="2">
        <f>IFERROR(__xludf.DUMMYFUNCTION("""COMPUTED_VALUE"""),45996.66666666667)</f>
        <v>45996.66667</v>
      </c>
      <c r="B1311" s="1">
        <f>IFERROR(__xludf.DUMMYFUNCTION("""COMPUTED_VALUE"""),107.55)</f>
        <v>107.55</v>
      </c>
    </row>
    <row r="1312">
      <c r="A1312" s="2">
        <f>IFERROR(__xludf.DUMMYFUNCTION("""COMPUTED_VALUE"""),45999.66666666667)</f>
        <v>45999.66667</v>
      </c>
      <c r="B1312" s="1">
        <f>IFERROR(__xludf.DUMMYFUNCTION("""COMPUTED_VALUE"""),107.44)</f>
        <v>107.44</v>
      </c>
    </row>
    <row r="1313">
      <c r="A1313" s="2">
        <f>IFERROR(__xludf.DUMMYFUNCTION("""COMPUTED_VALUE"""),46000.66666666667)</f>
        <v>46000.66667</v>
      </c>
      <c r="B1313" s="1">
        <f>IFERROR(__xludf.DUMMYFUNCTION("""COMPUTED_VALUE"""),106.95)</f>
        <v>106.95</v>
      </c>
    </row>
    <row r="1314">
      <c r="A1314" s="2">
        <f>IFERROR(__xludf.DUMMYFUNCTION("""COMPUTED_VALUE"""),46001.66666666667)</f>
        <v>46001.66667</v>
      </c>
      <c r="B1314" s="1">
        <f>IFERROR(__xludf.DUMMYFUNCTION("""COMPUTED_VALUE"""),106.9)</f>
        <v>106.9</v>
      </c>
    </row>
    <row r="1315">
      <c r="A1315" s="2">
        <f>IFERROR(__xludf.DUMMYFUNCTION("""COMPUTED_VALUE"""),46002.66666666667)</f>
        <v>46002.66667</v>
      </c>
      <c r="B1315" s="1">
        <f>IFERROR(__xludf.DUMMYFUNCTION("""COMPUTED_VALUE"""),107.08)</f>
        <v>107.08</v>
      </c>
    </row>
    <row r="1316">
      <c r="A1316" s="2">
        <f>IFERROR(__xludf.DUMMYFUNCTION("""COMPUTED_VALUE"""),46003.66666666667)</f>
        <v>46003.66667</v>
      </c>
      <c r="B1316" s="1">
        <f>IFERROR(__xludf.DUMMYFUNCTION("""COMPUTED_VALUE"""),108.33)</f>
        <v>108.33</v>
      </c>
    </row>
    <row r="1317">
      <c r="A1317" s="2">
        <f>IFERROR(__xludf.DUMMYFUNCTION("""COMPUTED_VALUE"""),46006.66666666667)</f>
        <v>46006.66667</v>
      </c>
      <c r="B1317" s="1">
        <f>IFERROR(__xludf.DUMMYFUNCTION("""COMPUTED_VALUE"""),107.47)</f>
        <v>107.47</v>
      </c>
    </row>
    <row r="1318">
      <c r="A1318" s="2">
        <f>IFERROR(__xludf.DUMMYFUNCTION("""COMPUTED_VALUE"""),46007.66666666667)</f>
        <v>46007.66667</v>
      </c>
      <c r="B1318" s="1">
        <f>IFERROR(__xludf.DUMMYFUNCTION("""COMPUTED_VALUE"""),107.1)</f>
        <v>107.1</v>
      </c>
    </row>
    <row r="1319">
      <c r="A1319" s="2">
        <f>IFERROR(__xludf.DUMMYFUNCTION("""COMPUTED_VALUE"""),46008.66666666667)</f>
        <v>46008.66667</v>
      </c>
      <c r="B1319" s="1">
        <f>IFERROR(__xludf.DUMMYFUNCTION("""COMPUTED_VALUE"""),106.93)</f>
        <v>106.93</v>
      </c>
    </row>
    <row r="1320">
      <c r="A1320" s="2">
        <f>IFERROR(__xludf.DUMMYFUNCTION("""COMPUTED_VALUE"""),46009.66666666667)</f>
        <v>46009.66667</v>
      </c>
      <c r="B1320" s="1">
        <f>IFERROR(__xludf.DUMMYFUNCTION("""COMPUTED_VALUE"""),106.99)</f>
        <v>106.99</v>
      </c>
    </row>
    <row r="1321">
      <c r="A1321" s="2">
        <f>IFERROR(__xludf.DUMMYFUNCTION("""COMPUTED_VALUE"""),46010.66666666667)</f>
        <v>46010.66667</v>
      </c>
      <c r="B1321" s="1">
        <f>IFERROR(__xludf.DUMMYFUNCTION("""COMPUTED_VALUE"""),107.5)</f>
        <v>107.5</v>
      </c>
    </row>
    <row r="1322">
      <c r="A1322" s="2">
        <f>IFERROR(__xludf.DUMMYFUNCTION("""COMPUTED_VALUE"""),46013.66666666667)</f>
        <v>46013.66667</v>
      </c>
      <c r="B1322" s="1">
        <f>IFERROR(__xludf.DUMMYFUNCTION("""COMPUTED_VALUE"""),108.55)</f>
        <v>108.55</v>
      </c>
    </row>
    <row r="1323">
      <c r="A1323" s="2">
        <f>IFERROR(__xludf.DUMMYFUNCTION("""COMPUTED_VALUE"""),46014.66666666667)</f>
        <v>46014.66667</v>
      </c>
      <c r="B1323" s="1">
        <f>IFERROR(__xludf.DUMMYFUNCTION("""COMPUTED_VALUE"""),109.75)</f>
        <v>109.75</v>
      </c>
    </row>
    <row r="1324">
      <c r="A1324" s="2">
        <f>IFERROR(__xludf.DUMMYFUNCTION("""COMPUTED_VALUE"""),46015.597916666666)</f>
        <v>46015.59792</v>
      </c>
      <c r="B1324" s="1">
        <f>IFERROR(__xludf.DUMMYFUNCTION("""COMPUTED_VALUE"""),109.38)</f>
        <v>109.38</v>
      </c>
    </row>
    <row r="1325">
      <c r="A1325" s="2">
        <f>IFERROR(__xludf.DUMMYFUNCTION("""COMPUTED_VALUE"""),46020.66666666667)</f>
        <v>46020.66667</v>
      </c>
      <c r="B1325" s="1">
        <f>IFERROR(__xludf.DUMMYFUNCTION("""COMPUTED_VALUE"""),108.92)</f>
        <v>108.92</v>
      </c>
    </row>
    <row r="1326">
      <c r="A1326" s="2">
        <f>IFERROR(__xludf.DUMMYFUNCTION("""COMPUTED_VALUE"""),46021.66666666667)</f>
        <v>46021.66667</v>
      </c>
      <c r="B1326" s="1">
        <f>IFERROR(__xludf.DUMMYFUNCTION("""COMPUTED_VALUE"""),108.99)</f>
        <v>108.99</v>
      </c>
    </row>
    <row r="1327">
      <c r="A1327" s="2">
        <f>IFERROR(__xludf.DUMMYFUNCTION("""COMPUTED_VALUE"""),46022.597916666666)</f>
        <v>46022.59792</v>
      </c>
      <c r="B1327" s="1">
        <f>IFERROR(__xludf.DUMMYFUNCTION("""COMPUTED_VALUE"""),108.9)</f>
        <v>108.9</v>
      </c>
    </row>
    <row r="1328">
      <c r="A1328" s="2">
        <f>IFERROR(__xludf.DUMMYFUNCTION("""COMPUTED_VALUE"""),46024.66666666667)</f>
        <v>46024.66667</v>
      </c>
      <c r="B1328" s="1">
        <f>IFERROR(__xludf.DUMMYFUNCTION("""COMPUTED_VALUE"""),108.26)</f>
        <v>108.26</v>
      </c>
    </row>
    <row r="1329">
      <c r="A1329" s="2">
        <f>IFERROR(__xludf.DUMMYFUNCTION("""COMPUTED_VALUE"""),46027.66666666667)</f>
        <v>46027.66667</v>
      </c>
      <c r="B1329" s="1">
        <f>IFERROR(__xludf.DUMMYFUNCTION("""COMPUTED_VALUE"""),108.29)</f>
        <v>108.29</v>
      </c>
    </row>
    <row r="1330">
      <c r="A1330" s="2">
        <f>IFERROR(__xludf.DUMMYFUNCTION("""COMPUTED_VALUE"""),46028.66666666667)</f>
        <v>46028.66667</v>
      </c>
      <c r="B1330" s="1">
        <f>IFERROR(__xludf.DUMMYFUNCTION("""COMPUTED_VALUE"""),107.65)</f>
        <v>107.65</v>
      </c>
    </row>
    <row r="1331">
      <c r="A1331" s="2">
        <f>IFERROR(__xludf.DUMMYFUNCTION("""COMPUTED_VALUE"""),46029.66666666667)</f>
        <v>46029.66667</v>
      </c>
      <c r="B1331" s="1">
        <f>IFERROR(__xludf.DUMMYFUNCTION("""COMPUTED_VALUE"""),107.91)</f>
        <v>107.91</v>
      </c>
    </row>
    <row r="1332">
      <c r="A1332" s="2">
        <f>IFERROR(__xludf.DUMMYFUNCTION("""COMPUTED_VALUE"""),46030.66666666667)</f>
        <v>46030.66667</v>
      </c>
      <c r="B1332" s="1">
        <f>IFERROR(__xludf.DUMMYFUNCTION("""COMPUTED_VALUE"""),108.21)</f>
        <v>108.21</v>
      </c>
    </row>
    <row r="1333">
      <c r="A1333" s="2">
        <f>IFERROR(__xludf.DUMMYFUNCTION("""COMPUTED_VALUE"""),46031.66666666667)</f>
        <v>46031.66667</v>
      </c>
      <c r="B1333" s="1">
        <f>IFERROR(__xludf.DUMMYFUNCTION("""COMPUTED_VALUE"""),108.13)</f>
        <v>108.13</v>
      </c>
    </row>
    <row r="1334">
      <c r="A1334" s="2">
        <f>IFERROR(__xludf.DUMMYFUNCTION("""COMPUTED_VALUE"""),46034.66666666667)</f>
        <v>46034.66667</v>
      </c>
      <c r="B1334" s="1">
        <f>IFERROR(__xludf.DUMMYFUNCTION("""COMPUTED_VALUE"""),108.68)</f>
        <v>108.68</v>
      </c>
    </row>
    <row r="1335">
      <c r="A1335" s="2">
        <f>IFERROR(__xludf.DUMMYFUNCTION("""COMPUTED_VALUE"""),46035.66666666667)</f>
        <v>46035.66667</v>
      </c>
      <c r="B1335" s="1">
        <f>IFERROR(__xludf.DUMMYFUNCTION("""COMPUTED_VALUE"""),109.26)</f>
        <v>109.26</v>
      </c>
    </row>
    <row r="1336">
      <c r="A1336" s="2">
        <f>IFERROR(__xludf.DUMMYFUNCTION("""COMPUTED_VALUE"""),46036.66666666667)</f>
        <v>46036.66667</v>
      </c>
      <c r="B1336" s="1">
        <f>IFERROR(__xludf.DUMMYFUNCTION("""COMPUTED_VALUE"""),109.44)</f>
        <v>109.44</v>
      </c>
    </row>
    <row r="1337">
      <c r="A1337" s="2">
        <f>IFERROR(__xludf.DUMMYFUNCTION("""COMPUTED_VALUE"""),46037.66666666667)</f>
        <v>46037.66667</v>
      </c>
      <c r="B1337" s="1">
        <f>IFERROR(__xludf.DUMMYFUNCTION("""COMPUTED_VALUE"""),109.92)</f>
        <v>109.92</v>
      </c>
    </row>
    <row r="1338">
      <c r="A1338" s="2">
        <f>IFERROR(__xludf.DUMMYFUNCTION("""COMPUTED_VALUE"""),46038.66666666667)</f>
        <v>46038.66667</v>
      </c>
      <c r="B1338" s="1">
        <f>IFERROR(__xludf.DUMMYFUNCTION("""COMPUTED_VALUE"""),110.5)</f>
        <v>110.5</v>
      </c>
    </row>
    <row r="1339">
      <c r="A1339" s="2">
        <f>IFERROR(__xludf.DUMMYFUNCTION("""COMPUTED_VALUE"""),46041.66666666667)</f>
        <v>46041.66667</v>
      </c>
      <c r="B1339" s="1">
        <f>IFERROR(__xludf.DUMMYFUNCTION("""COMPUTED_VALUE"""),110.02)</f>
        <v>110.02</v>
      </c>
    </row>
    <row r="1340">
      <c r="A1340" s="2">
        <f>IFERROR(__xludf.DUMMYFUNCTION("""COMPUTED_VALUE"""),46042.66666666667)</f>
        <v>46042.66667</v>
      </c>
      <c r="B1340" s="1">
        <f>IFERROR(__xludf.DUMMYFUNCTION("""COMPUTED_VALUE"""),109.32)</f>
        <v>109.32</v>
      </c>
    </row>
    <row r="1341">
      <c r="A1341" s="2">
        <f>IFERROR(__xludf.DUMMYFUNCTION("""COMPUTED_VALUE"""),46043.66666666667)</f>
        <v>46043.66667</v>
      </c>
      <c r="B1341" s="1">
        <f>IFERROR(__xludf.DUMMYFUNCTION("""COMPUTED_VALUE"""),108.92)</f>
        <v>108.92</v>
      </c>
    </row>
    <row r="1342">
      <c r="A1342" s="2">
        <f>IFERROR(__xludf.DUMMYFUNCTION("""COMPUTED_VALUE"""),46044.66666666667)</f>
        <v>46044.66667</v>
      </c>
      <c r="B1342" s="1">
        <f>IFERROR(__xludf.DUMMYFUNCTION("""COMPUTED_VALUE"""),109.81)</f>
        <v>109.81</v>
      </c>
    </row>
    <row r="1343">
      <c r="A1343" s="2">
        <f>IFERROR(__xludf.DUMMYFUNCTION("""COMPUTED_VALUE"""),46045.66666666667)</f>
        <v>46045.66667</v>
      </c>
      <c r="B1343" s="1">
        <f>IFERROR(__xludf.DUMMYFUNCTION("""COMPUTED_VALUE"""),109.98)</f>
        <v>109.98</v>
      </c>
    </row>
    <row r="1344">
      <c r="A1344" s="2">
        <f>IFERROR(__xludf.DUMMYFUNCTION("""COMPUTED_VALUE"""),46049.66666666667)</f>
        <v>46049.66667</v>
      </c>
      <c r="B1344" s="1">
        <f>IFERROR(__xludf.DUMMYFUNCTION("""COMPUTED_VALUE"""),110.87)</f>
        <v>110.87</v>
      </c>
    </row>
    <row r="1345">
      <c r="A1345" s="2">
        <f>IFERROR(__xludf.DUMMYFUNCTION("""COMPUTED_VALUE"""),46050.66666666667)</f>
        <v>46050.66667</v>
      </c>
      <c r="B1345" s="1">
        <f>IFERROR(__xludf.DUMMYFUNCTION("""COMPUTED_VALUE"""),110.83)</f>
        <v>110.83</v>
      </c>
    </row>
    <row r="1346">
      <c r="A1346" s="2">
        <f>IFERROR(__xludf.DUMMYFUNCTION("""COMPUTED_VALUE"""),46051.66666666667)</f>
        <v>46051.66667</v>
      </c>
      <c r="B1346" s="1">
        <f>IFERROR(__xludf.DUMMYFUNCTION("""COMPUTED_VALUE"""),110.64)</f>
        <v>110.64</v>
      </c>
    </row>
    <row r="1347">
      <c r="A1347" s="2">
        <f>IFERROR(__xludf.DUMMYFUNCTION("""COMPUTED_VALUE"""),46052.66666666667)</f>
        <v>46052.66667</v>
      </c>
      <c r="B1347" s="1">
        <f>IFERROR(__xludf.DUMMYFUNCTION("""COMPUTED_VALUE"""),109.92)</f>
        <v>109.92</v>
      </c>
    </row>
    <row r="1348">
      <c r="A1348" s="2">
        <f>IFERROR(__xludf.DUMMYFUNCTION("""COMPUTED_VALUE"""),46055.66666666667)</f>
        <v>46055.66667</v>
      </c>
      <c r="B1348" s="1">
        <f>IFERROR(__xludf.DUMMYFUNCTION("""COMPUTED_VALUE"""),108.81)</f>
        <v>108.81</v>
      </c>
    </row>
    <row r="1349">
      <c r="A1349" s="2">
        <f>IFERROR(__xludf.DUMMYFUNCTION("""COMPUTED_VALUE"""),46056.66666666667)</f>
        <v>46056.66667</v>
      </c>
      <c r="B1349" s="1">
        <f>IFERROR(__xludf.DUMMYFUNCTION("""COMPUTED_VALUE"""),109.7)</f>
        <v>109.7</v>
      </c>
    </row>
    <row r="1350">
      <c r="A1350" s="2">
        <f>IFERROR(__xludf.DUMMYFUNCTION("""COMPUTED_VALUE"""),46057.66666666667)</f>
        <v>46057.66667</v>
      </c>
      <c r="B1350" s="1">
        <f>IFERROR(__xludf.DUMMYFUNCTION("""COMPUTED_VALUE"""),110.5)</f>
        <v>110.5</v>
      </c>
    </row>
    <row r="1351">
      <c r="A1351" s="2">
        <f>IFERROR(__xludf.DUMMYFUNCTION("""COMPUTED_VALUE"""),46058.66666666667)</f>
        <v>46058.66667</v>
      </c>
      <c r="B1351" s="1">
        <f>IFERROR(__xludf.DUMMYFUNCTION("""COMPUTED_VALUE"""),110.11)</f>
        <v>110.11</v>
      </c>
    </row>
    <row r="1352">
      <c r="A1352" s="2">
        <f>IFERROR(__xludf.DUMMYFUNCTION("""COMPUTED_VALUE"""),46059.66666666667)</f>
        <v>46059.66667</v>
      </c>
      <c r="B1352" s="1">
        <f>IFERROR(__xludf.DUMMYFUNCTION("""COMPUTED_VALUE"""),107.67)</f>
        <v>107.67</v>
      </c>
    </row>
    <row r="1353">
      <c r="A1353" s="2">
        <f>IFERROR(__xludf.DUMMYFUNCTION("""COMPUTED_VALUE"""),46062.66666666667)</f>
        <v>46062.66667</v>
      </c>
      <c r="B1353" s="1">
        <f>IFERROR(__xludf.DUMMYFUNCTION("""COMPUTED_VALUE"""),109.79)</f>
        <v>109.79</v>
      </c>
    </row>
    <row r="1354">
      <c r="A1354" s="2">
        <f>IFERROR(__xludf.DUMMYFUNCTION("""COMPUTED_VALUE"""),46063.66666666667)</f>
        <v>46063.66667</v>
      </c>
      <c r="B1354" s="1">
        <f>IFERROR(__xludf.DUMMYFUNCTION("""COMPUTED_VALUE"""),109.96)</f>
        <v>109.96</v>
      </c>
    </row>
    <row r="1355">
      <c r="A1355" s="2">
        <f>IFERROR(__xludf.DUMMYFUNCTION("""COMPUTED_VALUE"""),46064.66666666667)</f>
        <v>46064.66667</v>
      </c>
      <c r="B1355" s="1">
        <f>IFERROR(__xludf.DUMMYFUNCTION("""COMPUTED_VALUE"""),111.55)</f>
        <v>111.55</v>
      </c>
    </row>
    <row r="1356">
      <c r="A1356" s="2">
        <f>IFERROR(__xludf.DUMMYFUNCTION("""COMPUTED_VALUE"""),46065.66666666667)</f>
        <v>46065.66667</v>
      </c>
      <c r="B1356" s="1">
        <f>IFERROR(__xludf.DUMMYFUNCTION("""COMPUTED_VALUE"""),111.8)</f>
        <v>111.8</v>
      </c>
    </row>
    <row r="1357">
      <c r="A1357" s="2">
        <f>IFERROR(__xludf.DUMMYFUNCTION("""COMPUTED_VALUE"""),46066.66666666667)</f>
        <v>46066.66667</v>
      </c>
      <c r="B1357" s="1">
        <f>IFERROR(__xludf.DUMMYFUNCTION("""COMPUTED_VALUE"""),110.28)</f>
        <v>110.28</v>
      </c>
    </row>
    <row r="1358">
      <c r="A1358" s="2">
        <f>IFERROR(__xludf.DUMMYFUNCTION("""COMPUTED_VALUE"""),46069.66666666667)</f>
        <v>46069.66667</v>
      </c>
      <c r="B1358" s="1">
        <f>IFERROR(__xludf.DUMMYFUNCTION("""COMPUTED_VALUE"""),110.5)</f>
        <v>110.5</v>
      </c>
    </row>
    <row r="1359">
      <c r="A1359" s="2">
        <f>IFERROR(__xludf.DUMMYFUNCTION("""COMPUTED_VALUE"""),46070.66666666667)</f>
        <v>46070.66667</v>
      </c>
      <c r="B1359" s="1">
        <f>IFERROR(__xludf.DUMMYFUNCTION("""COMPUTED_VALUE"""),110.82)</f>
        <v>110.82</v>
      </c>
    </row>
    <row r="1360">
      <c r="A1360" s="2">
        <f>IFERROR(__xludf.DUMMYFUNCTION("""COMPUTED_VALUE"""),46071.66666666667)</f>
        <v>46071.66667</v>
      </c>
      <c r="B1360" s="1">
        <f>IFERROR(__xludf.DUMMYFUNCTION("""COMPUTED_VALUE"""),111.57)</f>
        <v>111.57</v>
      </c>
    </row>
    <row r="1361">
      <c r="A1361" s="2">
        <f>IFERROR(__xludf.DUMMYFUNCTION("""COMPUTED_VALUE"""),46072.66666666667)</f>
        <v>46072.66667</v>
      </c>
      <c r="B1361" s="1">
        <f>IFERROR(__xludf.DUMMYFUNCTION("""COMPUTED_VALUE"""),112.57)</f>
        <v>112.57</v>
      </c>
    </row>
    <row r="1362">
      <c r="A1362" s="2">
        <f>IFERROR(__xludf.DUMMYFUNCTION("""COMPUTED_VALUE"""),46073.66666666667)</f>
        <v>46073.66667</v>
      </c>
      <c r="B1362" s="1">
        <f>IFERROR(__xludf.DUMMYFUNCTION("""COMPUTED_VALUE"""),112.5)</f>
        <v>112.5</v>
      </c>
    </row>
    <row r="1363">
      <c r="A1363" s="2">
        <f>IFERROR(__xludf.DUMMYFUNCTION("""COMPUTED_VALUE"""),46076.66666666667)</f>
        <v>46076.66667</v>
      </c>
      <c r="B1363" s="1">
        <f>IFERROR(__xludf.DUMMYFUNCTION("""COMPUTED_VALUE"""),111.8)</f>
        <v>111.8</v>
      </c>
    </row>
    <row r="1364">
      <c r="A1364" s="2">
        <f>IFERROR(__xludf.DUMMYFUNCTION("""COMPUTED_VALUE"""),46077.66666666667)</f>
        <v>46077.66667</v>
      </c>
      <c r="B1364" s="1">
        <f>IFERROR(__xludf.DUMMYFUNCTION("""COMPUTED_VALUE"""),111.94)</f>
        <v>111.94</v>
      </c>
    </row>
    <row r="1365">
      <c r="A1365" s="2">
        <f>IFERROR(__xludf.DUMMYFUNCTION("""COMPUTED_VALUE"""),46078.66666666667)</f>
        <v>46078.66667</v>
      </c>
      <c r="B1365" s="1">
        <f>IFERROR(__xludf.DUMMYFUNCTION("""COMPUTED_VALUE"""),113.13)</f>
        <v>113.13</v>
      </c>
    </row>
    <row r="1366">
      <c r="A1366" s="2">
        <f>IFERROR(__xludf.DUMMYFUNCTION("""COMPUTED_VALUE"""),46079.66666666667)</f>
        <v>46079.66667</v>
      </c>
      <c r="B1366" s="1">
        <f>IFERROR(__xludf.DUMMYFUNCTION("""COMPUTED_VALUE"""),113.92)</f>
        <v>113.92</v>
      </c>
    </row>
    <row r="1367">
      <c r="A1367" s="2">
        <f>IFERROR(__xludf.DUMMYFUNCTION("""COMPUTED_VALUE"""),46080.66666666667)</f>
        <v>46080.66667</v>
      </c>
      <c r="B1367" s="1">
        <f>IFERROR(__xludf.DUMMYFUNCTION("""COMPUTED_VALUE"""),114.14)</f>
        <v>114.14</v>
      </c>
    </row>
    <row r="1368">
      <c r="A1368" s="2">
        <f>IFERROR(__xludf.DUMMYFUNCTION("""COMPUTED_VALUE"""),46083.66666666667)</f>
        <v>46083.66667</v>
      </c>
      <c r="B1368" s="1">
        <f>IFERROR(__xludf.DUMMYFUNCTION("""COMPUTED_VALUE"""),114.22)</f>
        <v>114.22</v>
      </c>
    </row>
    <row r="1369">
      <c r="A1369" s="2">
        <f>IFERROR(__xludf.DUMMYFUNCTION("""COMPUTED_VALUE"""),46084.66666666667)</f>
        <v>46084.66667</v>
      </c>
      <c r="B1369" s="1">
        <f>IFERROR(__xludf.DUMMYFUNCTION("""COMPUTED_VALUE"""),112.76)</f>
        <v>112.76</v>
      </c>
    </row>
    <row r="1370">
      <c r="A1370" s="2">
        <f>IFERROR(__xludf.DUMMYFUNCTION("""COMPUTED_VALUE"""),46085.66666666667)</f>
        <v>46085.66667</v>
      </c>
      <c r="B1370" s="1">
        <f>IFERROR(__xludf.DUMMYFUNCTION("""COMPUTED_VALUE"""),110.6)</f>
        <v>110.6</v>
      </c>
    </row>
    <row r="1371">
      <c r="A1371" s="2">
        <f>IFERROR(__xludf.DUMMYFUNCTION("""COMPUTED_VALUE"""),46086.66666666667)</f>
        <v>46086.66667</v>
      </c>
      <c r="B1371" s="1">
        <f>IFERROR(__xludf.DUMMYFUNCTION("""COMPUTED_VALUE"""),111.51)</f>
        <v>111.51</v>
      </c>
    </row>
    <row r="1372">
      <c r="A1372" s="2">
        <f>IFERROR(__xludf.DUMMYFUNCTION("""COMPUTED_VALUE"""),46087.66666666667)</f>
        <v>46087.66667</v>
      </c>
      <c r="B1372" s="1">
        <f>IFERROR(__xludf.DUMMYFUNCTION("""COMPUTED_VALUE"""),110.44)</f>
        <v>110.44</v>
      </c>
    </row>
    <row r="1373">
      <c r="A1373" s="2">
        <f>IFERROR(__xludf.DUMMYFUNCTION("""COMPUTED_VALUE"""),46090.66666666667)</f>
        <v>46090.66667</v>
      </c>
      <c r="B1373" s="1">
        <f>IFERROR(__xludf.DUMMYFUNCTION("""COMPUTED_VALUE"""),107.22)</f>
        <v>107.22</v>
      </c>
    </row>
    <row r="1374">
      <c r="A1374" s="2">
        <f>IFERROR(__xludf.DUMMYFUNCTION("""COMPUTED_VALUE"""),46091.66666666667)</f>
        <v>46091.66667</v>
      </c>
      <c r="B1374" s="1">
        <f>IFERROR(__xludf.DUMMYFUNCTION("""COMPUTED_VALUE"""),108.48)</f>
        <v>108.48</v>
      </c>
    </row>
    <row r="1375">
      <c r="A1375" s="2">
        <f>IFERROR(__xludf.DUMMYFUNCTION("""COMPUTED_VALUE"""),46092.66666666667)</f>
        <v>46092.66667</v>
      </c>
      <c r="B1375" s="1">
        <f>IFERROR(__xludf.DUMMYFUNCTION("""COMPUTED_VALUE"""),109.18)</f>
        <v>109.18</v>
      </c>
    </row>
    <row r="1376">
      <c r="A1376" s="2">
        <f>IFERROR(__xludf.DUMMYFUNCTION("""COMPUTED_VALUE"""),46093.66666666667)</f>
        <v>46093.66667</v>
      </c>
      <c r="B1376" s="1">
        <f>IFERROR(__xludf.DUMMYFUNCTION("""COMPUTED_VALUE"""),107.76)</f>
        <v>107.76</v>
      </c>
    </row>
    <row r="1377">
      <c r="A1377" s="2">
        <f>IFERROR(__xludf.DUMMYFUNCTION("""COMPUTED_VALUE"""),46094.66666666667)</f>
        <v>46094.66667</v>
      </c>
      <c r="B1377" s="1">
        <f>IFERROR(__xludf.DUMMYFUNCTION("""COMPUTED_VALUE"""),107.56)</f>
        <v>107.56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IFERROR(__xludf.DUMMYFUNCTION("GOOGLEFINANCE(""ASX:VEU"",""close"",DATE(2020,10,1),TODAY(),""daily"")"),"Date")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IFERROR(__xludf.DUMMYFUNCTION("""COMPUTED_VALUE"""),70.9)</f>
        <v>70.9</v>
      </c>
    </row>
    <row r="3">
      <c r="A3" s="2">
        <f>IFERROR(__xludf.DUMMYFUNCTION("""COMPUTED_VALUE"""),44106.66666666667)</f>
        <v>44106.66667</v>
      </c>
      <c r="B3" s="1">
        <f>IFERROR(__xludf.DUMMYFUNCTION("""COMPUTED_VALUE"""),70.18)</f>
        <v>70.18</v>
      </c>
    </row>
    <row r="4">
      <c r="A4" s="2">
        <f>IFERROR(__xludf.DUMMYFUNCTION("""COMPUTED_VALUE"""),44109.66666666667)</f>
        <v>44109.66667</v>
      </c>
      <c r="B4" s="1">
        <f>IFERROR(__xludf.DUMMYFUNCTION("""COMPUTED_VALUE"""),70.89)</f>
        <v>70.89</v>
      </c>
    </row>
    <row r="5">
      <c r="A5" s="2">
        <f>IFERROR(__xludf.DUMMYFUNCTION("""COMPUTED_VALUE"""),44110.66666666667)</f>
        <v>44110.66667</v>
      </c>
      <c r="B5" s="1">
        <f>IFERROR(__xludf.DUMMYFUNCTION("""COMPUTED_VALUE"""),71.01)</f>
        <v>71.01</v>
      </c>
    </row>
    <row r="6">
      <c r="A6" s="2">
        <f>IFERROR(__xludf.DUMMYFUNCTION("""COMPUTED_VALUE"""),44111.66666666667)</f>
        <v>44111.66667</v>
      </c>
      <c r="B6" s="1">
        <f>IFERROR(__xludf.DUMMYFUNCTION("""COMPUTED_VALUE"""),71.86)</f>
        <v>71.86</v>
      </c>
    </row>
    <row r="7">
      <c r="A7" s="2">
        <f>IFERROR(__xludf.DUMMYFUNCTION("""COMPUTED_VALUE"""),44112.66666666667)</f>
        <v>44112.66667</v>
      </c>
      <c r="B7" s="1">
        <f>IFERROR(__xludf.DUMMYFUNCTION("""COMPUTED_VALUE"""),72.11)</f>
        <v>72.11</v>
      </c>
    </row>
    <row r="8">
      <c r="A8" s="2">
        <f>IFERROR(__xludf.DUMMYFUNCTION("""COMPUTED_VALUE"""),44113.66666666667)</f>
        <v>44113.66667</v>
      </c>
      <c r="B8" s="1">
        <f>IFERROR(__xludf.DUMMYFUNCTION("""COMPUTED_VALUE"""),72.27)</f>
        <v>72.27</v>
      </c>
    </row>
    <row r="9">
      <c r="A9" s="2">
        <f>IFERROR(__xludf.DUMMYFUNCTION("""COMPUTED_VALUE"""),44116.66666666667)</f>
        <v>44116.66667</v>
      </c>
      <c r="B9" s="1">
        <f>IFERROR(__xludf.DUMMYFUNCTION("""COMPUTED_VALUE"""),72.33)</f>
        <v>72.33</v>
      </c>
    </row>
    <row r="10">
      <c r="A10" s="2">
        <f>IFERROR(__xludf.DUMMYFUNCTION("""COMPUTED_VALUE"""),44117.66666666667)</f>
        <v>44117.66667</v>
      </c>
      <c r="B10" s="1">
        <f>IFERROR(__xludf.DUMMYFUNCTION("""COMPUTED_VALUE"""),72.94)</f>
        <v>72.94</v>
      </c>
    </row>
    <row r="11">
      <c r="A11" s="2">
        <f>IFERROR(__xludf.DUMMYFUNCTION("""COMPUTED_VALUE"""),44118.66666666667)</f>
        <v>44118.66667</v>
      </c>
      <c r="B11" s="1">
        <f>IFERROR(__xludf.DUMMYFUNCTION("""COMPUTED_VALUE"""),72.68)</f>
        <v>72.68</v>
      </c>
    </row>
    <row r="12">
      <c r="A12" s="2">
        <f>IFERROR(__xludf.DUMMYFUNCTION("""COMPUTED_VALUE"""),44119.66666666667)</f>
        <v>44119.66667</v>
      </c>
      <c r="B12" s="1">
        <f>IFERROR(__xludf.DUMMYFUNCTION("""COMPUTED_VALUE"""),72.51)</f>
        <v>72.51</v>
      </c>
    </row>
    <row r="13">
      <c r="A13" s="2">
        <f>IFERROR(__xludf.DUMMYFUNCTION("""COMPUTED_VALUE"""),44120.66666666667)</f>
        <v>44120.66667</v>
      </c>
      <c r="B13" s="1">
        <f>IFERROR(__xludf.DUMMYFUNCTION("""COMPUTED_VALUE"""),72.48)</f>
        <v>72.48</v>
      </c>
    </row>
    <row r="14">
      <c r="A14" s="2">
        <f>IFERROR(__xludf.DUMMYFUNCTION("""COMPUTED_VALUE"""),44123.66666666667)</f>
        <v>44123.66667</v>
      </c>
      <c r="B14" s="1">
        <f>IFERROR(__xludf.DUMMYFUNCTION("""COMPUTED_VALUE"""),73.24)</f>
        <v>73.24</v>
      </c>
    </row>
    <row r="15">
      <c r="A15" s="2">
        <f>IFERROR(__xludf.DUMMYFUNCTION("""COMPUTED_VALUE"""),44124.66666666667)</f>
        <v>44124.66667</v>
      </c>
      <c r="B15" s="1">
        <f>IFERROR(__xludf.DUMMYFUNCTION("""COMPUTED_VALUE"""),73.18)</f>
        <v>73.18</v>
      </c>
    </row>
    <row r="16">
      <c r="A16" s="2">
        <f>IFERROR(__xludf.DUMMYFUNCTION("""COMPUTED_VALUE"""),44125.66666666667)</f>
        <v>44125.66667</v>
      </c>
      <c r="B16" s="1">
        <f>IFERROR(__xludf.DUMMYFUNCTION("""COMPUTED_VALUE"""),73.57)</f>
        <v>73.57</v>
      </c>
    </row>
    <row r="17">
      <c r="A17" s="2">
        <f>IFERROR(__xludf.DUMMYFUNCTION("""COMPUTED_VALUE"""),44126.66666666667)</f>
        <v>44126.66667</v>
      </c>
      <c r="B17" s="1">
        <f>IFERROR(__xludf.DUMMYFUNCTION("""COMPUTED_VALUE"""),72.44)</f>
        <v>72.44</v>
      </c>
    </row>
    <row r="18">
      <c r="A18" s="2">
        <f>IFERROR(__xludf.DUMMYFUNCTION("""COMPUTED_VALUE"""),44127.66666666667)</f>
        <v>44127.66667</v>
      </c>
      <c r="B18" s="1">
        <f>IFERROR(__xludf.DUMMYFUNCTION("""COMPUTED_VALUE"""),72.82)</f>
        <v>72.82</v>
      </c>
    </row>
    <row r="19">
      <c r="A19" s="2">
        <f>IFERROR(__xludf.DUMMYFUNCTION("""COMPUTED_VALUE"""),44130.66666666667)</f>
        <v>44130.66667</v>
      </c>
      <c r="B19" s="1">
        <f>IFERROR(__xludf.DUMMYFUNCTION("""COMPUTED_VALUE"""),72.28)</f>
        <v>72.28</v>
      </c>
    </row>
    <row r="20">
      <c r="A20" s="2">
        <f>IFERROR(__xludf.DUMMYFUNCTION("""COMPUTED_VALUE"""),44131.66666666667)</f>
        <v>44131.66667</v>
      </c>
      <c r="B20" s="1">
        <f>IFERROR(__xludf.DUMMYFUNCTION("""COMPUTED_VALUE"""),71.82)</f>
        <v>71.82</v>
      </c>
    </row>
    <row r="21">
      <c r="A21" s="2">
        <f>IFERROR(__xludf.DUMMYFUNCTION("""COMPUTED_VALUE"""),44132.66666666667)</f>
        <v>44132.66667</v>
      </c>
      <c r="B21" s="1">
        <f>IFERROR(__xludf.DUMMYFUNCTION("""COMPUTED_VALUE"""),70.95)</f>
        <v>70.95</v>
      </c>
    </row>
    <row r="22">
      <c r="A22" s="2">
        <f>IFERROR(__xludf.DUMMYFUNCTION("""COMPUTED_VALUE"""),44133.66666666667)</f>
        <v>44133.66667</v>
      </c>
      <c r="B22" s="1">
        <f>IFERROR(__xludf.DUMMYFUNCTION("""COMPUTED_VALUE"""),70.6)</f>
        <v>70.6</v>
      </c>
    </row>
    <row r="23">
      <c r="A23" s="2">
        <f>IFERROR(__xludf.DUMMYFUNCTION("""COMPUTED_VALUE"""),44134.66666666667)</f>
        <v>44134.66667</v>
      </c>
      <c r="B23" s="1">
        <f>IFERROR(__xludf.DUMMYFUNCTION("""COMPUTED_VALUE"""),70.25)</f>
        <v>70.25</v>
      </c>
    </row>
    <row r="24">
      <c r="A24" s="2">
        <f>IFERROR(__xludf.DUMMYFUNCTION("""COMPUTED_VALUE"""),44137.66666666667)</f>
        <v>44137.66667</v>
      </c>
      <c r="B24" s="1">
        <f>IFERROR(__xludf.DUMMYFUNCTION("""COMPUTED_VALUE"""),70.51)</f>
        <v>70.51</v>
      </c>
    </row>
    <row r="25">
      <c r="A25" s="2">
        <f>IFERROR(__xludf.DUMMYFUNCTION("""COMPUTED_VALUE"""),44138.66666666667)</f>
        <v>44138.66667</v>
      </c>
      <c r="B25" s="1">
        <f>IFERROR(__xludf.DUMMYFUNCTION("""COMPUTED_VALUE"""),71.64)</f>
        <v>71.64</v>
      </c>
    </row>
    <row r="26">
      <c r="A26" s="2">
        <f>IFERROR(__xludf.DUMMYFUNCTION("""COMPUTED_VALUE"""),44139.66666666667)</f>
        <v>44139.66667</v>
      </c>
      <c r="B26" s="1">
        <f>IFERROR(__xludf.DUMMYFUNCTION("""COMPUTED_VALUE"""),71.71)</f>
        <v>71.71</v>
      </c>
    </row>
    <row r="27">
      <c r="A27" s="2">
        <f>IFERROR(__xludf.DUMMYFUNCTION("""COMPUTED_VALUE"""),44140.66666666667)</f>
        <v>44140.66667</v>
      </c>
      <c r="B27" s="1">
        <f>IFERROR(__xludf.DUMMYFUNCTION("""COMPUTED_VALUE"""),72.64)</f>
        <v>72.64</v>
      </c>
    </row>
    <row r="28">
      <c r="A28" s="2">
        <f>IFERROR(__xludf.DUMMYFUNCTION("""COMPUTED_VALUE"""),44141.66666666667)</f>
        <v>44141.66667</v>
      </c>
      <c r="B28" s="1">
        <f>IFERROR(__xludf.DUMMYFUNCTION("""COMPUTED_VALUE"""),72.56)</f>
        <v>72.56</v>
      </c>
    </row>
    <row r="29">
      <c r="A29" s="2">
        <f>IFERROR(__xludf.DUMMYFUNCTION("""COMPUTED_VALUE"""),44144.66666666667)</f>
        <v>44144.66667</v>
      </c>
      <c r="B29" s="1">
        <f>IFERROR(__xludf.DUMMYFUNCTION("""COMPUTED_VALUE"""),73.87)</f>
        <v>73.87</v>
      </c>
    </row>
    <row r="30">
      <c r="A30" s="2">
        <f>IFERROR(__xludf.DUMMYFUNCTION("""COMPUTED_VALUE"""),44145.66666666667)</f>
        <v>44145.66667</v>
      </c>
      <c r="B30" s="1">
        <f>IFERROR(__xludf.DUMMYFUNCTION("""COMPUTED_VALUE"""),74.0)</f>
        <v>74</v>
      </c>
    </row>
    <row r="31">
      <c r="A31" s="2">
        <f>IFERROR(__xludf.DUMMYFUNCTION("""COMPUTED_VALUE"""),44146.66666666667)</f>
        <v>44146.66667</v>
      </c>
      <c r="B31" s="1">
        <f>IFERROR(__xludf.DUMMYFUNCTION("""COMPUTED_VALUE"""),74.6)</f>
        <v>74.6</v>
      </c>
    </row>
    <row r="32">
      <c r="A32" s="2">
        <f>IFERROR(__xludf.DUMMYFUNCTION("""COMPUTED_VALUE"""),44147.66666666667)</f>
        <v>44147.66667</v>
      </c>
      <c r="B32" s="1">
        <f>IFERROR(__xludf.DUMMYFUNCTION("""COMPUTED_VALUE"""),74.95)</f>
        <v>74.95</v>
      </c>
    </row>
    <row r="33">
      <c r="A33" s="2">
        <f>IFERROR(__xludf.DUMMYFUNCTION("""COMPUTED_VALUE"""),44148.66666666667)</f>
        <v>44148.66667</v>
      </c>
      <c r="B33" s="1">
        <f>IFERROR(__xludf.DUMMYFUNCTION("""COMPUTED_VALUE"""),75.08)</f>
        <v>75.08</v>
      </c>
    </row>
    <row r="34">
      <c r="A34" s="2">
        <f>IFERROR(__xludf.DUMMYFUNCTION("""COMPUTED_VALUE"""),44151.66666666667)</f>
        <v>44151.66667</v>
      </c>
      <c r="B34" s="1">
        <f>IFERROR(__xludf.DUMMYFUNCTION("""COMPUTED_VALUE"""),75.95)</f>
        <v>75.95</v>
      </c>
    </row>
    <row r="35">
      <c r="A35" s="2">
        <f>IFERROR(__xludf.DUMMYFUNCTION("""COMPUTED_VALUE"""),44152.66666666667)</f>
        <v>44152.66667</v>
      </c>
      <c r="B35" s="1">
        <f>IFERROR(__xludf.DUMMYFUNCTION("""COMPUTED_VALUE"""),75.79)</f>
        <v>75.79</v>
      </c>
    </row>
    <row r="36">
      <c r="A36" s="2">
        <f>IFERROR(__xludf.DUMMYFUNCTION("""COMPUTED_VALUE"""),44153.66666666667)</f>
        <v>44153.66667</v>
      </c>
      <c r="B36" s="1">
        <f>IFERROR(__xludf.DUMMYFUNCTION("""COMPUTED_VALUE"""),76.1)</f>
        <v>76.1</v>
      </c>
    </row>
    <row r="37">
      <c r="A37" s="2">
        <f>IFERROR(__xludf.DUMMYFUNCTION("""COMPUTED_VALUE"""),44154.66666666667)</f>
        <v>44154.66667</v>
      </c>
      <c r="B37" s="1">
        <f>IFERROR(__xludf.DUMMYFUNCTION("""COMPUTED_VALUE"""),75.73)</f>
        <v>75.73</v>
      </c>
    </row>
    <row r="38">
      <c r="A38" s="2">
        <f>IFERROR(__xludf.DUMMYFUNCTION("""COMPUTED_VALUE"""),44155.66666666667)</f>
        <v>44155.66667</v>
      </c>
      <c r="B38" s="1">
        <f>IFERROR(__xludf.DUMMYFUNCTION("""COMPUTED_VALUE"""),76.0)</f>
        <v>76</v>
      </c>
    </row>
    <row r="39">
      <c r="A39" s="2">
        <f>IFERROR(__xludf.DUMMYFUNCTION("""COMPUTED_VALUE"""),44158.66666666667)</f>
        <v>44158.66667</v>
      </c>
      <c r="B39" s="1">
        <f>IFERROR(__xludf.DUMMYFUNCTION("""COMPUTED_VALUE"""),76.47)</f>
        <v>76.47</v>
      </c>
    </row>
    <row r="40">
      <c r="A40" s="2">
        <f>IFERROR(__xludf.DUMMYFUNCTION("""COMPUTED_VALUE"""),44159.66666666667)</f>
        <v>44159.66667</v>
      </c>
      <c r="B40" s="1">
        <f>IFERROR(__xludf.DUMMYFUNCTION("""COMPUTED_VALUE"""),76.99)</f>
        <v>76.99</v>
      </c>
    </row>
    <row r="41">
      <c r="A41" s="2">
        <f>IFERROR(__xludf.DUMMYFUNCTION("""COMPUTED_VALUE"""),44160.66666666667)</f>
        <v>44160.66667</v>
      </c>
      <c r="B41" s="1">
        <f>IFERROR(__xludf.DUMMYFUNCTION("""COMPUTED_VALUE"""),76.87)</f>
        <v>76.87</v>
      </c>
    </row>
    <row r="42">
      <c r="A42" s="2">
        <f>IFERROR(__xludf.DUMMYFUNCTION("""COMPUTED_VALUE"""),44161.66666666667)</f>
        <v>44161.66667</v>
      </c>
      <c r="B42" s="1">
        <f>IFERROR(__xludf.DUMMYFUNCTION("""COMPUTED_VALUE"""),76.95)</f>
        <v>76.95</v>
      </c>
    </row>
    <row r="43">
      <c r="A43" s="2">
        <f>IFERROR(__xludf.DUMMYFUNCTION("""COMPUTED_VALUE"""),44162.66666666667)</f>
        <v>44162.66667</v>
      </c>
      <c r="B43" s="1">
        <f>IFERROR(__xludf.DUMMYFUNCTION("""COMPUTED_VALUE"""),76.99)</f>
        <v>76.99</v>
      </c>
    </row>
    <row r="44">
      <c r="A44" s="2">
        <f>IFERROR(__xludf.DUMMYFUNCTION("""COMPUTED_VALUE"""),44165.66666666667)</f>
        <v>44165.66667</v>
      </c>
      <c r="B44" s="1">
        <f>IFERROR(__xludf.DUMMYFUNCTION("""COMPUTED_VALUE"""),76.32)</f>
        <v>76.32</v>
      </c>
    </row>
    <row r="45">
      <c r="A45" s="2">
        <f>IFERROR(__xludf.DUMMYFUNCTION("""COMPUTED_VALUE"""),44166.66666666667)</f>
        <v>44166.66667</v>
      </c>
      <c r="B45" s="1">
        <f>IFERROR(__xludf.DUMMYFUNCTION("""COMPUTED_VALUE"""),76.6)</f>
        <v>76.6</v>
      </c>
    </row>
    <row r="46">
      <c r="A46" s="2">
        <f>IFERROR(__xludf.DUMMYFUNCTION("""COMPUTED_VALUE"""),44167.66666666667)</f>
        <v>44167.66667</v>
      </c>
      <c r="B46" s="1">
        <f>IFERROR(__xludf.DUMMYFUNCTION("""COMPUTED_VALUE"""),76.96)</f>
        <v>76.96</v>
      </c>
    </row>
    <row r="47">
      <c r="A47" s="2">
        <f>IFERROR(__xludf.DUMMYFUNCTION("""COMPUTED_VALUE"""),44168.66666666667)</f>
        <v>44168.66667</v>
      </c>
      <c r="B47" s="1">
        <f>IFERROR(__xludf.DUMMYFUNCTION("""COMPUTED_VALUE"""),77.98)</f>
        <v>77.98</v>
      </c>
    </row>
    <row r="48">
      <c r="A48" s="2">
        <f>IFERROR(__xludf.DUMMYFUNCTION("""COMPUTED_VALUE"""),44169.66666666667)</f>
        <v>44169.66667</v>
      </c>
      <c r="B48" s="1">
        <f>IFERROR(__xludf.DUMMYFUNCTION("""COMPUTED_VALUE"""),77.27)</f>
        <v>77.27</v>
      </c>
    </row>
    <row r="49">
      <c r="A49" s="2">
        <f>IFERROR(__xludf.DUMMYFUNCTION("""COMPUTED_VALUE"""),44172.66666666667)</f>
        <v>44172.66667</v>
      </c>
      <c r="B49" s="1">
        <f>IFERROR(__xludf.DUMMYFUNCTION("""COMPUTED_VALUE"""),77.27)</f>
        <v>77.27</v>
      </c>
    </row>
    <row r="50">
      <c r="A50" s="2">
        <f>IFERROR(__xludf.DUMMYFUNCTION("""COMPUTED_VALUE"""),44173.66666666667)</f>
        <v>44173.66667</v>
      </c>
      <c r="B50" s="1">
        <f>IFERROR(__xludf.DUMMYFUNCTION("""COMPUTED_VALUE"""),77.32)</f>
        <v>77.32</v>
      </c>
    </row>
    <row r="51">
      <c r="A51" s="2">
        <f>IFERROR(__xludf.DUMMYFUNCTION("""COMPUTED_VALUE"""),44174.66666666667)</f>
        <v>44174.66667</v>
      </c>
      <c r="B51" s="1">
        <f>IFERROR(__xludf.DUMMYFUNCTION("""COMPUTED_VALUE"""),77.87)</f>
        <v>77.87</v>
      </c>
    </row>
    <row r="52">
      <c r="A52" s="2">
        <f>IFERROR(__xludf.DUMMYFUNCTION("""COMPUTED_VALUE"""),44175.66666666667)</f>
        <v>44175.66667</v>
      </c>
      <c r="B52" s="1">
        <f>IFERROR(__xludf.DUMMYFUNCTION("""COMPUTED_VALUE"""),77.2)</f>
        <v>77.2</v>
      </c>
    </row>
    <row r="53">
      <c r="A53" s="2">
        <f>IFERROR(__xludf.DUMMYFUNCTION("""COMPUTED_VALUE"""),44176.66666666667)</f>
        <v>44176.66667</v>
      </c>
      <c r="B53" s="1">
        <f>IFERROR(__xludf.DUMMYFUNCTION("""COMPUTED_VALUE"""),76.4)</f>
        <v>76.4</v>
      </c>
    </row>
    <row r="54">
      <c r="A54" s="2">
        <f>IFERROR(__xludf.DUMMYFUNCTION("""COMPUTED_VALUE"""),44179.66666666667)</f>
        <v>44179.66667</v>
      </c>
      <c r="B54" s="1">
        <f>IFERROR(__xludf.DUMMYFUNCTION("""COMPUTED_VALUE"""),76.59)</f>
        <v>76.59</v>
      </c>
    </row>
    <row r="55">
      <c r="A55" s="2">
        <f>IFERROR(__xludf.DUMMYFUNCTION("""COMPUTED_VALUE"""),44180.66666666667)</f>
        <v>44180.66667</v>
      </c>
      <c r="B55" s="1">
        <f>IFERROR(__xludf.DUMMYFUNCTION("""COMPUTED_VALUE"""),76.29)</f>
        <v>76.29</v>
      </c>
    </row>
    <row r="56">
      <c r="A56" s="2">
        <f>IFERROR(__xludf.DUMMYFUNCTION("""COMPUTED_VALUE"""),44181.66666666667)</f>
        <v>44181.66667</v>
      </c>
      <c r="B56" s="1">
        <f>IFERROR(__xludf.DUMMYFUNCTION("""COMPUTED_VALUE"""),76.75)</f>
        <v>76.75</v>
      </c>
    </row>
    <row r="57">
      <c r="A57" s="2">
        <f>IFERROR(__xludf.DUMMYFUNCTION("""COMPUTED_VALUE"""),44182.66666666667)</f>
        <v>44182.66667</v>
      </c>
      <c r="B57" s="1">
        <f>IFERROR(__xludf.DUMMYFUNCTION("""COMPUTED_VALUE"""),77.15)</f>
        <v>77.15</v>
      </c>
    </row>
    <row r="58">
      <c r="A58" s="2">
        <f>IFERROR(__xludf.DUMMYFUNCTION("""COMPUTED_VALUE"""),44183.66666666667)</f>
        <v>44183.66667</v>
      </c>
      <c r="B58" s="1">
        <f>IFERROR(__xludf.DUMMYFUNCTION("""COMPUTED_VALUE"""),77.08)</f>
        <v>77.08</v>
      </c>
    </row>
    <row r="59">
      <c r="A59" s="2">
        <f>IFERROR(__xludf.DUMMYFUNCTION("""COMPUTED_VALUE"""),44186.66666666667)</f>
        <v>44186.66667</v>
      </c>
      <c r="B59" s="1">
        <f>IFERROR(__xludf.DUMMYFUNCTION("""COMPUTED_VALUE"""),76.5)</f>
        <v>76.5</v>
      </c>
    </row>
    <row r="60">
      <c r="A60" s="2">
        <f>IFERROR(__xludf.DUMMYFUNCTION("""COMPUTED_VALUE"""),44187.66666666667)</f>
        <v>44187.66667</v>
      </c>
      <c r="B60" s="1">
        <f>IFERROR(__xludf.DUMMYFUNCTION("""COMPUTED_VALUE"""),75.32)</f>
        <v>75.32</v>
      </c>
    </row>
    <row r="61">
      <c r="A61" s="2">
        <f>IFERROR(__xludf.DUMMYFUNCTION("""COMPUTED_VALUE"""),44188.66666666667)</f>
        <v>44188.66667</v>
      </c>
      <c r="B61" s="1">
        <f>IFERROR(__xludf.DUMMYFUNCTION("""COMPUTED_VALUE"""),75.66)</f>
        <v>75.66</v>
      </c>
    </row>
    <row r="62">
      <c r="A62" s="2">
        <f>IFERROR(__xludf.DUMMYFUNCTION("""COMPUTED_VALUE"""),44189.66666666667)</f>
        <v>44189.66667</v>
      </c>
      <c r="B62" s="1">
        <f>IFERROR(__xludf.DUMMYFUNCTION("""COMPUTED_VALUE"""),76.25)</f>
        <v>76.25</v>
      </c>
    </row>
    <row r="63">
      <c r="A63" s="2">
        <f>IFERROR(__xludf.DUMMYFUNCTION("""COMPUTED_VALUE"""),44194.66666666667)</f>
        <v>44194.66667</v>
      </c>
      <c r="B63" s="1">
        <f>IFERROR(__xludf.DUMMYFUNCTION("""COMPUTED_VALUE"""),77.17)</f>
        <v>77.17</v>
      </c>
    </row>
    <row r="64">
      <c r="A64" s="2">
        <f>IFERROR(__xludf.DUMMYFUNCTION("""COMPUTED_VALUE"""),44195.66666666667)</f>
        <v>44195.66667</v>
      </c>
      <c r="B64" s="1">
        <f>IFERROR(__xludf.DUMMYFUNCTION("""COMPUTED_VALUE"""),76.75)</f>
        <v>76.75</v>
      </c>
    </row>
    <row r="65">
      <c r="A65" s="2">
        <f>IFERROR(__xludf.DUMMYFUNCTION("""COMPUTED_VALUE"""),44196.66666666667)</f>
        <v>44196.66667</v>
      </c>
      <c r="B65" s="1">
        <f>IFERROR(__xludf.DUMMYFUNCTION("""COMPUTED_VALUE"""),76.35)</f>
        <v>76.35</v>
      </c>
    </row>
    <row r="66">
      <c r="A66" s="2">
        <f>IFERROR(__xludf.DUMMYFUNCTION("""COMPUTED_VALUE"""),44200.66666666667)</f>
        <v>44200.66667</v>
      </c>
      <c r="B66" s="1">
        <f>IFERROR(__xludf.DUMMYFUNCTION("""COMPUTED_VALUE"""),76.35)</f>
        <v>76.35</v>
      </c>
    </row>
    <row r="67">
      <c r="A67" s="2">
        <f>IFERROR(__xludf.DUMMYFUNCTION("""COMPUTED_VALUE"""),44201.66666666667)</f>
        <v>44201.66667</v>
      </c>
      <c r="B67" s="1">
        <f>IFERROR(__xludf.DUMMYFUNCTION("""COMPUTED_VALUE"""),76.65)</f>
        <v>76.65</v>
      </c>
    </row>
    <row r="68">
      <c r="A68" s="2">
        <f>IFERROR(__xludf.DUMMYFUNCTION("""COMPUTED_VALUE"""),44202.66666666667)</f>
        <v>44202.66667</v>
      </c>
      <c r="B68" s="1">
        <f>IFERROR(__xludf.DUMMYFUNCTION("""COMPUTED_VALUE"""),76.4)</f>
        <v>76.4</v>
      </c>
    </row>
    <row r="69">
      <c r="A69" s="2">
        <f>IFERROR(__xludf.DUMMYFUNCTION("""COMPUTED_VALUE"""),44203.66666666667)</f>
        <v>44203.66667</v>
      </c>
      <c r="B69" s="1">
        <f>IFERROR(__xludf.DUMMYFUNCTION("""COMPUTED_VALUE"""),76.98)</f>
        <v>76.98</v>
      </c>
    </row>
    <row r="70">
      <c r="A70" s="2">
        <f>IFERROR(__xludf.DUMMYFUNCTION("""COMPUTED_VALUE"""),44204.66666666667)</f>
        <v>44204.66667</v>
      </c>
      <c r="B70" s="1">
        <f>IFERROR(__xludf.DUMMYFUNCTION("""COMPUTED_VALUE"""),77.89)</f>
        <v>77.89</v>
      </c>
    </row>
    <row r="71">
      <c r="A71" s="2">
        <f>IFERROR(__xludf.DUMMYFUNCTION("""COMPUTED_VALUE"""),44207.66666666667)</f>
        <v>44207.66667</v>
      </c>
      <c r="B71" s="1">
        <f>IFERROR(__xludf.DUMMYFUNCTION("""COMPUTED_VALUE"""),78.44)</f>
        <v>78.44</v>
      </c>
    </row>
    <row r="72">
      <c r="A72" s="2">
        <f>IFERROR(__xludf.DUMMYFUNCTION("""COMPUTED_VALUE"""),44208.66666666667)</f>
        <v>44208.66667</v>
      </c>
      <c r="B72" s="1">
        <f>IFERROR(__xludf.DUMMYFUNCTION("""COMPUTED_VALUE"""),78.1)</f>
        <v>78.1</v>
      </c>
    </row>
    <row r="73">
      <c r="A73" s="2">
        <f>IFERROR(__xludf.DUMMYFUNCTION("""COMPUTED_VALUE"""),44209.66666666667)</f>
        <v>44209.66667</v>
      </c>
      <c r="B73" s="1">
        <f>IFERROR(__xludf.DUMMYFUNCTION("""COMPUTED_VALUE"""),78.22)</f>
        <v>78.22</v>
      </c>
    </row>
    <row r="74">
      <c r="A74" s="2">
        <f>IFERROR(__xludf.DUMMYFUNCTION("""COMPUTED_VALUE"""),44210.66666666667)</f>
        <v>44210.66667</v>
      </c>
      <c r="B74" s="1">
        <f>IFERROR(__xludf.DUMMYFUNCTION("""COMPUTED_VALUE"""),78.36)</f>
        <v>78.36</v>
      </c>
    </row>
    <row r="75">
      <c r="A75" s="2">
        <f>IFERROR(__xludf.DUMMYFUNCTION("""COMPUTED_VALUE"""),44211.66666666667)</f>
        <v>44211.66667</v>
      </c>
      <c r="B75" s="1">
        <f>IFERROR(__xludf.DUMMYFUNCTION("""COMPUTED_VALUE"""),78.09)</f>
        <v>78.09</v>
      </c>
    </row>
    <row r="76">
      <c r="A76" s="2">
        <f>IFERROR(__xludf.DUMMYFUNCTION("""COMPUTED_VALUE"""),44214.66666666667)</f>
        <v>44214.66667</v>
      </c>
      <c r="B76" s="1">
        <f>IFERROR(__xludf.DUMMYFUNCTION("""COMPUTED_VALUE"""),78.09)</f>
        <v>78.09</v>
      </c>
    </row>
    <row r="77">
      <c r="A77" s="2">
        <f>IFERROR(__xludf.DUMMYFUNCTION("""COMPUTED_VALUE"""),44215.66666666667)</f>
        <v>44215.66667</v>
      </c>
      <c r="B77" s="1">
        <f>IFERROR(__xludf.DUMMYFUNCTION("""COMPUTED_VALUE"""),78.82)</f>
        <v>78.82</v>
      </c>
    </row>
    <row r="78">
      <c r="A78" s="2">
        <f>IFERROR(__xludf.DUMMYFUNCTION("""COMPUTED_VALUE"""),44216.66666666667)</f>
        <v>44216.66667</v>
      </c>
      <c r="B78" s="1">
        <f>IFERROR(__xludf.DUMMYFUNCTION("""COMPUTED_VALUE"""),78.84)</f>
        <v>78.84</v>
      </c>
    </row>
    <row r="79">
      <c r="A79" s="2">
        <f>IFERROR(__xludf.DUMMYFUNCTION("""COMPUTED_VALUE"""),44217.66666666667)</f>
        <v>44217.66667</v>
      </c>
      <c r="B79" s="1">
        <f>IFERROR(__xludf.DUMMYFUNCTION("""COMPUTED_VALUE"""),79.28)</f>
        <v>79.28</v>
      </c>
    </row>
    <row r="80">
      <c r="A80" s="2">
        <f>IFERROR(__xludf.DUMMYFUNCTION("""COMPUTED_VALUE"""),44218.66666666667)</f>
        <v>44218.66667</v>
      </c>
      <c r="B80" s="1">
        <f>IFERROR(__xludf.DUMMYFUNCTION("""COMPUTED_VALUE"""),79.0)</f>
        <v>79</v>
      </c>
    </row>
    <row r="81">
      <c r="A81" s="2">
        <f>IFERROR(__xludf.DUMMYFUNCTION("""COMPUTED_VALUE"""),44221.66666666667)</f>
        <v>44221.66667</v>
      </c>
      <c r="B81" s="1">
        <f>IFERROR(__xludf.DUMMYFUNCTION("""COMPUTED_VALUE"""),79.43)</f>
        <v>79.43</v>
      </c>
    </row>
    <row r="82">
      <c r="A82" s="2">
        <f>IFERROR(__xludf.DUMMYFUNCTION("""COMPUTED_VALUE"""),44223.66666666667)</f>
        <v>44223.66667</v>
      </c>
      <c r="B82" s="1">
        <f>IFERROR(__xludf.DUMMYFUNCTION("""COMPUTED_VALUE"""),78.44)</f>
        <v>78.44</v>
      </c>
    </row>
    <row r="83">
      <c r="A83" s="2">
        <f>IFERROR(__xludf.DUMMYFUNCTION("""COMPUTED_VALUE"""),44224.66666666667)</f>
        <v>44224.66667</v>
      </c>
      <c r="B83" s="1">
        <f>IFERROR(__xludf.DUMMYFUNCTION("""COMPUTED_VALUE"""),77.83)</f>
        <v>77.83</v>
      </c>
    </row>
    <row r="84">
      <c r="A84" s="2">
        <f>IFERROR(__xludf.DUMMYFUNCTION("""COMPUTED_VALUE"""),44225.66666666667)</f>
        <v>44225.66667</v>
      </c>
      <c r="B84" s="1">
        <f>IFERROR(__xludf.DUMMYFUNCTION("""COMPUTED_VALUE"""),77.19)</f>
        <v>77.19</v>
      </c>
    </row>
    <row r="85">
      <c r="A85" s="2">
        <f>IFERROR(__xludf.DUMMYFUNCTION("""COMPUTED_VALUE"""),44228.66666666667)</f>
        <v>44228.66667</v>
      </c>
      <c r="B85" s="1">
        <f>IFERROR(__xludf.DUMMYFUNCTION("""COMPUTED_VALUE"""),77.34)</f>
        <v>77.34</v>
      </c>
    </row>
    <row r="86">
      <c r="A86" s="2">
        <f>IFERROR(__xludf.DUMMYFUNCTION("""COMPUTED_VALUE"""),44229.66666666667)</f>
        <v>44229.66667</v>
      </c>
      <c r="B86" s="1">
        <f>IFERROR(__xludf.DUMMYFUNCTION("""COMPUTED_VALUE"""),78.67)</f>
        <v>78.67</v>
      </c>
    </row>
    <row r="87">
      <c r="A87" s="2">
        <f>IFERROR(__xludf.DUMMYFUNCTION("""COMPUTED_VALUE"""),44230.66666666667)</f>
        <v>44230.66667</v>
      </c>
      <c r="B87" s="1">
        <f>IFERROR(__xludf.DUMMYFUNCTION("""COMPUTED_VALUE"""),79.4)</f>
        <v>79.4</v>
      </c>
    </row>
    <row r="88">
      <c r="A88" s="2">
        <f>IFERROR(__xludf.DUMMYFUNCTION("""COMPUTED_VALUE"""),44231.66666666667)</f>
        <v>44231.66667</v>
      </c>
      <c r="B88" s="1">
        <f>IFERROR(__xludf.DUMMYFUNCTION("""COMPUTED_VALUE"""),78.81)</f>
        <v>78.81</v>
      </c>
    </row>
    <row r="89">
      <c r="A89" s="2">
        <f>IFERROR(__xludf.DUMMYFUNCTION("""COMPUTED_VALUE"""),44232.66666666667)</f>
        <v>44232.66667</v>
      </c>
      <c r="B89" s="1">
        <f>IFERROR(__xludf.DUMMYFUNCTION("""COMPUTED_VALUE"""),79.78)</f>
        <v>79.78</v>
      </c>
    </row>
    <row r="90">
      <c r="A90" s="2">
        <f>IFERROR(__xludf.DUMMYFUNCTION("""COMPUTED_VALUE"""),44235.66666666667)</f>
        <v>44235.66667</v>
      </c>
      <c r="B90" s="1">
        <f>IFERROR(__xludf.DUMMYFUNCTION("""COMPUTED_VALUE"""),79.73)</f>
        <v>79.73</v>
      </c>
    </row>
    <row r="91">
      <c r="A91" s="2">
        <f>IFERROR(__xludf.DUMMYFUNCTION("""COMPUTED_VALUE"""),44236.66666666667)</f>
        <v>44236.66667</v>
      </c>
      <c r="B91" s="1">
        <f>IFERROR(__xludf.DUMMYFUNCTION("""COMPUTED_VALUE"""),79.37)</f>
        <v>79.37</v>
      </c>
    </row>
    <row r="92">
      <c r="A92" s="2">
        <f>IFERROR(__xludf.DUMMYFUNCTION("""COMPUTED_VALUE"""),44237.66666666667)</f>
        <v>44237.66667</v>
      </c>
      <c r="B92" s="1">
        <f>IFERROR(__xludf.DUMMYFUNCTION("""COMPUTED_VALUE"""),80.09)</f>
        <v>80.09</v>
      </c>
    </row>
    <row r="93">
      <c r="A93" s="2">
        <f>IFERROR(__xludf.DUMMYFUNCTION("""COMPUTED_VALUE"""),44238.66666666667)</f>
        <v>44238.66667</v>
      </c>
      <c r="B93" s="1">
        <f>IFERROR(__xludf.DUMMYFUNCTION("""COMPUTED_VALUE"""),79.89)</f>
        <v>79.89</v>
      </c>
    </row>
    <row r="94">
      <c r="A94" s="2">
        <f>IFERROR(__xludf.DUMMYFUNCTION("""COMPUTED_VALUE"""),44239.66666666667)</f>
        <v>44239.66667</v>
      </c>
      <c r="B94" s="1">
        <f>IFERROR(__xludf.DUMMYFUNCTION("""COMPUTED_VALUE"""),80.03)</f>
        <v>80.03</v>
      </c>
    </row>
    <row r="95">
      <c r="A95" s="2">
        <f>IFERROR(__xludf.DUMMYFUNCTION("""COMPUTED_VALUE"""),44242.66666666667)</f>
        <v>44242.66667</v>
      </c>
      <c r="B95" s="1">
        <f>IFERROR(__xludf.DUMMYFUNCTION("""COMPUTED_VALUE"""),80.6)</f>
        <v>80.6</v>
      </c>
    </row>
    <row r="96">
      <c r="A96" s="2">
        <f>IFERROR(__xludf.DUMMYFUNCTION("""COMPUTED_VALUE"""),44243.66666666667)</f>
        <v>44243.66667</v>
      </c>
      <c r="B96" s="1">
        <f>IFERROR(__xludf.DUMMYFUNCTION("""COMPUTED_VALUE"""),81.05)</f>
        <v>81.05</v>
      </c>
    </row>
    <row r="97">
      <c r="A97" s="2">
        <f>IFERROR(__xludf.DUMMYFUNCTION("""COMPUTED_VALUE"""),44244.66666666667)</f>
        <v>44244.66667</v>
      </c>
      <c r="B97" s="1">
        <f>IFERROR(__xludf.DUMMYFUNCTION("""COMPUTED_VALUE"""),81.0)</f>
        <v>81</v>
      </c>
    </row>
    <row r="98">
      <c r="A98" s="2">
        <f>IFERROR(__xludf.DUMMYFUNCTION("""COMPUTED_VALUE"""),44245.66666666667)</f>
        <v>44245.66667</v>
      </c>
      <c r="B98" s="1">
        <f>IFERROR(__xludf.DUMMYFUNCTION("""COMPUTED_VALUE"""),80.38)</f>
        <v>80.38</v>
      </c>
    </row>
    <row r="99">
      <c r="A99" s="2">
        <f>IFERROR(__xludf.DUMMYFUNCTION("""COMPUTED_VALUE"""),44246.66666666667)</f>
        <v>44246.66667</v>
      </c>
      <c r="B99" s="1">
        <f>IFERROR(__xludf.DUMMYFUNCTION("""COMPUTED_VALUE"""),79.57)</f>
        <v>79.57</v>
      </c>
    </row>
    <row r="100">
      <c r="A100" s="2">
        <f>IFERROR(__xludf.DUMMYFUNCTION("""COMPUTED_VALUE"""),44249.66666666667)</f>
        <v>44249.66667</v>
      </c>
      <c r="B100" s="1">
        <f>IFERROR(__xludf.DUMMYFUNCTION("""COMPUTED_VALUE"""),78.87)</f>
        <v>78.87</v>
      </c>
    </row>
    <row r="101">
      <c r="A101" s="2">
        <f>IFERROR(__xludf.DUMMYFUNCTION("""COMPUTED_VALUE"""),44250.66666666667)</f>
        <v>44250.66667</v>
      </c>
      <c r="B101" s="1">
        <f>IFERROR(__xludf.DUMMYFUNCTION("""COMPUTED_VALUE"""),78.51)</f>
        <v>78.51</v>
      </c>
    </row>
    <row r="102">
      <c r="A102" s="2">
        <f>IFERROR(__xludf.DUMMYFUNCTION("""COMPUTED_VALUE"""),44251.66666666667)</f>
        <v>44251.66667</v>
      </c>
      <c r="B102" s="1">
        <f>IFERROR(__xludf.DUMMYFUNCTION("""COMPUTED_VALUE"""),77.47)</f>
        <v>77.47</v>
      </c>
    </row>
    <row r="103">
      <c r="A103" s="2">
        <f>IFERROR(__xludf.DUMMYFUNCTION("""COMPUTED_VALUE"""),44252.66666666667)</f>
        <v>44252.66667</v>
      </c>
      <c r="B103" s="1">
        <f>IFERROR(__xludf.DUMMYFUNCTION("""COMPUTED_VALUE"""),77.97)</f>
        <v>77.97</v>
      </c>
    </row>
    <row r="104">
      <c r="A104" s="2">
        <f>IFERROR(__xludf.DUMMYFUNCTION("""COMPUTED_VALUE"""),44253.66666666667)</f>
        <v>44253.66667</v>
      </c>
      <c r="B104" s="1">
        <f>IFERROR(__xludf.DUMMYFUNCTION("""COMPUTED_VALUE"""),76.96)</f>
        <v>76.96</v>
      </c>
    </row>
    <row r="105">
      <c r="A105" s="2">
        <f>IFERROR(__xludf.DUMMYFUNCTION("""COMPUTED_VALUE"""),44256.66666666667)</f>
        <v>44256.66667</v>
      </c>
      <c r="B105" s="1">
        <f>IFERROR(__xludf.DUMMYFUNCTION("""COMPUTED_VALUE"""),77.94)</f>
        <v>77.94</v>
      </c>
    </row>
    <row r="106">
      <c r="A106" s="2">
        <f>IFERROR(__xludf.DUMMYFUNCTION("""COMPUTED_VALUE"""),44257.66666666667)</f>
        <v>44257.66667</v>
      </c>
      <c r="B106" s="1">
        <f>IFERROR(__xludf.DUMMYFUNCTION("""COMPUTED_VALUE"""),77.98)</f>
        <v>77.98</v>
      </c>
    </row>
    <row r="107">
      <c r="A107" s="2">
        <f>IFERROR(__xludf.DUMMYFUNCTION("""COMPUTED_VALUE"""),44258.66666666667)</f>
        <v>44258.66667</v>
      </c>
      <c r="B107" s="1">
        <f>IFERROR(__xludf.DUMMYFUNCTION("""COMPUTED_VALUE"""),78.19)</f>
        <v>78.19</v>
      </c>
    </row>
    <row r="108">
      <c r="A108" s="2">
        <f>IFERROR(__xludf.DUMMYFUNCTION("""COMPUTED_VALUE"""),44259.66666666667)</f>
        <v>44259.66667</v>
      </c>
      <c r="B108" s="1">
        <f>IFERROR(__xludf.DUMMYFUNCTION("""COMPUTED_VALUE"""),77.51)</f>
        <v>77.51</v>
      </c>
    </row>
    <row r="109">
      <c r="A109" s="2">
        <f>IFERROR(__xludf.DUMMYFUNCTION("""COMPUTED_VALUE"""),44260.66666666667)</f>
        <v>44260.66667</v>
      </c>
      <c r="B109" s="1">
        <f>IFERROR(__xludf.DUMMYFUNCTION("""COMPUTED_VALUE"""),77.55)</f>
        <v>77.55</v>
      </c>
    </row>
    <row r="110">
      <c r="A110" s="2">
        <f>IFERROR(__xludf.DUMMYFUNCTION("""COMPUTED_VALUE"""),44263.66666666667)</f>
        <v>44263.66667</v>
      </c>
      <c r="B110" s="1">
        <f>IFERROR(__xludf.DUMMYFUNCTION("""COMPUTED_VALUE"""),77.59)</f>
        <v>77.59</v>
      </c>
    </row>
    <row r="111">
      <c r="A111" s="2">
        <f>IFERROR(__xludf.DUMMYFUNCTION("""COMPUTED_VALUE"""),44264.66666666667)</f>
        <v>44264.66667</v>
      </c>
      <c r="B111" s="1">
        <f>IFERROR(__xludf.DUMMYFUNCTION("""COMPUTED_VALUE"""),78.09)</f>
        <v>78.09</v>
      </c>
    </row>
    <row r="112">
      <c r="A112" s="2">
        <f>IFERROR(__xludf.DUMMYFUNCTION("""COMPUTED_VALUE"""),44265.66666666667)</f>
        <v>44265.66667</v>
      </c>
      <c r="B112" s="1">
        <f>IFERROR(__xludf.DUMMYFUNCTION("""COMPUTED_VALUE"""),78.36)</f>
        <v>78.36</v>
      </c>
    </row>
    <row r="113">
      <c r="A113" s="2">
        <f>IFERROR(__xludf.DUMMYFUNCTION("""COMPUTED_VALUE"""),44266.66666666667)</f>
        <v>44266.66667</v>
      </c>
      <c r="B113" s="1">
        <f>IFERROR(__xludf.DUMMYFUNCTION("""COMPUTED_VALUE"""),78.78)</f>
        <v>78.78</v>
      </c>
    </row>
    <row r="114">
      <c r="A114" s="2">
        <f>IFERROR(__xludf.DUMMYFUNCTION("""COMPUTED_VALUE"""),44267.66666666667)</f>
        <v>44267.66667</v>
      </c>
      <c r="B114" s="1">
        <f>IFERROR(__xludf.DUMMYFUNCTION("""COMPUTED_VALUE"""),79.07)</f>
        <v>79.07</v>
      </c>
    </row>
    <row r="115">
      <c r="A115" s="2">
        <f>IFERROR(__xludf.DUMMYFUNCTION("""COMPUTED_VALUE"""),44270.66666666667)</f>
        <v>44270.66667</v>
      </c>
      <c r="B115" s="1">
        <f>IFERROR(__xludf.DUMMYFUNCTION("""COMPUTED_VALUE"""),78.95)</f>
        <v>78.95</v>
      </c>
    </row>
    <row r="116">
      <c r="A116" s="2">
        <f>IFERROR(__xludf.DUMMYFUNCTION("""COMPUTED_VALUE"""),44271.66666666667)</f>
        <v>44271.66667</v>
      </c>
      <c r="B116" s="1">
        <f>IFERROR(__xludf.DUMMYFUNCTION("""COMPUTED_VALUE"""),79.19)</f>
        <v>79.19</v>
      </c>
    </row>
    <row r="117">
      <c r="A117" s="2">
        <f>IFERROR(__xludf.DUMMYFUNCTION("""COMPUTED_VALUE"""),44272.66666666667)</f>
        <v>44272.66667</v>
      </c>
      <c r="B117" s="1">
        <f>IFERROR(__xludf.DUMMYFUNCTION("""COMPUTED_VALUE"""),79.17)</f>
        <v>79.17</v>
      </c>
    </row>
    <row r="118">
      <c r="A118" s="2">
        <f>IFERROR(__xludf.DUMMYFUNCTION("""COMPUTED_VALUE"""),44273.66666666667)</f>
        <v>44273.66667</v>
      </c>
      <c r="B118" s="1">
        <f>IFERROR(__xludf.DUMMYFUNCTION("""COMPUTED_VALUE"""),79.19)</f>
        <v>79.19</v>
      </c>
    </row>
    <row r="119">
      <c r="A119" s="2">
        <f>IFERROR(__xludf.DUMMYFUNCTION("""COMPUTED_VALUE"""),44274.66666666667)</f>
        <v>44274.66667</v>
      </c>
      <c r="B119" s="1">
        <f>IFERROR(__xludf.DUMMYFUNCTION("""COMPUTED_VALUE"""),79.55)</f>
        <v>79.55</v>
      </c>
    </row>
    <row r="120">
      <c r="A120" s="2">
        <f>IFERROR(__xludf.DUMMYFUNCTION("""COMPUTED_VALUE"""),44277.66666666667)</f>
        <v>44277.66667</v>
      </c>
      <c r="B120" s="1">
        <f>IFERROR(__xludf.DUMMYFUNCTION("""COMPUTED_VALUE"""),79.21)</f>
        <v>79.21</v>
      </c>
    </row>
    <row r="121">
      <c r="A121" s="2">
        <f>IFERROR(__xludf.DUMMYFUNCTION("""COMPUTED_VALUE"""),44278.66666666667)</f>
        <v>44278.66667</v>
      </c>
      <c r="B121" s="1">
        <f>IFERROR(__xludf.DUMMYFUNCTION("""COMPUTED_VALUE"""),78.8)</f>
        <v>78.8</v>
      </c>
    </row>
    <row r="122">
      <c r="A122" s="2">
        <f>IFERROR(__xludf.DUMMYFUNCTION("""COMPUTED_VALUE"""),44279.66666666667)</f>
        <v>44279.66667</v>
      </c>
      <c r="B122" s="1">
        <f>IFERROR(__xludf.DUMMYFUNCTION("""COMPUTED_VALUE"""),79.05)</f>
        <v>79.05</v>
      </c>
    </row>
    <row r="123">
      <c r="A123" s="2">
        <f>IFERROR(__xludf.DUMMYFUNCTION("""COMPUTED_VALUE"""),44280.66666666667)</f>
        <v>44280.66667</v>
      </c>
      <c r="B123" s="1">
        <f>IFERROR(__xludf.DUMMYFUNCTION("""COMPUTED_VALUE"""),78.76)</f>
        <v>78.76</v>
      </c>
    </row>
    <row r="124">
      <c r="A124" s="2">
        <f>IFERROR(__xludf.DUMMYFUNCTION("""COMPUTED_VALUE"""),44281.66666666667)</f>
        <v>44281.66667</v>
      </c>
      <c r="B124" s="1">
        <f>IFERROR(__xludf.DUMMYFUNCTION("""COMPUTED_VALUE"""),79.23)</f>
        <v>79.23</v>
      </c>
    </row>
    <row r="125">
      <c r="A125" s="2">
        <f>IFERROR(__xludf.DUMMYFUNCTION("""COMPUTED_VALUE"""),44284.66666666667)</f>
        <v>44284.66667</v>
      </c>
      <c r="B125" s="1">
        <f>IFERROR(__xludf.DUMMYFUNCTION("""COMPUTED_VALUE"""),79.32)</f>
        <v>79.32</v>
      </c>
    </row>
    <row r="126">
      <c r="A126" s="2">
        <f>IFERROR(__xludf.DUMMYFUNCTION("""COMPUTED_VALUE"""),44285.66666666667)</f>
        <v>44285.66667</v>
      </c>
      <c r="B126" s="1">
        <f>IFERROR(__xludf.DUMMYFUNCTION("""COMPUTED_VALUE"""),79.52)</f>
        <v>79.52</v>
      </c>
    </row>
    <row r="127">
      <c r="A127" s="2">
        <f>IFERROR(__xludf.DUMMYFUNCTION("""COMPUTED_VALUE"""),44286.66666666667)</f>
        <v>44286.66667</v>
      </c>
      <c r="B127" s="1">
        <f>IFERROR(__xludf.DUMMYFUNCTION("""COMPUTED_VALUE"""),79.58)</f>
        <v>79.58</v>
      </c>
    </row>
    <row r="128">
      <c r="A128" s="2">
        <f>IFERROR(__xludf.DUMMYFUNCTION("""COMPUTED_VALUE"""),44287.66666666667)</f>
        <v>44287.66667</v>
      </c>
      <c r="B128" s="1">
        <f>IFERROR(__xludf.DUMMYFUNCTION("""COMPUTED_VALUE"""),80.25)</f>
        <v>80.25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IFERROR(__xludf.DUMMYFUNCTION("""COMPUTED_VALUE"""),80.61)</f>
        <v>80.61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IFERROR(__xludf.DUMMYFUNCTION("""COMPUTED_VALUE"""),80.59)</f>
        <v>80.59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IFERROR(__xludf.DUMMYFUNCTION("""COMPUTED_VALUE"""),81.08)</f>
        <v>81.08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IFERROR(__xludf.DUMMYFUNCTION("""COMPUTED_VALUE"""),81.1)</f>
        <v>81.1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IFERROR(__xludf.DUMMYFUNCTION("""COMPUTED_VALUE"""),81.2)</f>
        <v>81.2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IFERROR(__xludf.DUMMYFUNCTION("""COMPUTED_VALUE"""),81.09)</f>
        <v>81.09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IFERROR(__xludf.DUMMYFUNCTION("""COMPUTED_VALUE"""),81.03)</f>
        <v>81.03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IFERROR(__xludf.DUMMYFUNCTION("""COMPUTED_VALUE"""),80.89)</f>
        <v>80.89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IFERROR(__xludf.DUMMYFUNCTION("""COMPUTED_VALUE"""),80.89)</f>
        <v>80.89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IFERROR(__xludf.DUMMYFUNCTION("""COMPUTED_VALUE"""),81.54)</f>
        <v>81.54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IFERROR(__xludf.DUMMYFUNCTION("""COMPUTED_VALUE"""),80.64)</f>
        <v>80.64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IFERROR(__xludf.DUMMYFUNCTION("""COMPUTED_VALUE"""),80.0)</f>
        <v>80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IFERROR(__xludf.DUMMYFUNCTION("""COMPUTED_VALUE"""),80.59)</f>
        <v>80.59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IFERROR(__xludf.DUMMYFUNCTION("""COMPUTED_VALUE"""),80.88)</f>
        <v>80.88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IFERROR(__xludf.DUMMYFUNCTION("""COMPUTED_VALUE"""),80.99)</f>
        <v>80.99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IFERROR(__xludf.DUMMYFUNCTION("""COMPUTED_VALUE"""),80.63)</f>
        <v>80.63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IFERROR(__xludf.DUMMYFUNCTION("""COMPUTED_VALUE"""),81.14)</f>
        <v>81.14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IFERROR(__xludf.DUMMYFUNCTION("""COMPUTED_VALUE"""),81.3)</f>
        <v>81.3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IFERROR(__xludf.DUMMYFUNCTION("""COMPUTED_VALUE"""),80.6)</f>
        <v>80.6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IFERROR(__xludf.DUMMYFUNCTION("""COMPUTED_VALUE"""),80.58)</f>
        <v>80.58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IFERROR(__xludf.DUMMYFUNCTION("""COMPUTED_VALUE"""),80.83)</f>
        <v>80.83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IFERROR(__xludf.DUMMYFUNCTION("""COMPUTED_VALUE"""),80.45)</f>
        <v>80.45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IFERROR(__xludf.DUMMYFUNCTION("""COMPUTED_VALUE"""),80.95)</f>
        <v>80.95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IFERROR(__xludf.DUMMYFUNCTION("""COMPUTED_VALUE"""),81.07)</f>
        <v>81.07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IFERROR(__xludf.DUMMYFUNCTION("""COMPUTED_VALUE"""),81.26)</f>
        <v>81.26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IFERROR(__xludf.DUMMYFUNCTION("""COMPUTED_VALUE"""),80.11)</f>
        <v>80.11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IFERROR(__xludf.DUMMYFUNCTION("""COMPUTED_VALUE"""),79.53)</f>
        <v>79.53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IFERROR(__xludf.DUMMYFUNCTION("""COMPUTED_VALUE"""),79.53)</f>
        <v>79.53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IFERROR(__xludf.DUMMYFUNCTION("""COMPUTED_VALUE"""),80.28)</f>
        <v>80.28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IFERROR(__xludf.DUMMYFUNCTION("""COMPUTED_VALUE"""),80.68)</f>
        <v>80.68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IFERROR(__xludf.DUMMYFUNCTION("""COMPUTED_VALUE"""),81.22)</f>
        <v>81.22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IFERROR(__xludf.DUMMYFUNCTION("""COMPUTED_VALUE"""),80.73)</f>
        <v>80.73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IFERROR(__xludf.DUMMYFUNCTION("""COMPUTED_VALUE"""),80.9)</f>
        <v>80.9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IFERROR(__xludf.DUMMYFUNCTION("""COMPUTED_VALUE"""),81.7)</f>
        <v>81.7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IFERROR(__xludf.DUMMYFUNCTION("""COMPUTED_VALUE"""),81.87)</f>
        <v>81.87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IFERROR(__xludf.DUMMYFUNCTION("""COMPUTED_VALUE"""),82.45)</f>
        <v>82.45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IFERROR(__xludf.DUMMYFUNCTION("""COMPUTED_VALUE"""),82.64)</f>
        <v>82.64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IFERROR(__xludf.DUMMYFUNCTION("""COMPUTED_VALUE"""),82.26)</f>
        <v>82.26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IFERROR(__xludf.DUMMYFUNCTION("""COMPUTED_VALUE"""),83.04)</f>
        <v>83.04</v>
      </c>
    </row>
    <row r="168">
      <c r="A168" s="2">
        <f>IFERROR(__xludf.DUMMYFUNCTION("""COMPUTED_VALUE"""),44347.66666666667)</f>
        <v>44347.66667</v>
      </c>
      <c r="B168" s="1">
        <f>IFERROR(__xludf.DUMMYFUNCTION("""COMPUTED_VALUE"""),83.16)</f>
        <v>83.16</v>
      </c>
    </row>
    <row r="169">
      <c r="A169" s="2">
        <f>IFERROR(__xludf.DUMMYFUNCTION("""COMPUTED_VALUE"""),44348.66666666667)</f>
        <v>44348.66667</v>
      </c>
      <c r="B169" s="1">
        <f>IFERROR(__xludf.DUMMYFUNCTION("""COMPUTED_VALUE"""),83.43)</f>
        <v>83.43</v>
      </c>
    </row>
    <row r="170">
      <c r="A170" s="2">
        <f>IFERROR(__xludf.DUMMYFUNCTION("""COMPUTED_VALUE"""),44349.66666666667)</f>
        <v>44349.66667</v>
      </c>
      <c r="B170" s="1">
        <f>IFERROR(__xludf.DUMMYFUNCTION("""COMPUTED_VALUE"""),83.67)</f>
        <v>83.67</v>
      </c>
    </row>
    <row r="171">
      <c r="A171" s="2">
        <f>IFERROR(__xludf.DUMMYFUNCTION("""COMPUTED_VALUE"""),44350.66666666667)</f>
        <v>44350.66667</v>
      </c>
      <c r="B171" s="1">
        <f>IFERROR(__xludf.DUMMYFUNCTION("""COMPUTED_VALUE"""),84.08)</f>
        <v>84.08</v>
      </c>
    </row>
    <row r="172">
      <c r="A172" s="2">
        <f>IFERROR(__xludf.DUMMYFUNCTION("""COMPUTED_VALUE"""),44351.66666666667)</f>
        <v>44351.66667</v>
      </c>
      <c r="B172" s="1">
        <f>IFERROR(__xludf.DUMMYFUNCTION("""COMPUTED_VALUE"""),84.25)</f>
        <v>84.25</v>
      </c>
    </row>
    <row r="173">
      <c r="A173" s="2">
        <f>IFERROR(__xludf.DUMMYFUNCTION("""COMPUTED_VALUE"""),44354.66666666667)</f>
        <v>44354.66667</v>
      </c>
      <c r="B173" s="1">
        <f>IFERROR(__xludf.DUMMYFUNCTION("""COMPUTED_VALUE"""),84.13)</f>
        <v>84.13</v>
      </c>
    </row>
    <row r="174">
      <c r="A174" s="2">
        <f>IFERROR(__xludf.DUMMYFUNCTION("""COMPUTED_VALUE"""),44355.66666666667)</f>
        <v>44355.66667</v>
      </c>
      <c r="B174" s="1">
        <f>IFERROR(__xludf.DUMMYFUNCTION("""COMPUTED_VALUE"""),84.0)</f>
        <v>84</v>
      </c>
    </row>
    <row r="175">
      <c r="A175" s="2">
        <f>IFERROR(__xludf.DUMMYFUNCTION("""COMPUTED_VALUE"""),44356.66666666667)</f>
        <v>44356.66667</v>
      </c>
      <c r="B175" s="1">
        <f>IFERROR(__xludf.DUMMYFUNCTION("""COMPUTED_VALUE"""),83.91)</f>
        <v>83.91</v>
      </c>
    </row>
    <row r="176">
      <c r="A176" s="2">
        <f>IFERROR(__xludf.DUMMYFUNCTION("""COMPUTED_VALUE"""),44357.66666666667)</f>
        <v>44357.66667</v>
      </c>
      <c r="B176" s="1">
        <f>IFERROR(__xludf.DUMMYFUNCTION("""COMPUTED_VALUE"""),83.99)</f>
        <v>83.99</v>
      </c>
    </row>
    <row r="177">
      <c r="A177" s="2">
        <f>IFERROR(__xludf.DUMMYFUNCTION("""COMPUTED_VALUE"""),44358.66666666667)</f>
        <v>44358.66667</v>
      </c>
      <c r="B177" s="1">
        <f>IFERROR(__xludf.DUMMYFUNCTION("""COMPUTED_VALUE"""),83.95)</f>
        <v>83.95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IFERROR(__xludf.DUMMYFUNCTION("""COMPUTED_VALUE"""),84.69)</f>
        <v>84.69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IFERROR(__xludf.DUMMYFUNCTION("""COMPUTED_VALUE"""),84.77)</f>
        <v>84.77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IFERROR(__xludf.DUMMYFUNCTION("""COMPUTED_VALUE"""),84.53)</f>
        <v>84.53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IFERROR(__xludf.DUMMYFUNCTION("""COMPUTED_VALUE"""),85.33)</f>
        <v>85.33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IFERROR(__xludf.DUMMYFUNCTION("""COMPUTED_VALUE"""),83.95)</f>
        <v>83.95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IFERROR(__xludf.DUMMYFUNCTION("""COMPUTED_VALUE"""),84.41)</f>
        <v>84.41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IFERROR(__xludf.DUMMYFUNCTION("""COMPUTED_VALUE"""),84.25)</f>
        <v>84.25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IFERROR(__xludf.DUMMYFUNCTION("""COMPUTED_VALUE"""),83.81)</f>
        <v>83.81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IFERROR(__xludf.DUMMYFUNCTION("""COMPUTED_VALUE"""),84.35)</f>
        <v>84.35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IFERROR(__xludf.DUMMYFUNCTION("""COMPUTED_VALUE"""),84.75)</f>
        <v>84.75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IFERROR(__xludf.DUMMYFUNCTION("""COMPUTED_VALUE"""),84.45)</f>
        <v>84.45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IFERROR(__xludf.DUMMYFUNCTION("""COMPUTED_VALUE"""),84.79)</f>
        <v>84.79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IFERROR(__xludf.DUMMYFUNCTION("""COMPUTED_VALUE"""),84.53)</f>
        <v>84.53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IFERROR(__xludf.DUMMYFUNCTION("""COMPUTED_VALUE"""),84.61)</f>
        <v>84.61</v>
      </c>
    </row>
    <row r="192">
      <c r="A192" s="2">
        <f>IFERROR(__xludf.DUMMYFUNCTION("""COMPUTED_VALUE"""),44382.66666666667)</f>
        <v>44382.66667</v>
      </c>
      <c r="B192" s="1">
        <f>IFERROR(__xludf.DUMMYFUNCTION("""COMPUTED_VALUE"""),84.59)</f>
        <v>84.59</v>
      </c>
    </row>
    <row r="193">
      <c r="A193" s="2">
        <f>IFERROR(__xludf.DUMMYFUNCTION("""COMPUTED_VALUE"""),44383.66666666667)</f>
        <v>44383.66667</v>
      </c>
      <c r="B193" s="1">
        <f>IFERROR(__xludf.DUMMYFUNCTION("""COMPUTED_VALUE"""),83.73)</f>
        <v>83.73</v>
      </c>
    </row>
    <row r="194">
      <c r="A194" s="2">
        <f>IFERROR(__xludf.DUMMYFUNCTION("""COMPUTED_VALUE"""),44384.66666666667)</f>
        <v>44384.66667</v>
      </c>
      <c r="B194" s="1">
        <f>IFERROR(__xludf.DUMMYFUNCTION("""COMPUTED_VALUE"""),84.23)</f>
        <v>84.23</v>
      </c>
    </row>
    <row r="195">
      <c r="A195" s="2">
        <f>IFERROR(__xludf.DUMMYFUNCTION("""COMPUTED_VALUE"""),44385.66666666667)</f>
        <v>44385.66667</v>
      </c>
      <c r="B195" s="1">
        <f>IFERROR(__xludf.DUMMYFUNCTION("""COMPUTED_VALUE"""),84.07)</f>
        <v>84.07</v>
      </c>
    </row>
    <row r="196">
      <c r="A196" s="2">
        <f>IFERROR(__xludf.DUMMYFUNCTION("""COMPUTED_VALUE"""),44386.66666666667)</f>
        <v>44386.66667</v>
      </c>
      <c r="B196" s="1">
        <f>IFERROR(__xludf.DUMMYFUNCTION("""COMPUTED_VALUE"""),84.0)</f>
        <v>84</v>
      </c>
    </row>
    <row r="197">
      <c r="A197" s="2">
        <f>IFERROR(__xludf.DUMMYFUNCTION("""COMPUTED_VALUE"""),44389.66666666667)</f>
        <v>44389.66667</v>
      </c>
      <c r="B197" s="1">
        <f>IFERROR(__xludf.DUMMYFUNCTION("""COMPUTED_VALUE"""),84.6)</f>
        <v>84.6</v>
      </c>
    </row>
    <row r="198">
      <c r="A198" s="2">
        <f>IFERROR(__xludf.DUMMYFUNCTION("""COMPUTED_VALUE"""),44390.66666666667)</f>
        <v>44390.66667</v>
      </c>
      <c r="B198" s="1">
        <f>IFERROR(__xludf.DUMMYFUNCTION("""COMPUTED_VALUE"""),84.86)</f>
        <v>84.86</v>
      </c>
    </row>
    <row r="199">
      <c r="A199" s="2">
        <f>IFERROR(__xludf.DUMMYFUNCTION("""COMPUTED_VALUE"""),44391.66666666667)</f>
        <v>44391.66667</v>
      </c>
      <c r="B199" s="1">
        <f>IFERROR(__xludf.DUMMYFUNCTION("""COMPUTED_VALUE"""),84.78)</f>
        <v>84.78</v>
      </c>
    </row>
    <row r="200">
      <c r="A200" s="2">
        <f>IFERROR(__xludf.DUMMYFUNCTION("""COMPUTED_VALUE"""),44392.66666666667)</f>
        <v>44392.66667</v>
      </c>
      <c r="B200" s="1">
        <f>IFERROR(__xludf.DUMMYFUNCTION("""COMPUTED_VALUE"""),84.97)</f>
        <v>84.97</v>
      </c>
    </row>
    <row r="201">
      <c r="A201" s="2">
        <f>IFERROR(__xludf.DUMMYFUNCTION("""COMPUTED_VALUE"""),44393.66666666667)</f>
        <v>44393.66667</v>
      </c>
      <c r="B201" s="1">
        <f>IFERROR(__xludf.DUMMYFUNCTION("""COMPUTED_VALUE"""),84.82)</f>
        <v>84.82</v>
      </c>
    </row>
    <row r="202">
      <c r="A202" s="2">
        <f>IFERROR(__xludf.DUMMYFUNCTION("""COMPUTED_VALUE"""),44396.66666666667)</f>
        <v>44396.66667</v>
      </c>
      <c r="B202" s="1">
        <f>IFERROR(__xludf.DUMMYFUNCTION("""COMPUTED_VALUE"""),84.4)</f>
        <v>84.4</v>
      </c>
    </row>
    <row r="203">
      <c r="A203" s="2">
        <f>IFERROR(__xludf.DUMMYFUNCTION("""COMPUTED_VALUE"""),44397.66666666667)</f>
        <v>44397.66667</v>
      </c>
      <c r="B203" s="1">
        <f>IFERROR(__xludf.DUMMYFUNCTION("""COMPUTED_VALUE"""),83.99)</f>
        <v>83.99</v>
      </c>
    </row>
    <row r="204">
      <c r="A204" s="2">
        <f>IFERROR(__xludf.DUMMYFUNCTION("""COMPUTED_VALUE"""),44398.66666666667)</f>
        <v>44398.66667</v>
      </c>
      <c r="B204" s="1">
        <f>IFERROR(__xludf.DUMMYFUNCTION("""COMPUTED_VALUE"""),84.42)</f>
        <v>84.42</v>
      </c>
    </row>
    <row r="205">
      <c r="A205" s="2">
        <f>IFERROR(__xludf.DUMMYFUNCTION("""COMPUTED_VALUE"""),44399.66666666667)</f>
        <v>44399.66667</v>
      </c>
      <c r="B205" s="1">
        <f>IFERROR(__xludf.DUMMYFUNCTION("""COMPUTED_VALUE"""),85.07)</f>
        <v>85.07</v>
      </c>
    </row>
    <row r="206">
      <c r="A206" s="2">
        <f>IFERROR(__xludf.DUMMYFUNCTION("""COMPUTED_VALUE"""),44400.66666666667)</f>
        <v>44400.66667</v>
      </c>
      <c r="B206" s="1">
        <f>IFERROR(__xludf.DUMMYFUNCTION("""COMPUTED_VALUE"""),84.98)</f>
        <v>84.98</v>
      </c>
    </row>
    <row r="207">
      <c r="A207" s="2">
        <f>IFERROR(__xludf.DUMMYFUNCTION("""COMPUTED_VALUE"""),44403.66666666667)</f>
        <v>44403.66667</v>
      </c>
      <c r="B207" s="1">
        <f>IFERROR(__xludf.DUMMYFUNCTION("""COMPUTED_VALUE"""),84.52)</f>
        <v>84.52</v>
      </c>
    </row>
    <row r="208">
      <c r="A208" s="2">
        <f>IFERROR(__xludf.DUMMYFUNCTION("""COMPUTED_VALUE"""),44404.66666666667)</f>
        <v>44404.66667</v>
      </c>
      <c r="B208" s="1">
        <f>IFERROR(__xludf.DUMMYFUNCTION("""COMPUTED_VALUE"""),84.27)</f>
        <v>84.27</v>
      </c>
    </row>
    <row r="209">
      <c r="A209" s="2">
        <f>IFERROR(__xludf.DUMMYFUNCTION("""COMPUTED_VALUE"""),44405.66666666667)</f>
        <v>44405.66667</v>
      </c>
      <c r="B209" s="1">
        <f>IFERROR(__xludf.DUMMYFUNCTION("""COMPUTED_VALUE"""),84.0)</f>
        <v>84</v>
      </c>
    </row>
    <row r="210">
      <c r="A210" s="2">
        <f>IFERROR(__xludf.DUMMYFUNCTION("""COMPUTED_VALUE"""),44406.66666666667)</f>
        <v>44406.66667</v>
      </c>
      <c r="B210" s="1">
        <f>IFERROR(__xludf.DUMMYFUNCTION("""COMPUTED_VALUE"""),84.81)</f>
        <v>84.81</v>
      </c>
    </row>
    <row r="211">
      <c r="A211" s="2">
        <f>IFERROR(__xludf.DUMMYFUNCTION("""COMPUTED_VALUE"""),44407.66666666667)</f>
        <v>44407.66667</v>
      </c>
      <c r="B211" s="1">
        <f>IFERROR(__xludf.DUMMYFUNCTION("""COMPUTED_VALUE"""),84.5)</f>
        <v>84.5</v>
      </c>
    </row>
    <row r="212">
      <c r="A212" s="2">
        <f>IFERROR(__xludf.DUMMYFUNCTION("""COMPUTED_VALUE"""),44410.66666666667)</f>
        <v>44410.66667</v>
      </c>
      <c r="B212" s="1">
        <f>IFERROR(__xludf.DUMMYFUNCTION("""COMPUTED_VALUE"""),85.6)</f>
        <v>85.6</v>
      </c>
    </row>
    <row r="213">
      <c r="A213" s="2">
        <f>IFERROR(__xludf.DUMMYFUNCTION("""COMPUTED_VALUE"""),44411.66666666667)</f>
        <v>44411.66667</v>
      </c>
      <c r="B213" s="1">
        <f>IFERROR(__xludf.DUMMYFUNCTION("""COMPUTED_VALUE"""),85.15)</f>
        <v>85.15</v>
      </c>
    </row>
    <row r="214">
      <c r="A214" s="2">
        <f>IFERROR(__xludf.DUMMYFUNCTION("""COMPUTED_VALUE"""),44412.66666666667)</f>
        <v>44412.66667</v>
      </c>
      <c r="B214" s="1">
        <f>IFERROR(__xludf.DUMMYFUNCTION("""COMPUTED_VALUE"""),85.65)</f>
        <v>85.65</v>
      </c>
    </row>
    <row r="215">
      <c r="A215" s="2">
        <f>IFERROR(__xludf.DUMMYFUNCTION("""COMPUTED_VALUE"""),44413.66666666667)</f>
        <v>44413.66667</v>
      </c>
      <c r="B215" s="1">
        <f>IFERROR(__xludf.DUMMYFUNCTION("""COMPUTED_VALUE"""),85.76)</f>
        <v>85.76</v>
      </c>
    </row>
    <row r="216">
      <c r="A216" s="2">
        <f>IFERROR(__xludf.DUMMYFUNCTION("""COMPUTED_VALUE"""),44414.66666666667)</f>
        <v>44414.66667</v>
      </c>
      <c r="B216" s="1">
        <f>IFERROR(__xludf.DUMMYFUNCTION("""COMPUTED_VALUE"""),85.61)</f>
        <v>85.61</v>
      </c>
    </row>
    <row r="217">
      <c r="A217" s="2">
        <f>IFERROR(__xludf.DUMMYFUNCTION("""COMPUTED_VALUE"""),44417.66666666667)</f>
        <v>44417.66667</v>
      </c>
      <c r="B217" s="1">
        <f>IFERROR(__xludf.DUMMYFUNCTION("""COMPUTED_VALUE"""),85.75)</f>
        <v>85.75</v>
      </c>
    </row>
    <row r="218">
      <c r="A218" s="2">
        <f>IFERROR(__xludf.DUMMYFUNCTION("""COMPUTED_VALUE"""),44418.66666666667)</f>
        <v>44418.66667</v>
      </c>
      <c r="B218" s="1">
        <f>IFERROR(__xludf.DUMMYFUNCTION("""COMPUTED_VALUE"""),86.06)</f>
        <v>86.06</v>
      </c>
    </row>
    <row r="219">
      <c r="A219" s="2">
        <f>IFERROR(__xludf.DUMMYFUNCTION("""COMPUTED_VALUE"""),44419.66666666667)</f>
        <v>44419.66667</v>
      </c>
      <c r="B219" s="1">
        <f>IFERROR(__xludf.DUMMYFUNCTION("""COMPUTED_VALUE"""),86.09)</f>
        <v>86.09</v>
      </c>
    </row>
    <row r="220">
      <c r="A220" s="2">
        <f>IFERROR(__xludf.DUMMYFUNCTION("""COMPUTED_VALUE"""),44420.66666666667)</f>
        <v>44420.66667</v>
      </c>
      <c r="B220" s="1">
        <f>IFERROR(__xludf.DUMMYFUNCTION("""COMPUTED_VALUE"""),86.1)</f>
        <v>86.1</v>
      </c>
    </row>
    <row r="221">
      <c r="A221" s="2">
        <f>IFERROR(__xludf.DUMMYFUNCTION("""COMPUTED_VALUE"""),44421.66666666667)</f>
        <v>44421.66667</v>
      </c>
      <c r="B221" s="1">
        <f>IFERROR(__xludf.DUMMYFUNCTION("""COMPUTED_VALUE"""),86.14)</f>
        <v>86.14</v>
      </c>
    </row>
    <row r="222">
      <c r="A222" s="2">
        <f>IFERROR(__xludf.DUMMYFUNCTION("""COMPUTED_VALUE"""),44424.66666666667)</f>
        <v>44424.66667</v>
      </c>
      <c r="B222" s="1">
        <f>IFERROR(__xludf.DUMMYFUNCTION("""COMPUTED_VALUE"""),86.09)</f>
        <v>86.09</v>
      </c>
    </row>
    <row r="223">
      <c r="A223" s="2">
        <f>IFERROR(__xludf.DUMMYFUNCTION("""COMPUTED_VALUE"""),44425.66666666667)</f>
        <v>44425.66667</v>
      </c>
      <c r="B223" s="1">
        <f>IFERROR(__xludf.DUMMYFUNCTION("""COMPUTED_VALUE"""),85.79)</f>
        <v>85.79</v>
      </c>
    </row>
    <row r="224">
      <c r="A224" s="2">
        <f>IFERROR(__xludf.DUMMYFUNCTION("""COMPUTED_VALUE"""),44426.66666666667)</f>
        <v>44426.66667</v>
      </c>
      <c r="B224" s="1">
        <f>IFERROR(__xludf.DUMMYFUNCTION("""COMPUTED_VALUE"""),86.45)</f>
        <v>86.45</v>
      </c>
    </row>
    <row r="225">
      <c r="A225" s="2">
        <f>IFERROR(__xludf.DUMMYFUNCTION("""COMPUTED_VALUE"""),44427.66666666667)</f>
        <v>44427.66667</v>
      </c>
      <c r="B225" s="1">
        <f>IFERROR(__xludf.DUMMYFUNCTION("""COMPUTED_VALUE"""),86.4)</f>
        <v>86.4</v>
      </c>
    </row>
    <row r="226">
      <c r="A226" s="2">
        <f>IFERROR(__xludf.DUMMYFUNCTION("""COMPUTED_VALUE"""),44428.66666666667)</f>
        <v>44428.66667</v>
      </c>
      <c r="B226" s="1">
        <f>IFERROR(__xludf.DUMMYFUNCTION("""COMPUTED_VALUE"""),85.99)</f>
        <v>85.99</v>
      </c>
    </row>
    <row r="227">
      <c r="A227" s="2">
        <f>IFERROR(__xludf.DUMMYFUNCTION("""COMPUTED_VALUE"""),44431.66666666667)</f>
        <v>44431.66667</v>
      </c>
      <c r="B227" s="1">
        <f>IFERROR(__xludf.DUMMYFUNCTION("""COMPUTED_VALUE"""),86.63)</f>
        <v>86.63</v>
      </c>
    </row>
    <row r="228">
      <c r="A228" s="2">
        <f>IFERROR(__xludf.DUMMYFUNCTION("""COMPUTED_VALUE"""),44432.66666666667)</f>
        <v>44432.66667</v>
      </c>
      <c r="B228" s="1">
        <f>IFERROR(__xludf.DUMMYFUNCTION("""COMPUTED_VALUE"""),86.78)</f>
        <v>86.78</v>
      </c>
    </row>
    <row r="229">
      <c r="A229" s="2">
        <f>IFERROR(__xludf.DUMMYFUNCTION("""COMPUTED_VALUE"""),44433.66666666667)</f>
        <v>44433.66667</v>
      </c>
      <c r="B229" s="1">
        <f>IFERROR(__xludf.DUMMYFUNCTION("""COMPUTED_VALUE"""),86.87)</f>
        <v>86.87</v>
      </c>
    </row>
    <row r="230">
      <c r="A230" s="2">
        <f>IFERROR(__xludf.DUMMYFUNCTION("""COMPUTED_VALUE"""),44434.66666666667)</f>
        <v>44434.66667</v>
      </c>
      <c r="B230" s="1">
        <f>IFERROR(__xludf.DUMMYFUNCTION("""COMPUTED_VALUE"""),86.56)</f>
        <v>86.56</v>
      </c>
    </row>
    <row r="231">
      <c r="A231" s="2">
        <f>IFERROR(__xludf.DUMMYFUNCTION("""COMPUTED_VALUE"""),44435.66666666667)</f>
        <v>44435.66667</v>
      </c>
      <c r="B231" s="1">
        <f>IFERROR(__xludf.DUMMYFUNCTION("""COMPUTED_VALUE"""),86.56)</f>
        <v>86.56</v>
      </c>
    </row>
    <row r="232">
      <c r="A232" s="2">
        <f>IFERROR(__xludf.DUMMYFUNCTION("""COMPUTED_VALUE"""),44438.66666666667)</f>
        <v>44438.66667</v>
      </c>
      <c r="B232" s="1">
        <f>IFERROR(__xludf.DUMMYFUNCTION("""COMPUTED_VALUE"""),86.76)</f>
        <v>86.76</v>
      </c>
    </row>
    <row r="233">
      <c r="A233" s="2">
        <f>IFERROR(__xludf.DUMMYFUNCTION("""COMPUTED_VALUE"""),44439.66666666667)</f>
        <v>44439.66667</v>
      </c>
      <c r="B233" s="1">
        <f>IFERROR(__xludf.DUMMYFUNCTION("""COMPUTED_VALUE"""),86.8)</f>
        <v>86.8</v>
      </c>
    </row>
    <row r="234">
      <c r="A234" s="2">
        <f>IFERROR(__xludf.DUMMYFUNCTION("""COMPUTED_VALUE"""),44440.66666666667)</f>
        <v>44440.66667</v>
      </c>
      <c r="B234" s="1">
        <f>IFERROR(__xludf.DUMMYFUNCTION("""COMPUTED_VALUE"""),87.07)</f>
        <v>87.07</v>
      </c>
    </row>
    <row r="235">
      <c r="A235" s="2">
        <f>IFERROR(__xludf.DUMMYFUNCTION("""COMPUTED_VALUE"""),44441.66666666667)</f>
        <v>44441.66667</v>
      </c>
      <c r="B235" s="1">
        <f>IFERROR(__xludf.DUMMYFUNCTION("""COMPUTED_VALUE"""),86.7)</f>
        <v>86.7</v>
      </c>
    </row>
    <row r="236">
      <c r="A236" s="2">
        <f>IFERROR(__xludf.DUMMYFUNCTION("""COMPUTED_VALUE"""),44442.66666666667)</f>
        <v>44442.66667</v>
      </c>
      <c r="B236" s="1">
        <f>IFERROR(__xludf.DUMMYFUNCTION("""COMPUTED_VALUE"""),86.8)</f>
        <v>86.8</v>
      </c>
    </row>
    <row r="237">
      <c r="A237" s="2">
        <f>IFERROR(__xludf.DUMMYFUNCTION("""COMPUTED_VALUE"""),44445.66666666667)</f>
        <v>44445.66667</v>
      </c>
      <c r="B237" s="1">
        <f>IFERROR(__xludf.DUMMYFUNCTION("""COMPUTED_VALUE"""),86.87)</f>
        <v>86.87</v>
      </c>
    </row>
    <row r="238">
      <c r="A238" s="2">
        <f>IFERROR(__xludf.DUMMYFUNCTION("""COMPUTED_VALUE"""),44446.66666666667)</f>
        <v>44446.66667</v>
      </c>
      <c r="B238" s="1">
        <f>IFERROR(__xludf.DUMMYFUNCTION("""COMPUTED_VALUE"""),87.45)</f>
        <v>87.45</v>
      </c>
    </row>
    <row r="239">
      <c r="A239" s="2">
        <f>IFERROR(__xludf.DUMMYFUNCTION("""COMPUTED_VALUE"""),44447.66666666667)</f>
        <v>44447.66667</v>
      </c>
      <c r="B239" s="1">
        <f>IFERROR(__xludf.DUMMYFUNCTION("""COMPUTED_VALUE"""),87.41)</f>
        <v>87.41</v>
      </c>
    </row>
    <row r="240">
      <c r="A240" s="2">
        <f>IFERROR(__xludf.DUMMYFUNCTION("""COMPUTED_VALUE"""),44448.66666666667)</f>
        <v>44448.66667</v>
      </c>
      <c r="B240" s="1">
        <f>IFERROR(__xludf.DUMMYFUNCTION("""COMPUTED_VALUE"""),86.58)</f>
        <v>86.58</v>
      </c>
    </row>
    <row r="241">
      <c r="A241" s="2">
        <f>IFERROR(__xludf.DUMMYFUNCTION("""COMPUTED_VALUE"""),44449.66666666667)</f>
        <v>44449.66667</v>
      </c>
      <c r="B241" s="1">
        <f>IFERROR(__xludf.DUMMYFUNCTION("""COMPUTED_VALUE"""),87.08)</f>
        <v>87.08</v>
      </c>
    </row>
    <row r="242">
      <c r="A242" s="2">
        <f>IFERROR(__xludf.DUMMYFUNCTION("""COMPUTED_VALUE"""),44452.66666666667)</f>
        <v>44452.66667</v>
      </c>
      <c r="B242" s="1">
        <f>IFERROR(__xludf.DUMMYFUNCTION("""COMPUTED_VALUE"""),86.78)</f>
        <v>86.78</v>
      </c>
    </row>
    <row r="243">
      <c r="A243" s="2">
        <f>IFERROR(__xludf.DUMMYFUNCTION("""COMPUTED_VALUE"""),44453.66666666667)</f>
        <v>44453.66667</v>
      </c>
      <c r="B243" s="1">
        <f>IFERROR(__xludf.DUMMYFUNCTION("""COMPUTED_VALUE"""),87.41)</f>
        <v>87.41</v>
      </c>
    </row>
    <row r="244">
      <c r="A244" s="2">
        <f>IFERROR(__xludf.DUMMYFUNCTION("""COMPUTED_VALUE"""),44454.66666666667)</f>
        <v>44454.66667</v>
      </c>
      <c r="B244" s="1">
        <f>IFERROR(__xludf.DUMMYFUNCTION("""COMPUTED_VALUE"""),87.19)</f>
        <v>87.19</v>
      </c>
    </row>
    <row r="245">
      <c r="A245" s="2">
        <f>IFERROR(__xludf.DUMMYFUNCTION("""COMPUTED_VALUE"""),44455.66666666667)</f>
        <v>44455.66667</v>
      </c>
      <c r="B245" s="1">
        <f>IFERROR(__xludf.DUMMYFUNCTION("""COMPUTED_VALUE"""),86.87)</f>
        <v>86.87</v>
      </c>
    </row>
    <row r="246">
      <c r="A246" s="2">
        <f>IFERROR(__xludf.DUMMYFUNCTION("""COMPUTED_VALUE"""),44456.66666666667)</f>
        <v>44456.66667</v>
      </c>
      <c r="B246" s="1">
        <f>IFERROR(__xludf.DUMMYFUNCTION("""COMPUTED_VALUE"""),87.21)</f>
        <v>87.21</v>
      </c>
    </row>
    <row r="247">
      <c r="A247" s="2">
        <f>IFERROR(__xludf.DUMMYFUNCTION("""COMPUTED_VALUE"""),44459.66666666667)</f>
        <v>44459.66667</v>
      </c>
      <c r="B247" s="1">
        <f>IFERROR(__xludf.DUMMYFUNCTION("""COMPUTED_VALUE"""),86.08)</f>
        <v>86.08</v>
      </c>
    </row>
    <row r="248">
      <c r="A248" s="2">
        <f>IFERROR(__xludf.DUMMYFUNCTION("""COMPUTED_VALUE"""),44460.66666666667)</f>
        <v>44460.66667</v>
      </c>
      <c r="B248" s="1">
        <f>IFERROR(__xludf.DUMMYFUNCTION("""COMPUTED_VALUE"""),84.91)</f>
        <v>84.91</v>
      </c>
    </row>
    <row r="249">
      <c r="A249" s="2">
        <f>IFERROR(__xludf.DUMMYFUNCTION("""COMPUTED_VALUE"""),44461.66666666667)</f>
        <v>44461.66667</v>
      </c>
      <c r="B249" s="1">
        <f>IFERROR(__xludf.DUMMYFUNCTION("""COMPUTED_VALUE"""),85.47)</f>
        <v>85.47</v>
      </c>
    </row>
    <row r="250">
      <c r="A250" s="2">
        <f>IFERROR(__xludf.DUMMYFUNCTION("""COMPUTED_VALUE"""),44462.66666666667)</f>
        <v>44462.66667</v>
      </c>
      <c r="B250" s="1">
        <f>IFERROR(__xludf.DUMMYFUNCTION("""COMPUTED_VALUE"""),86.5)</f>
        <v>86.5</v>
      </c>
    </row>
    <row r="251">
      <c r="A251" s="2">
        <f>IFERROR(__xludf.DUMMYFUNCTION("""COMPUTED_VALUE"""),44463.66666666667)</f>
        <v>44463.66667</v>
      </c>
      <c r="B251" s="1">
        <f>IFERROR(__xludf.DUMMYFUNCTION("""COMPUTED_VALUE"""),86.22)</f>
        <v>86.22</v>
      </c>
    </row>
    <row r="252">
      <c r="A252" s="2">
        <f>IFERROR(__xludf.DUMMYFUNCTION("""COMPUTED_VALUE"""),44466.66666666667)</f>
        <v>44466.66667</v>
      </c>
      <c r="B252" s="1">
        <f>IFERROR(__xludf.DUMMYFUNCTION("""COMPUTED_VALUE"""),86.2)</f>
        <v>86.2</v>
      </c>
    </row>
    <row r="253">
      <c r="A253" s="2">
        <f>IFERROR(__xludf.DUMMYFUNCTION("""COMPUTED_VALUE"""),44467.66666666667)</f>
        <v>44467.66667</v>
      </c>
      <c r="B253" s="1">
        <f>IFERROR(__xludf.DUMMYFUNCTION("""COMPUTED_VALUE"""),85.56)</f>
        <v>85.56</v>
      </c>
    </row>
    <row r="254">
      <c r="A254" s="2">
        <f>IFERROR(__xludf.DUMMYFUNCTION("""COMPUTED_VALUE"""),44468.66666666667)</f>
        <v>44468.66667</v>
      </c>
      <c r="B254" s="1">
        <f>IFERROR(__xludf.DUMMYFUNCTION("""COMPUTED_VALUE"""),84.68)</f>
        <v>84.68</v>
      </c>
    </row>
    <row r="255">
      <c r="A255" s="2">
        <f>IFERROR(__xludf.DUMMYFUNCTION("""COMPUTED_VALUE"""),44469.66666666667)</f>
        <v>44469.66667</v>
      </c>
      <c r="B255" s="1">
        <f>IFERROR(__xludf.DUMMYFUNCTION("""COMPUTED_VALUE"""),85.13)</f>
        <v>85.13</v>
      </c>
    </row>
    <row r="256">
      <c r="A256" s="2">
        <f>IFERROR(__xludf.DUMMYFUNCTION("""COMPUTED_VALUE"""),44470.66666666667)</f>
        <v>44470.66667</v>
      </c>
      <c r="B256" s="1">
        <f>IFERROR(__xludf.DUMMYFUNCTION("""COMPUTED_VALUE"""),83.8)</f>
        <v>83.8</v>
      </c>
    </row>
    <row r="257">
      <c r="A257" s="2">
        <f>IFERROR(__xludf.DUMMYFUNCTION("""COMPUTED_VALUE"""),44473.66666666667)</f>
        <v>44473.66667</v>
      </c>
      <c r="B257" s="1">
        <f>IFERROR(__xludf.DUMMYFUNCTION("""COMPUTED_VALUE"""),83.68)</f>
        <v>83.68</v>
      </c>
    </row>
    <row r="258">
      <c r="A258" s="2">
        <f>IFERROR(__xludf.DUMMYFUNCTION("""COMPUTED_VALUE"""),44474.66666666667)</f>
        <v>44474.66667</v>
      </c>
      <c r="B258" s="1">
        <f>IFERROR(__xludf.DUMMYFUNCTION("""COMPUTED_VALUE"""),83.04)</f>
        <v>83.04</v>
      </c>
    </row>
    <row r="259">
      <c r="A259" s="2">
        <f>IFERROR(__xludf.DUMMYFUNCTION("""COMPUTED_VALUE"""),44475.66666666667)</f>
        <v>44475.66667</v>
      </c>
      <c r="B259" s="1">
        <f>IFERROR(__xludf.DUMMYFUNCTION("""COMPUTED_VALUE"""),82.96)</f>
        <v>82.96</v>
      </c>
    </row>
    <row r="260">
      <c r="A260" s="2">
        <f>IFERROR(__xludf.DUMMYFUNCTION("""COMPUTED_VALUE"""),44476.66666666667)</f>
        <v>44476.66667</v>
      </c>
      <c r="B260" s="1">
        <f>IFERROR(__xludf.DUMMYFUNCTION("""COMPUTED_VALUE"""),83.46)</f>
        <v>83.46</v>
      </c>
    </row>
    <row r="261">
      <c r="A261" s="2">
        <f>IFERROR(__xludf.DUMMYFUNCTION("""COMPUTED_VALUE"""),44477.66666666667)</f>
        <v>44477.66667</v>
      </c>
      <c r="B261" s="1">
        <f>IFERROR(__xludf.DUMMYFUNCTION("""COMPUTED_VALUE"""),83.7)</f>
        <v>83.7</v>
      </c>
    </row>
    <row r="262">
      <c r="A262" s="2">
        <f>IFERROR(__xludf.DUMMYFUNCTION("""COMPUTED_VALUE"""),44480.66666666667)</f>
        <v>44480.66667</v>
      </c>
      <c r="B262" s="1">
        <f>IFERROR(__xludf.DUMMYFUNCTION("""COMPUTED_VALUE"""),84.01)</f>
        <v>84.01</v>
      </c>
    </row>
    <row r="263">
      <c r="A263" s="2">
        <f>IFERROR(__xludf.DUMMYFUNCTION("""COMPUTED_VALUE"""),44481.66666666667)</f>
        <v>44481.66667</v>
      </c>
      <c r="B263" s="1">
        <f>IFERROR(__xludf.DUMMYFUNCTION("""COMPUTED_VALUE"""),82.89)</f>
        <v>82.89</v>
      </c>
    </row>
    <row r="264">
      <c r="A264" s="2">
        <f>IFERROR(__xludf.DUMMYFUNCTION("""COMPUTED_VALUE"""),44482.66666666667)</f>
        <v>44482.66667</v>
      </c>
      <c r="B264" s="1">
        <f>IFERROR(__xludf.DUMMYFUNCTION("""COMPUTED_VALUE"""),83.35)</f>
        <v>83.35</v>
      </c>
    </row>
    <row r="265">
      <c r="A265" s="2">
        <f>IFERROR(__xludf.DUMMYFUNCTION("""COMPUTED_VALUE"""),44483.66666666667)</f>
        <v>44483.66667</v>
      </c>
      <c r="B265" s="1">
        <f>IFERROR(__xludf.DUMMYFUNCTION("""COMPUTED_VALUE"""),83.65)</f>
        <v>83.65</v>
      </c>
    </row>
    <row r="266">
      <c r="A266" s="2">
        <f>IFERROR(__xludf.DUMMYFUNCTION("""COMPUTED_VALUE"""),44484.66666666667)</f>
        <v>44484.66667</v>
      </c>
      <c r="B266" s="1">
        <f>IFERROR(__xludf.DUMMYFUNCTION("""COMPUTED_VALUE"""),84.15)</f>
        <v>84.15</v>
      </c>
    </row>
    <row r="267">
      <c r="A267" s="2">
        <f>IFERROR(__xludf.DUMMYFUNCTION("""COMPUTED_VALUE"""),44487.66666666667)</f>
        <v>44487.66667</v>
      </c>
      <c r="B267" s="1">
        <f>IFERROR(__xludf.DUMMYFUNCTION("""COMPUTED_VALUE"""),84.38)</f>
        <v>84.38</v>
      </c>
    </row>
    <row r="268">
      <c r="A268" s="2">
        <f>IFERROR(__xludf.DUMMYFUNCTION("""COMPUTED_VALUE"""),44488.66666666667)</f>
        <v>44488.66667</v>
      </c>
      <c r="B268" s="1">
        <f>IFERROR(__xludf.DUMMYFUNCTION("""COMPUTED_VALUE"""),84.28)</f>
        <v>84.28</v>
      </c>
    </row>
    <row r="269">
      <c r="A269" s="2">
        <f>IFERROR(__xludf.DUMMYFUNCTION("""COMPUTED_VALUE"""),44489.66666666667)</f>
        <v>44489.66667</v>
      </c>
      <c r="B269" s="1">
        <f>IFERROR(__xludf.DUMMYFUNCTION("""COMPUTED_VALUE"""),84.17)</f>
        <v>84.17</v>
      </c>
    </row>
    <row r="270">
      <c r="A270" s="2">
        <f>IFERROR(__xludf.DUMMYFUNCTION("""COMPUTED_VALUE"""),44490.66666666667)</f>
        <v>44490.66667</v>
      </c>
      <c r="B270" s="1">
        <f>IFERROR(__xludf.DUMMYFUNCTION("""COMPUTED_VALUE"""),83.75)</f>
        <v>83.75</v>
      </c>
    </row>
    <row r="271">
      <c r="A271" s="2">
        <f>IFERROR(__xludf.DUMMYFUNCTION("""COMPUTED_VALUE"""),44491.66666666667)</f>
        <v>44491.66667</v>
      </c>
      <c r="B271" s="1">
        <f>IFERROR(__xludf.DUMMYFUNCTION("""COMPUTED_VALUE"""),84.16)</f>
        <v>84.16</v>
      </c>
    </row>
    <row r="272">
      <c r="A272" s="2">
        <f>IFERROR(__xludf.DUMMYFUNCTION("""COMPUTED_VALUE"""),44494.66666666667)</f>
        <v>44494.66667</v>
      </c>
      <c r="B272" s="1">
        <f>IFERROR(__xludf.DUMMYFUNCTION("""COMPUTED_VALUE"""),84.32)</f>
        <v>84.32</v>
      </c>
    </row>
    <row r="273">
      <c r="A273" s="2">
        <f>IFERROR(__xludf.DUMMYFUNCTION("""COMPUTED_VALUE"""),44495.66666666667)</f>
        <v>44495.66667</v>
      </c>
      <c r="B273" s="1">
        <f>IFERROR(__xludf.DUMMYFUNCTION("""COMPUTED_VALUE"""),84.13)</f>
        <v>84.13</v>
      </c>
    </row>
    <row r="274">
      <c r="A274" s="2">
        <f>IFERROR(__xludf.DUMMYFUNCTION("""COMPUTED_VALUE"""),44496.66666666667)</f>
        <v>44496.66667</v>
      </c>
      <c r="B274" s="1">
        <f>IFERROR(__xludf.DUMMYFUNCTION("""COMPUTED_VALUE"""),83.66)</f>
        <v>83.66</v>
      </c>
    </row>
    <row r="275">
      <c r="A275" s="2">
        <f>IFERROR(__xludf.DUMMYFUNCTION("""COMPUTED_VALUE"""),44497.66666666667)</f>
        <v>44497.66667</v>
      </c>
      <c r="B275" s="1">
        <f>IFERROR(__xludf.DUMMYFUNCTION("""COMPUTED_VALUE"""),83.76)</f>
        <v>83.76</v>
      </c>
    </row>
    <row r="276">
      <c r="A276" s="2">
        <f>IFERROR(__xludf.DUMMYFUNCTION("""COMPUTED_VALUE"""),44498.66666666667)</f>
        <v>44498.66667</v>
      </c>
      <c r="B276" s="1">
        <f>IFERROR(__xludf.DUMMYFUNCTION("""COMPUTED_VALUE"""),83.25)</f>
        <v>83.25</v>
      </c>
    </row>
    <row r="277">
      <c r="A277" s="2">
        <f>IFERROR(__xludf.DUMMYFUNCTION("""COMPUTED_VALUE"""),44501.66666666667)</f>
        <v>44501.66667</v>
      </c>
      <c r="B277" s="1">
        <f>IFERROR(__xludf.DUMMYFUNCTION("""COMPUTED_VALUE"""),83.6)</f>
        <v>83.6</v>
      </c>
    </row>
    <row r="278">
      <c r="A278" s="2">
        <f>IFERROR(__xludf.DUMMYFUNCTION("""COMPUTED_VALUE"""),44502.66666666667)</f>
        <v>44502.66667</v>
      </c>
      <c r="B278" s="1">
        <f>IFERROR(__xludf.DUMMYFUNCTION("""COMPUTED_VALUE"""),84.12)</f>
        <v>84.12</v>
      </c>
    </row>
    <row r="279">
      <c r="A279" s="2">
        <f>IFERROR(__xludf.DUMMYFUNCTION("""COMPUTED_VALUE"""),44503.66666666667)</f>
        <v>44503.66667</v>
      </c>
      <c r="B279" s="1">
        <f>IFERROR(__xludf.DUMMYFUNCTION("""COMPUTED_VALUE"""),84.58)</f>
        <v>84.58</v>
      </c>
    </row>
    <row r="280">
      <c r="A280" s="2">
        <f>IFERROR(__xludf.DUMMYFUNCTION("""COMPUTED_VALUE"""),44504.66666666667)</f>
        <v>44504.66667</v>
      </c>
      <c r="B280" s="1">
        <f>IFERROR(__xludf.DUMMYFUNCTION("""COMPUTED_VALUE"""),85.11)</f>
        <v>85.11</v>
      </c>
    </row>
    <row r="281">
      <c r="A281" s="2">
        <f>IFERROR(__xludf.DUMMYFUNCTION("""COMPUTED_VALUE"""),44505.66666666667)</f>
        <v>44505.66667</v>
      </c>
      <c r="B281" s="1">
        <f>IFERROR(__xludf.DUMMYFUNCTION("""COMPUTED_VALUE"""),85.64)</f>
        <v>85.64</v>
      </c>
    </row>
    <row r="282">
      <c r="A282" s="2">
        <f>IFERROR(__xludf.DUMMYFUNCTION("""COMPUTED_VALUE"""),44508.66666666667)</f>
        <v>44508.66667</v>
      </c>
      <c r="B282" s="1">
        <f>IFERROR(__xludf.DUMMYFUNCTION("""COMPUTED_VALUE"""),85.62)</f>
        <v>85.62</v>
      </c>
    </row>
    <row r="283">
      <c r="A283" s="2">
        <f>IFERROR(__xludf.DUMMYFUNCTION("""COMPUTED_VALUE"""),44509.66666666667)</f>
        <v>44509.66667</v>
      </c>
      <c r="B283" s="1">
        <f>IFERROR(__xludf.DUMMYFUNCTION("""COMPUTED_VALUE"""),85.64)</f>
        <v>85.64</v>
      </c>
    </row>
    <row r="284">
      <c r="A284" s="2">
        <f>IFERROR(__xludf.DUMMYFUNCTION("""COMPUTED_VALUE"""),44510.66666666667)</f>
        <v>44510.66667</v>
      </c>
      <c r="B284" s="1">
        <f>IFERROR(__xludf.DUMMYFUNCTION("""COMPUTED_VALUE"""),86.01)</f>
        <v>86.01</v>
      </c>
    </row>
    <row r="285">
      <c r="A285" s="2">
        <f>IFERROR(__xludf.DUMMYFUNCTION("""COMPUTED_VALUE"""),44511.66666666667)</f>
        <v>44511.66667</v>
      </c>
      <c r="B285" s="1">
        <f>IFERROR(__xludf.DUMMYFUNCTION("""COMPUTED_VALUE"""),86.19)</f>
        <v>86.19</v>
      </c>
    </row>
    <row r="286">
      <c r="A286" s="2">
        <f>IFERROR(__xludf.DUMMYFUNCTION("""COMPUTED_VALUE"""),44512.66666666667)</f>
        <v>44512.66667</v>
      </c>
      <c r="B286" s="1">
        <f>IFERROR(__xludf.DUMMYFUNCTION("""COMPUTED_VALUE"""),86.95)</f>
        <v>86.95</v>
      </c>
    </row>
    <row r="287">
      <c r="A287" s="2">
        <f>IFERROR(__xludf.DUMMYFUNCTION("""COMPUTED_VALUE"""),44515.66666666667)</f>
        <v>44515.66667</v>
      </c>
      <c r="B287" s="1">
        <f>IFERROR(__xludf.DUMMYFUNCTION("""COMPUTED_VALUE"""),86.67)</f>
        <v>86.67</v>
      </c>
    </row>
    <row r="288">
      <c r="A288" s="2">
        <f>IFERROR(__xludf.DUMMYFUNCTION("""COMPUTED_VALUE"""),44516.66666666667)</f>
        <v>44516.66667</v>
      </c>
      <c r="B288" s="1">
        <f>IFERROR(__xludf.DUMMYFUNCTION("""COMPUTED_VALUE"""),86.58)</f>
        <v>86.58</v>
      </c>
    </row>
    <row r="289">
      <c r="A289" s="2">
        <f>IFERROR(__xludf.DUMMYFUNCTION("""COMPUTED_VALUE"""),44517.66666666667)</f>
        <v>44517.66667</v>
      </c>
      <c r="B289" s="1">
        <f>IFERROR(__xludf.DUMMYFUNCTION("""COMPUTED_VALUE"""),86.8)</f>
        <v>86.8</v>
      </c>
    </row>
    <row r="290">
      <c r="A290" s="2">
        <f>IFERROR(__xludf.DUMMYFUNCTION("""COMPUTED_VALUE"""),44518.66666666667)</f>
        <v>44518.66667</v>
      </c>
      <c r="B290" s="1">
        <f>IFERROR(__xludf.DUMMYFUNCTION("""COMPUTED_VALUE"""),86.76)</f>
        <v>86.76</v>
      </c>
    </row>
    <row r="291">
      <c r="A291" s="2">
        <f>IFERROR(__xludf.DUMMYFUNCTION("""COMPUTED_VALUE"""),44519.66666666667)</f>
        <v>44519.66667</v>
      </c>
      <c r="B291" s="1">
        <f>IFERROR(__xludf.DUMMYFUNCTION("""COMPUTED_VALUE"""),86.77)</f>
        <v>86.77</v>
      </c>
    </row>
    <row r="292">
      <c r="A292" s="2">
        <f>IFERROR(__xludf.DUMMYFUNCTION("""COMPUTED_VALUE"""),44522.66666666667)</f>
        <v>44522.66667</v>
      </c>
      <c r="B292" s="1">
        <f>IFERROR(__xludf.DUMMYFUNCTION("""COMPUTED_VALUE"""),86.65)</f>
        <v>86.65</v>
      </c>
    </row>
    <row r="293">
      <c r="A293" s="2">
        <f>IFERROR(__xludf.DUMMYFUNCTION("""COMPUTED_VALUE"""),44523.66666666667)</f>
        <v>44523.66667</v>
      </c>
      <c r="B293" s="1">
        <f>IFERROR(__xludf.DUMMYFUNCTION("""COMPUTED_VALUE"""),86.16)</f>
        <v>86.16</v>
      </c>
    </row>
    <row r="294">
      <c r="A294" s="2">
        <f>IFERROR(__xludf.DUMMYFUNCTION("""COMPUTED_VALUE"""),44524.66666666667)</f>
        <v>44524.66667</v>
      </c>
      <c r="B294" s="1">
        <f>IFERROR(__xludf.DUMMYFUNCTION("""COMPUTED_VALUE"""),85.99)</f>
        <v>85.99</v>
      </c>
    </row>
    <row r="295">
      <c r="A295" s="2">
        <f>IFERROR(__xludf.DUMMYFUNCTION("""COMPUTED_VALUE"""),44525.66666666667)</f>
        <v>44525.66667</v>
      </c>
      <c r="B295" s="1">
        <f>IFERROR(__xludf.DUMMYFUNCTION("""COMPUTED_VALUE"""),86.18)</f>
        <v>86.18</v>
      </c>
    </row>
    <row r="296">
      <c r="A296" s="2">
        <f>IFERROR(__xludf.DUMMYFUNCTION("""COMPUTED_VALUE"""),44526.66666666667)</f>
        <v>44526.66667</v>
      </c>
      <c r="B296" s="1">
        <f>IFERROR(__xludf.DUMMYFUNCTION("""COMPUTED_VALUE"""),85.37)</f>
        <v>85.37</v>
      </c>
    </row>
    <row r="297">
      <c r="A297" s="2">
        <f>IFERROR(__xludf.DUMMYFUNCTION("""COMPUTED_VALUE"""),44529.66666666667)</f>
        <v>44529.66667</v>
      </c>
      <c r="B297" s="1">
        <f>IFERROR(__xludf.DUMMYFUNCTION("""COMPUTED_VALUE"""),85.15)</f>
        <v>85.15</v>
      </c>
    </row>
    <row r="298">
      <c r="A298" s="2">
        <f>IFERROR(__xludf.DUMMYFUNCTION("""COMPUTED_VALUE"""),44530.66666666667)</f>
        <v>44530.66667</v>
      </c>
      <c r="B298" s="1">
        <f>IFERROR(__xludf.DUMMYFUNCTION("""COMPUTED_VALUE"""),84.96)</f>
        <v>84.96</v>
      </c>
    </row>
    <row r="299">
      <c r="A299" s="2">
        <f>IFERROR(__xludf.DUMMYFUNCTION("""COMPUTED_VALUE"""),44531.66666666667)</f>
        <v>44531.66667</v>
      </c>
      <c r="B299" s="1">
        <f>IFERROR(__xludf.DUMMYFUNCTION("""COMPUTED_VALUE"""),84.64)</f>
        <v>84.64</v>
      </c>
    </row>
    <row r="300">
      <c r="A300" s="2">
        <f>IFERROR(__xludf.DUMMYFUNCTION("""COMPUTED_VALUE"""),44532.66666666667)</f>
        <v>44532.66667</v>
      </c>
      <c r="B300" s="1">
        <f>IFERROR(__xludf.DUMMYFUNCTION("""COMPUTED_VALUE"""),85.1)</f>
        <v>85.1</v>
      </c>
    </row>
    <row r="301">
      <c r="A301" s="2">
        <f>IFERROR(__xludf.DUMMYFUNCTION("""COMPUTED_VALUE"""),44533.66666666667)</f>
        <v>44533.66667</v>
      </c>
      <c r="B301" s="1">
        <f>IFERROR(__xludf.DUMMYFUNCTION("""COMPUTED_VALUE"""),85.68)</f>
        <v>85.68</v>
      </c>
    </row>
    <row r="302">
      <c r="A302" s="2">
        <f>IFERROR(__xludf.DUMMYFUNCTION("""COMPUTED_VALUE"""),44536.66666666667)</f>
        <v>44536.66667</v>
      </c>
      <c r="B302" s="1">
        <f>IFERROR(__xludf.DUMMYFUNCTION("""COMPUTED_VALUE"""),86.1)</f>
        <v>86.1</v>
      </c>
    </row>
    <row r="303">
      <c r="A303" s="2">
        <f>IFERROR(__xludf.DUMMYFUNCTION("""COMPUTED_VALUE"""),44537.66666666667)</f>
        <v>44537.66667</v>
      </c>
      <c r="B303" s="1">
        <f>IFERROR(__xludf.DUMMYFUNCTION("""COMPUTED_VALUE"""),86.29)</f>
        <v>86.29</v>
      </c>
    </row>
    <row r="304">
      <c r="A304" s="2">
        <f>IFERROR(__xludf.DUMMYFUNCTION("""COMPUTED_VALUE"""),44538.66666666667)</f>
        <v>44538.66667</v>
      </c>
      <c r="B304" s="1">
        <f>IFERROR(__xludf.DUMMYFUNCTION("""COMPUTED_VALUE"""),86.86)</f>
        <v>86.86</v>
      </c>
    </row>
    <row r="305">
      <c r="A305" s="2">
        <f>IFERROR(__xludf.DUMMYFUNCTION("""COMPUTED_VALUE"""),44539.66666666667)</f>
        <v>44539.66667</v>
      </c>
      <c r="B305" s="1">
        <f>IFERROR(__xludf.DUMMYFUNCTION("""COMPUTED_VALUE"""),86.44)</f>
        <v>86.44</v>
      </c>
    </row>
    <row r="306">
      <c r="A306" s="2">
        <f>IFERROR(__xludf.DUMMYFUNCTION("""COMPUTED_VALUE"""),44540.66666666667)</f>
        <v>44540.66667</v>
      </c>
      <c r="B306" s="1">
        <f>IFERROR(__xludf.DUMMYFUNCTION("""COMPUTED_VALUE"""),86.07)</f>
        <v>86.07</v>
      </c>
    </row>
    <row r="307">
      <c r="A307" s="2">
        <f>IFERROR(__xludf.DUMMYFUNCTION("""COMPUTED_VALUE"""),44543.66666666667)</f>
        <v>44543.66667</v>
      </c>
      <c r="B307" s="1">
        <f>IFERROR(__xludf.DUMMYFUNCTION("""COMPUTED_VALUE"""),86.1)</f>
        <v>86.1</v>
      </c>
    </row>
    <row r="308">
      <c r="A308" s="2">
        <f>IFERROR(__xludf.DUMMYFUNCTION("""COMPUTED_VALUE"""),44544.66666666667)</f>
        <v>44544.66667</v>
      </c>
      <c r="B308" s="1">
        <f>IFERROR(__xludf.DUMMYFUNCTION("""COMPUTED_VALUE"""),85.8)</f>
        <v>85.8</v>
      </c>
    </row>
    <row r="309">
      <c r="A309" s="2">
        <f>IFERROR(__xludf.DUMMYFUNCTION("""COMPUTED_VALUE"""),44545.66666666667)</f>
        <v>44545.66667</v>
      </c>
      <c r="B309" s="1">
        <f>IFERROR(__xludf.DUMMYFUNCTION("""COMPUTED_VALUE"""),85.5)</f>
        <v>85.5</v>
      </c>
    </row>
    <row r="310">
      <c r="A310" s="2">
        <f>IFERROR(__xludf.DUMMYFUNCTION("""COMPUTED_VALUE"""),44546.66666666667)</f>
        <v>44546.66667</v>
      </c>
      <c r="B310" s="1">
        <f>IFERROR(__xludf.DUMMYFUNCTION("""COMPUTED_VALUE"""),85.46)</f>
        <v>85.46</v>
      </c>
    </row>
    <row r="311">
      <c r="A311" s="2">
        <f>IFERROR(__xludf.DUMMYFUNCTION("""COMPUTED_VALUE"""),44547.66666666667)</f>
        <v>44547.66667</v>
      </c>
      <c r="B311" s="1">
        <f>IFERROR(__xludf.DUMMYFUNCTION("""COMPUTED_VALUE"""),85.45)</f>
        <v>85.45</v>
      </c>
    </row>
    <row r="312">
      <c r="A312" s="2">
        <f>IFERROR(__xludf.DUMMYFUNCTION("""COMPUTED_VALUE"""),44550.66666666667)</f>
        <v>44550.66667</v>
      </c>
      <c r="B312" s="1">
        <f>IFERROR(__xludf.DUMMYFUNCTION("""COMPUTED_VALUE"""),84.5)</f>
        <v>84.5</v>
      </c>
    </row>
    <row r="313">
      <c r="A313" s="2">
        <f>IFERROR(__xludf.DUMMYFUNCTION("""COMPUTED_VALUE"""),44551.66666666667)</f>
        <v>44551.66667</v>
      </c>
      <c r="B313" s="1">
        <f>IFERROR(__xludf.DUMMYFUNCTION("""COMPUTED_VALUE"""),83.6)</f>
        <v>83.6</v>
      </c>
    </row>
    <row r="314">
      <c r="A314" s="2">
        <f>IFERROR(__xludf.DUMMYFUNCTION("""COMPUTED_VALUE"""),44552.66666666667)</f>
        <v>44552.66667</v>
      </c>
      <c r="B314" s="1">
        <f>IFERROR(__xludf.DUMMYFUNCTION("""COMPUTED_VALUE"""),84.08)</f>
        <v>84.08</v>
      </c>
    </row>
    <row r="315">
      <c r="A315" s="2">
        <f>IFERROR(__xludf.DUMMYFUNCTION("""COMPUTED_VALUE"""),44553.66666666667)</f>
        <v>44553.66667</v>
      </c>
      <c r="B315" s="1">
        <f>IFERROR(__xludf.DUMMYFUNCTION("""COMPUTED_VALUE"""),84.12)</f>
        <v>84.12</v>
      </c>
    </row>
    <row r="316">
      <c r="A316" s="2">
        <f>IFERROR(__xludf.DUMMYFUNCTION("""COMPUTED_VALUE"""),44554.59027777778)</f>
        <v>44554.59028</v>
      </c>
      <c r="B316" s="1">
        <f>IFERROR(__xludf.DUMMYFUNCTION("""COMPUTED_VALUE"""),84.46)</f>
        <v>84.46</v>
      </c>
    </row>
    <row r="317">
      <c r="A317" s="2">
        <f>IFERROR(__xludf.DUMMYFUNCTION("""COMPUTED_VALUE"""),44559.66666666667)</f>
        <v>44559.66667</v>
      </c>
      <c r="B317" s="1">
        <f>IFERROR(__xludf.DUMMYFUNCTION("""COMPUTED_VALUE"""),84.74)</f>
        <v>84.74</v>
      </c>
    </row>
    <row r="318">
      <c r="A318" s="2">
        <f>IFERROR(__xludf.DUMMYFUNCTION("""COMPUTED_VALUE"""),44560.66666666667)</f>
        <v>44560.66667</v>
      </c>
      <c r="B318" s="1">
        <f>IFERROR(__xludf.DUMMYFUNCTION("""COMPUTED_VALUE"""),84.48)</f>
        <v>84.48</v>
      </c>
    </row>
    <row r="319">
      <c r="A319" s="2">
        <f>IFERROR(__xludf.DUMMYFUNCTION("""COMPUTED_VALUE"""),44561.59027777778)</f>
        <v>44561.59028</v>
      </c>
      <c r="B319" s="1">
        <f>IFERROR(__xludf.DUMMYFUNCTION("""COMPUTED_VALUE"""),84.5)</f>
        <v>84.5</v>
      </c>
    </row>
    <row r="320">
      <c r="A320" s="2">
        <f>IFERROR(__xludf.DUMMYFUNCTION("""COMPUTED_VALUE"""),44565.66666666667)</f>
        <v>44565.66667</v>
      </c>
      <c r="B320" s="1">
        <f>IFERROR(__xludf.DUMMYFUNCTION("""COMPUTED_VALUE"""),85.59)</f>
        <v>85.59</v>
      </c>
    </row>
    <row r="321">
      <c r="A321" s="2">
        <f>IFERROR(__xludf.DUMMYFUNCTION("""COMPUTED_VALUE"""),44566.66666666667)</f>
        <v>44566.66667</v>
      </c>
      <c r="B321" s="1">
        <f>IFERROR(__xludf.DUMMYFUNCTION("""COMPUTED_VALUE"""),85.11)</f>
        <v>85.11</v>
      </c>
    </row>
    <row r="322">
      <c r="A322" s="2">
        <f>IFERROR(__xludf.DUMMYFUNCTION("""COMPUTED_VALUE"""),44567.66666666667)</f>
        <v>44567.66667</v>
      </c>
      <c r="B322" s="1">
        <f>IFERROR(__xludf.DUMMYFUNCTION("""COMPUTED_VALUE"""),84.6)</f>
        <v>84.6</v>
      </c>
    </row>
    <row r="323">
      <c r="A323" s="2">
        <f>IFERROR(__xludf.DUMMYFUNCTION("""COMPUTED_VALUE"""),44568.66666666667)</f>
        <v>44568.66667</v>
      </c>
      <c r="B323" s="1">
        <f>IFERROR(__xludf.DUMMYFUNCTION("""COMPUTED_VALUE"""),85.41)</f>
        <v>85.41</v>
      </c>
    </row>
    <row r="324">
      <c r="A324" s="2">
        <f>IFERROR(__xludf.DUMMYFUNCTION("""COMPUTED_VALUE"""),44571.66666666667)</f>
        <v>44571.66667</v>
      </c>
      <c r="B324" s="1">
        <f>IFERROR(__xludf.DUMMYFUNCTION("""COMPUTED_VALUE"""),85.43)</f>
        <v>85.43</v>
      </c>
    </row>
    <row r="325">
      <c r="A325" s="2">
        <f>IFERROR(__xludf.DUMMYFUNCTION("""COMPUTED_VALUE"""),44572.66666666667)</f>
        <v>44572.66667</v>
      </c>
      <c r="B325" s="1">
        <f>IFERROR(__xludf.DUMMYFUNCTION("""COMPUTED_VALUE"""),85.07)</f>
        <v>85.07</v>
      </c>
    </row>
    <row r="326">
      <c r="A326" s="2">
        <f>IFERROR(__xludf.DUMMYFUNCTION("""COMPUTED_VALUE"""),44573.66666666667)</f>
        <v>44573.66667</v>
      </c>
      <c r="B326" s="1">
        <f>IFERROR(__xludf.DUMMYFUNCTION("""COMPUTED_VALUE"""),85.85)</f>
        <v>85.85</v>
      </c>
    </row>
    <row r="327">
      <c r="A327" s="2">
        <f>IFERROR(__xludf.DUMMYFUNCTION("""COMPUTED_VALUE"""),44574.66666666667)</f>
        <v>44574.66667</v>
      </c>
      <c r="B327" s="1">
        <f>IFERROR(__xludf.DUMMYFUNCTION("""COMPUTED_VALUE"""),85.56)</f>
        <v>85.56</v>
      </c>
    </row>
    <row r="328">
      <c r="A328" s="2">
        <f>IFERROR(__xludf.DUMMYFUNCTION("""COMPUTED_VALUE"""),44575.66666666667)</f>
        <v>44575.66667</v>
      </c>
      <c r="B328" s="1">
        <f>IFERROR(__xludf.DUMMYFUNCTION("""COMPUTED_VALUE"""),85.05)</f>
        <v>85.05</v>
      </c>
    </row>
    <row r="329">
      <c r="A329" s="2">
        <f>IFERROR(__xludf.DUMMYFUNCTION("""COMPUTED_VALUE"""),44578.66666666667)</f>
        <v>44578.66667</v>
      </c>
      <c r="B329" s="1">
        <f>IFERROR(__xludf.DUMMYFUNCTION("""COMPUTED_VALUE"""),85.84)</f>
        <v>85.84</v>
      </c>
    </row>
    <row r="330">
      <c r="A330" s="2">
        <f>IFERROR(__xludf.DUMMYFUNCTION("""COMPUTED_VALUE"""),44579.66666666667)</f>
        <v>44579.66667</v>
      </c>
      <c r="B330" s="1">
        <f>IFERROR(__xludf.DUMMYFUNCTION("""COMPUTED_VALUE"""),85.92)</f>
        <v>85.92</v>
      </c>
    </row>
    <row r="331">
      <c r="A331" s="2">
        <f>IFERROR(__xludf.DUMMYFUNCTION("""COMPUTED_VALUE"""),44580.66666666667)</f>
        <v>44580.66667</v>
      </c>
      <c r="B331" s="1">
        <f>IFERROR(__xludf.DUMMYFUNCTION("""COMPUTED_VALUE"""),85.34)</f>
        <v>85.34</v>
      </c>
    </row>
    <row r="332">
      <c r="A332" s="2">
        <f>IFERROR(__xludf.DUMMYFUNCTION("""COMPUTED_VALUE"""),44581.66666666667)</f>
        <v>44581.66667</v>
      </c>
      <c r="B332" s="1">
        <f>IFERROR(__xludf.DUMMYFUNCTION("""COMPUTED_VALUE"""),84.9)</f>
        <v>84.9</v>
      </c>
    </row>
    <row r="333">
      <c r="A333" s="2">
        <f>IFERROR(__xludf.DUMMYFUNCTION("""COMPUTED_VALUE"""),44582.66666666667)</f>
        <v>44582.66667</v>
      </c>
      <c r="B333" s="1">
        <f>IFERROR(__xludf.DUMMYFUNCTION("""COMPUTED_VALUE"""),84.42)</f>
        <v>84.42</v>
      </c>
    </row>
    <row r="334">
      <c r="A334" s="2">
        <f>IFERROR(__xludf.DUMMYFUNCTION("""COMPUTED_VALUE"""),44585.66666666667)</f>
        <v>44585.66667</v>
      </c>
      <c r="B334" s="1">
        <f>IFERROR(__xludf.DUMMYFUNCTION("""COMPUTED_VALUE"""),84.2)</f>
        <v>84.2</v>
      </c>
    </row>
    <row r="335">
      <c r="A335" s="2">
        <f>IFERROR(__xludf.DUMMYFUNCTION("""COMPUTED_VALUE"""),44586.66666666667)</f>
        <v>44586.66667</v>
      </c>
      <c r="B335" s="1">
        <f>IFERROR(__xludf.DUMMYFUNCTION("""COMPUTED_VALUE"""),82.61)</f>
        <v>82.61</v>
      </c>
    </row>
    <row r="336">
      <c r="A336" s="2">
        <f>IFERROR(__xludf.DUMMYFUNCTION("""COMPUTED_VALUE"""),44588.66666666667)</f>
        <v>44588.66667</v>
      </c>
      <c r="B336" s="1">
        <f>IFERROR(__xludf.DUMMYFUNCTION("""COMPUTED_VALUE"""),81.8)</f>
        <v>81.8</v>
      </c>
    </row>
    <row r="337">
      <c r="A337" s="2">
        <f>IFERROR(__xludf.DUMMYFUNCTION("""COMPUTED_VALUE"""),44589.66666666667)</f>
        <v>44589.66667</v>
      </c>
      <c r="B337" s="1">
        <f>IFERROR(__xludf.DUMMYFUNCTION("""COMPUTED_VALUE"""),83.35)</f>
        <v>83.35</v>
      </c>
    </row>
    <row r="338">
      <c r="A338" s="2">
        <f>IFERROR(__xludf.DUMMYFUNCTION("""COMPUTED_VALUE"""),44592.66666666667)</f>
        <v>44592.66667</v>
      </c>
      <c r="B338" s="1">
        <f>IFERROR(__xludf.DUMMYFUNCTION("""COMPUTED_VALUE"""),84.01)</f>
        <v>84.01</v>
      </c>
    </row>
    <row r="339">
      <c r="A339" s="2">
        <f>IFERROR(__xludf.DUMMYFUNCTION("""COMPUTED_VALUE"""),44593.66666666667)</f>
        <v>44593.66667</v>
      </c>
      <c r="B339" s="1">
        <f>IFERROR(__xludf.DUMMYFUNCTION("""COMPUTED_VALUE"""),84.49)</f>
        <v>84.49</v>
      </c>
    </row>
    <row r="340">
      <c r="A340" s="2">
        <f>IFERROR(__xludf.DUMMYFUNCTION("""COMPUTED_VALUE"""),44594.66666666667)</f>
        <v>44594.66667</v>
      </c>
      <c r="B340" s="1">
        <f>IFERROR(__xludf.DUMMYFUNCTION("""COMPUTED_VALUE"""),84.98)</f>
        <v>84.98</v>
      </c>
    </row>
    <row r="341">
      <c r="A341" s="2">
        <f>IFERROR(__xludf.DUMMYFUNCTION("""COMPUTED_VALUE"""),44595.66666666667)</f>
        <v>44595.66667</v>
      </c>
      <c r="B341" s="1">
        <f>IFERROR(__xludf.DUMMYFUNCTION("""COMPUTED_VALUE"""),84.71)</f>
        <v>84.71</v>
      </c>
    </row>
    <row r="342">
      <c r="A342" s="2">
        <f>IFERROR(__xludf.DUMMYFUNCTION("""COMPUTED_VALUE"""),44596.66666666667)</f>
        <v>44596.66667</v>
      </c>
      <c r="B342" s="1">
        <f>IFERROR(__xludf.DUMMYFUNCTION("""COMPUTED_VALUE"""),84.45)</f>
        <v>84.45</v>
      </c>
    </row>
    <row r="343">
      <c r="A343" s="2">
        <f>IFERROR(__xludf.DUMMYFUNCTION("""COMPUTED_VALUE"""),44599.66666666667)</f>
        <v>44599.66667</v>
      </c>
      <c r="B343" s="1">
        <f>IFERROR(__xludf.DUMMYFUNCTION("""COMPUTED_VALUE"""),84.54)</f>
        <v>84.54</v>
      </c>
    </row>
    <row r="344">
      <c r="A344" s="2">
        <f>IFERROR(__xludf.DUMMYFUNCTION("""COMPUTED_VALUE"""),44600.66666666667)</f>
        <v>44600.66667</v>
      </c>
      <c r="B344" s="1">
        <f>IFERROR(__xludf.DUMMYFUNCTION("""COMPUTED_VALUE"""),84.36)</f>
        <v>84.36</v>
      </c>
    </row>
    <row r="345">
      <c r="A345" s="2">
        <f>IFERROR(__xludf.DUMMYFUNCTION("""COMPUTED_VALUE"""),44601.66666666667)</f>
        <v>44601.66667</v>
      </c>
      <c r="B345" s="1">
        <f>IFERROR(__xludf.DUMMYFUNCTION("""COMPUTED_VALUE"""),84.61)</f>
        <v>84.61</v>
      </c>
    </row>
    <row r="346">
      <c r="A346" s="2">
        <f>IFERROR(__xludf.DUMMYFUNCTION("""COMPUTED_VALUE"""),44602.66666666667)</f>
        <v>44602.66667</v>
      </c>
      <c r="B346" s="1">
        <f>IFERROR(__xludf.DUMMYFUNCTION("""COMPUTED_VALUE"""),85.12)</f>
        <v>85.12</v>
      </c>
    </row>
    <row r="347">
      <c r="A347" s="2">
        <f>IFERROR(__xludf.DUMMYFUNCTION("""COMPUTED_VALUE"""),44603.66666666667)</f>
        <v>44603.66667</v>
      </c>
      <c r="B347" s="1">
        <f>IFERROR(__xludf.DUMMYFUNCTION("""COMPUTED_VALUE"""),84.62)</f>
        <v>84.62</v>
      </c>
    </row>
    <row r="348">
      <c r="A348" s="2">
        <f>IFERROR(__xludf.DUMMYFUNCTION("""COMPUTED_VALUE"""),44606.66666666667)</f>
        <v>44606.66667</v>
      </c>
      <c r="B348" s="1">
        <f>IFERROR(__xludf.DUMMYFUNCTION("""COMPUTED_VALUE"""),84.28)</f>
        <v>84.28</v>
      </c>
    </row>
    <row r="349">
      <c r="A349" s="2">
        <f>IFERROR(__xludf.DUMMYFUNCTION("""COMPUTED_VALUE"""),44607.66666666667)</f>
        <v>44607.66667</v>
      </c>
      <c r="B349" s="1">
        <f>IFERROR(__xludf.DUMMYFUNCTION("""COMPUTED_VALUE"""),83.56)</f>
        <v>83.56</v>
      </c>
    </row>
    <row r="350">
      <c r="A350" s="2">
        <f>IFERROR(__xludf.DUMMYFUNCTION("""COMPUTED_VALUE"""),44608.66666666667)</f>
        <v>44608.66667</v>
      </c>
      <c r="B350" s="1">
        <f>IFERROR(__xludf.DUMMYFUNCTION("""COMPUTED_VALUE"""),84.55)</f>
        <v>84.55</v>
      </c>
    </row>
    <row r="351">
      <c r="A351" s="2">
        <f>IFERROR(__xludf.DUMMYFUNCTION("""COMPUTED_VALUE"""),44609.66666666667)</f>
        <v>44609.66667</v>
      </c>
      <c r="B351" s="1">
        <f>IFERROR(__xludf.DUMMYFUNCTION("""COMPUTED_VALUE"""),84.0)</f>
        <v>84</v>
      </c>
    </row>
    <row r="352">
      <c r="A352" s="2">
        <f>IFERROR(__xludf.DUMMYFUNCTION("""COMPUTED_VALUE"""),44610.66666666667)</f>
        <v>44610.66667</v>
      </c>
      <c r="B352" s="1">
        <f>IFERROR(__xludf.DUMMYFUNCTION("""COMPUTED_VALUE"""),83.81)</f>
        <v>83.81</v>
      </c>
    </row>
    <row r="353">
      <c r="A353" s="2">
        <f>IFERROR(__xludf.DUMMYFUNCTION("""COMPUTED_VALUE"""),44613.66666666667)</f>
        <v>44613.66667</v>
      </c>
      <c r="B353" s="1">
        <f>IFERROR(__xludf.DUMMYFUNCTION("""COMPUTED_VALUE"""),83.11)</f>
        <v>83.11</v>
      </c>
    </row>
    <row r="354">
      <c r="A354" s="2">
        <f>IFERROR(__xludf.DUMMYFUNCTION("""COMPUTED_VALUE"""),44614.66666666667)</f>
        <v>44614.66667</v>
      </c>
      <c r="B354" s="1">
        <f>IFERROR(__xludf.DUMMYFUNCTION("""COMPUTED_VALUE"""),81.14)</f>
        <v>81.14</v>
      </c>
    </row>
    <row r="355">
      <c r="A355" s="2">
        <f>IFERROR(__xludf.DUMMYFUNCTION("""COMPUTED_VALUE"""),44615.66666666667)</f>
        <v>44615.66667</v>
      </c>
      <c r="B355" s="1">
        <f>IFERROR(__xludf.DUMMYFUNCTION("""COMPUTED_VALUE"""),81.85)</f>
        <v>81.85</v>
      </c>
    </row>
    <row r="356">
      <c r="A356" s="2">
        <f>IFERROR(__xludf.DUMMYFUNCTION("""COMPUTED_VALUE"""),44616.66666666667)</f>
        <v>44616.66667</v>
      </c>
      <c r="B356" s="1">
        <f>IFERROR(__xludf.DUMMYFUNCTION("""COMPUTED_VALUE"""),79.45)</f>
        <v>79.45</v>
      </c>
    </row>
    <row r="357">
      <c r="A357" s="2">
        <f>IFERROR(__xludf.DUMMYFUNCTION("""COMPUTED_VALUE"""),44617.66666666667)</f>
        <v>44617.66667</v>
      </c>
      <c r="B357" s="1">
        <f>IFERROR(__xludf.DUMMYFUNCTION("""COMPUTED_VALUE"""),79.96)</f>
        <v>79.96</v>
      </c>
    </row>
    <row r="358">
      <c r="A358" s="2">
        <f>IFERROR(__xludf.DUMMYFUNCTION("""COMPUTED_VALUE"""),44620.66666666667)</f>
        <v>44620.66667</v>
      </c>
      <c r="B358" s="1">
        <f>IFERROR(__xludf.DUMMYFUNCTION("""COMPUTED_VALUE"""),79.32)</f>
        <v>79.32</v>
      </c>
    </row>
    <row r="359">
      <c r="A359" s="2">
        <f>IFERROR(__xludf.DUMMYFUNCTION("""COMPUTED_VALUE"""),44621.66666666667)</f>
        <v>44621.66667</v>
      </c>
      <c r="B359" s="1">
        <f>IFERROR(__xludf.DUMMYFUNCTION("""COMPUTED_VALUE"""),80.1)</f>
        <v>80.1</v>
      </c>
    </row>
    <row r="360">
      <c r="A360" s="2">
        <f>IFERROR(__xludf.DUMMYFUNCTION("""COMPUTED_VALUE"""),44622.66666666667)</f>
        <v>44622.66667</v>
      </c>
      <c r="B360" s="1">
        <f>IFERROR(__xludf.DUMMYFUNCTION("""COMPUTED_VALUE"""),78.71)</f>
        <v>78.71</v>
      </c>
    </row>
    <row r="361">
      <c r="A361" s="2">
        <f>IFERROR(__xludf.DUMMYFUNCTION("""COMPUTED_VALUE"""),44623.66666666667)</f>
        <v>44623.66667</v>
      </c>
      <c r="B361" s="1">
        <f>IFERROR(__xludf.DUMMYFUNCTION("""COMPUTED_VALUE"""),78.63)</f>
        <v>78.63</v>
      </c>
    </row>
    <row r="362">
      <c r="A362" s="2">
        <f>IFERROR(__xludf.DUMMYFUNCTION("""COMPUTED_VALUE"""),44624.66666666667)</f>
        <v>44624.66667</v>
      </c>
      <c r="B362" s="1">
        <f>IFERROR(__xludf.DUMMYFUNCTION("""COMPUTED_VALUE"""),75.9)</f>
        <v>75.9</v>
      </c>
    </row>
    <row r="363">
      <c r="A363" s="2">
        <f>IFERROR(__xludf.DUMMYFUNCTION("""COMPUTED_VALUE"""),44627.66666666667)</f>
        <v>44627.66667</v>
      </c>
      <c r="B363" s="1">
        <f>IFERROR(__xludf.DUMMYFUNCTION("""COMPUTED_VALUE"""),72.45)</f>
        <v>72.45</v>
      </c>
    </row>
    <row r="364">
      <c r="A364" s="2">
        <f>IFERROR(__xludf.DUMMYFUNCTION("""COMPUTED_VALUE"""),44628.66666666667)</f>
        <v>44628.66667</v>
      </c>
      <c r="B364" s="1">
        <f>IFERROR(__xludf.DUMMYFUNCTION("""COMPUTED_VALUE"""),73.09)</f>
        <v>73.09</v>
      </c>
    </row>
    <row r="365">
      <c r="A365" s="2">
        <f>IFERROR(__xludf.DUMMYFUNCTION("""COMPUTED_VALUE"""),44629.66666666667)</f>
        <v>44629.66667</v>
      </c>
      <c r="B365" s="1">
        <f>IFERROR(__xludf.DUMMYFUNCTION("""COMPUTED_VALUE"""),74.22)</f>
        <v>74.22</v>
      </c>
    </row>
    <row r="366">
      <c r="A366" s="2">
        <f>IFERROR(__xludf.DUMMYFUNCTION("""COMPUTED_VALUE"""),44630.66666666667)</f>
        <v>44630.66667</v>
      </c>
      <c r="B366" s="1">
        <f>IFERROR(__xludf.DUMMYFUNCTION("""COMPUTED_VALUE"""),75.88)</f>
        <v>75.88</v>
      </c>
    </row>
    <row r="367">
      <c r="A367" s="2">
        <f>IFERROR(__xludf.DUMMYFUNCTION("""COMPUTED_VALUE"""),44631.66666666667)</f>
        <v>44631.66667</v>
      </c>
      <c r="B367" s="1">
        <f>IFERROR(__xludf.DUMMYFUNCTION("""COMPUTED_VALUE"""),74.23)</f>
        <v>74.23</v>
      </c>
    </row>
    <row r="368">
      <c r="A368" s="2">
        <f>IFERROR(__xludf.DUMMYFUNCTION("""COMPUTED_VALUE"""),44634.66666666667)</f>
        <v>44634.66667</v>
      </c>
      <c r="B368" s="1">
        <f>IFERROR(__xludf.DUMMYFUNCTION("""COMPUTED_VALUE"""),75.39)</f>
        <v>75.39</v>
      </c>
    </row>
    <row r="369">
      <c r="A369" s="2">
        <f>IFERROR(__xludf.DUMMYFUNCTION("""COMPUTED_VALUE"""),44635.66666666667)</f>
        <v>44635.66667</v>
      </c>
      <c r="B369" s="1">
        <f>IFERROR(__xludf.DUMMYFUNCTION("""COMPUTED_VALUE"""),75.58)</f>
        <v>75.58</v>
      </c>
    </row>
    <row r="370">
      <c r="A370" s="2">
        <f>IFERROR(__xludf.DUMMYFUNCTION("""COMPUTED_VALUE"""),44636.66666666667)</f>
        <v>44636.66667</v>
      </c>
      <c r="B370" s="1">
        <f>IFERROR(__xludf.DUMMYFUNCTION("""COMPUTED_VALUE"""),75.79)</f>
        <v>75.79</v>
      </c>
    </row>
    <row r="371">
      <c r="A371" s="2">
        <f>IFERROR(__xludf.DUMMYFUNCTION("""COMPUTED_VALUE"""),44637.66666666667)</f>
        <v>44637.66667</v>
      </c>
      <c r="B371" s="1">
        <f>IFERROR(__xludf.DUMMYFUNCTION("""COMPUTED_VALUE"""),77.65)</f>
        <v>77.65</v>
      </c>
    </row>
    <row r="372">
      <c r="A372" s="2">
        <f>IFERROR(__xludf.DUMMYFUNCTION("""COMPUTED_VALUE"""),44638.66666666667)</f>
        <v>44638.66667</v>
      </c>
      <c r="B372" s="1">
        <f>IFERROR(__xludf.DUMMYFUNCTION("""COMPUTED_VALUE"""),77.1)</f>
        <v>77.1</v>
      </c>
    </row>
    <row r="373">
      <c r="A373" s="2">
        <f>IFERROR(__xludf.DUMMYFUNCTION("""COMPUTED_VALUE"""),44641.66666666667)</f>
        <v>44641.66667</v>
      </c>
      <c r="B373" s="1">
        <f>IFERROR(__xludf.DUMMYFUNCTION("""COMPUTED_VALUE"""),77.39)</f>
        <v>77.39</v>
      </c>
    </row>
    <row r="374">
      <c r="A374" s="2">
        <f>IFERROR(__xludf.DUMMYFUNCTION("""COMPUTED_VALUE"""),44642.66666666667)</f>
        <v>44642.66667</v>
      </c>
      <c r="B374" s="1">
        <f>IFERROR(__xludf.DUMMYFUNCTION("""COMPUTED_VALUE"""),77.2)</f>
        <v>77.2</v>
      </c>
    </row>
    <row r="375">
      <c r="A375" s="2">
        <f>IFERROR(__xludf.DUMMYFUNCTION("""COMPUTED_VALUE"""),44643.66666666667)</f>
        <v>44643.66667</v>
      </c>
      <c r="B375" s="1">
        <f>IFERROR(__xludf.DUMMYFUNCTION("""COMPUTED_VALUE"""),78.36)</f>
        <v>78.36</v>
      </c>
    </row>
    <row r="376">
      <c r="A376" s="2">
        <f>IFERROR(__xludf.DUMMYFUNCTION("""COMPUTED_VALUE"""),44644.66666666667)</f>
        <v>44644.66667</v>
      </c>
      <c r="B376" s="1">
        <f>IFERROR(__xludf.DUMMYFUNCTION("""COMPUTED_VALUE"""),77.11)</f>
        <v>77.11</v>
      </c>
    </row>
    <row r="377">
      <c r="A377" s="2">
        <f>IFERROR(__xludf.DUMMYFUNCTION("""COMPUTED_VALUE"""),44645.66666666667)</f>
        <v>44645.66667</v>
      </c>
      <c r="B377" s="1">
        <f>IFERROR(__xludf.DUMMYFUNCTION("""COMPUTED_VALUE"""),76.71)</f>
        <v>76.71</v>
      </c>
    </row>
    <row r="378">
      <c r="A378" s="2">
        <f>IFERROR(__xludf.DUMMYFUNCTION("""COMPUTED_VALUE"""),44648.66666666667)</f>
        <v>44648.66667</v>
      </c>
      <c r="B378" s="1">
        <f>IFERROR(__xludf.DUMMYFUNCTION("""COMPUTED_VALUE"""),76.3)</f>
        <v>76.3</v>
      </c>
    </row>
    <row r="379">
      <c r="A379" s="2">
        <f>IFERROR(__xludf.DUMMYFUNCTION("""COMPUTED_VALUE"""),44649.66666666667)</f>
        <v>44649.66667</v>
      </c>
      <c r="B379" s="1">
        <f>IFERROR(__xludf.DUMMYFUNCTION("""COMPUTED_VALUE"""),77.0)</f>
        <v>77</v>
      </c>
    </row>
    <row r="380">
      <c r="A380" s="2">
        <f>IFERROR(__xludf.DUMMYFUNCTION("""COMPUTED_VALUE"""),44650.66666666667)</f>
        <v>44650.66667</v>
      </c>
      <c r="B380" s="1">
        <f>IFERROR(__xludf.DUMMYFUNCTION("""COMPUTED_VALUE"""),77.52)</f>
        <v>77.52</v>
      </c>
    </row>
    <row r="381">
      <c r="A381" s="2">
        <f>IFERROR(__xludf.DUMMYFUNCTION("""COMPUTED_VALUE"""),44651.66666666667)</f>
        <v>44651.66667</v>
      </c>
      <c r="B381" s="1">
        <f>IFERROR(__xludf.DUMMYFUNCTION("""COMPUTED_VALUE"""),78.2)</f>
        <v>78.2</v>
      </c>
    </row>
    <row r="382">
      <c r="A382" s="2">
        <f>IFERROR(__xludf.DUMMYFUNCTION("""COMPUTED_VALUE"""),44652.66666666667)</f>
        <v>44652.66667</v>
      </c>
      <c r="B382" s="1">
        <f>IFERROR(__xludf.DUMMYFUNCTION("""COMPUTED_VALUE"""),77.4)</f>
        <v>77.4</v>
      </c>
    </row>
    <row r="383">
      <c r="A383" s="2">
        <f>IFERROR(__xludf.DUMMYFUNCTION("""COMPUTED_VALUE"""),44655.66666666667)</f>
        <v>44655.66667</v>
      </c>
      <c r="B383" s="1">
        <f>IFERROR(__xludf.DUMMYFUNCTION("""COMPUTED_VALUE"""),77.81)</f>
        <v>77.81</v>
      </c>
    </row>
    <row r="384">
      <c r="A384" s="2">
        <f>IFERROR(__xludf.DUMMYFUNCTION("""COMPUTED_VALUE"""),44656.66666666667)</f>
        <v>44656.66667</v>
      </c>
      <c r="B384" s="1">
        <f>IFERROR(__xludf.DUMMYFUNCTION("""COMPUTED_VALUE"""),76.91)</f>
        <v>76.91</v>
      </c>
    </row>
    <row r="385">
      <c r="A385" s="2">
        <f>IFERROR(__xludf.DUMMYFUNCTION("""COMPUTED_VALUE"""),44657.66666666667)</f>
        <v>44657.66667</v>
      </c>
      <c r="B385" s="1">
        <f>IFERROR(__xludf.DUMMYFUNCTION("""COMPUTED_VALUE"""),76.23)</f>
        <v>76.23</v>
      </c>
    </row>
    <row r="386">
      <c r="A386" s="2">
        <f>IFERROR(__xludf.DUMMYFUNCTION("""COMPUTED_VALUE"""),44658.66666666667)</f>
        <v>44658.66667</v>
      </c>
      <c r="B386" s="1">
        <f>IFERROR(__xludf.DUMMYFUNCTION("""COMPUTED_VALUE"""),76.25)</f>
        <v>76.25</v>
      </c>
    </row>
    <row r="387">
      <c r="A387" s="2">
        <f>IFERROR(__xludf.DUMMYFUNCTION("""COMPUTED_VALUE"""),44659.66666666667)</f>
        <v>44659.66667</v>
      </c>
      <c r="B387" s="1">
        <f>IFERROR(__xludf.DUMMYFUNCTION("""COMPUTED_VALUE"""),76.23)</f>
        <v>76.23</v>
      </c>
    </row>
    <row r="388">
      <c r="A388" s="2">
        <f>IFERROR(__xludf.DUMMYFUNCTION("""COMPUTED_VALUE"""),44662.66666666667)</f>
        <v>44662.66667</v>
      </c>
      <c r="B388" s="1">
        <f>IFERROR(__xludf.DUMMYFUNCTION("""COMPUTED_VALUE"""),76.23)</f>
        <v>76.23</v>
      </c>
    </row>
    <row r="389">
      <c r="A389" s="2">
        <f>IFERROR(__xludf.DUMMYFUNCTION("""COMPUTED_VALUE"""),44663.66666666667)</f>
        <v>44663.66667</v>
      </c>
      <c r="B389" s="1">
        <f>IFERROR(__xludf.DUMMYFUNCTION("""COMPUTED_VALUE"""),75.72)</f>
        <v>75.72</v>
      </c>
    </row>
    <row r="390">
      <c r="A390" s="2">
        <f>IFERROR(__xludf.DUMMYFUNCTION("""COMPUTED_VALUE"""),44664.66666666667)</f>
        <v>44664.66667</v>
      </c>
      <c r="B390" s="1">
        <f>IFERROR(__xludf.DUMMYFUNCTION("""COMPUTED_VALUE"""),76.21)</f>
        <v>76.21</v>
      </c>
    </row>
    <row r="391">
      <c r="A391" s="2">
        <f>IFERROR(__xludf.DUMMYFUNCTION("""COMPUTED_VALUE"""),44665.66666666667)</f>
        <v>44665.66667</v>
      </c>
      <c r="B391" s="1">
        <f>IFERROR(__xludf.DUMMYFUNCTION("""COMPUTED_VALUE"""),76.55)</f>
        <v>76.55</v>
      </c>
    </row>
    <row r="392">
      <c r="A392" s="2">
        <f>IFERROR(__xludf.DUMMYFUNCTION("""COMPUTED_VALUE"""),44670.66666666667)</f>
        <v>44670.66667</v>
      </c>
      <c r="B392" s="1">
        <f>IFERROR(__xludf.DUMMYFUNCTION("""COMPUTED_VALUE"""),76.2)</f>
        <v>76.2</v>
      </c>
    </row>
    <row r="393">
      <c r="A393" s="2">
        <f>IFERROR(__xludf.DUMMYFUNCTION("""COMPUTED_VALUE"""),44671.66666666667)</f>
        <v>44671.66667</v>
      </c>
      <c r="B393" s="1">
        <f>IFERROR(__xludf.DUMMYFUNCTION("""COMPUTED_VALUE"""),75.91)</f>
        <v>75.91</v>
      </c>
    </row>
    <row r="394">
      <c r="A394" s="2">
        <f>IFERROR(__xludf.DUMMYFUNCTION("""COMPUTED_VALUE"""),44672.66666666667)</f>
        <v>44672.66667</v>
      </c>
      <c r="B394" s="1">
        <f>IFERROR(__xludf.DUMMYFUNCTION("""COMPUTED_VALUE"""),76.1)</f>
        <v>76.1</v>
      </c>
    </row>
    <row r="395">
      <c r="A395" s="2">
        <f>IFERROR(__xludf.DUMMYFUNCTION("""COMPUTED_VALUE"""),44673.66666666667)</f>
        <v>44673.66667</v>
      </c>
      <c r="B395" s="1">
        <f>IFERROR(__xludf.DUMMYFUNCTION("""COMPUTED_VALUE"""),76.1)</f>
        <v>76.1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IFERROR(__xludf.DUMMYFUNCTION("""COMPUTED_VALUE"""),75.89)</f>
        <v>75.89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IFERROR(__xludf.DUMMYFUNCTION("""COMPUTED_VALUE"""),74.72)</f>
        <v>74.72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IFERROR(__xludf.DUMMYFUNCTION("""COMPUTED_VALUE"""),75.79)</f>
        <v>75.79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IFERROR(__xludf.DUMMYFUNCTION("""COMPUTED_VALUE"""),76.6)</f>
        <v>76.6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IFERROR(__xludf.DUMMYFUNCTION("""COMPUTED_VALUE"""),76.37)</f>
        <v>76.37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IFERROR(__xludf.DUMMYFUNCTION("""COMPUTED_VALUE"""),75.83)</f>
        <v>75.83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IFERROR(__xludf.DUMMYFUNCTION("""COMPUTED_VALUE"""),76.06)</f>
        <v>76.06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IFERROR(__xludf.DUMMYFUNCTION("""COMPUTED_VALUE"""),75.95)</f>
        <v>75.95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IFERROR(__xludf.DUMMYFUNCTION("""COMPUTED_VALUE"""),74.83)</f>
        <v>74.83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IFERROR(__xludf.DUMMYFUNCTION("""COMPUTED_VALUE"""),74.21)</f>
        <v>74.21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IFERROR(__xludf.DUMMYFUNCTION("""COMPUTED_VALUE"""),73.87)</f>
        <v>73.87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IFERROR(__xludf.DUMMYFUNCTION("""COMPUTED_VALUE"""),74.4)</f>
        <v>74.4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IFERROR(__xludf.DUMMYFUNCTION("""COMPUTED_VALUE"""),73.92)</f>
        <v>73.92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IFERROR(__xludf.DUMMYFUNCTION("""COMPUTED_VALUE"""),74.93)</f>
        <v>74.93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IFERROR(__xludf.DUMMYFUNCTION("""COMPUTED_VALUE"""),75.43)</f>
        <v>75.43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IFERROR(__xludf.DUMMYFUNCTION("""COMPUTED_VALUE"""),75.24)</f>
        <v>75.24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IFERROR(__xludf.DUMMYFUNCTION("""COMPUTED_VALUE"""),75.89)</f>
        <v>75.89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IFERROR(__xludf.DUMMYFUNCTION("""COMPUTED_VALUE"""),74.71)</f>
        <v>74.71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IFERROR(__xludf.DUMMYFUNCTION("""COMPUTED_VALUE"""),75.3)</f>
        <v>75.3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IFERROR(__xludf.DUMMYFUNCTION("""COMPUTED_VALUE"""),75.17)</f>
        <v>75.17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IFERROR(__xludf.DUMMYFUNCTION("""COMPUTED_VALUE"""),75.0)</f>
        <v>75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IFERROR(__xludf.DUMMYFUNCTION("""COMPUTED_VALUE"""),75.11)</f>
        <v>75.11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IFERROR(__xludf.DUMMYFUNCTION("""COMPUTED_VALUE"""),75.11)</f>
        <v>75.11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IFERROR(__xludf.DUMMYFUNCTION("""COMPUTED_VALUE"""),75.75)</f>
        <v>75.75</v>
      </c>
    </row>
    <row r="420">
      <c r="A420" s="2">
        <f>IFERROR(__xludf.DUMMYFUNCTION("""COMPUTED_VALUE"""),44711.66666666667)</f>
        <v>44711.66667</v>
      </c>
      <c r="B420" s="1">
        <f>IFERROR(__xludf.DUMMYFUNCTION("""COMPUTED_VALUE"""),76.77)</f>
        <v>76.77</v>
      </c>
    </row>
    <row r="421">
      <c r="A421" s="2">
        <f>IFERROR(__xludf.DUMMYFUNCTION("""COMPUTED_VALUE"""),44712.66666666667)</f>
        <v>44712.66667</v>
      </c>
      <c r="B421" s="1">
        <f>IFERROR(__xludf.DUMMYFUNCTION("""COMPUTED_VALUE"""),76.74)</f>
        <v>76.74</v>
      </c>
    </row>
    <row r="422">
      <c r="A422" s="2">
        <f>IFERROR(__xludf.DUMMYFUNCTION("""COMPUTED_VALUE"""),44713.66666666667)</f>
        <v>44713.66667</v>
      </c>
      <c r="B422" s="1">
        <f>IFERROR(__xludf.DUMMYFUNCTION("""COMPUTED_VALUE"""),76.55)</f>
        <v>76.55</v>
      </c>
    </row>
    <row r="423">
      <c r="A423" s="2">
        <f>IFERROR(__xludf.DUMMYFUNCTION("""COMPUTED_VALUE"""),44714.66666666667)</f>
        <v>44714.66667</v>
      </c>
      <c r="B423" s="1">
        <f>IFERROR(__xludf.DUMMYFUNCTION("""COMPUTED_VALUE"""),75.86)</f>
        <v>75.86</v>
      </c>
    </row>
    <row r="424">
      <c r="A424" s="2">
        <f>IFERROR(__xludf.DUMMYFUNCTION("""COMPUTED_VALUE"""),44715.66666666667)</f>
        <v>44715.66667</v>
      </c>
      <c r="B424" s="1">
        <f>IFERROR(__xludf.DUMMYFUNCTION("""COMPUTED_VALUE"""),76.04)</f>
        <v>76.04</v>
      </c>
    </row>
    <row r="425">
      <c r="A425" s="2">
        <f>IFERROR(__xludf.DUMMYFUNCTION("""COMPUTED_VALUE"""),44718.66666666667)</f>
        <v>44718.66667</v>
      </c>
      <c r="B425" s="1">
        <f>IFERROR(__xludf.DUMMYFUNCTION("""COMPUTED_VALUE"""),76.09)</f>
        <v>76.09</v>
      </c>
    </row>
    <row r="426">
      <c r="A426" s="2">
        <f>IFERROR(__xludf.DUMMYFUNCTION("""COMPUTED_VALUE"""),44719.66666666667)</f>
        <v>44719.66667</v>
      </c>
      <c r="B426" s="1">
        <f>IFERROR(__xludf.DUMMYFUNCTION("""COMPUTED_VALUE"""),75.79)</f>
        <v>75.79</v>
      </c>
    </row>
    <row r="427">
      <c r="A427" s="2">
        <f>IFERROR(__xludf.DUMMYFUNCTION("""COMPUTED_VALUE"""),44720.66666666667)</f>
        <v>44720.66667</v>
      </c>
      <c r="B427" s="1">
        <f>IFERROR(__xludf.DUMMYFUNCTION("""COMPUTED_VALUE"""),76.12)</f>
        <v>76.12</v>
      </c>
    </row>
    <row r="428">
      <c r="A428" s="2">
        <f>IFERROR(__xludf.DUMMYFUNCTION("""COMPUTED_VALUE"""),44721.66666666667)</f>
        <v>44721.66667</v>
      </c>
      <c r="B428" s="1">
        <f>IFERROR(__xludf.DUMMYFUNCTION("""COMPUTED_VALUE"""),75.66)</f>
        <v>75.66</v>
      </c>
    </row>
    <row r="429">
      <c r="A429" s="2">
        <f>IFERROR(__xludf.DUMMYFUNCTION("""COMPUTED_VALUE"""),44722.66666666667)</f>
        <v>44722.66667</v>
      </c>
      <c r="B429" s="1">
        <f>IFERROR(__xludf.DUMMYFUNCTION("""COMPUTED_VALUE"""),75.25)</f>
        <v>75.25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IFERROR(__xludf.DUMMYFUNCTION("""COMPUTED_VALUE"""),73.5)</f>
        <v>73.5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IFERROR(__xludf.DUMMYFUNCTION("""COMPUTED_VALUE"""),73.57)</f>
        <v>73.57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IFERROR(__xludf.DUMMYFUNCTION("""COMPUTED_VALUE"""),72.76)</f>
        <v>72.76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IFERROR(__xludf.DUMMYFUNCTION("""COMPUTED_VALUE"""),71.6)</f>
        <v>71.6</v>
      </c>
    </row>
    <row r="434">
      <c r="A434" s="2">
        <f>IFERROR(__xludf.DUMMYFUNCTION("""COMPUTED_VALUE"""),44732.66666666667)</f>
        <v>44732.66667</v>
      </c>
      <c r="B434" s="1">
        <f>IFERROR(__xludf.DUMMYFUNCTION("""COMPUTED_VALUE"""),71.52)</f>
        <v>71.52</v>
      </c>
    </row>
    <row r="435">
      <c r="A435" s="2">
        <f>IFERROR(__xludf.DUMMYFUNCTION("""COMPUTED_VALUE"""),44733.66666666667)</f>
        <v>44733.66667</v>
      </c>
      <c r="B435" s="1">
        <f>IFERROR(__xludf.DUMMYFUNCTION("""COMPUTED_VALUE"""),72.57)</f>
        <v>72.57</v>
      </c>
    </row>
    <row r="436">
      <c r="A436" s="2">
        <f>IFERROR(__xludf.DUMMYFUNCTION("""COMPUTED_VALUE"""),44734.66666666667)</f>
        <v>44734.66667</v>
      </c>
      <c r="B436" s="1">
        <f>IFERROR(__xludf.DUMMYFUNCTION("""COMPUTED_VALUE"""),71.26)</f>
        <v>71.26</v>
      </c>
    </row>
    <row r="437">
      <c r="A437" s="2">
        <f>IFERROR(__xludf.DUMMYFUNCTION("""COMPUTED_VALUE"""),44735.66666666667)</f>
        <v>44735.66667</v>
      </c>
      <c r="B437" s="1">
        <f>IFERROR(__xludf.DUMMYFUNCTION("""COMPUTED_VALUE"""),71.77)</f>
        <v>71.77</v>
      </c>
    </row>
    <row r="438">
      <c r="A438" s="2">
        <f>IFERROR(__xludf.DUMMYFUNCTION("""COMPUTED_VALUE"""),44736.66666666667)</f>
        <v>44736.66667</v>
      </c>
      <c r="B438" s="1">
        <f>IFERROR(__xludf.DUMMYFUNCTION("""COMPUTED_VALUE"""),72.1)</f>
        <v>72.1</v>
      </c>
    </row>
    <row r="439">
      <c r="A439" s="2">
        <f>IFERROR(__xludf.DUMMYFUNCTION("""COMPUTED_VALUE"""),44739.66666666667)</f>
        <v>44739.66667</v>
      </c>
      <c r="B439" s="1">
        <f>IFERROR(__xludf.DUMMYFUNCTION("""COMPUTED_VALUE"""),73.31)</f>
        <v>73.31</v>
      </c>
    </row>
    <row r="440">
      <c r="A440" s="2">
        <f>IFERROR(__xludf.DUMMYFUNCTION("""COMPUTED_VALUE"""),44740.66666666667)</f>
        <v>44740.66667</v>
      </c>
      <c r="B440" s="1">
        <f>IFERROR(__xludf.DUMMYFUNCTION("""COMPUTED_VALUE"""),73.45)</f>
        <v>73.45</v>
      </c>
    </row>
    <row r="441">
      <c r="A441" s="2">
        <f>IFERROR(__xludf.DUMMYFUNCTION("""COMPUTED_VALUE"""),44741.66666666667)</f>
        <v>44741.66667</v>
      </c>
      <c r="B441" s="1">
        <f>IFERROR(__xludf.DUMMYFUNCTION("""COMPUTED_VALUE"""),73.2)</f>
        <v>73.2</v>
      </c>
    </row>
    <row r="442">
      <c r="A442" s="2">
        <f>IFERROR(__xludf.DUMMYFUNCTION("""COMPUTED_VALUE"""),44742.66666666667)</f>
        <v>44742.66667</v>
      </c>
      <c r="B442" s="1">
        <f>IFERROR(__xludf.DUMMYFUNCTION("""COMPUTED_VALUE"""),72.43)</f>
        <v>72.43</v>
      </c>
    </row>
    <row r="443">
      <c r="A443" s="2">
        <f>IFERROR(__xludf.DUMMYFUNCTION("""COMPUTED_VALUE"""),44743.66666666667)</f>
        <v>44743.66667</v>
      </c>
      <c r="B443" s="1">
        <f>IFERROR(__xludf.DUMMYFUNCTION("""COMPUTED_VALUE"""),72.21)</f>
        <v>72.21</v>
      </c>
    </row>
    <row r="444">
      <c r="A444" s="2">
        <f>IFERROR(__xludf.DUMMYFUNCTION("""COMPUTED_VALUE"""),44746.66666666667)</f>
        <v>44746.66667</v>
      </c>
      <c r="B444" s="1">
        <f>IFERROR(__xludf.DUMMYFUNCTION("""COMPUTED_VALUE"""),72.61)</f>
        <v>72.61</v>
      </c>
    </row>
    <row r="445">
      <c r="A445" s="2">
        <f>IFERROR(__xludf.DUMMYFUNCTION("""COMPUTED_VALUE"""),44747.66666666667)</f>
        <v>44747.66667</v>
      </c>
      <c r="B445" s="1">
        <f>IFERROR(__xludf.DUMMYFUNCTION("""COMPUTED_VALUE"""),72.57)</f>
        <v>72.57</v>
      </c>
    </row>
    <row r="446">
      <c r="A446" s="2">
        <f>IFERROR(__xludf.DUMMYFUNCTION("""COMPUTED_VALUE"""),44748.66666666667)</f>
        <v>44748.66667</v>
      </c>
      <c r="B446" s="1">
        <f>IFERROR(__xludf.DUMMYFUNCTION("""COMPUTED_VALUE"""),71.73)</f>
        <v>71.73</v>
      </c>
    </row>
    <row r="447">
      <c r="A447" s="2">
        <f>IFERROR(__xludf.DUMMYFUNCTION("""COMPUTED_VALUE"""),44749.66666666667)</f>
        <v>44749.66667</v>
      </c>
      <c r="B447" s="1">
        <f>IFERROR(__xludf.DUMMYFUNCTION("""COMPUTED_VALUE"""),72.36)</f>
        <v>72.36</v>
      </c>
    </row>
    <row r="448">
      <c r="A448" s="2">
        <f>IFERROR(__xludf.DUMMYFUNCTION("""COMPUTED_VALUE"""),44750.66666666667)</f>
        <v>44750.66667</v>
      </c>
      <c r="B448" s="1">
        <f>IFERROR(__xludf.DUMMYFUNCTION("""COMPUTED_VALUE"""),72.69)</f>
        <v>72.69</v>
      </c>
    </row>
    <row r="449">
      <c r="A449" s="2">
        <f>IFERROR(__xludf.DUMMYFUNCTION("""COMPUTED_VALUE"""),44753.66666666667)</f>
        <v>44753.66667</v>
      </c>
      <c r="B449" s="1">
        <f>IFERROR(__xludf.DUMMYFUNCTION("""COMPUTED_VALUE"""),72.34)</f>
        <v>72.34</v>
      </c>
    </row>
    <row r="450">
      <c r="A450" s="2">
        <f>IFERROR(__xludf.DUMMYFUNCTION("""COMPUTED_VALUE"""),44754.66666666667)</f>
        <v>44754.66667</v>
      </c>
      <c r="B450" s="1">
        <f>IFERROR(__xludf.DUMMYFUNCTION("""COMPUTED_VALUE"""),72.23)</f>
        <v>72.23</v>
      </c>
    </row>
    <row r="451">
      <c r="A451" s="2">
        <f>IFERROR(__xludf.DUMMYFUNCTION("""COMPUTED_VALUE"""),44755.66666666667)</f>
        <v>44755.66667</v>
      </c>
      <c r="B451" s="1">
        <f>IFERROR(__xludf.DUMMYFUNCTION("""COMPUTED_VALUE"""),72.15)</f>
        <v>72.15</v>
      </c>
    </row>
    <row r="452">
      <c r="A452" s="2">
        <f>IFERROR(__xludf.DUMMYFUNCTION("""COMPUTED_VALUE"""),44756.66666666667)</f>
        <v>44756.66667</v>
      </c>
      <c r="B452" s="1">
        <f>IFERROR(__xludf.DUMMYFUNCTION("""COMPUTED_VALUE"""),71.97)</f>
        <v>71.97</v>
      </c>
    </row>
    <row r="453">
      <c r="A453" s="2">
        <f>IFERROR(__xludf.DUMMYFUNCTION("""COMPUTED_VALUE"""),44757.66666666667)</f>
        <v>44757.66667</v>
      </c>
      <c r="B453" s="1">
        <f>IFERROR(__xludf.DUMMYFUNCTION("""COMPUTED_VALUE"""),71.45)</f>
        <v>71.45</v>
      </c>
    </row>
    <row r="454">
      <c r="A454" s="2">
        <f>IFERROR(__xludf.DUMMYFUNCTION("""COMPUTED_VALUE"""),44760.66666666667)</f>
        <v>44760.66667</v>
      </c>
      <c r="B454" s="1">
        <f>IFERROR(__xludf.DUMMYFUNCTION("""COMPUTED_VALUE"""),72.18)</f>
        <v>72.18</v>
      </c>
    </row>
    <row r="455">
      <c r="A455" s="2">
        <f>IFERROR(__xludf.DUMMYFUNCTION("""COMPUTED_VALUE"""),44761.66666666667)</f>
        <v>44761.66667</v>
      </c>
      <c r="B455" s="1">
        <f>IFERROR(__xludf.DUMMYFUNCTION("""COMPUTED_VALUE"""),71.66)</f>
        <v>71.66</v>
      </c>
    </row>
    <row r="456">
      <c r="A456" s="2">
        <f>IFERROR(__xludf.DUMMYFUNCTION("""COMPUTED_VALUE"""),44762.66666666667)</f>
        <v>44762.66667</v>
      </c>
      <c r="B456" s="1">
        <f>IFERROR(__xludf.DUMMYFUNCTION("""COMPUTED_VALUE"""),72.69)</f>
        <v>72.69</v>
      </c>
    </row>
    <row r="457">
      <c r="A457" s="2">
        <f>IFERROR(__xludf.DUMMYFUNCTION("""COMPUTED_VALUE"""),44763.66666666667)</f>
        <v>44763.66667</v>
      </c>
      <c r="B457" s="1">
        <f>IFERROR(__xludf.DUMMYFUNCTION("""COMPUTED_VALUE"""),72.7)</f>
        <v>72.7</v>
      </c>
    </row>
    <row r="458">
      <c r="A458" s="2">
        <f>IFERROR(__xludf.DUMMYFUNCTION("""COMPUTED_VALUE"""),44764.66666666667)</f>
        <v>44764.66667</v>
      </c>
      <c r="B458" s="1">
        <f>IFERROR(__xludf.DUMMYFUNCTION("""COMPUTED_VALUE"""),72.51)</f>
        <v>72.51</v>
      </c>
    </row>
    <row r="459">
      <c r="A459" s="2">
        <f>IFERROR(__xludf.DUMMYFUNCTION("""COMPUTED_VALUE"""),44767.66666666667)</f>
        <v>44767.66667</v>
      </c>
      <c r="B459" s="1">
        <f>IFERROR(__xludf.DUMMYFUNCTION("""COMPUTED_VALUE"""),72.58)</f>
        <v>72.58</v>
      </c>
    </row>
    <row r="460">
      <c r="A460" s="2">
        <f>IFERROR(__xludf.DUMMYFUNCTION("""COMPUTED_VALUE"""),44768.66666666667)</f>
        <v>44768.66667</v>
      </c>
      <c r="B460" s="1">
        <f>IFERROR(__xludf.DUMMYFUNCTION("""COMPUTED_VALUE"""),72.52)</f>
        <v>72.52</v>
      </c>
    </row>
    <row r="461">
      <c r="A461" s="2">
        <f>IFERROR(__xludf.DUMMYFUNCTION("""COMPUTED_VALUE"""),44769.66666666667)</f>
        <v>44769.66667</v>
      </c>
      <c r="B461" s="1">
        <f>IFERROR(__xludf.DUMMYFUNCTION("""COMPUTED_VALUE"""),72.55)</f>
        <v>72.55</v>
      </c>
    </row>
    <row r="462">
      <c r="A462" s="2">
        <f>IFERROR(__xludf.DUMMYFUNCTION("""COMPUTED_VALUE"""),44770.66666666667)</f>
        <v>44770.66667</v>
      </c>
      <c r="B462" s="1">
        <f>IFERROR(__xludf.DUMMYFUNCTION("""COMPUTED_VALUE"""),72.88)</f>
        <v>72.88</v>
      </c>
    </row>
    <row r="463">
      <c r="A463" s="2">
        <f>IFERROR(__xludf.DUMMYFUNCTION("""COMPUTED_VALUE"""),44771.66666666667)</f>
        <v>44771.66667</v>
      </c>
      <c r="B463" s="1">
        <f>IFERROR(__xludf.DUMMYFUNCTION("""COMPUTED_VALUE"""),73.7)</f>
        <v>73.7</v>
      </c>
    </row>
    <row r="464">
      <c r="A464" s="2">
        <f>IFERROR(__xludf.DUMMYFUNCTION("""COMPUTED_VALUE"""),44774.66666666667)</f>
        <v>44774.66667</v>
      </c>
      <c r="B464" s="1">
        <f>IFERROR(__xludf.DUMMYFUNCTION("""COMPUTED_VALUE"""),73.78)</f>
        <v>73.78</v>
      </c>
    </row>
    <row r="465">
      <c r="A465" s="2">
        <f>IFERROR(__xludf.DUMMYFUNCTION("""COMPUTED_VALUE"""),44775.66666666667)</f>
        <v>44775.66667</v>
      </c>
      <c r="B465" s="1">
        <f>IFERROR(__xludf.DUMMYFUNCTION("""COMPUTED_VALUE"""),73.64)</f>
        <v>73.64</v>
      </c>
    </row>
    <row r="466">
      <c r="A466" s="2">
        <f>IFERROR(__xludf.DUMMYFUNCTION("""COMPUTED_VALUE"""),44776.66666666667)</f>
        <v>44776.66667</v>
      </c>
      <c r="B466" s="1">
        <f>IFERROR(__xludf.DUMMYFUNCTION("""COMPUTED_VALUE"""),73.51)</f>
        <v>73.51</v>
      </c>
    </row>
    <row r="467">
      <c r="A467" s="2">
        <f>IFERROR(__xludf.DUMMYFUNCTION("""COMPUTED_VALUE"""),44777.66666666667)</f>
        <v>44777.66667</v>
      </c>
      <c r="B467" s="1">
        <f>IFERROR(__xludf.DUMMYFUNCTION("""COMPUTED_VALUE"""),73.51)</f>
        <v>73.51</v>
      </c>
    </row>
    <row r="468">
      <c r="A468" s="2">
        <f>IFERROR(__xludf.DUMMYFUNCTION("""COMPUTED_VALUE"""),44778.66666666667)</f>
        <v>44778.66667</v>
      </c>
      <c r="B468" s="1">
        <f>IFERROR(__xludf.DUMMYFUNCTION("""COMPUTED_VALUE"""),74.27)</f>
        <v>74.27</v>
      </c>
    </row>
    <row r="469">
      <c r="A469" s="2">
        <f>IFERROR(__xludf.DUMMYFUNCTION("""COMPUTED_VALUE"""),44781.66666666667)</f>
        <v>44781.66667</v>
      </c>
      <c r="B469" s="1">
        <f>IFERROR(__xludf.DUMMYFUNCTION("""COMPUTED_VALUE"""),74.0)</f>
        <v>74</v>
      </c>
    </row>
    <row r="470">
      <c r="A470" s="2">
        <f>IFERROR(__xludf.DUMMYFUNCTION("""COMPUTED_VALUE"""),44782.66666666667)</f>
        <v>44782.66667</v>
      </c>
      <c r="B470" s="1">
        <f>IFERROR(__xludf.DUMMYFUNCTION("""COMPUTED_VALUE"""),73.86)</f>
        <v>73.86</v>
      </c>
    </row>
    <row r="471">
      <c r="A471" s="2">
        <f>IFERROR(__xludf.DUMMYFUNCTION("""COMPUTED_VALUE"""),44783.66666666667)</f>
        <v>44783.66667</v>
      </c>
      <c r="B471" s="1">
        <f>IFERROR(__xludf.DUMMYFUNCTION("""COMPUTED_VALUE"""),73.46)</f>
        <v>73.46</v>
      </c>
    </row>
    <row r="472">
      <c r="A472" s="2">
        <f>IFERROR(__xludf.DUMMYFUNCTION("""COMPUTED_VALUE"""),44784.66666666667)</f>
        <v>44784.66667</v>
      </c>
      <c r="B472" s="1">
        <f>IFERROR(__xludf.DUMMYFUNCTION("""COMPUTED_VALUE"""),73.76)</f>
        <v>73.76</v>
      </c>
    </row>
    <row r="473">
      <c r="A473" s="2">
        <f>IFERROR(__xludf.DUMMYFUNCTION("""COMPUTED_VALUE"""),44785.66666666667)</f>
        <v>44785.66667</v>
      </c>
      <c r="B473" s="1">
        <f>IFERROR(__xludf.DUMMYFUNCTION("""COMPUTED_VALUE"""),73.71)</f>
        <v>73.71</v>
      </c>
    </row>
    <row r="474">
      <c r="A474" s="2">
        <f>IFERROR(__xludf.DUMMYFUNCTION("""COMPUTED_VALUE"""),44788.66666666667)</f>
        <v>44788.66667</v>
      </c>
      <c r="B474" s="1">
        <f>IFERROR(__xludf.DUMMYFUNCTION("""COMPUTED_VALUE"""),74.32)</f>
        <v>74.32</v>
      </c>
    </row>
    <row r="475">
      <c r="A475" s="2">
        <f>IFERROR(__xludf.DUMMYFUNCTION("""COMPUTED_VALUE"""),44789.66666666667)</f>
        <v>44789.66667</v>
      </c>
      <c r="B475" s="1">
        <f>IFERROR(__xludf.DUMMYFUNCTION("""COMPUTED_VALUE"""),74.55)</f>
        <v>74.55</v>
      </c>
    </row>
    <row r="476">
      <c r="A476" s="2">
        <f>IFERROR(__xludf.DUMMYFUNCTION("""COMPUTED_VALUE"""),44790.66666666667)</f>
        <v>44790.66667</v>
      </c>
      <c r="B476" s="1">
        <f>IFERROR(__xludf.DUMMYFUNCTION("""COMPUTED_VALUE"""),74.93)</f>
        <v>74.93</v>
      </c>
    </row>
    <row r="477">
      <c r="A477" s="2">
        <f>IFERROR(__xludf.DUMMYFUNCTION("""COMPUTED_VALUE"""),44791.66666666667)</f>
        <v>44791.66667</v>
      </c>
      <c r="B477" s="1">
        <f>IFERROR(__xludf.DUMMYFUNCTION("""COMPUTED_VALUE"""),75.1)</f>
        <v>75.1</v>
      </c>
    </row>
    <row r="478">
      <c r="A478" s="2">
        <f>IFERROR(__xludf.DUMMYFUNCTION("""COMPUTED_VALUE"""),44792.66666666667)</f>
        <v>44792.66667</v>
      </c>
      <c r="B478" s="1">
        <f>IFERROR(__xludf.DUMMYFUNCTION("""COMPUTED_VALUE"""),74.93)</f>
        <v>74.93</v>
      </c>
    </row>
    <row r="479">
      <c r="A479" s="2">
        <f>IFERROR(__xludf.DUMMYFUNCTION("""COMPUTED_VALUE"""),44795.66666666667)</f>
        <v>44795.66667</v>
      </c>
      <c r="B479" s="1">
        <f>IFERROR(__xludf.DUMMYFUNCTION("""COMPUTED_VALUE"""),74.2)</f>
        <v>74.2</v>
      </c>
    </row>
    <row r="480">
      <c r="A480" s="2">
        <f>IFERROR(__xludf.DUMMYFUNCTION("""COMPUTED_VALUE"""),44796.66666666667)</f>
        <v>44796.66667</v>
      </c>
      <c r="B480" s="1">
        <f>IFERROR(__xludf.DUMMYFUNCTION("""COMPUTED_VALUE"""),73.39)</f>
        <v>73.39</v>
      </c>
    </row>
    <row r="481">
      <c r="A481" s="2">
        <f>IFERROR(__xludf.DUMMYFUNCTION("""COMPUTED_VALUE"""),44797.66666666667)</f>
        <v>44797.66667</v>
      </c>
      <c r="B481" s="1">
        <f>IFERROR(__xludf.DUMMYFUNCTION("""COMPUTED_VALUE"""),73.09)</f>
        <v>73.09</v>
      </c>
    </row>
    <row r="482">
      <c r="A482" s="2">
        <f>IFERROR(__xludf.DUMMYFUNCTION("""COMPUTED_VALUE"""),44798.66666666667)</f>
        <v>44798.66667</v>
      </c>
      <c r="B482" s="1">
        <f>IFERROR(__xludf.DUMMYFUNCTION("""COMPUTED_VALUE"""),73.16)</f>
        <v>73.16</v>
      </c>
    </row>
    <row r="483">
      <c r="A483" s="2">
        <f>IFERROR(__xludf.DUMMYFUNCTION("""COMPUTED_VALUE"""),44799.66666666667)</f>
        <v>44799.66667</v>
      </c>
      <c r="B483" s="1">
        <f>IFERROR(__xludf.DUMMYFUNCTION("""COMPUTED_VALUE"""),73.51)</f>
        <v>73.51</v>
      </c>
    </row>
    <row r="484">
      <c r="A484" s="2">
        <f>IFERROR(__xludf.DUMMYFUNCTION("""COMPUTED_VALUE"""),44802.66666666667)</f>
        <v>44802.66667</v>
      </c>
      <c r="B484" s="1">
        <f>IFERROR(__xludf.DUMMYFUNCTION("""COMPUTED_VALUE"""),72.69)</f>
        <v>72.69</v>
      </c>
    </row>
    <row r="485">
      <c r="A485" s="2">
        <f>IFERROR(__xludf.DUMMYFUNCTION("""COMPUTED_VALUE"""),44803.66666666667)</f>
        <v>44803.66667</v>
      </c>
      <c r="B485" s="1">
        <f>IFERROR(__xludf.DUMMYFUNCTION("""COMPUTED_VALUE"""),72.72)</f>
        <v>72.72</v>
      </c>
    </row>
    <row r="486">
      <c r="A486" s="2">
        <f>IFERROR(__xludf.DUMMYFUNCTION("""COMPUTED_VALUE"""),44804.66666666667)</f>
        <v>44804.66667</v>
      </c>
      <c r="B486" s="1">
        <f>IFERROR(__xludf.DUMMYFUNCTION("""COMPUTED_VALUE"""),72.72)</f>
        <v>72.72</v>
      </c>
    </row>
    <row r="487">
      <c r="A487" s="2">
        <f>IFERROR(__xludf.DUMMYFUNCTION("""COMPUTED_VALUE"""),44805.66666666667)</f>
        <v>44805.66667</v>
      </c>
      <c r="B487" s="1">
        <f>IFERROR(__xludf.DUMMYFUNCTION("""COMPUTED_VALUE"""),72.05)</f>
        <v>72.05</v>
      </c>
    </row>
    <row r="488">
      <c r="A488" s="2">
        <f>IFERROR(__xludf.DUMMYFUNCTION("""COMPUTED_VALUE"""),44806.66666666667)</f>
        <v>44806.66667</v>
      </c>
      <c r="B488" s="1">
        <f>IFERROR(__xludf.DUMMYFUNCTION("""COMPUTED_VALUE"""),71.72)</f>
        <v>71.72</v>
      </c>
    </row>
    <row r="489">
      <c r="A489" s="2">
        <f>IFERROR(__xludf.DUMMYFUNCTION("""COMPUTED_VALUE"""),44809.66666666667)</f>
        <v>44809.66667</v>
      </c>
      <c r="B489" s="1">
        <f>IFERROR(__xludf.DUMMYFUNCTION("""COMPUTED_VALUE"""),71.32)</f>
        <v>71.32</v>
      </c>
    </row>
    <row r="490">
      <c r="A490" s="2">
        <f>IFERROR(__xludf.DUMMYFUNCTION("""COMPUTED_VALUE"""),44810.66666666667)</f>
        <v>44810.66667</v>
      </c>
      <c r="B490" s="1">
        <f>IFERROR(__xludf.DUMMYFUNCTION("""COMPUTED_VALUE"""),71.74)</f>
        <v>71.74</v>
      </c>
    </row>
    <row r="491">
      <c r="A491" s="2">
        <f>IFERROR(__xludf.DUMMYFUNCTION("""COMPUTED_VALUE"""),44811.66666666667)</f>
        <v>44811.66667</v>
      </c>
      <c r="B491" s="1">
        <f>IFERROR(__xludf.DUMMYFUNCTION("""COMPUTED_VALUE"""),71.34)</f>
        <v>71.34</v>
      </c>
    </row>
    <row r="492">
      <c r="A492" s="2">
        <f>IFERROR(__xludf.DUMMYFUNCTION("""COMPUTED_VALUE"""),44812.66666666667)</f>
        <v>44812.66667</v>
      </c>
      <c r="B492" s="1">
        <f>IFERROR(__xludf.DUMMYFUNCTION("""COMPUTED_VALUE"""),72.22)</f>
        <v>72.22</v>
      </c>
    </row>
    <row r="493">
      <c r="A493" s="2">
        <f>IFERROR(__xludf.DUMMYFUNCTION("""COMPUTED_VALUE"""),44813.66666666667)</f>
        <v>44813.66667</v>
      </c>
      <c r="B493" s="1">
        <f>IFERROR(__xludf.DUMMYFUNCTION("""COMPUTED_VALUE"""),72.12)</f>
        <v>72.12</v>
      </c>
    </row>
    <row r="494">
      <c r="A494" s="2">
        <f>IFERROR(__xludf.DUMMYFUNCTION("""COMPUTED_VALUE"""),44816.66666666667)</f>
        <v>44816.66667</v>
      </c>
      <c r="B494" s="1">
        <f>IFERROR(__xludf.DUMMYFUNCTION("""COMPUTED_VALUE"""),72.66)</f>
        <v>72.66</v>
      </c>
    </row>
    <row r="495">
      <c r="A495" s="2">
        <f>IFERROR(__xludf.DUMMYFUNCTION("""COMPUTED_VALUE"""),44817.66666666667)</f>
        <v>44817.66667</v>
      </c>
      <c r="B495" s="1">
        <f>IFERROR(__xludf.DUMMYFUNCTION("""COMPUTED_VALUE"""),73.45)</f>
        <v>73.45</v>
      </c>
    </row>
    <row r="496">
      <c r="A496" s="2">
        <f>IFERROR(__xludf.DUMMYFUNCTION("""COMPUTED_VALUE"""),44818.66666666667)</f>
        <v>44818.66667</v>
      </c>
      <c r="B496" s="1">
        <f>IFERROR(__xludf.DUMMYFUNCTION("""COMPUTED_VALUE"""),72.68)</f>
        <v>72.68</v>
      </c>
    </row>
    <row r="497">
      <c r="A497" s="2">
        <f>IFERROR(__xludf.DUMMYFUNCTION("""COMPUTED_VALUE"""),44819.66666666667)</f>
        <v>44819.66667</v>
      </c>
      <c r="B497" s="1">
        <f>IFERROR(__xludf.DUMMYFUNCTION("""COMPUTED_VALUE"""),72.49)</f>
        <v>72.49</v>
      </c>
    </row>
    <row r="498">
      <c r="A498" s="2">
        <f>IFERROR(__xludf.DUMMYFUNCTION("""COMPUTED_VALUE"""),44820.66666666667)</f>
        <v>44820.66667</v>
      </c>
      <c r="B498" s="1">
        <f>IFERROR(__xludf.DUMMYFUNCTION("""COMPUTED_VALUE"""),71.95)</f>
        <v>71.95</v>
      </c>
    </row>
    <row r="499">
      <c r="A499" s="2">
        <f>IFERROR(__xludf.DUMMYFUNCTION("""COMPUTED_VALUE"""),44823.66666666667)</f>
        <v>44823.66667</v>
      </c>
      <c r="B499" s="1">
        <f>IFERROR(__xludf.DUMMYFUNCTION("""COMPUTED_VALUE"""),71.35)</f>
        <v>71.35</v>
      </c>
    </row>
    <row r="500">
      <c r="A500" s="2">
        <f>IFERROR(__xludf.DUMMYFUNCTION("""COMPUTED_VALUE"""),44824.66666666667)</f>
        <v>44824.66667</v>
      </c>
      <c r="B500" s="1">
        <f>IFERROR(__xludf.DUMMYFUNCTION("""COMPUTED_VALUE"""),71.55)</f>
        <v>71.55</v>
      </c>
    </row>
    <row r="501">
      <c r="A501" s="2">
        <f>IFERROR(__xludf.DUMMYFUNCTION("""COMPUTED_VALUE"""),44825.66666666667)</f>
        <v>44825.66667</v>
      </c>
      <c r="B501" s="1">
        <f>IFERROR(__xludf.DUMMYFUNCTION("""COMPUTED_VALUE"""),70.89)</f>
        <v>70.89</v>
      </c>
    </row>
    <row r="502">
      <c r="A502" s="2">
        <f>IFERROR(__xludf.DUMMYFUNCTION("""COMPUTED_VALUE"""),44827.66666666667)</f>
        <v>44827.66667</v>
      </c>
      <c r="B502" s="1">
        <f>IFERROR(__xludf.DUMMYFUNCTION("""COMPUTED_VALUE"""),70.15)</f>
        <v>70.15</v>
      </c>
    </row>
    <row r="503">
      <c r="A503" s="2">
        <f>IFERROR(__xludf.DUMMYFUNCTION("""COMPUTED_VALUE"""),44830.66666666667)</f>
        <v>44830.66667</v>
      </c>
      <c r="B503" s="1">
        <f>IFERROR(__xludf.DUMMYFUNCTION("""COMPUTED_VALUE"""),68.81)</f>
        <v>68.81</v>
      </c>
    </row>
    <row r="504">
      <c r="A504" s="2">
        <f>IFERROR(__xludf.DUMMYFUNCTION("""COMPUTED_VALUE"""),44831.66666666667)</f>
        <v>44831.66667</v>
      </c>
      <c r="B504" s="1">
        <f>IFERROR(__xludf.DUMMYFUNCTION("""COMPUTED_VALUE"""),69.08)</f>
        <v>69.08</v>
      </c>
    </row>
    <row r="505">
      <c r="A505" s="2">
        <f>IFERROR(__xludf.DUMMYFUNCTION("""COMPUTED_VALUE"""),44832.66666666667)</f>
        <v>44832.66667</v>
      </c>
      <c r="B505" s="1">
        <f>IFERROR(__xludf.DUMMYFUNCTION("""COMPUTED_VALUE"""),68.9)</f>
        <v>68.9</v>
      </c>
    </row>
    <row r="506">
      <c r="A506" s="2">
        <f>IFERROR(__xludf.DUMMYFUNCTION("""COMPUTED_VALUE"""),44833.66666666667)</f>
        <v>44833.66667</v>
      </c>
      <c r="B506" s="1">
        <f>IFERROR(__xludf.DUMMYFUNCTION("""COMPUTED_VALUE"""),69.15)</f>
        <v>69.15</v>
      </c>
    </row>
    <row r="507">
      <c r="A507" s="2">
        <f>IFERROR(__xludf.DUMMYFUNCTION("""COMPUTED_VALUE"""),44834.66666666667)</f>
        <v>44834.66667</v>
      </c>
      <c r="B507" s="1">
        <f>IFERROR(__xludf.DUMMYFUNCTION("""COMPUTED_VALUE"""),68.53)</f>
        <v>68.53</v>
      </c>
    </row>
    <row r="508">
      <c r="A508" s="2">
        <f>IFERROR(__xludf.DUMMYFUNCTION("""COMPUTED_VALUE"""),44837.66666666667)</f>
        <v>44837.66667</v>
      </c>
      <c r="B508" s="1">
        <f>IFERROR(__xludf.DUMMYFUNCTION("""COMPUTED_VALUE"""),68.81)</f>
        <v>68.81</v>
      </c>
    </row>
    <row r="509">
      <c r="A509" s="2">
        <f>IFERROR(__xludf.DUMMYFUNCTION("""COMPUTED_VALUE"""),44838.66666666667)</f>
        <v>44838.66667</v>
      </c>
      <c r="B509" s="1">
        <f>IFERROR(__xludf.DUMMYFUNCTION("""COMPUTED_VALUE"""),70.69)</f>
        <v>70.69</v>
      </c>
    </row>
    <row r="510">
      <c r="A510" s="2">
        <f>IFERROR(__xludf.DUMMYFUNCTION("""COMPUTED_VALUE"""),44839.66666666667)</f>
        <v>44839.66667</v>
      </c>
      <c r="B510" s="1">
        <f>IFERROR(__xludf.DUMMYFUNCTION("""COMPUTED_VALUE"""),72.0)</f>
        <v>72</v>
      </c>
    </row>
    <row r="511">
      <c r="A511" s="2">
        <f>IFERROR(__xludf.DUMMYFUNCTION("""COMPUTED_VALUE"""),44840.66666666667)</f>
        <v>44840.66667</v>
      </c>
      <c r="B511" s="1">
        <f>IFERROR(__xludf.DUMMYFUNCTION("""COMPUTED_VALUE"""),71.67)</f>
        <v>71.67</v>
      </c>
    </row>
    <row r="512">
      <c r="A512" s="2">
        <f>IFERROR(__xludf.DUMMYFUNCTION("""COMPUTED_VALUE"""),44841.66666666667)</f>
        <v>44841.66667</v>
      </c>
      <c r="B512" s="1">
        <f>IFERROR(__xludf.DUMMYFUNCTION("""COMPUTED_VALUE"""),71.47)</f>
        <v>71.47</v>
      </c>
    </row>
    <row r="513">
      <c r="A513" s="2">
        <f>IFERROR(__xludf.DUMMYFUNCTION("""COMPUTED_VALUE"""),44844.66666666667)</f>
        <v>44844.66667</v>
      </c>
      <c r="B513" s="1">
        <f>IFERROR(__xludf.DUMMYFUNCTION("""COMPUTED_VALUE"""),70.81)</f>
        <v>70.81</v>
      </c>
    </row>
    <row r="514">
      <c r="A514" s="2">
        <f>IFERROR(__xludf.DUMMYFUNCTION("""COMPUTED_VALUE"""),44845.66666666667)</f>
        <v>44845.66667</v>
      </c>
      <c r="B514" s="1">
        <f>IFERROR(__xludf.DUMMYFUNCTION("""COMPUTED_VALUE"""),70.92)</f>
        <v>70.92</v>
      </c>
    </row>
    <row r="515">
      <c r="A515" s="2">
        <f>IFERROR(__xludf.DUMMYFUNCTION("""COMPUTED_VALUE"""),44846.66666666667)</f>
        <v>44846.66667</v>
      </c>
      <c r="B515" s="1">
        <f>IFERROR(__xludf.DUMMYFUNCTION("""COMPUTED_VALUE"""),70.44)</f>
        <v>70.44</v>
      </c>
    </row>
    <row r="516">
      <c r="A516" s="2">
        <f>IFERROR(__xludf.DUMMYFUNCTION("""COMPUTED_VALUE"""),44847.66666666667)</f>
        <v>44847.66667</v>
      </c>
      <c r="B516" s="1">
        <f>IFERROR(__xludf.DUMMYFUNCTION("""COMPUTED_VALUE"""),70.02)</f>
        <v>70.02</v>
      </c>
    </row>
    <row r="517">
      <c r="A517" s="2">
        <f>IFERROR(__xludf.DUMMYFUNCTION("""COMPUTED_VALUE"""),44848.66666666667)</f>
        <v>44848.66667</v>
      </c>
      <c r="B517" s="1">
        <f>IFERROR(__xludf.DUMMYFUNCTION("""COMPUTED_VALUE"""),71.28)</f>
        <v>71.28</v>
      </c>
    </row>
    <row r="518">
      <c r="A518" s="2">
        <f>IFERROR(__xludf.DUMMYFUNCTION("""COMPUTED_VALUE"""),44851.66666666667)</f>
        <v>44851.66667</v>
      </c>
      <c r="B518" s="1">
        <f>IFERROR(__xludf.DUMMYFUNCTION("""COMPUTED_VALUE"""),71.03)</f>
        <v>71.03</v>
      </c>
    </row>
    <row r="519">
      <c r="A519" s="2">
        <f>IFERROR(__xludf.DUMMYFUNCTION("""COMPUTED_VALUE"""),44852.66666666667)</f>
        <v>44852.66667</v>
      </c>
      <c r="B519" s="1">
        <f>IFERROR(__xludf.DUMMYFUNCTION("""COMPUTED_VALUE"""),72.14)</f>
        <v>72.14</v>
      </c>
    </row>
    <row r="520">
      <c r="A520" s="2">
        <f>IFERROR(__xludf.DUMMYFUNCTION("""COMPUTED_VALUE"""),44853.66666666667)</f>
        <v>44853.66667</v>
      </c>
      <c r="B520" s="1">
        <f>IFERROR(__xludf.DUMMYFUNCTION("""COMPUTED_VALUE"""),72.15)</f>
        <v>72.15</v>
      </c>
    </row>
    <row r="521">
      <c r="A521" s="2">
        <f>IFERROR(__xludf.DUMMYFUNCTION("""COMPUTED_VALUE"""),44854.66666666667)</f>
        <v>44854.66667</v>
      </c>
      <c r="B521" s="1">
        <f>IFERROR(__xludf.DUMMYFUNCTION("""COMPUTED_VALUE"""),71.47)</f>
        <v>71.47</v>
      </c>
    </row>
    <row r="522">
      <c r="A522" s="2">
        <f>IFERROR(__xludf.DUMMYFUNCTION("""COMPUTED_VALUE"""),44855.66666666667)</f>
        <v>44855.66667</v>
      </c>
      <c r="B522" s="1">
        <f>IFERROR(__xludf.DUMMYFUNCTION("""COMPUTED_VALUE"""),71.32)</f>
        <v>71.32</v>
      </c>
    </row>
    <row r="523">
      <c r="A523" s="2">
        <f>IFERROR(__xludf.DUMMYFUNCTION("""COMPUTED_VALUE"""),44858.66666666667)</f>
        <v>44858.66667</v>
      </c>
      <c r="B523" s="1">
        <f>IFERROR(__xludf.DUMMYFUNCTION("""COMPUTED_VALUE"""),71.16)</f>
        <v>71.16</v>
      </c>
    </row>
    <row r="524">
      <c r="A524" s="2">
        <f>IFERROR(__xludf.DUMMYFUNCTION("""COMPUTED_VALUE"""),44859.66666666667)</f>
        <v>44859.66667</v>
      </c>
      <c r="B524" s="1">
        <f>IFERROR(__xludf.DUMMYFUNCTION("""COMPUTED_VALUE"""),71.45)</f>
        <v>71.45</v>
      </c>
    </row>
    <row r="525">
      <c r="A525" s="2">
        <f>IFERROR(__xludf.DUMMYFUNCTION("""COMPUTED_VALUE"""),44860.66666666667)</f>
        <v>44860.66667</v>
      </c>
      <c r="B525" s="1">
        <f>IFERROR(__xludf.DUMMYFUNCTION("""COMPUTED_VALUE"""),71.62)</f>
        <v>71.62</v>
      </c>
    </row>
    <row r="526">
      <c r="A526" s="2">
        <f>IFERROR(__xludf.DUMMYFUNCTION("""COMPUTED_VALUE"""),44861.66666666667)</f>
        <v>44861.66667</v>
      </c>
      <c r="B526" s="1">
        <f>IFERROR(__xludf.DUMMYFUNCTION("""COMPUTED_VALUE"""),71.3)</f>
        <v>71.3</v>
      </c>
    </row>
    <row r="527">
      <c r="A527" s="2">
        <f>IFERROR(__xludf.DUMMYFUNCTION("""COMPUTED_VALUE"""),44862.66666666667)</f>
        <v>44862.66667</v>
      </c>
      <c r="B527" s="1">
        <f>IFERROR(__xludf.DUMMYFUNCTION("""COMPUTED_VALUE"""),71.04)</f>
        <v>71.04</v>
      </c>
    </row>
    <row r="528">
      <c r="A528" s="2">
        <f>IFERROR(__xludf.DUMMYFUNCTION("""COMPUTED_VALUE"""),44865.66666666667)</f>
        <v>44865.66667</v>
      </c>
      <c r="B528" s="1">
        <f>IFERROR(__xludf.DUMMYFUNCTION("""COMPUTED_VALUE"""),71.72)</f>
        <v>71.72</v>
      </c>
    </row>
    <row r="529">
      <c r="A529" s="2">
        <f>IFERROR(__xludf.DUMMYFUNCTION("""COMPUTED_VALUE"""),44866.66666666667)</f>
        <v>44866.66667</v>
      </c>
      <c r="B529" s="1">
        <f>IFERROR(__xludf.DUMMYFUNCTION("""COMPUTED_VALUE"""),71.97)</f>
        <v>71.97</v>
      </c>
    </row>
    <row r="530">
      <c r="A530" s="2">
        <f>IFERROR(__xludf.DUMMYFUNCTION("""COMPUTED_VALUE"""),44867.66666666667)</f>
        <v>44867.66667</v>
      </c>
      <c r="B530" s="1">
        <f>IFERROR(__xludf.DUMMYFUNCTION("""COMPUTED_VALUE"""),72.77)</f>
        <v>72.77</v>
      </c>
    </row>
    <row r="531">
      <c r="A531" s="2">
        <f>IFERROR(__xludf.DUMMYFUNCTION("""COMPUTED_VALUE"""),44868.66666666667)</f>
        <v>44868.66667</v>
      </c>
      <c r="B531" s="1">
        <f>IFERROR(__xludf.DUMMYFUNCTION("""COMPUTED_VALUE"""),72.28)</f>
        <v>72.28</v>
      </c>
    </row>
    <row r="532">
      <c r="A532" s="2">
        <f>IFERROR(__xludf.DUMMYFUNCTION("""COMPUTED_VALUE"""),44869.66666666667)</f>
        <v>44869.66667</v>
      </c>
      <c r="B532" s="1">
        <f>IFERROR(__xludf.DUMMYFUNCTION("""COMPUTED_VALUE"""),72.7)</f>
        <v>72.7</v>
      </c>
    </row>
    <row r="533">
      <c r="A533" s="2">
        <f>IFERROR(__xludf.DUMMYFUNCTION("""COMPUTED_VALUE"""),44872.66666666667)</f>
        <v>44872.66667</v>
      </c>
      <c r="B533" s="1">
        <f>IFERROR(__xludf.DUMMYFUNCTION("""COMPUTED_VALUE"""),73.45)</f>
        <v>73.45</v>
      </c>
    </row>
    <row r="534">
      <c r="A534" s="2">
        <f>IFERROR(__xludf.DUMMYFUNCTION("""COMPUTED_VALUE"""),44873.66666666667)</f>
        <v>44873.66667</v>
      </c>
      <c r="B534" s="1">
        <f>IFERROR(__xludf.DUMMYFUNCTION("""COMPUTED_VALUE"""),73.59)</f>
        <v>73.59</v>
      </c>
    </row>
    <row r="535">
      <c r="A535" s="2">
        <f>IFERROR(__xludf.DUMMYFUNCTION("""COMPUTED_VALUE"""),44874.66666666667)</f>
        <v>44874.66667</v>
      </c>
      <c r="B535" s="1">
        <f>IFERROR(__xludf.DUMMYFUNCTION("""COMPUTED_VALUE"""),73.79)</f>
        <v>73.79</v>
      </c>
    </row>
    <row r="536">
      <c r="A536" s="2">
        <f>IFERROR(__xludf.DUMMYFUNCTION("""COMPUTED_VALUE"""),44875.66666666667)</f>
        <v>44875.66667</v>
      </c>
      <c r="B536" s="1">
        <f>IFERROR(__xludf.DUMMYFUNCTION("""COMPUTED_VALUE"""),73.8)</f>
        <v>73.8</v>
      </c>
    </row>
    <row r="537">
      <c r="A537" s="2">
        <f>IFERROR(__xludf.DUMMYFUNCTION("""COMPUTED_VALUE"""),44876.66666666667)</f>
        <v>44876.66667</v>
      </c>
      <c r="B537" s="1">
        <f>IFERROR(__xludf.DUMMYFUNCTION("""COMPUTED_VALUE"""),75.0)</f>
        <v>75</v>
      </c>
    </row>
    <row r="538">
      <c r="A538" s="2">
        <f>IFERROR(__xludf.DUMMYFUNCTION("""COMPUTED_VALUE"""),44879.66666666667)</f>
        <v>44879.66667</v>
      </c>
      <c r="B538" s="1">
        <f>IFERROR(__xludf.DUMMYFUNCTION("""COMPUTED_VALUE"""),75.44)</f>
        <v>75.44</v>
      </c>
    </row>
    <row r="539">
      <c r="A539" s="2">
        <f>IFERROR(__xludf.DUMMYFUNCTION("""COMPUTED_VALUE"""),44880.66666666667)</f>
        <v>44880.66667</v>
      </c>
      <c r="B539" s="1">
        <f>IFERROR(__xludf.DUMMYFUNCTION("""COMPUTED_VALUE"""),75.37)</f>
        <v>75.37</v>
      </c>
    </row>
    <row r="540">
      <c r="A540" s="2">
        <f>IFERROR(__xludf.DUMMYFUNCTION("""COMPUTED_VALUE"""),44881.66666666667)</f>
        <v>44881.66667</v>
      </c>
      <c r="B540" s="1">
        <f>IFERROR(__xludf.DUMMYFUNCTION("""COMPUTED_VALUE"""),74.57)</f>
        <v>74.57</v>
      </c>
    </row>
    <row r="541">
      <c r="A541" s="2">
        <f>IFERROR(__xludf.DUMMYFUNCTION("""COMPUTED_VALUE"""),44882.66666666667)</f>
        <v>44882.66667</v>
      </c>
      <c r="B541" s="1">
        <f>IFERROR(__xludf.DUMMYFUNCTION("""COMPUTED_VALUE"""),74.79)</f>
        <v>74.79</v>
      </c>
    </row>
    <row r="542">
      <c r="A542" s="2">
        <f>IFERROR(__xludf.DUMMYFUNCTION("""COMPUTED_VALUE"""),44883.66666666667)</f>
        <v>44883.66667</v>
      </c>
      <c r="B542" s="1">
        <f>IFERROR(__xludf.DUMMYFUNCTION("""COMPUTED_VALUE"""),74.98)</f>
        <v>74.98</v>
      </c>
    </row>
    <row r="543">
      <c r="A543" s="2">
        <f>IFERROR(__xludf.DUMMYFUNCTION("""COMPUTED_VALUE"""),44886.66666666667)</f>
        <v>44886.66667</v>
      </c>
      <c r="B543" s="1">
        <f>IFERROR(__xludf.DUMMYFUNCTION("""COMPUTED_VALUE"""),75.04)</f>
        <v>75.04</v>
      </c>
    </row>
    <row r="544">
      <c r="A544" s="2">
        <f>IFERROR(__xludf.DUMMYFUNCTION("""COMPUTED_VALUE"""),44887.66666666667)</f>
        <v>44887.66667</v>
      </c>
      <c r="B544" s="1">
        <f>IFERROR(__xludf.DUMMYFUNCTION("""COMPUTED_VALUE"""),75.46)</f>
        <v>75.46</v>
      </c>
    </row>
    <row r="545">
      <c r="A545" s="2">
        <f>IFERROR(__xludf.DUMMYFUNCTION("""COMPUTED_VALUE"""),44888.66666666667)</f>
        <v>44888.66667</v>
      </c>
      <c r="B545" s="1">
        <f>IFERROR(__xludf.DUMMYFUNCTION("""COMPUTED_VALUE"""),75.87)</f>
        <v>75.87</v>
      </c>
    </row>
    <row r="546">
      <c r="A546" s="2">
        <f>IFERROR(__xludf.DUMMYFUNCTION("""COMPUTED_VALUE"""),44889.66666666667)</f>
        <v>44889.66667</v>
      </c>
      <c r="B546" s="1">
        <f>IFERROR(__xludf.DUMMYFUNCTION("""COMPUTED_VALUE"""),75.67)</f>
        <v>75.67</v>
      </c>
    </row>
    <row r="547">
      <c r="A547" s="2">
        <f>IFERROR(__xludf.DUMMYFUNCTION("""COMPUTED_VALUE"""),44893.66666666667)</f>
        <v>44893.66667</v>
      </c>
      <c r="B547" s="1">
        <f>IFERROR(__xludf.DUMMYFUNCTION("""COMPUTED_VALUE"""),75.77)</f>
        <v>75.77</v>
      </c>
    </row>
    <row r="548">
      <c r="A548" s="2">
        <f>IFERROR(__xludf.DUMMYFUNCTION("""COMPUTED_VALUE"""),44894.66666666667)</f>
        <v>44894.66667</v>
      </c>
      <c r="B548" s="1">
        <f>IFERROR(__xludf.DUMMYFUNCTION("""COMPUTED_VALUE"""),76.07)</f>
        <v>76.07</v>
      </c>
    </row>
    <row r="549">
      <c r="A549" s="2">
        <f>IFERROR(__xludf.DUMMYFUNCTION("""COMPUTED_VALUE"""),44895.66666666667)</f>
        <v>44895.66667</v>
      </c>
      <c r="B549" s="1">
        <f>IFERROR(__xludf.DUMMYFUNCTION("""COMPUTED_VALUE"""),76.2)</f>
        <v>76.2</v>
      </c>
    </row>
    <row r="550">
      <c r="A550" s="2">
        <f>IFERROR(__xludf.DUMMYFUNCTION("""COMPUTED_VALUE"""),44896.66666666667)</f>
        <v>44896.66667</v>
      </c>
      <c r="B550" s="1">
        <f>IFERROR(__xludf.DUMMYFUNCTION("""COMPUTED_VALUE"""),76.64)</f>
        <v>76.64</v>
      </c>
    </row>
    <row r="551">
      <c r="A551" s="2">
        <f>IFERROR(__xludf.DUMMYFUNCTION("""COMPUTED_VALUE"""),44897.66666666667)</f>
        <v>44897.66667</v>
      </c>
      <c r="B551" s="1">
        <f>IFERROR(__xludf.DUMMYFUNCTION("""COMPUTED_VALUE"""),76.41)</f>
        <v>76.41</v>
      </c>
    </row>
    <row r="552">
      <c r="A552" s="2">
        <f>IFERROR(__xludf.DUMMYFUNCTION("""COMPUTED_VALUE"""),44900.66666666667)</f>
        <v>44900.66667</v>
      </c>
      <c r="B552" s="1">
        <f>IFERROR(__xludf.DUMMYFUNCTION("""COMPUTED_VALUE"""),76.57)</f>
        <v>76.57</v>
      </c>
    </row>
    <row r="553">
      <c r="A553" s="2">
        <f>IFERROR(__xludf.DUMMYFUNCTION("""COMPUTED_VALUE"""),44901.66666666667)</f>
        <v>44901.66667</v>
      </c>
      <c r="B553" s="1">
        <f>IFERROR(__xludf.DUMMYFUNCTION("""COMPUTED_VALUE"""),76.84)</f>
        <v>76.84</v>
      </c>
    </row>
    <row r="554">
      <c r="A554" s="2">
        <f>IFERROR(__xludf.DUMMYFUNCTION("""COMPUTED_VALUE"""),44902.66666666667)</f>
        <v>44902.66667</v>
      </c>
      <c r="B554" s="1">
        <f>IFERROR(__xludf.DUMMYFUNCTION("""COMPUTED_VALUE"""),76.94)</f>
        <v>76.94</v>
      </c>
    </row>
    <row r="555">
      <c r="A555" s="2">
        <f>IFERROR(__xludf.DUMMYFUNCTION("""COMPUTED_VALUE"""),44903.66666666667)</f>
        <v>44903.66667</v>
      </c>
      <c r="B555" s="1">
        <f>IFERROR(__xludf.DUMMYFUNCTION("""COMPUTED_VALUE"""),76.19)</f>
        <v>76.19</v>
      </c>
    </row>
    <row r="556">
      <c r="A556" s="2">
        <f>IFERROR(__xludf.DUMMYFUNCTION("""COMPUTED_VALUE"""),44904.66666666667)</f>
        <v>44904.66667</v>
      </c>
      <c r="B556" s="1">
        <f>IFERROR(__xludf.DUMMYFUNCTION("""COMPUTED_VALUE"""),76.39)</f>
        <v>76.39</v>
      </c>
    </row>
    <row r="557">
      <c r="A557" s="2">
        <f>IFERROR(__xludf.DUMMYFUNCTION("""COMPUTED_VALUE"""),44907.66666666667)</f>
        <v>44907.66667</v>
      </c>
      <c r="B557" s="1">
        <f>IFERROR(__xludf.DUMMYFUNCTION("""COMPUTED_VALUE"""),75.89)</f>
        <v>75.89</v>
      </c>
    </row>
    <row r="558">
      <c r="A558" s="2">
        <f>IFERROR(__xludf.DUMMYFUNCTION("""COMPUTED_VALUE"""),44908.66666666667)</f>
        <v>44908.66667</v>
      </c>
      <c r="B558" s="1">
        <f>IFERROR(__xludf.DUMMYFUNCTION("""COMPUTED_VALUE"""),76.4)</f>
        <v>76.4</v>
      </c>
    </row>
    <row r="559">
      <c r="A559" s="2">
        <f>IFERROR(__xludf.DUMMYFUNCTION("""COMPUTED_VALUE"""),44909.66666666667)</f>
        <v>44909.66667</v>
      </c>
      <c r="B559" s="1">
        <f>IFERROR(__xludf.DUMMYFUNCTION("""COMPUTED_VALUE"""),76.41)</f>
        <v>76.41</v>
      </c>
    </row>
    <row r="560">
      <c r="A560" s="2">
        <f>IFERROR(__xludf.DUMMYFUNCTION("""COMPUTED_VALUE"""),44910.66666666667)</f>
        <v>44910.66667</v>
      </c>
      <c r="B560" s="1">
        <f>IFERROR(__xludf.DUMMYFUNCTION("""COMPUTED_VALUE"""),76.12)</f>
        <v>76.12</v>
      </c>
    </row>
    <row r="561">
      <c r="A561" s="2">
        <f>IFERROR(__xludf.DUMMYFUNCTION("""COMPUTED_VALUE"""),44911.66666666667)</f>
        <v>44911.66667</v>
      </c>
      <c r="B561" s="1">
        <f>IFERROR(__xludf.DUMMYFUNCTION("""COMPUTED_VALUE"""),76.14)</f>
        <v>76.14</v>
      </c>
    </row>
    <row r="562">
      <c r="A562" s="2">
        <f>IFERROR(__xludf.DUMMYFUNCTION("""COMPUTED_VALUE"""),44914.66666666667)</f>
        <v>44914.66667</v>
      </c>
      <c r="B562" s="1">
        <f>IFERROR(__xludf.DUMMYFUNCTION("""COMPUTED_VALUE"""),75.63)</f>
        <v>75.63</v>
      </c>
    </row>
    <row r="563">
      <c r="A563" s="2">
        <f>IFERROR(__xludf.DUMMYFUNCTION("""COMPUTED_VALUE"""),44915.66666666667)</f>
        <v>44915.66667</v>
      </c>
      <c r="B563" s="1">
        <f>IFERROR(__xludf.DUMMYFUNCTION("""COMPUTED_VALUE"""),74.74)</f>
        <v>74.74</v>
      </c>
    </row>
    <row r="564">
      <c r="A564" s="2">
        <f>IFERROR(__xludf.DUMMYFUNCTION("""COMPUTED_VALUE"""),44916.66666666667)</f>
        <v>44916.66667</v>
      </c>
      <c r="B564" s="1">
        <f>IFERROR(__xludf.DUMMYFUNCTION("""COMPUTED_VALUE"""),75.3)</f>
        <v>75.3</v>
      </c>
    </row>
    <row r="565">
      <c r="A565" s="2">
        <f>IFERROR(__xludf.DUMMYFUNCTION("""COMPUTED_VALUE"""),44917.66666666667)</f>
        <v>44917.66667</v>
      </c>
      <c r="B565" s="1">
        <f>IFERROR(__xludf.DUMMYFUNCTION("""COMPUTED_VALUE"""),75.29)</f>
        <v>75.29</v>
      </c>
    </row>
    <row r="566">
      <c r="A566" s="2">
        <f>IFERROR(__xludf.DUMMYFUNCTION("""COMPUTED_VALUE"""),44918.66666666667)</f>
        <v>44918.66667</v>
      </c>
      <c r="B566" s="1">
        <f>IFERROR(__xludf.DUMMYFUNCTION("""COMPUTED_VALUE"""),75.3)</f>
        <v>75.3</v>
      </c>
    </row>
    <row r="567">
      <c r="A567" s="2">
        <f>IFERROR(__xludf.DUMMYFUNCTION("""COMPUTED_VALUE"""),44923.66666666667)</f>
        <v>44923.66667</v>
      </c>
      <c r="B567" s="1">
        <f>IFERROR(__xludf.DUMMYFUNCTION("""COMPUTED_VALUE"""),74.9)</f>
        <v>74.9</v>
      </c>
    </row>
    <row r="568">
      <c r="A568" s="2">
        <f>IFERROR(__xludf.DUMMYFUNCTION("""COMPUTED_VALUE"""),44924.66666666667)</f>
        <v>44924.66667</v>
      </c>
      <c r="B568" s="1">
        <f>IFERROR(__xludf.DUMMYFUNCTION("""COMPUTED_VALUE"""),74.23)</f>
        <v>74.23</v>
      </c>
    </row>
    <row r="569">
      <c r="A569" s="2">
        <f>IFERROR(__xludf.DUMMYFUNCTION("""COMPUTED_VALUE"""),44925.66666666667)</f>
        <v>44925.66667</v>
      </c>
      <c r="B569" s="1">
        <f>IFERROR(__xludf.DUMMYFUNCTION("""COMPUTED_VALUE"""),74.78)</f>
        <v>74.78</v>
      </c>
    </row>
    <row r="570">
      <c r="A570" s="2">
        <f>IFERROR(__xludf.DUMMYFUNCTION("""COMPUTED_VALUE"""),44929.66666666667)</f>
        <v>44929.66667</v>
      </c>
      <c r="B570" s="1">
        <f>IFERROR(__xludf.DUMMYFUNCTION("""COMPUTED_VALUE"""),74.08)</f>
        <v>74.08</v>
      </c>
    </row>
    <row r="571">
      <c r="A571" s="2">
        <f>IFERROR(__xludf.DUMMYFUNCTION("""COMPUTED_VALUE"""),44930.66666666667)</f>
        <v>44930.66667</v>
      </c>
      <c r="B571" s="1">
        <f>IFERROR(__xludf.DUMMYFUNCTION("""COMPUTED_VALUE"""),74.77)</f>
        <v>74.77</v>
      </c>
    </row>
    <row r="572">
      <c r="A572" s="2">
        <f>IFERROR(__xludf.DUMMYFUNCTION("""COMPUTED_VALUE"""),44931.66666666667)</f>
        <v>44931.66667</v>
      </c>
      <c r="B572" s="1">
        <f>IFERROR(__xludf.DUMMYFUNCTION("""COMPUTED_VALUE"""),75.15)</f>
        <v>75.15</v>
      </c>
    </row>
    <row r="573">
      <c r="A573" s="2">
        <f>IFERROR(__xludf.DUMMYFUNCTION("""COMPUTED_VALUE"""),44932.66666666667)</f>
        <v>44932.66667</v>
      </c>
      <c r="B573" s="1">
        <f>IFERROR(__xludf.DUMMYFUNCTION("""COMPUTED_VALUE"""),75.79)</f>
        <v>75.79</v>
      </c>
    </row>
    <row r="574">
      <c r="A574" s="2">
        <f>IFERROR(__xludf.DUMMYFUNCTION("""COMPUTED_VALUE"""),44935.66666666667)</f>
        <v>44935.66667</v>
      </c>
      <c r="B574" s="1">
        <f>IFERROR(__xludf.DUMMYFUNCTION("""COMPUTED_VALUE"""),75.67)</f>
        <v>75.67</v>
      </c>
    </row>
    <row r="575">
      <c r="A575" s="2">
        <f>IFERROR(__xludf.DUMMYFUNCTION("""COMPUTED_VALUE"""),44936.66666666667)</f>
        <v>44936.66667</v>
      </c>
      <c r="B575" s="1">
        <f>IFERROR(__xludf.DUMMYFUNCTION("""COMPUTED_VALUE"""),75.75)</f>
        <v>75.75</v>
      </c>
    </row>
    <row r="576">
      <c r="A576" s="2">
        <f>IFERROR(__xludf.DUMMYFUNCTION("""COMPUTED_VALUE"""),44937.66666666667)</f>
        <v>44937.66667</v>
      </c>
      <c r="B576" s="1">
        <f>IFERROR(__xludf.DUMMYFUNCTION("""COMPUTED_VALUE"""),76.32)</f>
        <v>76.32</v>
      </c>
    </row>
    <row r="577">
      <c r="A577" s="2">
        <f>IFERROR(__xludf.DUMMYFUNCTION("""COMPUTED_VALUE"""),44938.66666666667)</f>
        <v>44938.66667</v>
      </c>
      <c r="B577" s="1">
        <f>IFERROR(__xludf.DUMMYFUNCTION("""COMPUTED_VALUE"""),76.58)</f>
        <v>76.58</v>
      </c>
    </row>
    <row r="578">
      <c r="A578" s="2">
        <f>IFERROR(__xludf.DUMMYFUNCTION("""COMPUTED_VALUE"""),44939.66666666667)</f>
        <v>44939.66667</v>
      </c>
      <c r="B578" s="1">
        <f>IFERROR(__xludf.DUMMYFUNCTION("""COMPUTED_VALUE"""),76.89)</f>
        <v>76.89</v>
      </c>
    </row>
    <row r="579">
      <c r="A579" s="2">
        <f>IFERROR(__xludf.DUMMYFUNCTION("""COMPUTED_VALUE"""),44942.66666666667)</f>
        <v>44942.66667</v>
      </c>
      <c r="B579" s="1">
        <f>IFERROR(__xludf.DUMMYFUNCTION("""COMPUTED_VALUE"""),77.38)</f>
        <v>77.38</v>
      </c>
    </row>
    <row r="580">
      <c r="A580" s="2">
        <f>IFERROR(__xludf.DUMMYFUNCTION("""COMPUTED_VALUE"""),44943.66666666667)</f>
        <v>44943.66667</v>
      </c>
      <c r="B580" s="1">
        <f>IFERROR(__xludf.DUMMYFUNCTION("""COMPUTED_VALUE"""),77.03)</f>
        <v>77.03</v>
      </c>
    </row>
    <row r="581">
      <c r="A581" s="2">
        <f>IFERROR(__xludf.DUMMYFUNCTION("""COMPUTED_VALUE"""),44944.66666666667)</f>
        <v>44944.66667</v>
      </c>
      <c r="B581" s="1">
        <f>IFERROR(__xludf.DUMMYFUNCTION("""COMPUTED_VALUE"""),76.99)</f>
        <v>76.99</v>
      </c>
    </row>
    <row r="582">
      <c r="A582" s="2">
        <f>IFERROR(__xludf.DUMMYFUNCTION("""COMPUTED_VALUE"""),44945.66666666667)</f>
        <v>44945.66667</v>
      </c>
      <c r="B582" s="1">
        <f>IFERROR(__xludf.DUMMYFUNCTION("""COMPUTED_VALUE"""),78.02)</f>
        <v>78.02</v>
      </c>
    </row>
    <row r="583">
      <c r="A583" s="2">
        <f>IFERROR(__xludf.DUMMYFUNCTION("""COMPUTED_VALUE"""),44946.66666666667)</f>
        <v>44946.66667</v>
      </c>
      <c r="B583" s="1">
        <f>IFERROR(__xludf.DUMMYFUNCTION("""COMPUTED_VALUE"""),77.78)</f>
        <v>77.78</v>
      </c>
    </row>
    <row r="584">
      <c r="A584" s="2">
        <f>IFERROR(__xludf.DUMMYFUNCTION("""COMPUTED_VALUE"""),44949.66666666667)</f>
        <v>44949.66667</v>
      </c>
      <c r="B584" s="1">
        <f>IFERROR(__xludf.DUMMYFUNCTION("""COMPUTED_VALUE"""),77.92)</f>
        <v>77.92</v>
      </c>
    </row>
    <row r="585">
      <c r="A585" s="2">
        <f>IFERROR(__xludf.DUMMYFUNCTION("""COMPUTED_VALUE"""),44950.66666666667)</f>
        <v>44950.66667</v>
      </c>
      <c r="B585" s="1">
        <f>IFERROR(__xludf.DUMMYFUNCTION("""COMPUTED_VALUE"""),77.75)</f>
        <v>77.75</v>
      </c>
    </row>
    <row r="586">
      <c r="A586" s="2">
        <f>IFERROR(__xludf.DUMMYFUNCTION("""COMPUTED_VALUE"""),44951.66666666667)</f>
        <v>44951.66667</v>
      </c>
      <c r="B586" s="1">
        <f>IFERROR(__xludf.DUMMYFUNCTION("""COMPUTED_VALUE"""),76.91)</f>
        <v>76.91</v>
      </c>
    </row>
    <row r="587">
      <c r="A587" s="2">
        <f>IFERROR(__xludf.DUMMYFUNCTION("""COMPUTED_VALUE"""),44953.66666666667)</f>
        <v>44953.66667</v>
      </c>
      <c r="B587" s="1">
        <f>IFERROR(__xludf.DUMMYFUNCTION("""COMPUTED_VALUE"""),77.23)</f>
        <v>77.23</v>
      </c>
    </row>
    <row r="588">
      <c r="A588" s="2">
        <f>IFERROR(__xludf.DUMMYFUNCTION("""COMPUTED_VALUE"""),44956.66666666667)</f>
        <v>44956.66667</v>
      </c>
      <c r="B588" s="1">
        <f>IFERROR(__xludf.DUMMYFUNCTION("""COMPUTED_VALUE"""),77.12)</f>
        <v>77.12</v>
      </c>
    </row>
    <row r="589">
      <c r="A589" s="2">
        <f>IFERROR(__xludf.DUMMYFUNCTION("""COMPUTED_VALUE"""),44957.66666666667)</f>
        <v>44957.66667</v>
      </c>
      <c r="B589" s="1">
        <f>IFERROR(__xludf.DUMMYFUNCTION("""COMPUTED_VALUE"""),76.95)</f>
        <v>76.95</v>
      </c>
    </row>
    <row r="590">
      <c r="A590" s="2">
        <f>IFERROR(__xludf.DUMMYFUNCTION("""COMPUTED_VALUE"""),44958.66666666667)</f>
        <v>44958.66667</v>
      </c>
      <c r="B590" s="1">
        <f>IFERROR(__xludf.DUMMYFUNCTION("""COMPUTED_VALUE"""),76.95)</f>
        <v>76.95</v>
      </c>
    </row>
    <row r="591">
      <c r="A591" s="2">
        <f>IFERROR(__xludf.DUMMYFUNCTION("""COMPUTED_VALUE"""),44959.66666666667)</f>
        <v>44959.66667</v>
      </c>
      <c r="B591" s="1">
        <f>IFERROR(__xludf.DUMMYFUNCTION("""COMPUTED_VALUE"""),77.16)</f>
        <v>77.16</v>
      </c>
    </row>
    <row r="592">
      <c r="A592" s="2">
        <f>IFERROR(__xludf.DUMMYFUNCTION("""COMPUTED_VALUE"""),44960.66666666667)</f>
        <v>44960.66667</v>
      </c>
      <c r="B592" s="1">
        <f>IFERROR(__xludf.DUMMYFUNCTION("""COMPUTED_VALUE"""),77.54)</f>
        <v>77.54</v>
      </c>
    </row>
    <row r="593">
      <c r="A593" s="2">
        <f>IFERROR(__xludf.DUMMYFUNCTION("""COMPUTED_VALUE"""),44963.66666666667)</f>
        <v>44963.66667</v>
      </c>
      <c r="B593" s="1">
        <f>IFERROR(__xludf.DUMMYFUNCTION("""COMPUTED_VALUE"""),77.85)</f>
        <v>77.85</v>
      </c>
    </row>
    <row r="594">
      <c r="A594" s="2">
        <f>IFERROR(__xludf.DUMMYFUNCTION("""COMPUTED_VALUE"""),44964.66666666667)</f>
        <v>44964.66667</v>
      </c>
      <c r="B594" s="1">
        <f>IFERROR(__xludf.DUMMYFUNCTION("""COMPUTED_VALUE"""),77.65)</f>
        <v>77.65</v>
      </c>
    </row>
    <row r="595">
      <c r="A595" s="2">
        <f>IFERROR(__xludf.DUMMYFUNCTION("""COMPUTED_VALUE"""),44965.66666666667)</f>
        <v>44965.66667</v>
      </c>
      <c r="B595" s="1">
        <f>IFERROR(__xludf.DUMMYFUNCTION("""COMPUTED_VALUE"""),77.73)</f>
        <v>77.73</v>
      </c>
    </row>
    <row r="596">
      <c r="A596" s="2">
        <f>IFERROR(__xludf.DUMMYFUNCTION("""COMPUTED_VALUE"""),44966.66666666667)</f>
        <v>44966.66667</v>
      </c>
      <c r="B596" s="1">
        <f>IFERROR(__xludf.DUMMYFUNCTION("""COMPUTED_VALUE"""),77.82)</f>
        <v>77.82</v>
      </c>
    </row>
    <row r="597">
      <c r="A597" s="2">
        <f>IFERROR(__xludf.DUMMYFUNCTION("""COMPUTED_VALUE"""),44967.66666666667)</f>
        <v>44967.66667</v>
      </c>
      <c r="B597" s="1">
        <f>IFERROR(__xludf.DUMMYFUNCTION("""COMPUTED_VALUE"""),77.61)</f>
        <v>77.61</v>
      </c>
    </row>
    <row r="598">
      <c r="A598" s="2">
        <f>IFERROR(__xludf.DUMMYFUNCTION("""COMPUTED_VALUE"""),44970.66666666667)</f>
        <v>44970.66667</v>
      </c>
      <c r="B598" s="1">
        <f>IFERROR(__xludf.DUMMYFUNCTION("""COMPUTED_VALUE"""),77.24)</f>
        <v>77.24</v>
      </c>
    </row>
    <row r="599">
      <c r="A599" s="2">
        <f>IFERROR(__xludf.DUMMYFUNCTION("""COMPUTED_VALUE"""),44971.66666666667)</f>
        <v>44971.66667</v>
      </c>
      <c r="B599" s="1">
        <f>IFERROR(__xludf.DUMMYFUNCTION("""COMPUTED_VALUE"""),77.6)</f>
        <v>77.6</v>
      </c>
    </row>
    <row r="600">
      <c r="A600" s="2">
        <f>IFERROR(__xludf.DUMMYFUNCTION("""COMPUTED_VALUE"""),44972.66666666667)</f>
        <v>44972.66667</v>
      </c>
      <c r="B600" s="1">
        <f>IFERROR(__xludf.DUMMYFUNCTION("""COMPUTED_VALUE"""),77.42)</f>
        <v>77.42</v>
      </c>
    </row>
    <row r="601">
      <c r="A601" s="2">
        <f>IFERROR(__xludf.DUMMYFUNCTION("""COMPUTED_VALUE"""),44973.66666666667)</f>
        <v>44973.66667</v>
      </c>
      <c r="B601" s="1">
        <f>IFERROR(__xludf.DUMMYFUNCTION("""COMPUTED_VALUE"""),78.23)</f>
        <v>78.23</v>
      </c>
    </row>
    <row r="602">
      <c r="A602" s="2">
        <f>IFERROR(__xludf.DUMMYFUNCTION("""COMPUTED_VALUE"""),44974.66666666667)</f>
        <v>44974.66667</v>
      </c>
      <c r="B602" s="1">
        <f>IFERROR(__xludf.DUMMYFUNCTION("""COMPUTED_VALUE"""),78.0)</f>
        <v>78</v>
      </c>
    </row>
    <row r="603">
      <c r="A603" s="2">
        <f>IFERROR(__xludf.DUMMYFUNCTION("""COMPUTED_VALUE"""),44977.66666666667)</f>
        <v>44977.66667</v>
      </c>
      <c r="B603" s="1">
        <f>IFERROR(__xludf.DUMMYFUNCTION("""COMPUTED_VALUE"""),77.96)</f>
        <v>77.96</v>
      </c>
    </row>
    <row r="604">
      <c r="A604" s="2">
        <f>IFERROR(__xludf.DUMMYFUNCTION("""COMPUTED_VALUE"""),44978.66666666667)</f>
        <v>44978.66667</v>
      </c>
      <c r="B604" s="1">
        <f>IFERROR(__xludf.DUMMYFUNCTION("""COMPUTED_VALUE"""),77.61)</f>
        <v>77.61</v>
      </c>
    </row>
    <row r="605">
      <c r="A605" s="2">
        <f>IFERROR(__xludf.DUMMYFUNCTION("""COMPUTED_VALUE"""),44979.66666666667)</f>
        <v>44979.66667</v>
      </c>
      <c r="B605" s="1">
        <f>IFERROR(__xludf.DUMMYFUNCTION("""COMPUTED_VALUE"""),77.5)</f>
        <v>77.5</v>
      </c>
    </row>
    <row r="606">
      <c r="A606" s="2">
        <f>IFERROR(__xludf.DUMMYFUNCTION("""COMPUTED_VALUE"""),44980.66666666667)</f>
        <v>44980.66667</v>
      </c>
      <c r="B606" s="1">
        <f>IFERROR(__xludf.DUMMYFUNCTION("""COMPUTED_VALUE"""),77.65)</f>
        <v>77.65</v>
      </c>
    </row>
    <row r="607">
      <c r="A607" s="2">
        <f>IFERROR(__xludf.DUMMYFUNCTION("""COMPUTED_VALUE"""),44981.66666666667)</f>
        <v>44981.66667</v>
      </c>
      <c r="B607" s="1">
        <f>IFERROR(__xludf.DUMMYFUNCTION("""COMPUTED_VALUE"""),77.53)</f>
        <v>77.53</v>
      </c>
    </row>
    <row r="608">
      <c r="A608" s="2">
        <f>IFERROR(__xludf.DUMMYFUNCTION("""COMPUTED_VALUE"""),44984.66666666667)</f>
        <v>44984.66667</v>
      </c>
      <c r="B608" s="1">
        <f>IFERROR(__xludf.DUMMYFUNCTION("""COMPUTED_VALUE"""),77.65)</f>
        <v>77.65</v>
      </c>
    </row>
    <row r="609">
      <c r="A609" s="2">
        <f>IFERROR(__xludf.DUMMYFUNCTION("""COMPUTED_VALUE"""),44985.66666666667)</f>
        <v>44985.66667</v>
      </c>
      <c r="B609" s="1">
        <f>IFERROR(__xludf.DUMMYFUNCTION("""COMPUTED_VALUE"""),77.99)</f>
        <v>77.99</v>
      </c>
    </row>
    <row r="610">
      <c r="A610" s="2">
        <f>IFERROR(__xludf.DUMMYFUNCTION("""COMPUTED_VALUE"""),44986.66666666667)</f>
        <v>44986.66667</v>
      </c>
      <c r="B610" s="1">
        <f>IFERROR(__xludf.DUMMYFUNCTION("""COMPUTED_VALUE"""),77.8)</f>
        <v>77.8</v>
      </c>
    </row>
    <row r="611">
      <c r="A611" s="2">
        <f>IFERROR(__xludf.DUMMYFUNCTION("""COMPUTED_VALUE"""),44987.66666666667)</f>
        <v>44987.66667</v>
      </c>
      <c r="B611" s="1">
        <f>IFERROR(__xludf.DUMMYFUNCTION("""COMPUTED_VALUE"""),78.01)</f>
        <v>78.01</v>
      </c>
    </row>
    <row r="612">
      <c r="A612" s="2">
        <f>IFERROR(__xludf.DUMMYFUNCTION("""COMPUTED_VALUE"""),44988.66666666667)</f>
        <v>44988.66667</v>
      </c>
      <c r="B612" s="1">
        <f>IFERROR(__xludf.DUMMYFUNCTION("""COMPUTED_VALUE"""),78.43)</f>
        <v>78.43</v>
      </c>
    </row>
    <row r="613">
      <c r="A613" s="2">
        <f>IFERROR(__xludf.DUMMYFUNCTION("""COMPUTED_VALUE"""),44991.66666666667)</f>
        <v>44991.66667</v>
      </c>
      <c r="B613" s="1">
        <f>IFERROR(__xludf.DUMMYFUNCTION("""COMPUTED_VALUE"""),79.24)</f>
        <v>79.24</v>
      </c>
    </row>
    <row r="614">
      <c r="A614" s="2">
        <f>IFERROR(__xludf.DUMMYFUNCTION("""COMPUTED_VALUE"""),44992.66666666667)</f>
        <v>44992.66667</v>
      </c>
      <c r="B614" s="1">
        <f>IFERROR(__xludf.DUMMYFUNCTION("""COMPUTED_VALUE"""),79.83)</f>
        <v>79.83</v>
      </c>
    </row>
    <row r="615">
      <c r="A615" s="2">
        <f>IFERROR(__xludf.DUMMYFUNCTION("""COMPUTED_VALUE"""),44993.66666666667)</f>
        <v>44993.66667</v>
      </c>
      <c r="B615" s="1">
        <f>IFERROR(__xludf.DUMMYFUNCTION("""COMPUTED_VALUE"""),79.49)</f>
        <v>79.49</v>
      </c>
    </row>
    <row r="616">
      <c r="A616" s="2">
        <f>IFERROR(__xludf.DUMMYFUNCTION("""COMPUTED_VALUE"""),44994.66666666667)</f>
        <v>44994.66667</v>
      </c>
      <c r="B616" s="1">
        <f>IFERROR(__xludf.DUMMYFUNCTION("""COMPUTED_VALUE"""),79.7)</f>
        <v>79.7</v>
      </c>
    </row>
    <row r="617">
      <c r="A617" s="2">
        <f>IFERROR(__xludf.DUMMYFUNCTION("""COMPUTED_VALUE"""),44995.66666666667)</f>
        <v>44995.66667</v>
      </c>
      <c r="B617" s="1">
        <f>IFERROR(__xludf.DUMMYFUNCTION("""COMPUTED_VALUE"""),78.62)</f>
        <v>78.62</v>
      </c>
    </row>
    <row r="618">
      <c r="A618" s="2">
        <f>IFERROR(__xludf.DUMMYFUNCTION("""COMPUTED_VALUE"""),44998.66666666667)</f>
        <v>44998.66667</v>
      </c>
      <c r="B618" s="1">
        <f>IFERROR(__xludf.DUMMYFUNCTION("""COMPUTED_VALUE"""),78.49)</f>
        <v>78.49</v>
      </c>
    </row>
    <row r="619">
      <c r="A619" s="2">
        <f>IFERROR(__xludf.DUMMYFUNCTION("""COMPUTED_VALUE"""),44999.66666666667)</f>
        <v>44999.66667</v>
      </c>
      <c r="B619" s="1">
        <f>IFERROR(__xludf.DUMMYFUNCTION("""COMPUTED_VALUE"""),77.22)</f>
        <v>77.22</v>
      </c>
    </row>
    <row r="620">
      <c r="A620" s="2">
        <f>IFERROR(__xludf.DUMMYFUNCTION("""COMPUTED_VALUE"""),45000.66666666667)</f>
        <v>45000.66667</v>
      </c>
      <c r="B620" s="1">
        <f>IFERROR(__xludf.DUMMYFUNCTION("""COMPUTED_VALUE"""),77.35)</f>
        <v>77.35</v>
      </c>
    </row>
    <row r="621">
      <c r="A621" s="2">
        <f>IFERROR(__xludf.DUMMYFUNCTION("""COMPUTED_VALUE"""),45001.66666666667)</f>
        <v>45001.66667</v>
      </c>
      <c r="B621" s="1">
        <f>IFERROR(__xludf.DUMMYFUNCTION("""COMPUTED_VALUE"""),76.7)</f>
        <v>76.7</v>
      </c>
    </row>
    <row r="622">
      <c r="A622" s="2">
        <f>IFERROR(__xludf.DUMMYFUNCTION("""COMPUTED_VALUE"""),45002.66666666667)</f>
        <v>45002.66667</v>
      </c>
      <c r="B622" s="1">
        <f>IFERROR(__xludf.DUMMYFUNCTION("""COMPUTED_VALUE"""),76.62)</f>
        <v>76.62</v>
      </c>
    </row>
    <row r="623">
      <c r="A623" s="2">
        <f>IFERROR(__xludf.DUMMYFUNCTION("""COMPUTED_VALUE"""),45005.66666666667)</f>
        <v>45005.66667</v>
      </c>
      <c r="B623" s="1">
        <f>IFERROR(__xludf.DUMMYFUNCTION("""COMPUTED_VALUE"""),75.72)</f>
        <v>75.72</v>
      </c>
    </row>
    <row r="624">
      <c r="A624" s="2">
        <f>IFERROR(__xludf.DUMMYFUNCTION("""COMPUTED_VALUE"""),45006.66666666667)</f>
        <v>45006.66667</v>
      </c>
      <c r="B624" s="1">
        <f>IFERROR(__xludf.DUMMYFUNCTION("""COMPUTED_VALUE"""),76.53)</f>
        <v>76.53</v>
      </c>
    </row>
    <row r="625">
      <c r="A625" s="2">
        <f>IFERROR(__xludf.DUMMYFUNCTION("""COMPUTED_VALUE"""),45007.66666666667)</f>
        <v>45007.66667</v>
      </c>
      <c r="B625" s="1">
        <f>IFERROR(__xludf.DUMMYFUNCTION("""COMPUTED_VALUE"""),77.53)</f>
        <v>77.53</v>
      </c>
    </row>
    <row r="626">
      <c r="A626" s="2">
        <f>IFERROR(__xludf.DUMMYFUNCTION("""COMPUTED_VALUE"""),45008.66666666667)</f>
        <v>45008.66667</v>
      </c>
      <c r="B626" s="1">
        <f>IFERROR(__xludf.DUMMYFUNCTION("""COMPUTED_VALUE"""),77.57)</f>
        <v>77.57</v>
      </c>
    </row>
    <row r="627">
      <c r="A627" s="2">
        <f>IFERROR(__xludf.DUMMYFUNCTION("""COMPUTED_VALUE"""),45009.66666666667)</f>
        <v>45009.66667</v>
      </c>
      <c r="B627" s="1">
        <f>IFERROR(__xludf.DUMMYFUNCTION("""COMPUTED_VALUE"""),77.85)</f>
        <v>77.85</v>
      </c>
    </row>
    <row r="628">
      <c r="A628" s="2">
        <f>IFERROR(__xludf.DUMMYFUNCTION("""COMPUTED_VALUE"""),45012.66666666667)</f>
        <v>45012.66667</v>
      </c>
      <c r="B628" s="1">
        <f>IFERROR(__xludf.DUMMYFUNCTION("""COMPUTED_VALUE"""),77.9)</f>
        <v>77.9</v>
      </c>
    </row>
    <row r="629">
      <c r="A629" s="2">
        <f>IFERROR(__xludf.DUMMYFUNCTION("""COMPUTED_VALUE"""),45013.66666666667)</f>
        <v>45013.66667</v>
      </c>
      <c r="B629" s="1">
        <f>IFERROR(__xludf.DUMMYFUNCTION("""COMPUTED_VALUE"""),77.98)</f>
        <v>77.98</v>
      </c>
    </row>
    <row r="630">
      <c r="A630" s="2">
        <f>IFERROR(__xludf.DUMMYFUNCTION("""COMPUTED_VALUE"""),45014.66666666667)</f>
        <v>45014.66667</v>
      </c>
      <c r="B630" s="1">
        <f>IFERROR(__xludf.DUMMYFUNCTION("""COMPUTED_VALUE"""),78.21)</f>
        <v>78.21</v>
      </c>
    </row>
    <row r="631">
      <c r="A631" s="2">
        <f>IFERROR(__xludf.DUMMYFUNCTION("""COMPUTED_VALUE"""),45015.66666666667)</f>
        <v>45015.66667</v>
      </c>
      <c r="B631" s="1">
        <f>IFERROR(__xludf.DUMMYFUNCTION("""COMPUTED_VALUE"""),78.84)</f>
        <v>78.84</v>
      </c>
    </row>
    <row r="632">
      <c r="A632" s="2">
        <f>IFERROR(__xludf.DUMMYFUNCTION("""COMPUTED_VALUE"""),45016.66666666667)</f>
        <v>45016.66667</v>
      </c>
      <c r="B632" s="1">
        <f>IFERROR(__xludf.DUMMYFUNCTION("""COMPUTED_VALUE"""),79.54)</f>
        <v>79.54</v>
      </c>
    </row>
    <row r="633">
      <c r="A633" s="2">
        <f>IFERROR(__xludf.DUMMYFUNCTION("""COMPUTED_VALUE"""),45019.66666666667)</f>
        <v>45019.66667</v>
      </c>
      <c r="B633" s="1">
        <f>IFERROR(__xludf.DUMMYFUNCTION("""COMPUTED_VALUE"""),79.84)</f>
        <v>79.84</v>
      </c>
    </row>
    <row r="634">
      <c r="A634" s="2">
        <f>IFERROR(__xludf.DUMMYFUNCTION("""COMPUTED_VALUE"""),45020.66666666667)</f>
        <v>45020.66667</v>
      </c>
      <c r="B634" s="1">
        <f>IFERROR(__xludf.DUMMYFUNCTION("""COMPUTED_VALUE"""),79.34)</f>
        <v>79.34</v>
      </c>
    </row>
    <row r="635">
      <c r="A635" s="2">
        <f>IFERROR(__xludf.DUMMYFUNCTION("""COMPUTED_VALUE"""),45021.66666666667)</f>
        <v>45021.66667</v>
      </c>
      <c r="B635" s="1">
        <f>IFERROR(__xludf.DUMMYFUNCTION("""COMPUTED_VALUE"""),79.92)</f>
        <v>79.92</v>
      </c>
    </row>
    <row r="636">
      <c r="A636" s="2">
        <f>IFERROR(__xludf.DUMMYFUNCTION("""COMPUTED_VALUE"""),45022.66666666667)</f>
        <v>45022.66667</v>
      </c>
      <c r="B636" s="1">
        <f>IFERROR(__xludf.DUMMYFUNCTION("""COMPUTED_VALUE"""),79.71)</f>
        <v>79.71</v>
      </c>
    </row>
    <row r="637">
      <c r="A637" s="2">
        <f>IFERROR(__xludf.DUMMYFUNCTION("""COMPUTED_VALUE"""),45027.66666666667)</f>
        <v>45027.66667</v>
      </c>
      <c r="B637" s="1">
        <f>IFERROR(__xludf.DUMMYFUNCTION("""COMPUTED_VALUE"""),80.5)</f>
        <v>80.5</v>
      </c>
    </row>
    <row r="638">
      <c r="A638" s="2">
        <f>IFERROR(__xludf.DUMMYFUNCTION("""COMPUTED_VALUE"""),45028.66666666667)</f>
        <v>45028.66667</v>
      </c>
      <c r="B638" s="1">
        <f>IFERROR(__xludf.DUMMYFUNCTION("""COMPUTED_VALUE"""),80.85)</f>
        <v>80.85</v>
      </c>
    </row>
    <row r="639">
      <c r="A639" s="2">
        <f>IFERROR(__xludf.DUMMYFUNCTION("""COMPUTED_VALUE"""),45029.66666666667)</f>
        <v>45029.66667</v>
      </c>
      <c r="B639" s="1">
        <f>IFERROR(__xludf.DUMMYFUNCTION("""COMPUTED_VALUE"""),80.88)</f>
        <v>80.88</v>
      </c>
    </row>
    <row r="640">
      <c r="A640" s="2">
        <f>IFERROR(__xludf.DUMMYFUNCTION("""COMPUTED_VALUE"""),45030.66666666667)</f>
        <v>45030.66667</v>
      </c>
      <c r="B640" s="1">
        <f>IFERROR(__xludf.DUMMYFUNCTION("""COMPUTED_VALUE"""),80.79)</f>
        <v>80.79</v>
      </c>
    </row>
    <row r="641">
      <c r="A641" s="2">
        <f>IFERROR(__xludf.DUMMYFUNCTION("""COMPUTED_VALUE"""),45033.66666666667)</f>
        <v>45033.66667</v>
      </c>
      <c r="B641" s="1">
        <f>IFERROR(__xludf.DUMMYFUNCTION("""COMPUTED_VALUE"""),81.41)</f>
        <v>81.41</v>
      </c>
    </row>
    <row r="642">
      <c r="A642" s="2">
        <f>IFERROR(__xludf.DUMMYFUNCTION("""COMPUTED_VALUE"""),45034.66666666667)</f>
        <v>45034.66667</v>
      </c>
      <c r="B642" s="1">
        <f>IFERROR(__xludf.DUMMYFUNCTION("""COMPUTED_VALUE"""),81.1)</f>
        <v>81.1</v>
      </c>
    </row>
    <row r="643">
      <c r="A643" s="2">
        <f>IFERROR(__xludf.DUMMYFUNCTION("""COMPUTED_VALUE"""),45035.66666666667)</f>
        <v>45035.66667</v>
      </c>
      <c r="B643" s="1">
        <f>IFERROR(__xludf.DUMMYFUNCTION("""COMPUTED_VALUE"""),81.12)</f>
        <v>81.12</v>
      </c>
    </row>
    <row r="644">
      <c r="A644" s="2">
        <f>IFERROR(__xludf.DUMMYFUNCTION("""COMPUTED_VALUE"""),45036.66666666667)</f>
        <v>45036.66667</v>
      </c>
      <c r="B644" s="1">
        <f>IFERROR(__xludf.DUMMYFUNCTION("""COMPUTED_VALUE"""),81.05)</f>
        <v>81.05</v>
      </c>
    </row>
    <row r="645">
      <c r="A645" s="2">
        <f>IFERROR(__xludf.DUMMYFUNCTION("""COMPUTED_VALUE"""),45037.66666666667)</f>
        <v>45037.66667</v>
      </c>
      <c r="B645" s="1">
        <f>IFERROR(__xludf.DUMMYFUNCTION("""COMPUTED_VALUE"""),80.99)</f>
        <v>80.99</v>
      </c>
    </row>
    <row r="646">
      <c r="A646" s="2">
        <f>IFERROR(__xludf.DUMMYFUNCTION("""COMPUTED_VALUE"""),45040.66666666667)</f>
        <v>45040.66667</v>
      </c>
      <c r="B646" s="1">
        <f>IFERROR(__xludf.DUMMYFUNCTION("""COMPUTED_VALUE"""),81.24)</f>
        <v>81.24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IFERROR(__xludf.DUMMYFUNCTION("""COMPUTED_VALUE"""),81.72)</f>
        <v>81.72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IFERROR(__xludf.DUMMYFUNCTION("""COMPUTED_VALUE"""),81.45)</f>
        <v>81.45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IFERROR(__xludf.DUMMYFUNCTION("""COMPUTED_VALUE"""),82.03)</f>
        <v>82.03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IFERROR(__xludf.DUMMYFUNCTION("""COMPUTED_VALUE"""),82.03)</f>
        <v>82.03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IFERROR(__xludf.DUMMYFUNCTION("""COMPUTED_VALUE"""),80.97)</f>
        <v>80.97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IFERROR(__xludf.DUMMYFUNCTION("""COMPUTED_VALUE"""),80.93)</f>
        <v>80.93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IFERROR(__xludf.DUMMYFUNCTION("""COMPUTED_VALUE"""),81.11)</f>
        <v>81.11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IFERROR(__xludf.DUMMYFUNCTION("""COMPUTED_VALUE"""),80.57)</f>
        <v>80.57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IFERROR(__xludf.DUMMYFUNCTION("""COMPUTED_VALUE"""),80.82)</f>
        <v>80.82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IFERROR(__xludf.DUMMYFUNCTION("""COMPUTED_VALUE"""),80.96)</f>
        <v>80.96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IFERROR(__xludf.DUMMYFUNCTION("""COMPUTED_VALUE"""),80.59)</f>
        <v>80.59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IFERROR(__xludf.DUMMYFUNCTION("""COMPUTED_VALUE"""),80.46)</f>
        <v>80.46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IFERROR(__xludf.DUMMYFUNCTION("""COMPUTED_VALUE"""),81.17)</f>
        <v>81.17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IFERROR(__xludf.DUMMYFUNCTION("""COMPUTED_VALUE"""),81.37)</f>
        <v>81.37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IFERROR(__xludf.DUMMYFUNCTION("""COMPUTED_VALUE"""),81.54)</f>
        <v>81.54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IFERROR(__xludf.DUMMYFUNCTION("""COMPUTED_VALUE"""),81.5)</f>
        <v>81.5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IFERROR(__xludf.DUMMYFUNCTION("""COMPUTED_VALUE"""),81.7)</f>
        <v>81.7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IFERROR(__xludf.DUMMYFUNCTION("""COMPUTED_VALUE"""),81.81)</f>
        <v>81.81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IFERROR(__xludf.DUMMYFUNCTION("""COMPUTED_VALUE"""),82.25)</f>
        <v>82.25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IFERROR(__xludf.DUMMYFUNCTION("""COMPUTED_VALUE"""),81.85)</f>
        <v>81.85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IFERROR(__xludf.DUMMYFUNCTION("""COMPUTED_VALUE"""),81.69)</f>
        <v>81.69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IFERROR(__xludf.DUMMYFUNCTION("""COMPUTED_VALUE"""),81.41)</f>
        <v>81.41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IFERROR(__xludf.DUMMYFUNCTION("""COMPUTED_VALUE"""),81.56)</f>
        <v>81.56</v>
      </c>
    </row>
    <row r="670">
      <c r="A670" s="2">
        <f>IFERROR(__xludf.DUMMYFUNCTION("""COMPUTED_VALUE"""),45075.66666666667)</f>
        <v>45075.66667</v>
      </c>
      <c r="B670" s="1">
        <f>IFERROR(__xludf.DUMMYFUNCTION("""COMPUTED_VALUE"""),81.94)</f>
        <v>81.94</v>
      </c>
    </row>
    <row r="671">
      <c r="A671" s="2">
        <f>IFERROR(__xludf.DUMMYFUNCTION("""COMPUTED_VALUE"""),45076.66666666667)</f>
        <v>45076.66667</v>
      </c>
      <c r="B671" s="1">
        <f>IFERROR(__xludf.DUMMYFUNCTION("""COMPUTED_VALUE"""),81.99)</f>
        <v>81.99</v>
      </c>
    </row>
    <row r="672">
      <c r="A672" s="2">
        <f>IFERROR(__xludf.DUMMYFUNCTION("""COMPUTED_VALUE"""),45077.66666666667)</f>
        <v>45077.66667</v>
      </c>
      <c r="B672" s="1">
        <f>IFERROR(__xludf.DUMMYFUNCTION("""COMPUTED_VALUE"""),81.2)</f>
        <v>81.2</v>
      </c>
    </row>
    <row r="673">
      <c r="A673" s="2">
        <f>IFERROR(__xludf.DUMMYFUNCTION("""COMPUTED_VALUE"""),45078.66666666667)</f>
        <v>45078.66667</v>
      </c>
      <c r="B673" s="1">
        <f>IFERROR(__xludf.DUMMYFUNCTION("""COMPUTED_VALUE"""),81.16)</f>
        <v>81.16</v>
      </c>
    </row>
    <row r="674">
      <c r="A674" s="2">
        <f>IFERROR(__xludf.DUMMYFUNCTION("""COMPUTED_VALUE"""),45079.66666666667)</f>
        <v>45079.66667</v>
      </c>
      <c r="B674" s="1">
        <f>IFERROR(__xludf.DUMMYFUNCTION("""COMPUTED_VALUE"""),81.38)</f>
        <v>81.38</v>
      </c>
    </row>
    <row r="675">
      <c r="A675" s="2">
        <f>IFERROR(__xludf.DUMMYFUNCTION("""COMPUTED_VALUE"""),45082.66666666667)</f>
        <v>45082.66667</v>
      </c>
      <c r="B675" s="1">
        <f>IFERROR(__xludf.DUMMYFUNCTION("""COMPUTED_VALUE"""),81.89)</f>
        <v>81.89</v>
      </c>
    </row>
    <row r="676">
      <c r="A676" s="2">
        <f>IFERROR(__xludf.DUMMYFUNCTION("""COMPUTED_VALUE"""),45083.66666666667)</f>
        <v>45083.66667</v>
      </c>
      <c r="B676" s="1">
        <f>IFERROR(__xludf.DUMMYFUNCTION("""COMPUTED_VALUE"""),81.24)</f>
        <v>81.24</v>
      </c>
    </row>
    <row r="677">
      <c r="A677" s="2">
        <f>IFERROR(__xludf.DUMMYFUNCTION("""COMPUTED_VALUE"""),45084.66666666667)</f>
        <v>45084.66667</v>
      </c>
      <c r="B677" s="1">
        <f>IFERROR(__xludf.DUMMYFUNCTION("""COMPUTED_VALUE"""),81.15)</f>
        <v>81.15</v>
      </c>
    </row>
    <row r="678">
      <c r="A678" s="2">
        <f>IFERROR(__xludf.DUMMYFUNCTION("""COMPUTED_VALUE"""),45085.66666666667)</f>
        <v>45085.66667</v>
      </c>
      <c r="B678" s="1">
        <f>IFERROR(__xludf.DUMMYFUNCTION("""COMPUTED_VALUE"""),81.09)</f>
        <v>81.09</v>
      </c>
    </row>
    <row r="679">
      <c r="A679" s="2">
        <f>IFERROR(__xludf.DUMMYFUNCTION("""COMPUTED_VALUE"""),45086.66666666667)</f>
        <v>45086.66667</v>
      </c>
      <c r="B679" s="1">
        <f>IFERROR(__xludf.DUMMYFUNCTION("""COMPUTED_VALUE"""),81.34)</f>
        <v>81.34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IFERROR(__xludf.DUMMYFUNCTION("""COMPUTED_VALUE"""),81.45)</f>
        <v>81.45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IFERROR(__xludf.DUMMYFUNCTION("""COMPUTED_VALUE"""),81.53)</f>
        <v>81.53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IFERROR(__xludf.DUMMYFUNCTION("""COMPUTED_VALUE"""),81.2)</f>
        <v>81.2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IFERROR(__xludf.DUMMYFUNCTION("""COMPUTED_VALUE"""),81.34)</f>
        <v>81.34</v>
      </c>
    </row>
    <row r="684">
      <c r="A684" s="2">
        <f>IFERROR(__xludf.DUMMYFUNCTION("""COMPUTED_VALUE"""),45096.66666666667)</f>
        <v>45096.66667</v>
      </c>
      <c r="B684" s="1">
        <f>IFERROR(__xludf.DUMMYFUNCTION("""COMPUTED_VALUE"""),81.13)</f>
        <v>81.13</v>
      </c>
    </row>
    <row r="685">
      <c r="A685" s="2">
        <f>IFERROR(__xludf.DUMMYFUNCTION("""COMPUTED_VALUE"""),45097.66666666667)</f>
        <v>45097.66667</v>
      </c>
      <c r="B685" s="1">
        <f>IFERROR(__xludf.DUMMYFUNCTION("""COMPUTED_VALUE"""),81.37)</f>
        <v>81.37</v>
      </c>
    </row>
    <row r="686">
      <c r="A686" s="2">
        <f>IFERROR(__xludf.DUMMYFUNCTION("""COMPUTED_VALUE"""),45098.66666666667)</f>
        <v>45098.66667</v>
      </c>
      <c r="B686" s="1">
        <f>IFERROR(__xludf.DUMMYFUNCTION("""COMPUTED_VALUE"""),80.38)</f>
        <v>80.38</v>
      </c>
    </row>
    <row r="687">
      <c r="A687" s="2">
        <f>IFERROR(__xludf.DUMMYFUNCTION("""COMPUTED_VALUE"""),45099.66666666667)</f>
        <v>45099.66667</v>
      </c>
      <c r="B687" s="1">
        <f>IFERROR(__xludf.DUMMYFUNCTION("""COMPUTED_VALUE"""),80.35)</f>
        <v>80.35</v>
      </c>
    </row>
    <row r="688">
      <c r="A688" s="2">
        <f>IFERROR(__xludf.DUMMYFUNCTION("""COMPUTED_VALUE"""),45100.66666666667)</f>
        <v>45100.66667</v>
      </c>
      <c r="B688" s="1">
        <f>IFERROR(__xludf.DUMMYFUNCTION("""COMPUTED_VALUE"""),80.07)</f>
        <v>80.07</v>
      </c>
    </row>
    <row r="689">
      <c r="A689" s="2">
        <f>IFERROR(__xludf.DUMMYFUNCTION("""COMPUTED_VALUE"""),45103.66666666667)</f>
        <v>45103.66667</v>
      </c>
      <c r="B689" s="1">
        <f>IFERROR(__xludf.DUMMYFUNCTION("""COMPUTED_VALUE"""),80.19)</f>
        <v>80.19</v>
      </c>
    </row>
    <row r="690">
      <c r="A690" s="2">
        <f>IFERROR(__xludf.DUMMYFUNCTION("""COMPUTED_VALUE"""),45104.66666666667)</f>
        <v>45104.66667</v>
      </c>
      <c r="B690" s="1">
        <f>IFERROR(__xludf.DUMMYFUNCTION("""COMPUTED_VALUE"""),80.24)</f>
        <v>80.24</v>
      </c>
    </row>
    <row r="691">
      <c r="A691" s="2">
        <f>IFERROR(__xludf.DUMMYFUNCTION("""COMPUTED_VALUE"""),45105.66666666667)</f>
        <v>45105.66667</v>
      </c>
      <c r="B691" s="1">
        <f>IFERROR(__xludf.DUMMYFUNCTION("""COMPUTED_VALUE"""),81.35)</f>
        <v>81.35</v>
      </c>
    </row>
    <row r="692">
      <c r="A692" s="2">
        <f>IFERROR(__xludf.DUMMYFUNCTION("""COMPUTED_VALUE"""),45106.66666666667)</f>
        <v>45106.66667</v>
      </c>
      <c r="B692" s="1">
        <f>IFERROR(__xludf.DUMMYFUNCTION("""COMPUTED_VALUE"""),81.43)</f>
        <v>81.43</v>
      </c>
    </row>
    <row r="693">
      <c r="A693" s="2">
        <f>IFERROR(__xludf.DUMMYFUNCTION("""COMPUTED_VALUE"""),45107.66666666667)</f>
        <v>45107.66667</v>
      </c>
      <c r="B693" s="1">
        <f>IFERROR(__xludf.DUMMYFUNCTION("""COMPUTED_VALUE"""),81.34)</f>
        <v>81.34</v>
      </c>
    </row>
    <row r="694">
      <c r="A694" s="2">
        <f>IFERROR(__xludf.DUMMYFUNCTION("""COMPUTED_VALUE"""),45110.66666666667)</f>
        <v>45110.66667</v>
      </c>
      <c r="B694" s="1">
        <f>IFERROR(__xludf.DUMMYFUNCTION("""COMPUTED_VALUE"""),81.97)</f>
        <v>81.97</v>
      </c>
    </row>
    <row r="695">
      <c r="A695" s="2">
        <f>IFERROR(__xludf.DUMMYFUNCTION("""COMPUTED_VALUE"""),45111.66666666667)</f>
        <v>45111.66667</v>
      </c>
      <c r="B695" s="1">
        <f>IFERROR(__xludf.DUMMYFUNCTION("""COMPUTED_VALUE"""),81.84)</f>
        <v>81.84</v>
      </c>
    </row>
    <row r="696">
      <c r="A696" s="2">
        <f>IFERROR(__xludf.DUMMYFUNCTION("""COMPUTED_VALUE"""),45112.66666666667)</f>
        <v>45112.66667</v>
      </c>
      <c r="B696" s="1">
        <f>IFERROR(__xludf.DUMMYFUNCTION("""COMPUTED_VALUE"""),81.36)</f>
        <v>81.36</v>
      </c>
    </row>
    <row r="697">
      <c r="A697" s="2">
        <f>IFERROR(__xludf.DUMMYFUNCTION("""COMPUTED_VALUE"""),45113.66666666667)</f>
        <v>45113.66667</v>
      </c>
      <c r="B697" s="1">
        <f>IFERROR(__xludf.DUMMYFUNCTION("""COMPUTED_VALUE"""),80.7)</f>
        <v>80.7</v>
      </c>
    </row>
    <row r="698">
      <c r="A698" s="2">
        <f>IFERROR(__xludf.DUMMYFUNCTION("""COMPUTED_VALUE"""),45114.66666666667)</f>
        <v>45114.66667</v>
      </c>
      <c r="B698" s="1">
        <f>IFERROR(__xludf.DUMMYFUNCTION("""COMPUTED_VALUE"""),80.1)</f>
        <v>80.1</v>
      </c>
    </row>
    <row r="699">
      <c r="A699" s="2">
        <f>IFERROR(__xludf.DUMMYFUNCTION("""COMPUTED_VALUE"""),45117.66666666667)</f>
        <v>45117.66667</v>
      </c>
      <c r="B699" s="1">
        <f>IFERROR(__xludf.DUMMYFUNCTION("""COMPUTED_VALUE"""),79.9)</f>
        <v>79.9</v>
      </c>
    </row>
    <row r="700">
      <c r="A700" s="2">
        <f>IFERROR(__xludf.DUMMYFUNCTION("""COMPUTED_VALUE"""),45118.66666666667)</f>
        <v>45118.66667</v>
      </c>
      <c r="B700" s="1">
        <f>IFERROR(__xludf.DUMMYFUNCTION("""COMPUTED_VALUE"""),80.64)</f>
        <v>80.64</v>
      </c>
    </row>
    <row r="701">
      <c r="A701" s="2">
        <f>IFERROR(__xludf.DUMMYFUNCTION("""COMPUTED_VALUE"""),45119.66666666667)</f>
        <v>45119.66667</v>
      </c>
      <c r="B701" s="1">
        <f>IFERROR(__xludf.DUMMYFUNCTION("""COMPUTED_VALUE"""),80.9)</f>
        <v>80.9</v>
      </c>
    </row>
    <row r="702">
      <c r="A702" s="2">
        <f>IFERROR(__xludf.DUMMYFUNCTION("""COMPUTED_VALUE"""),45120.66666666667)</f>
        <v>45120.66667</v>
      </c>
      <c r="B702" s="1">
        <f>IFERROR(__xludf.DUMMYFUNCTION("""COMPUTED_VALUE"""),81.31)</f>
        <v>81.31</v>
      </c>
    </row>
    <row r="703">
      <c r="A703" s="2">
        <f>IFERROR(__xludf.DUMMYFUNCTION("""COMPUTED_VALUE"""),45121.66666666667)</f>
        <v>45121.66667</v>
      </c>
      <c r="B703" s="1">
        <f>IFERROR(__xludf.DUMMYFUNCTION("""COMPUTED_VALUE"""),81.35)</f>
        <v>81.35</v>
      </c>
    </row>
    <row r="704">
      <c r="A704" s="2">
        <f>IFERROR(__xludf.DUMMYFUNCTION("""COMPUTED_VALUE"""),45124.66666666667)</f>
        <v>45124.66667</v>
      </c>
      <c r="B704" s="1">
        <f>IFERROR(__xludf.DUMMYFUNCTION("""COMPUTED_VALUE"""),81.66)</f>
        <v>81.66</v>
      </c>
    </row>
    <row r="705">
      <c r="A705" s="2">
        <f>IFERROR(__xludf.DUMMYFUNCTION("""COMPUTED_VALUE"""),45125.66666666667)</f>
        <v>45125.66667</v>
      </c>
      <c r="B705" s="1">
        <f>IFERROR(__xludf.DUMMYFUNCTION("""COMPUTED_VALUE"""),81.7)</f>
        <v>81.7</v>
      </c>
    </row>
    <row r="706">
      <c r="A706" s="2">
        <f>IFERROR(__xludf.DUMMYFUNCTION("""COMPUTED_VALUE"""),45126.66666666667)</f>
        <v>45126.66667</v>
      </c>
      <c r="B706" s="1">
        <f>IFERROR(__xludf.DUMMYFUNCTION("""COMPUTED_VALUE"""),82.2)</f>
        <v>82.2</v>
      </c>
    </row>
    <row r="707">
      <c r="A707" s="2">
        <f>IFERROR(__xludf.DUMMYFUNCTION("""COMPUTED_VALUE"""),45127.66666666667)</f>
        <v>45127.66667</v>
      </c>
      <c r="B707" s="1">
        <f>IFERROR(__xludf.DUMMYFUNCTION("""COMPUTED_VALUE"""),81.98)</f>
        <v>81.98</v>
      </c>
    </row>
    <row r="708">
      <c r="A708" s="2">
        <f>IFERROR(__xludf.DUMMYFUNCTION("""COMPUTED_VALUE"""),45128.66666666667)</f>
        <v>45128.66667</v>
      </c>
      <c r="B708" s="1">
        <f>IFERROR(__xludf.DUMMYFUNCTION("""COMPUTED_VALUE"""),82.05)</f>
        <v>82.05</v>
      </c>
    </row>
    <row r="709">
      <c r="A709" s="2">
        <f>IFERROR(__xludf.DUMMYFUNCTION("""COMPUTED_VALUE"""),45131.66666666667)</f>
        <v>45131.66667</v>
      </c>
      <c r="B709" s="1">
        <f>IFERROR(__xludf.DUMMYFUNCTION("""COMPUTED_VALUE"""),82.37)</f>
        <v>82.37</v>
      </c>
    </row>
    <row r="710">
      <c r="A710" s="2">
        <f>IFERROR(__xludf.DUMMYFUNCTION("""COMPUTED_VALUE"""),45132.66666666667)</f>
        <v>45132.66667</v>
      </c>
      <c r="B710" s="1">
        <f>IFERROR(__xludf.DUMMYFUNCTION("""COMPUTED_VALUE"""),82.65)</f>
        <v>82.65</v>
      </c>
    </row>
    <row r="711">
      <c r="A711" s="2">
        <f>IFERROR(__xludf.DUMMYFUNCTION("""COMPUTED_VALUE"""),45133.66666666667)</f>
        <v>45133.66667</v>
      </c>
      <c r="B711" s="1">
        <f>IFERROR(__xludf.DUMMYFUNCTION("""COMPUTED_VALUE"""),82.83)</f>
        <v>82.83</v>
      </c>
    </row>
    <row r="712">
      <c r="A712" s="2">
        <f>IFERROR(__xludf.DUMMYFUNCTION("""COMPUTED_VALUE"""),45134.66666666667)</f>
        <v>45134.66667</v>
      </c>
      <c r="B712" s="1">
        <f>IFERROR(__xludf.DUMMYFUNCTION("""COMPUTED_VALUE"""),82.99)</f>
        <v>82.99</v>
      </c>
    </row>
    <row r="713">
      <c r="A713" s="2">
        <f>IFERROR(__xludf.DUMMYFUNCTION("""COMPUTED_VALUE"""),45135.66666666667)</f>
        <v>45135.66667</v>
      </c>
      <c r="B713" s="1">
        <f>IFERROR(__xludf.DUMMYFUNCTION("""COMPUTED_VALUE"""),84.47)</f>
        <v>84.47</v>
      </c>
    </row>
    <row r="714">
      <c r="A714" s="2">
        <f>IFERROR(__xludf.DUMMYFUNCTION("""COMPUTED_VALUE"""),45138.66666666667)</f>
        <v>45138.66667</v>
      </c>
      <c r="B714" s="1">
        <f>IFERROR(__xludf.DUMMYFUNCTION("""COMPUTED_VALUE"""),84.38)</f>
        <v>84.38</v>
      </c>
    </row>
    <row r="715">
      <c r="A715" s="2">
        <f>IFERROR(__xludf.DUMMYFUNCTION("""COMPUTED_VALUE"""),45139.66666666667)</f>
        <v>45139.66667</v>
      </c>
      <c r="B715" s="1">
        <f>IFERROR(__xludf.DUMMYFUNCTION("""COMPUTED_VALUE"""),84.64)</f>
        <v>84.64</v>
      </c>
    </row>
    <row r="716">
      <c r="A716" s="2">
        <f>IFERROR(__xludf.DUMMYFUNCTION("""COMPUTED_VALUE"""),45140.66666666667)</f>
        <v>45140.66667</v>
      </c>
      <c r="B716" s="1">
        <f>IFERROR(__xludf.DUMMYFUNCTION("""COMPUTED_VALUE"""),84.24)</f>
        <v>84.24</v>
      </c>
    </row>
    <row r="717">
      <c r="A717" s="2">
        <f>IFERROR(__xludf.DUMMYFUNCTION("""COMPUTED_VALUE"""),45141.66666666667)</f>
        <v>45141.66667</v>
      </c>
      <c r="B717" s="1">
        <f>IFERROR(__xludf.DUMMYFUNCTION("""COMPUTED_VALUE"""),83.88)</f>
        <v>83.88</v>
      </c>
    </row>
    <row r="718">
      <c r="A718" s="2">
        <f>IFERROR(__xludf.DUMMYFUNCTION("""COMPUTED_VALUE"""),45142.66666666667)</f>
        <v>45142.66667</v>
      </c>
      <c r="B718" s="1">
        <f>IFERROR(__xludf.DUMMYFUNCTION("""COMPUTED_VALUE"""),83.5)</f>
        <v>83.5</v>
      </c>
    </row>
    <row r="719">
      <c r="A719" s="2">
        <f>IFERROR(__xludf.DUMMYFUNCTION("""COMPUTED_VALUE"""),45145.66666666667)</f>
        <v>45145.66667</v>
      </c>
      <c r="B719" s="1">
        <f>IFERROR(__xludf.DUMMYFUNCTION("""COMPUTED_VALUE"""),83.57)</f>
        <v>83.57</v>
      </c>
    </row>
    <row r="720">
      <c r="A720" s="2">
        <f>IFERROR(__xludf.DUMMYFUNCTION("""COMPUTED_VALUE"""),45146.66666666667)</f>
        <v>45146.66667</v>
      </c>
      <c r="B720" s="1">
        <f>IFERROR(__xludf.DUMMYFUNCTION("""COMPUTED_VALUE"""),83.78)</f>
        <v>83.78</v>
      </c>
    </row>
    <row r="721">
      <c r="A721" s="2">
        <f>IFERROR(__xludf.DUMMYFUNCTION("""COMPUTED_VALUE"""),45147.66666666667)</f>
        <v>45147.66667</v>
      </c>
      <c r="B721" s="1">
        <f>IFERROR(__xludf.DUMMYFUNCTION("""COMPUTED_VALUE"""),83.6)</f>
        <v>83.6</v>
      </c>
    </row>
    <row r="722">
      <c r="A722" s="2">
        <f>IFERROR(__xludf.DUMMYFUNCTION("""COMPUTED_VALUE"""),45148.66666666667)</f>
        <v>45148.66667</v>
      </c>
      <c r="B722" s="1">
        <f>IFERROR(__xludf.DUMMYFUNCTION("""COMPUTED_VALUE"""),83.97)</f>
        <v>83.97</v>
      </c>
    </row>
    <row r="723">
      <c r="A723" s="2">
        <f>IFERROR(__xludf.DUMMYFUNCTION("""COMPUTED_VALUE"""),45149.66666666667)</f>
        <v>45149.66667</v>
      </c>
      <c r="B723" s="1">
        <f>IFERROR(__xludf.DUMMYFUNCTION("""COMPUTED_VALUE"""),84.19)</f>
        <v>84.19</v>
      </c>
    </row>
    <row r="724">
      <c r="A724" s="2">
        <f>IFERROR(__xludf.DUMMYFUNCTION("""COMPUTED_VALUE"""),45152.66666666667)</f>
        <v>45152.66667</v>
      </c>
      <c r="B724" s="1">
        <f>IFERROR(__xludf.DUMMYFUNCTION("""COMPUTED_VALUE"""),83.57)</f>
        <v>83.57</v>
      </c>
    </row>
    <row r="725">
      <c r="A725" s="2">
        <f>IFERROR(__xludf.DUMMYFUNCTION("""COMPUTED_VALUE"""),45153.66666666667)</f>
        <v>45153.66667</v>
      </c>
      <c r="B725" s="1">
        <f>IFERROR(__xludf.DUMMYFUNCTION("""COMPUTED_VALUE"""),83.29)</f>
        <v>83.29</v>
      </c>
    </row>
    <row r="726">
      <c r="A726" s="2">
        <f>IFERROR(__xludf.DUMMYFUNCTION("""COMPUTED_VALUE"""),45154.66666666667)</f>
        <v>45154.66667</v>
      </c>
      <c r="B726" s="1">
        <f>IFERROR(__xludf.DUMMYFUNCTION("""COMPUTED_VALUE"""),82.81)</f>
        <v>82.81</v>
      </c>
    </row>
    <row r="727">
      <c r="A727" s="2">
        <f>IFERROR(__xludf.DUMMYFUNCTION("""COMPUTED_VALUE"""),45155.66666666667)</f>
        <v>45155.66667</v>
      </c>
      <c r="B727" s="1">
        <f>IFERROR(__xludf.DUMMYFUNCTION("""COMPUTED_VALUE"""),83.11)</f>
        <v>83.11</v>
      </c>
    </row>
    <row r="728">
      <c r="A728" s="2">
        <f>IFERROR(__xludf.DUMMYFUNCTION("""COMPUTED_VALUE"""),45156.66666666667)</f>
        <v>45156.66667</v>
      </c>
      <c r="B728" s="1">
        <f>IFERROR(__xludf.DUMMYFUNCTION("""COMPUTED_VALUE"""),82.71)</f>
        <v>82.71</v>
      </c>
    </row>
    <row r="729">
      <c r="A729" s="2">
        <f>IFERROR(__xludf.DUMMYFUNCTION("""COMPUTED_VALUE"""),45159.66666666667)</f>
        <v>45159.66667</v>
      </c>
      <c r="B729" s="1">
        <f>IFERROR(__xludf.DUMMYFUNCTION("""COMPUTED_VALUE"""),82.41)</f>
        <v>82.41</v>
      </c>
    </row>
    <row r="730">
      <c r="A730" s="2">
        <f>IFERROR(__xludf.DUMMYFUNCTION("""COMPUTED_VALUE"""),45160.66666666667)</f>
        <v>45160.66667</v>
      </c>
      <c r="B730" s="1">
        <f>IFERROR(__xludf.DUMMYFUNCTION("""COMPUTED_VALUE"""),82.58)</f>
        <v>82.58</v>
      </c>
    </row>
    <row r="731">
      <c r="A731" s="2">
        <f>IFERROR(__xludf.DUMMYFUNCTION("""COMPUTED_VALUE"""),45161.66666666667)</f>
        <v>45161.66667</v>
      </c>
      <c r="B731" s="1">
        <f>IFERROR(__xludf.DUMMYFUNCTION("""COMPUTED_VALUE"""),82.71)</f>
        <v>82.71</v>
      </c>
    </row>
    <row r="732">
      <c r="A732" s="2">
        <f>IFERROR(__xludf.DUMMYFUNCTION("""COMPUTED_VALUE"""),45162.66666666667)</f>
        <v>45162.66667</v>
      </c>
      <c r="B732" s="1">
        <f>IFERROR(__xludf.DUMMYFUNCTION("""COMPUTED_VALUE"""),83.12)</f>
        <v>83.12</v>
      </c>
    </row>
    <row r="733">
      <c r="A733" s="2">
        <f>IFERROR(__xludf.DUMMYFUNCTION("""COMPUTED_VALUE"""),45163.66666666667)</f>
        <v>45163.66667</v>
      </c>
      <c r="B733" s="1">
        <f>IFERROR(__xludf.DUMMYFUNCTION("""COMPUTED_VALUE"""),82.54)</f>
        <v>82.54</v>
      </c>
    </row>
    <row r="734">
      <c r="A734" s="2">
        <f>IFERROR(__xludf.DUMMYFUNCTION("""COMPUTED_VALUE"""),45166.66666666667)</f>
        <v>45166.66667</v>
      </c>
      <c r="B734" s="1">
        <f>IFERROR(__xludf.DUMMYFUNCTION("""COMPUTED_VALUE"""),83.14)</f>
        <v>83.14</v>
      </c>
    </row>
    <row r="735">
      <c r="A735" s="2">
        <f>IFERROR(__xludf.DUMMYFUNCTION("""COMPUTED_VALUE"""),45167.66666666667)</f>
        <v>45167.66667</v>
      </c>
      <c r="B735" s="1">
        <f>IFERROR(__xludf.DUMMYFUNCTION("""COMPUTED_VALUE"""),83.48)</f>
        <v>83.48</v>
      </c>
    </row>
    <row r="736">
      <c r="A736" s="2">
        <f>IFERROR(__xludf.DUMMYFUNCTION("""COMPUTED_VALUE"""),45168.66666666667)</f>
        <v>45168.66667</v>
      </c>
      <c r="B736" s="1">
        <f>IFERROR(__xludf.DUMMYFUNCTION("""COMPUTED_VALUE"""),83.8)</f>
        <v>83.8</v>
      </c>
    </row>
    <row r="737">
      <c r="A737" s="2">
        <f>IFERROR(__xludf.DUMMYFUNCTION("""COMPUTED_VALUE"""),45169.66666666667)</f>
        <v>45169.66667</v>
      </c>
      <c r="B737" s="1">
        <f>IFERROR(__xludf.DUMMYFUNCTION("""COMPUTED_VALUE"""),83.84)</f>
        <v>83.84</v>
      </c>
    </row>
    <row r="738">
      <c r="A738" s="2">
        <f>IFERROR(__xludf.DUMMYFUNCTION("""COMPUTED_VALUE"""),45170.66666666667)</f>
        <v>45170.66667</v>
      </c>
      <c r="B738" s="1">
        <f>IFERROR(__xludf.DUMMYFUNCTION("""COMPUTED_VALUE"""),83.93)</f>
        <v>83.93</v>
      </c>
    </row>
    <row r="739">
      <c r="A739" s="2">
        <f>IFERROR(__xludf.DUMMYFUNCTION("""COMPUTED_VALUE"""),45173.66666666667)</f>
        <v>45173.66667</v>
      </c>
      <c r="B739" s="1">
        <f>IFERROR(__xludf.DUMMYFUNCTION("""COMPUTED_VALUE"""),84.15)</f>
        <v>84.15</v>
      </c>
    </row>
    <row r="740">
      <c r="A740" s="2">
        <f>IFERROR(__xludf.DUMMYFUNCTION("""COMPUTED_VALUE"""),45174.66666666667)</f>
        <v>45174.66667</v>
      </c>
      <c r="B740" s="1">
        <f>IFERROR(__xludf.DUMMYFUNCTION("""COMPUTED_VALUE"""),84.5)</f>
        <v>84.5</v>
      </c>
    </row>
    <row r="741">
      <c r="A741" s="2">
        <f>IFERROR(__xludf.DUMMYFUNCTION("""COMPUTED_VALUE"""),45175.66666666667)</f>
        <v>45175.66667</v>
      </c>
      <c r="B741" s="1">
        <f>IFERROR(__xludf.DUMMYFUNCTION("""COMPUTED_VALUE"""),84.31)</f>
        <v>84.31</v>
      </c>
    </row>
    <row r="742">
      <c r="A742" s="2">
        <f>IFERROR(__xludf.DUMMYFUNCTION("""COMPUTED_VALUE"""),45176.66666666667)</f>
        <v>45176.66667</v>
      </c>
      <c r="B742" s="1">
        <f>IFERROR(__xludf.DUMMYFUNCTION("""COMPUTED_VALUE"""),83.77)</f>
        <v>83.77</v>
      </c>
    </row>
    <row r="743">
      <c r="A743" s="2">
        <f>IFERROR(__xludf.DUMMYFUNCTION("""COMPUTED_VALUE"""),45177.66666666667)</f>
        <v>45177.66667</v>
      </c>
      <c r="B743" s="1">
        <f>IFERROR(__xludf.DUMMYFUNCTION("""COMPUTED_VALUE"""),83.51)</f>
        <v>83.51</v>
      </c>
    </row>
    <row r="744">
      <c r="A744" s="2">
        <f>IFERROR(__xludf.DUMMYFUNCTION("""COMPUTED_VALUE"""),45180.66666666667)</f>
        <v>45180.66667</v>
      </c>
      <c r="B744" s="1">
        <f>IFERROR(__xludf.DUMMYFUNCTION("""COMPUTED_VALUE"""),83.28)</f>
        <v>83.28</v>
      </c>
    </row>
    <row r="745">
      <c r="A745" s="2">
        <f>IFERROR(__xludf.DUMMYFUNCTION("""COMPUTED_VALUE"""),45181.66666666667)</f>
        <v>45181.66667</v>
      </c>
      <c r="B745" s="1">
        <f>IFERROR(__xludf.DUMMYFUNCTION("""COMPUTED_VALUE"""),83.77)</f>
        <v>83.77</v>
      </c>
    </row>
    <row r="746">
      <c r="A746" s="2">
        <f>IFERROR(__xludf.DUMMYFUNCTION("""COMPUTED_VALUE"""),45182.66666666667)</f>
        <v>45182.66667</v>
      </c>
      <c r="B746" s="1">
        <f>IFERROR(__xludf.DUMMYFUNCTION("""COMPUTED_VALUE"""),83.59)</f>
        <v>83.59</v>
      </c>
    </row>
    <row r="747">
      <c r="A747" s="2">
        <f>IFERROR(__xludf.DUMMYFUNCTION("""COMPUTED_VALUE"""),45183.66666666667)</f>
        <v>45183.66667</v>
      </c>
      <c r="B747" s="1">
        <f>IFERROR(__xludf.DUMMYFUNCTION("""COMPUTED_VALUE"""),83.76)</f>
        <v>83.76</v>
      </c>
    </row>
    <row r="748">
      <c r="A748" s="2">
        <f>IFERROR(__xludf.DUMMYFUNCTION("""COMPUTED_VALUE"""),45184.66666666667)</f>
        <v>45184.66667</v>
      </c>
      <c r="B748" s="1">
        <f>IFERROR(__xludf.DUMMYFUNCTION("""COMPUTED_VALUE"""),84.17)</f>
        <v>84.17</v>
      </c>
    </row>
    <row r="749">
      <c r="A749" s="2">
        <f>IFERROR(__xludf.DUMMYFUNCTION("""COMPUTED_VALUE"""),45187.66666666667)</f>
        <v>45187.66667</v>
      </c>
      <c r="B749" s="1">
        <f>IFERROR(__xludf.DUMMYFUNCTION("""COMPUTED_VALUE"""),83.95)</f>
        <v>83.95</v>
      </c>
    </row>
    <row r="750">
      <c r="A750" s="2">
        <f>IFERROR(__xludf.DUMMYFUNCTION("""COMPUTED_VALUE"""),45188.66666666667)</f>
        <v>45188.66667</v>
      </c>
      <c r="B750" s="1">
        <f>IFERROR(__xludf.DUMMYFUNCTION("""COMPUTED_VALUE"""),83.14)</f>
        <v>83.14</v>
      </c>
    </row>
    <row r="751">
      <c r="A751" s="2">
        <f>IFERROR(__xludf.DUMMYFUNCTION("""COMPUTED_VALUE"""),45189.66666666667)</f>
        <v>45189.66667</v>
      </c>
      <c r="B751" s="1">
        <f>IFERROR(__xludf.DUMMYFUNCTION("""COMPUTED_VALUE"""),82.62)</f>
        <v>82.62</v>
      </c>
    </row>
    <row r="752">
      <c r="A752" s="2">
        <f>IFERROR(__xludf.DUMMYFUNCTION("""COMPUTED_VALUE"""),45190.66666666667)</f>
        <v>45190.66667</v>
      </c>
      <c r="B752" s="1">
        <f>IFERROR(__xludf.DUMMYFUNCTION("""COMPUTED_VALUE"""),82.55)</f>
        <v>82.55</v>
      </c>
    </row>
    <row r="753">
      <c r="A753" s="2">
        <f>IFERROR(__xludf.DUMMYFUNCTION("""COMPUTED_VALUE"""),45191.66666666667)</f>
        <v>45191.66667</v>
      </c>
      <c r="B753" s="1">
        <f>IFERROR(__xludf.DUMMYFUNCTION("""COMPUTED_VALUE"""),82.2)</f>
        <v>82.2</v>
      </c>
    </row>
    <row r="754">
      <c r="A754" s="2">
        <f>IFERROR(__xludf.DUMMYFUNCTION("""COMPUTED_VALUE"""),45194.66666666667)</f>
        <v>45194.66667</v>
      </c>
      <c r="B754" s="1">
        <f>IFERROR(__xludf.DUMMYFUNCTION("""COMPUTED_VALUE"""),82.0)</f>
        <v>82</v>
      </c>
    </row>
    <row r="755">
      <c r="A755" s="2">
        <f>IFERROR(__xludf.DUMMYFUNCTION("""COMPUTED_VALUE"""),45195.66666666667)</f>
        <v>45195.66667</v>
      </c>
      <c r="B755" s="1">
        <f>IFERROR(__xludf.DUMMYFUNCTION("""COMPUTED_VALUE"""),81.36)</f>
        <v>81.36</v>
      </c>
    </row>
    <row r="756">
      <c r="A756" s="2">
        <f>IFERROR(__xludf.DUMMYFUNCTION("""COMPUTED_VALUE"""),45196.66666666667)</f>
        <v>45196.66667</v>
      </c>
      <c r="B756" s="1">
        <f>IFERROR(__xludf.DUMMYFUNCTION("""COMPUTED_VALUE"""),81.41)</f>
        <v>81.41</v>
      </c>
    </row>
    <row r="757">
      <c r="A757" s="2">
        <f>IFERROR(__xludf.DUMMYFUNCTION("""COMPUTED_VALUE"""),45197.66666666667)</f>
        <v>45197.66667</v>
      </c>
      <c r="B757" s="1">
        <f>IFERROR(__xludf.DUMMYFUNCTION("""COMPUTED_VALUE"""),81.12)</f>
        <v>81.12</v>
      </c>
    </row>
    <row r="758">
      <c r="A758" s="2">
        <f>IFERROR(__xludf.DUMMYFUNCTION("""COMPUTED_VALUE"""),45198.66666666667)</f>
        <v>45198.66667</v>
      </c>
      <c r="B758" s="1">
        <f>IFERROR(__xludf.DUMMYFUNCTION("""COMPUTED_VALUE"""),80.82)</f>
        <v>80.82</v>
      </c>
    </row>
    <row r="759">
      <c r="A759" s="2">
        <f>IFERROR(__xludf.DUMMYFUNCTION("""COMPUTED_VALUE"""),45201.66666666667)</f>
        <v>45201.66667</v>
      </c>
      <c r="B759" s="1">
        <f>IFERROR(__xludf.DUMMYFUNCTION("""COMPUTED_VALUE"""),81.32)</f>
        <v>81.32</v>
      </c>
    </row>
    <row r="760">
      <c r="A760" s="2">
        <f>IFERROR(__xludf.DUMMYFUNCTION("""COMPUTED_VALUE"""),45202.66666666667)</f>
        <v>45202.66667</v>
      </c>
      <c r="B760" s="1">
        <f>IFERROR(__xludf.DUMMYFUNCTION("""COMPUTED_VALUE"""),80.63)</f>
        <v>80.63</v>
      </c>
    </row>
    <row r="761">
      <c r="A761" s="2">
        <f>IFERROR(__xludf.DUMMYFUNCTION("""COMPUTED_VALUE"""),45203.66666666667)</f>
        <v>45203.66667</v>
      </c>
      <c r="B761" s="1">
        <f>IFERROR(__xludf.DUMMYFUNCTION("""COMPUTED_VALUE"""),79.83)</f>
        <v>79.83</v>
      </c>
    </row>
    <row r="762">
      <c r="A762" s="2">
        <f>IFERROR(__xludf.DUMMYFUNCTION("""COMPUTED_VALUE"""),45204.66666666667)</f>
        <v>45204.66667</v>
      </c>
      <c r="B762" s="1">
        <f>IFERROR(__xludf.DUMMYFUNCTION("""COMPUTED_VALUE"""),80.01)</f>
        <v>80.01</v>
      </c>
    </row>
    <row r="763">
      <c r="A763" s="2">
        <f>IFERROR(__xludf.DUMMYFUNCTION("""COMPUTED_VALUE"""),45205.66666666667)</f>
        <v>45205.66667</v>
      </c>
      <c r="B763" s="1">
        <f>IFERROR(__xludf.DUMMYFUNCTION("""COMPUTED_VALUE"""),80.23)</f>
        <v>80.23</v>
      </c>
    </row>
    <row r="764">
      <c r="A764" s="2">
        <f>IFERROR(__xludf.DUMMYFUNCTION("""COMPUTED_VALUE"""),45208.66666666667)</f>
        <v>45208.66667</v>
      </c>
      <c r="B764" s="1">
        <f>IFERROR(__xludf.DUMMYFUNCTION("""COMPUTED_VALUE"""),80.41)</f>
        <v>80.41</v>
      </c>
    </row>
    <row r="765">
      <c r="A765" s="2">
        <f>IFERROR(__xludf.DUMMYFUNCTION("""COMPUTED_VALUE"""),45209.66666666667)</f>
        <v>45209.66667</v>
      </c>
      <c r="B765" s="1">
        <f>IFERROR(__xludf.DUMMYFUNCTION("""COMPUTED_VALUE"""),80.69)</f>
        <v>80.69</v>
      </c>
    </row>
    <row r="766">
      <c r="A766" s="2">
        <f>IFERROR(__xludf.DUMMYFUNCTION("""COMPUTED_VALUE"""),45210.66666666667)</f>
        <v>45210.66667</v>
      </c>
      <c r="B766" s="1">
        <f>IFERROR(__xludf.DUMMYFUNCTION("""COMPUTED_VALUE"""),81.49)</f>
        <v>81.49</v>
      </c>
    </row>
    <row r="767">
      <c r="A767" s="2">
        <f>IFERROR(__xludf.DUMMYFUNCTION("""COMPUTED_VALUE"""),45211.66666666667)</f>
        <v>45211.66667</v>
      </c>
      <c r="B767" s="1">
        <f>IFERROR(__xludf.DUMMYFUNCTION("""COMPUTED_VALUE"""),82.25)</f>
        <v>82.25</v>
      </c>
    </row>
    <row r="768">
      <c r="A768" s="2">
        <f>IFERROR(__xludf.DUMMYFUNCTION("""COMPUTED_VALUE"""),45212.66666666667)</f>
        <v>45212.66667</v>
      </c>
      <c r="B768" s="1">
        <f>IFERROR(__xludf.DUMMYFUNCTION("""COMPUTED_VALUE"""),82.4)</f>
        <v>82.4</v>
      </c>
    </row>
    <row r="769">
      <c r="A769" s="2">
        <f>IFERROR(__xludf.DUMMYFUNCTION("""COMPUTED_VALUE"""),45215.66666666667)</f>
        <v>45215.66667</v>
      </c>
      <c r="B769" s="1">
        <f>IFERROR(__xludf.DUMMYFUNCTION("""COMPUTED_VALUE"""),81.6)</f>
        <v>81.6</v>
      </c>
    </row>
    <row r="770">
      <c r="A770" s="2">
        <f>IFERROR(__xludf.DUMMYFUNCTION("""COMPUTED_VALUE"""),45216.66666666667)</f>
        <v>45216.66667</v>
      </c>
      <c r="B770" s="1">
        <f>IFERROR(__xludf.DUMMYFUNCTION("""COMPUTED_VALUE"""),81.51)</f>
        <v>81.51</v>
      </c>
    </row>
    <row r="771">
      <c r="A771" s="2">
        <f>IFERROR(__xludf.DUMMYFUNCTION("""COMPUTED_VALUE"""),45217.66666666667)</f>
        <v>45217.66667</v>
      </c>
      <c r="B771" s="1">
        <f>IFERROR(__xludf.DUMMYFUNCTION("""COMPUTED_VALUE"""),81.18)</f>
        <v>81.18</v>
      </c>
    </row>
    <row r="772">
      <c r="A772" s="2">
        <f>IFERROR(__xludf.DUMMYFUNCTION("""COMPUTED_VALUE"""),45218.66666666667)</f>
        <v>45218.66667</v>
      </c>
      <c r="B772" s="1">
        <f>IFERROR(__xludf.DUMMYFUNCTION("""COMPUTED_VALUE"""),80.87)</f>
        <v>80.87</v>
      </c>
    </row>
    <row r="773">
      <c r="A773" s="2">
        <f>IFERROR(__xludf.DUMMYFUNCTION("""COMPUTED_VALUE"""),45219.66666666667)</f>
        <v>45219.66667</v>
      </c>
      <c r="B773" s="1">
        <f>IFERROR(__xludf.DUMMYFUNCTION("""COMPUTED_VALUE"""),80.26)</f>
        <v>80.26</v>
      </c>
    </row>
    <row r="774">
      <c r="A774" s="2">
        <f>IFERROR(__xludf.DUMMYFUNCTION("""COMPUTED_VALUE"""),45222.66666666667)</f>
        <v>45222.66667</v>
      </c>
      <c r="B774" s="1">
        <f>IFERROR(__xludf.DUMMYFUNCTION("""COMPUTED_VALUE"""),79.62)</f>
        <v>79.62</v>
      </c>
    </row>
    <row r="775">
      <c r="A775" s="2">
        <f>IFERROR(__xludf.DUMMYFUNCTION("""COMPUTED_VALUE"""),45223.66666666667)</f>
        <v>45223.66667</v>
      </c>
      <c r="B775" s="1">
        <f>IFERROR(__xludf.DUMMYFUNCTION("""COMPUTED_VALUE"""),79.16)</f>
        <v>79.16</v>
      </c>
    </row>
    <row r="776">
      <c r="A776" s="2">
        <f>IFERROR(__xludf.DUMMYFUNCTION("""COMPUTED_VALUE"""),45224.66666666667)</f>
        <v>45224.66667</v>
      </c>
      <c r="B776" s="1">
        <f>IFERROR(__xludf.DUMMYFUNCTION("""COMPUTED_VALUE"""),79.09)</f>
        <v>79.09</v>
      </c>
    </row>
    <row r="777">
      <c r="A777" s="2">
        <f>IFERROR(__xludf.DUMMYFUNCTION("""COMPUTED_VALUE"""),45225.66666666667)</f>
        <v>45225.66667</v>
      </c>
      <c r="B777" s="1">
        <f>IFERROR(__xludf.DUMMYFUNCTION("""COMPUTED_VALUE"""),79.04)</f>
        <v>79.04</v>
      </c>
    </row>
    <row r="778">
      <c r="A778" s="2">
        <f>IFERROR(__xludf.DUMMYFUNCTION("""COMPUTED_VALUE"""),45226.66666666667)</f>
        <v>45226.66667</v>
      </c>
      <c r="B778" s="1">
        <f>IFERROR(__xludf.DUMMYFUNCTION("""COMPUTED_VALUE"""),78.98)</f>
        <v>78.98</v>
      </c>
    </row>
    <row r="779">
      <c r="A779" s="2">
        <f>IFERROR(__xludf.DUMMYFUNCTION("""COMPUTED_VALUE"""),45229.66666666667)</f>
        <v>45229.66667</v>
      </c>
      <c r="B779" s="1">
        <f>IFERROR(__xludf.DUMMYFUNCTION("""COMPUTED_VALUE"""),78.42)</f>
        <v>78.42</v>
      </c>
    </row>
    <row r="780">
      <c r="A780" s="2">
        <f>IFERROR(__xludf.DUMMYFUNCTION("""COMPUTED_VALUE"""),45230.66666666667)</f>
        <v>45230.66667</v>
      </c>
      <c r="B780" s="1">
        <f>IFERROR(__xludf.DUMMYFUNCTION("""COMPUTED_VALUE"""),78.62)</f>
        <v>78.62</v>
      </c>
    </row>
    <row r="781">
      <c r="A781" s="2">
        <f>IFERROR(__xludf.DUMMYFUNCTION("""COMPUTED_VALUE"""),45231.66666666667)</f>
        <v>45231.66667</v>
      </c>
      <c r="B781" s="1">
        <f>IFERROR(__xludf.DUMMYFUNCTION("""COMPUTED_VALUE"""),79.3)</f>
        <v>79.3</v>
      </c>
    </row>
    <row r="782">
      <c r="A782" s="2">
        <f>IFERROR(__xludf.DUMMYFUNCTION("""COMPUTED_VALUE"""),45232.66666666667)</f>
        <v>45232.66667</v>
      </c>
      <c r="B782" s="1">
        <f>IFERROR(__xludf.DUMMYFUNCTION("""COMPUTED_VALUE"""),79.28)</f>
        <v>79.28</v>
      </c>
    </row>
    <row r="783">
      <c r="A783" s="2">
        <f>IFERROR(__xludf.DUMMYFUNCTION("""COMPUTED_VALUE"""),45233.66666666667)</f>
        <v>45233.66667</v>
      </c>
      <c r="B783" s="1">
        <f>IFERROR(__xludf.DUMMYFUNCTION("""COMPUTED_VALUE"""),80.59)</f>
        <v>80.59</v>
      </c>
    </row>
    <row r="784">
      <c r="A784" s="2">
        <f>IFERROR(__xludf.DUMMYFUNCTION("""COMPUTED_VALUE"""),45236.66666666667)</f>
        <v>45236.66667</v>
      </c>
      <c r="B784" s="1">
        <f>IFERROR(__xludf.DUMMYFUNCTION("""COMPUTED_VALUE"""),80.68)</f>
        <v>80.68</v>
      </c>
    </row>
    <row r="785">
      <c r="A785" s="2">
        <f>IFERROR(__xludf.DUMMYFUNCTION("""COMPUTED_VALUE"""),45237.66666666667)</f>
        <v>45237.66667</v>
      </c>
      <c r="B785" s="1">
        <f>IFERROR(__xludf.DUMMYFUNCTION("""COMPUTED_VALUE"""),80.89)</f>
        <v>80.89</v>
      </c>
    </row>
    <row r="786">
      <c r="A786" s="2">
        <f>IFERROR(__xludf.DUMMYFUNCTION("""COMPUTED_VALUE"""),45238.66666666667)</f>
        <v>45238.66667</v>
      </c>
      <c r="B786" s="1">
        <f>IFERROR(__xludf.DUMMYFUNCTION("""COMPUTED_VALUE"""),80.56)</f>
        <v>80.56</v>
      </c>
    </row>
    <row r="787">
      <c r="A787" s="2">
        <f>IFERROR(__xludf.DUMMYFUNCTION("""COMPUTED_VALUE"""),45239.66666666667)</f>
        <v>45239.66667</v>
      </c>
      <c r="B787" s="1">
        <f>IFERROR(__xludf.DUMMYFUNCTION("""COMPUTED_VALUE"""),81.13)</f>
        <v>81.13</v>
      </c>
    </row>
    <row r="788">
      <c r="A788" s="2">
        <f>IFERROR(__xludf.DUMMYFUNCTION("""COMPUTED_VALUE"""),45240.66666666667)</f>
        <v>45240.66667</v>
      </c>
      <c r="B788" s="1">
        <f>IFERROR(__xludf.DUMMYFUNCTION("""COMPUTED_VALUE"""),81.43)</f>
        <v>81.43</v>
      </c>
    </row>
    <row r="789">
      <c r="A789" s="2">
        <f>IFERROR(__xludf.DUMMYFUNCTION("""COMPUTED_VALUE"""),45243.66666666667)</f>
        <v>45243.66667</v>
      </c>
      <c r="B789" s="1">
        <f>IFERROR(__xludf.DUMMYFUNCTION("""COMPUTED_VALUE"""),81.31)</f>
        <v>81.31</v>
      </c>
    </row>
    <row r="790">
      <c r="A790" s="2">
        <f>IFERROR(__xludf.DUMMYFUNCTION("""COMPUTED_VALUE"""),45244.66666666667)</f>
        <v>45244.66667</v>
      </c>
      <c r="B790" s="1">
        <f>IFERROR(__xludf.DUMMYFUNCTION("""COMPUTED_VALUE"""),81.87)</f>
        <v>81.87</v>
      </c>
    </row>
    <row r="791">
      <c r="A791" s="2">
        <f>IFERROR(__xludf.DUMMYFUNCTION("""COMPUTED_VALUE"""),45245.66666666667)</f>
        <v>45245.66667</v>
      </c>
      <c r="B791" s="1">
        <f>IFERROR(__xludf.DUMMYFUNCTION("""COMPUTED_VALUE"""),82.39)</f>
        <v>82.39</v>
      </c>
    </row>
    <row r="792">
      <c r="A792" s="2">
        <f>IFERROR(__xludf.DUMMYFUNCTION("""COMPUTED_VALUE"""),45246.66666666667)</f>
        <v>45246.66667</v>
      </c>
      <c r="B792" s="1">
        <f>IFERROR(__xludf.DUMMYFUNCTION("""COMPUTED_VALUE"""),82.6)</f>
        <v>82.6</v>
      </c>
    </row>
    <row r="793">
      <c r="A793" s="2">
        <f>IFERROR(__xludf.DUMMYFUNCTION("""COMPUTED_VALUE"""),45247.66666666667)</f>
        <v>45247.66667</v>
      </c>
      <c r="B793" s="1">
        <f>IFERROR(__xludf.DUMMYFUNCTION("""COMPUTED_VALUE"""),82.71)</f>
        <v>82.71</v>
      </c>
    </row>
    <row r="794">
      <c r="A794" s="2">
        <f>IFERROR(__xludf.DUMMYFUNCTION("""COMPUTED_VALUE"""),45250.66666666667)</f>
        <v>45250.66667</v>
      </c>
      <c r="B794" s="1">
        <f>IFERROR(__xludf.DUMMYFUNCTION("""COMPUTED_VALUE"""),82.42)</f>
        <v>82.42</v>
      </c>
    </row>
    <row r="795">
      <c r="A795" s="2">
        <f>IFERROR(__xludf.DUMMYFUNCTION("""COMPUTED_VALUE"""),45251.66666666667)</f>
        <v>45251.66667</v>
      </c>
      <c r="B795" s="1">
        <f>IFERROR(__xludf.DUMMYFUNCTION("""COMPUTED_VALUE"""),82.72)</f>
        <v>82.72</v>
      </c>
    </row>
    <row r="796">
      <c r="A796" s="2">
        <f>IFERROR(__xludf.DUMMYFUNCTION("""COMPUTED_VALUE"""),45252.66666666667)</f>
        <v>45252.66667</v>
      </c>
      <c r="B796" s="1">
        <f>IFERROR(__xludf.DUMMYFUNCTION("""COMPUTED_VALUE"""),82.58)</f>
        <v>82.58</v>
      </c>
    </row>
    <row r="797">
      <c r="A797" s="2">
        <f>IFERROR(__xludf.DUMMYFUNCTION("""COMPUTED_VALUE"""),45253.66666666667)</f>
        <v>45253.66667</v>
      </c>
      <c r="B797" s="1">
        <f>IFERROR(__xludf.DUMMYFUNCTION("""COMPUTED_VALUE"""),82.5)</f>
        <v>82.5</v>
      </c>
    </row>
    <row r="798">
      <c r="A798" s="2">
        <f>IFERROR(__xludf.DUMMYFUNCTION("""COMPUTED_VALUE"""),45254.66666666667)</f>
        <v>45254.66667</v>
      </c>
      <c r="B798" s="1">
        <f>IFERROR(__xludf.DUMMYFUNCTION("""COMPUTED_VALUE"""),82.53)</f>
        <v>82.53</v>
      </c>
    </row>
    <row r="799">
      <c r="A799" s="2">
        <f>IFERROR(__xludf.DUMMYFUNCTION("""COMPUTED_VALUE"""),45257.66666666667)</f>
        <v>45257.66667</v>
      </c>
      <c r="B799" s="1">
        <f>IFERROR(__xludf.DUMMYFUNCTION("""COMPUTED_VALUE"""),82.2)</f>
        <v>82.2</v>
      </c>
    </row>
    <row r="800">
      <c r="A800" s="2">
        <f>IFERROR(__xludf.DUMMYFUNCTION("""COMPUTED_VALUE"""),45258.66666666667)</f>
        <v>45258.66667</v>
      </c>
      <c r="B800" s="1">
        <f>IFERROR(__xludf.DUMMYFUNCTION("""COMPUTED_VALUE"""),81.9)</f>
        <v>81.9</v>
      </c>
    </row>
    <row r="801">
      <c r="A801" s="2">
        <f>IFERROR(__xludf.DUMMYFUNCTION("""COMPUTED_VALUE"""),45259.66666666667)</f>
        <v>45259.66667</v>
      </c>
      <c r="B801" s="1">
        <f>IFERROR(__xludf.DUMMYFUNCTION("""COMPUTED_VALUE"""),81.76)</f>
        <v>81.76</v>
      </c>
    </row>
    <row r="802">
      <c r="A802" s="2">
        <f>IFERROR(__xludf.DUMMYFUNCTION("""COMPUTED_VALUE"""),45260.66666666667)</f>
        <v>45260.66667</v>
      </c>
      <c r="B802" s="1">
        <f>IFERROR(__xludf.DUMMYFUNCTION("""COMPUTED_VALUE"""),81.97)</f>
        <v>81.97</v>
      </c>
    </row>
    <row r="803">
      <c r="A803" s="2">
        <f>IFERROR(__xludf.DUMMYFUNCTION("""COMPUTED_VALUE"""),45261.66666666667)</f>
        <v>45261.66667</v>
      </c>
      <c r="B803" s="1">
        <f>IFERROR(__xludf.DUMMYFUNCTION("""COMPUTED_VALUE"""),82.37)</f>
        <v>82.37</v>
      </c>
    </row>
    <row r="804">
      <c r="A804" s="2">
        <f>IFERROR(__xludf.DUMMYFUNCTION("""COMPUTED_VALUE"""),45264.66666666667)</f>
        <v>45264.66667</v>
      </c>
      <c r="B804" s="1">
        <f>IFERROR(__xludf.DUMMYFUNCTION("""COMPUTED_VALUE"""),82.16)</f>
        <v>82.16</v>
      </c>
    </row>
    <row r="805">
      <c r="A805" s="2">
        <f>IFERROR(__xludf.DUMMYFUNCTION("""COMPUTED_VALUE"""),45265.66666666667)</f>
        <v>45265.66667</v>
      </c>
      <c r="B805" s="1">
        <f>IFERROR(__xludf.DUMMYFUNCTION("""COMPUTED_VALUE"""),82.32)</f>
        <v>82.32</v>
      </c>
    </row>
    <row r="806">
      <c r="A806" s="2">
        <f>IFERROR(__xludf.DUMMYFUNCTION("""COMPUTED_VALUE"""),45266.66666666667)</f>
        <v>45266.66667</v>
      </c>
      <c r="B806" s="1">
        <f>IFERROR(__xludf.DUMMYFUNCTION("""COMPUTED_VALUE"""),82.78)</f>
        <v>82.78</v>
      </c>
    </row>
    <row r="807">
      <c r="A807" s="2">
        <f>IFERROR(__xludf.DUMMYFUNCTION("""COMPUTED_VALUE"""),45267.66666666667)</f>
        <v>45267.66667</v>
      </c>
      <c r="B807" s="1">
        <f>IFERROR(__xludf.DUMMYFUNCTION("""COMPUTED_VALUE"""),82.88)</f>
        <v>82.88</v>
      </c>
    </row>
    <row r="808">
      <c r="A808" s="2">
        <f>IFERROR(__xludf.DUMMYFUNCTION("""COMPUTED_VALUE"""),45268.66666666667)</f>
        <v>45268.66667</v>
      </c>
      <c r="B808" s="1">
        <f>IFERROR(__xludf.DUMMYFUNCTION("""COMPUTED_VALUE"""),82.45)</f>
        <v>82.45</v>
      </c>
    </row>
    <row r="809">
      <c r="A809" s="2">
        <f>IFERROR(__xludf.DUMMYFUNCTION("""COMPUTED_VALUE"""),45271.66666666667)</f>
        <v>45271.66667</v>
      </c>
      <c r="B809" s="1">
        <f>IFERROR(__xludf.DUMMYFUNCTION("""COMPUTED_VALUE"""),83.0)</f>
        <v>83</v>
      </c>
    </row>
    <row r="810">
      <c r="A810" s="2">
        <f>IFERROR(__xludf.DUMMYFUNCTION("""COMPUTED_VALUE"""),45272.66666666667)</f>
        <v>45272.66667</v>
      </c>
      <c r="B810" s="1">
        <f>IFERROR(__xludf.DUMMYFUNCTION("""COMPUTED_VALUE"""),83.01)</f>
        <v>83.01</v>
      </c>
    </row>
    <row r="811">
      <c r="A811" s="2">
        <f>IFERROR(__xludf.DUMMYFUNCTION("""COMPUTED_VALUE"""),45273.66666666667)</f>
        <v>45273.66667</v>
      </c>
      <c r="B811" s="1">
        <f>IFERROR(__xludf.DUMMYFUNCTION("""COMPUTED_VALUE"""),83.28)</f>
        <v>83.28</v>
      </c>
    </row>
    <row r="812">
      <c r="A812" s="2">
        <f>IFERROR(__xludf.DUMMYFUNCTION("""COMPUTED_VALUE"""),45274.66666666667)</f>
        <v>45274.66667</v>
      </c>
      <c r="B812" s="1">
        <f>IFERROR(__xludf.DUMMYFUNCTION("""COMPUTED_VALUE"""),82.97)</f>
        <v>82.97</v>
      </c>
    </row>
    <row r="813">
      <c r="A813" s="2">
        <f>IFERROR(__xludf.DUMMYFUNCTION("""COMPUTED_VALUE"""),45275.66666666667)</f>
        <v>45275.66667</v>
      </c>
      <c r="B813" s="1">
        <f>IFERROR(__xludf.DUMMYFUNCTION("""COMPUTED_VALUE"""),83.74)</f>
        <v>83.74</v>
      </c>
    </row>
    <row r="814">
      <c r="A814" s="2">
        <f>IFERROR(__xludf.DUMMYFUNCTION("""COMPUTED_VALUE"""),45278.66666666667)</f>
        <v>45278.66667</v>
      </c>
      <c r="B814" s="1">
        <f>IFERROR(__xludf.DUMMYFUNCTION("""COMPUTED_VALUE"""),83.52)</f>
        <v>83.52</v>
      </c>
    </row>
    <row r="815">
      <c r="A815" s="2">
        <f>IFERROR(__xludf.DUMMYFUNCTION("""COMPUTED_VALUE"""),45279.66666666667)</f>
        <v>45279.66667</v>
      </c>
      <c r="B815" s="1">
        <f>IFERROR(__xludf.DUMMYFUNCTION("""COMPUTED_VALUE"""),81.72)</f>
        <v>81.72</v>
      </c>
    </row>
    <row r="816">
      <c r="A816" s="2">
        <f>IFERROR(__xludf.DUMMYFUNCTION("""COMPUTED_VALUE"""),45280.66666666667)</f>
        <v>45280.66667</v>
      </c>
      <c r="B816" s="1">
        <f>IFERROR(__xludf.DUMMYFUNCTION("""COMPUTED_VALUE"""),82.0)</f>
        <v>82</v>
      </c>
    </row>
    <row r="817">
      <c r="A817" s="2">
        <f>IFERROR(__xludf.DUMMYFUNCTION("""COMPUTED_VALUE"""),45281.66666666667)</f>
        <v>45281.66667</v>
      </c>
      <c r="B817" s="1">
        <f>IFERROR(__xludf.DUMMYFUNCTION("""COMPUTED_VALUE"""),81.63)</f>
        <v>81.63</v>
      </c>
    </row>
    <row r="818">
      <c r="A818" s="2">
        <f>IFERROR(__xludf.DUMMYFUNCTION("""COMPUTED_VALUE"""),45282.66666666667)</f>
        <v>45282.66667</v>
      </c>
      <c r="B818" s="1">
        <f>IFERROR(__xludf.DUMMYFUNCTION("""COMPUTED_VALUE"""),81.64)</f>
        <v>81.64</v>
      </c>
    </row>
    <row r="819">
      <c r="A819" s="2">
        <f>IFERROR(__xludf.DUMMYFUNCTION("""COMPUTED_VALUE"""),45287.66666666667)</f>
        <v>45287.66667</v>
      </c>
      <c r="B819" s="1">
        <f>IFERROR(__xludf.DUMMYFUNCTION("""COMPUTED_VALUE"""),81.79)</f>
        <v>81.79</v>
      </c>
    </row>
    <row r="820">
      <c r="A820" s="2">
        <f>IFERROR(__xludf.DUMMYFUNCTION("""COMPUTED_VALUE"""),45288.66666666667)</f>
        <v>45288.66667</v>
      </c>
      <c r="B820" s="1">
        <f>IFERROR(__xludf.DUMMYFUNCTION("""COMPUTED_VALUE"""),82.51)</f>
        <v>82.51</v>
      </c>
    </row>
    <row r="821">
      <c r="A821" s="2">
        <f>IFERROR(__xludf.DUMMYFUNCTION("""COMPUTED_VALUE"""),45289.66666666667)</f>
        <v>45289.66667</v>
      </c>
      <c r="B821" s="1">
        <f>IFERROR(__xludf.DUMMYFUNCTION("""COMPUTED_VALUE"""),82.22)</f>
        <v>82.22</v>
      </c>
    </row>
    <row r="822">
      <c r="A822" s="2">
        <f>IFERROR(__xludf.DUMMYFUNCTION("""COMPUTED_VALUE"""),45293.66666666667)</f>
        <v>45293.66667</v>
      </c>
      <c r="B822" s="1">
        <f>IFERROR(__xludf.DUMMYFUNCTION("""COMPUTED_VALUE"""),82.3)</f>
        <v>82.3</v>
      </c>
    </row>
    <row r="823">
      <c r="A823" s="2">
        <f>IFERROR(__xludf.DUMMYFUNCTION("""COMPUTED_VALUE"""),45294.66666666667)</f>
        <v>45294.66667</v>
      </c>
      <c r="B823" s="1">
        <f>IFERROR(__xludf.DUMMYFUNCTION("""COMPUTED_VALUE"""),82.14)</f>
        <v>82.14</v>
      </c>
    </row>
    <row r="824">
      <c r="A824" s="2">
        <f>IFERROR(__xludf.DUMMYFUNCTION("""COMPUTED_VALUE"""),45295.66666666667)</f>
        <v>45295.66667</v>
      </c>
      <c r="B824" s="1">
        <f>IFERROR(__xludf.DUMMYFUNCTION("""COMPUTED_VALUE"""),81.88)</f>
        <v>81.88</v>
      </c>
    </row>
    <row r="825">
      <c r="A825" s="2">
        <f>IFERROR(__xludf.DUMMYFUNCTION("""COMPUTED_VALUE"""),45296.66666666667)</f>
        <v>45296.66667</v>
      </c>
      <c r="B825" s="1">
        <f>IFERROR(__xludf.DUMMYFUNCTION("""COMPUTED_VALUE"""),82.62)</f>
        <v>82.62</v>
      </c>
    </row>
    <row r="826">
      <c r="A826" s="2">
        <f>IFERROR(__xludf.DUMMYFUNCTION("""COMPUTED_VALUE"""),45299.66666666667)</f>
        <v>45299.66667</v>
      </c>
      <c r="B826" s="1">
        <f>IFERROR(__xludf.DUMMYFUNCTION("""COMPUTED_VALUE"""),82.35)</f>
        <v>82.35</v>
      </c>
    </row>
    <row r="827">
      <c r="A827" s="2">
        <f>IFERROR(__xludf.DUMMYFUNCTION("""COMPUTED_VALUE"""),45300.66666666667)</f>
        <v>45300.66667</v>
      </c>
      <c r="B827" s="1">
        <f>IFERROR(__xludf.DUMMYFUNCTION("""COMPUTED_VALUE"""),82.73)</f>
        <v>82.73</v>
      </c>
    </row>
    <row r="828">
      <c r="A828" s="2">
        <f>IFERROR(__xludf.DUMMYFUNCTION("""COMPUTED_VALUE"""),45301.66666666667)</f>
        <v>45301.66667</v>
      </c>
      <c r="B828" s="1">
        <f>IFERROR(__xludf.DUMMYFUNCTION("""COMPUTED_VALUE"""),82.34)</f>
        <v>82.34</v>
      </c>
    </row>
    <row r="829">
      <c r="A829" s="2">
        <f>IFERROR(__xludf.DUMMYFUNCTION("""COMPUTED_VALUE"""),45302.66666666667)</f>
        <v>45302.66667</v>
      </c>
      <c r="B829" s="1">
        <f>IFERROR(__xludf.DUMMYFUNCTION("""COMPUTED_VALUE"""),82.9)</f>
        <v>82.9</v>
      </c>
    </row>
    <row r="830">
      <c r="A830" s="2">
        <f>IFERROR(__xludf.DUMMYFUNCTION("""COMPUTED_VALUE"""),45303.66666666667)</f>
        <v>45303.66667</v>
      </c>
      <c r="B830" s="1">
        <f>IFERROR(__xludf.DUMMYFUNCTION("""COMPUTED_VALUE"""),82.9)</f>
        <v>82.9</v>
      </c>
    </row>
    <row r="831">
      <c r="A831" s="2">
        <f>IFERROR(__xludf.DUMMYFUNCTION("""COMPUTED_VALUE"""),45306.66666666667)</f>
        <v>45306.66667</v>
      </c>
      <c r="B831" s="1">
        <f>IFERROR(__xludf.DUMMYFUNCTION("""COMPUTED_VALUE"""),83.38)</f>
        <v>83.38</v>
      </c>
    </row>
    <row r="832">
      <c r="A832" s="2">
        <f>IFERROR(__xludf.DUMMYFUNCTION("""COMPUTED_VALUE"""),45307.66666666667)</f>
        <v>45307.66667</v>
      </c>
      <c r="B832" s="1">
        <f>IFERROR(__xludf.DUMMYFUNCTION("""COMPUTED_VALUE"""),83.22)</f>
        <v>83.22</v>
      </c>
    </row>
    <row r="833">
      <c r="A833" s="2">
        <f>IFERROR(__xludf.DUMMYFUNCTION("""COMPUTED_VALUE"""),45308.66666666667)</f>
        <v>45308.66667</v>
      </c>
      <c r="B833" s="1">
        <f>IFERROR(__xludf.DUMMYFUNCTION("""COMPUTED_VALUE"""),82.82)</f>
        <v>82.82</v>
      </c>
    </row>
    <row r="834">
      <c r="A834" s="2">
        <f>IFERROR(__xludf.DUMMYFUNCTION("""COMPUTED_VALUE"""),45309.66666666667)</f>
        <v>45309.66667</v>
      </c>
      <c r="B834" s="1">
        <f>IFERROR(__xludf.DUMMYFUNCTION("""COMPUTED_VALUE"""),82.48)</f>
        <v>82.48</v>
      </c>
    </row>
    <row r="835">
      <c r="A835" s="2">
        <f>IFERROR(__xludf.DUMMYFUNCTION("""COMPUTED_VALUE"""),45310.66666666667)</f>
        <v>45310.66667</v>
      </c>
      <c r="B835" s="1">
        <f>IFERROR(__xludf.DUMMYFUNCTION("""COMPUTED_VALUE"""),82.91)</f>
        <v>82.91</v>
      </c>
    </row>
    <row r="836">
      <c r="A836" s="2">
        <f>IFERROR(__xludf.DUMMYFUNCTION("""COMPUTED_VALUE"""),45313.66666666667)</f>
        <v>45313.66667</v>
      </c>
      <c r="B836" s="1">
        <f>IFERROR(__xludf.DUMMYFUNCTION("""COMPUTED_VALUE"""),83.12)</f>
        <v>83.12</v>
      </c>
    </row>
    <row r="837">
      <c r="A837" s="2">
        <f>IFERROR(__xludf.DUMMYFUNCTION("""COMPUTED_VALUE"""),45314.66666666667)</f>
        <v>45314.66667</v>
      </c>
      <c r="B837" s="1">
        <f>IFERROR(__xludf.DUMMYFUNCTION("""COMPUTED_VALUE"""),83.27)</f>
        <v>83.27</v>
      </c>
    </row>
    <row r="838">
      <c r="A838" s="2">
        <f>IFERROR(__xludf.DUMMYFUNCTION("""COMPUTED_VALUE"""),45315.66666666667)</f>
        <v>45315.66667</v>
      </c>
      <c r="B838" s="1">
        <f>IFERROR(__xludf.DUMMYFUNCTION("""COMPUTED_VALUE"""),83.29)</f>
        <v>83.29</v>
      </c>
    </row>
    <row r="839">
      <c r="A839" s="2">
        <f>IFERROR(__xludf.DUMMYFUNCTION("""COMPUTED_VALUE"""),45316.66666666667)</f>
        <v>45316.66667</v>
      </c>
      <c r="B839" s="1">
        <f>IFERROR(__xludf.DUMMYFUNCTION("""COMPUTED_VALUE"""),83.97)</f>
        <v>83.97</v>
      </c>
    </row>
    <row r="840">
      <c r="A840" s="2">
        <f>IFERROR(__xludf.DUMMYFUNCTION("""COMPUTED_VALUE"""),45320.66666666667)</f>
        <v>45320.66667</v>
      </c>
      <c r="B840" s="1">
        <f>IFERROR(__xludf.DUMMYFUNCTION("""COMPUTED_VALUE"""),84.35)</f>
        <v>84.35</v>
      </c>
    </row>
    <row r="841">
      <c r="A841" s="2">
        <f>IFERROR(__xludf.DUMMYFUNCTION("""COMPUTED_VALUE"""),45321.66666666667)</f>
        <v>45321.66667</v>
      </c>
      <c r="B841" s="1">
        <f>IFERROR(__xludf.DUMMYFUNCTION("""COMPUTED_VALUE"""),84.29)</f>
        <v>84.29</v>
      </c>
    </row>
    <row r="842">
      <c r="A842" s="2">
        <f>IFERROR(__xludf.DUMMYFUNCTION("""COMPUTED_VALUE"""),45322.66666666667)</f>
        <v>45322.66667</v>
      </c>
      <c r="B842" s="1">
        <f>IFERROR(__xludf.DUMMYFUNCTION("""COMPUTED_VALUE"""),84.54)</f>
        <v>84.54</v>
      </c>
    </row>
    <row r="843">
      <c r="A843" s="2">
        <f>IFERROR(__xludf.DUMMYFUNCTION("""COMPUTED_VALUE"""),45323.66666666667)</f>
        <v>45323.66667</v>
      </c>
      <c r="B843" s="1">
        <f>IFERROR(__xludf.DUMMYFUNCTION("""COMPUTED_VALUE"""),84.75)</f>
        <v>84.75</v>
      </c>
    </row>
    <row r="844">
      <c r="A844" s="2">
        <f>IFERROR(__xludf.DUMMYFUNCTION("""COMPUTED_VALUE"""),45324.66666666667)</f>
        <v>45324.66667</v>
      </c>
      <c r="B844" s="1">
        <f>IFERROR(__xludf.DUMMYFUNCTION("""COMPUTED_VALUE"""),84.96)</f>
        <v>84.96</v>
      </c>
    </row>
    <row r="845">
      <c r="A845" s="2">
        <f>IFERROR(__xludf.DUMMYFUNCTION("""COMPUTED_VALUE"""),45327.66666666667)</f>
        <v>45327.66667</v>
      </c>
      <c r="B845" s="1">
        <f>IFERROR(__xludf.DUMMYFUNCTION("""COMPUTED_VALUE"""),84.99)</f>
        <v>84.99</v>
      </c>
    </row>
    <row r="846">
      <c r="A846" s="2">
        <f>IFERROR(__xludf.DUMMYFUNCTION("""COMPUTED_VALUE"""),45328.66666666667)</f>
        <v>45328.66667</v>
      </c>
      <c r="B846" s="1">
        <f>IFERROR(__xludf.DUMMYFUNCTION("""COMPUTED_VALUE"""),85.03)</f>
        <v>85.03</v>
      </c>
    </row>
    <row r="847">
      <c r="A847" s="2">
        <f>IFERROR(__xludf.DUMMYFUNCTION("""COMPUTED_VALUE"""),45329.66666666667)</f>
        <v>45329.66667</v>
      </c>
      <c r="B847" s="1">
        <f>IFERROR(__xludf.DUMMYFUNCTION("""COMPUTED_VALUE"""),85.46)</f>
        <v>85.46</v>
      </c>
    </row>
    <row r="848">
      <c r="A848" s="2">
        <f>IFERROR(__xludf.DUMMYFUNCTION("""COMPUTED_VALUE"""),45330.66666666667)</f>
        <v>45330.66667</v>
      </c>
      <c r="B848" s="1">
        <f>IFERROR(__xludf.DUMMYFUNCTION("""COMPUTED_VALUE"""),85.68)</f>
        <v>85.68</v>
      </c>
    </row>
    <row r="849">
      <c r="A849" s="2">
        <f>IFERROR(__xludf.DUMMYFUNCTION("""COMPUTED_VALUE"""),45331.66666666667)</f>
        <v>45331.66667</v>
      </c>
      <c r="B849" s="1">
        <f>IFERROR(__xludf.DUMMYFUNCTION("""COMPUTED_VALUE"""),85.62)</f>
        <v>85.62</v>
      </c>
    </row>
    <row r="850">
      <c r="A850" s="2">
        <f>IFERROR(__xludf.DUMMYFUNCTION("""COMPUTED_VALUE"""),45334.66666666667)</f>
        <v>45334.66667</v>
      </c>
      <c r="B850" s="1">
        <f>IFERROR(__xludf.DUMMYFUNCTION("""COMPUTED_VALUE"""),85.71)</f>
        <v>85.71</v>
      </c>
    </row>
    <row r="851">
      <c r="A851" s="2">
        <f>IFERROR(__xludf.DUMMYFUNCTION("""COMPUTED_VALUE"""),45335.66666666667)</f>
        <v>45335.66667</v>
      </c>
      <c r="B851" s="1">
        <f>IFERROR(__xludf.DUMMYFUNCTION("""COMPUTED_VALUE"""),86.02)</f>
        <v>86.02</v>
      </c>
    </row>
    <row r="852">
      <c r="A852" s="2">
        <f>IFERROR(__xludf.DUMMYFUNCTION("""COMPUTED_VALUE"""),45336.66666666667)</f>
        <v>45336.66667</v>
      </c>
      <c r="B852" s="1">
        <f>IFERROR(__xludf.DUMMYFUNCTION("""COMPUTED_VALUE"""),85.51)</f>
        <v>85.51</v>
      </c>
    </row>
    <row r="853">
      <c r="A853" s="2">
        <f>IFERROR(__xludf.DUMMYFUNCTION("""COMPUTED_VALUE"""),45337.66666666667)</f>
        <v>45337.66667</v>
      </c>
      <c r="B853" s="1">
        <f>IFERROR(__xludf.DUMMYFUNCTION("""COMPUTED_VALUE"""),86.02)</f>
        <v>86.02</v>
      </c>
    </row>
    <row r="854">
      <c r="A854" s="2">
        <f>IFERROR(__xludf.DUMMYFUNCTION("""COMPUTED_VALUE"""),45338.66666666667)</f>
        <v>45338.66667</v>
      </c>
      <c r="B854" s="1">
        <f>IFERROR(__xludf.DUMMYFUNCTION("""COMPUTED_VALUE"""),86.64)</f>
        <v>86.64</v>
      </c>
    </row>
    <row r="855">
      <c r="A855" s="2">
        <f>IFERROR(__xludf.DUMMYFUNCTION("""COMPUTED_VALUE"""),45341.66666666667)</f>
        <v>45341.66667</v>
      </c>
      <c r="B855" s="1">
        <f>IFERROR(__xludf.DUMMYFUNCTION("""COMPUTED_VALUE"""),86.45)</f>
        <v>86.45</v>
      </c>
    </row>
    <row r="856">
      <c r="A856" s="2">
        <f>IFERROR(__xludf.DUMMYFUNCTION("""COMPUTED_VALUE"""),45342.66666666667)</f>
        <v>45342.66667</v>
      </c>
      <c r="B856" s="1">
        <f>IFERROR(__xludf.DUMMYFUNCTION("""COMPUTED_VALUE"""),86.44)</f>
        <v>86.44</v>
      </c>
    </row>
    <row r="857">
      <c r="A857" s="2">
        <f>IFERROR(__xludf.DUMMYFUNCTION("""COMPUTED_VALUE"""),45343.66666666667)</f>
        <v>45343.66667</v>
      </c>
      <c r="B857" s="1">
        <f>IFERROR(__xludf.DUMMYFUNCTION("""COMPUTED_VALUE"""),86.42)</f>
        <v>86.42</v>
      </c>
    </row>
    <row r="858">
      <c r="A858" s="2">
        <f>IFERROR(__xludf.DUMMYFUNCTION("""COMPUTED_VALUE"""),45344.66666666667)</f>
        <v>45344.66667</v>
      </c>
      <c r="B858" s="1">
        <f>IFERROR(__xludf.DUMMYFUNCTION("""COMPUTED_VALUE"""),86.81)</f>
        <v>86.81</v>
      </c>
    </row>
    <row r="859">
      <c r="A859" s="2">
        <f>IFERROR(__xludf.DUMMYFUNCTION("""COMPUTED_VALUE"""),45345.66666666667)</f>
        <v>45345.66667</v>
      </c>
      <c r="B859" s="1">
        <f>IFERROR(__xludf.DUMMYFUNCTION("""COMPUTED_VALUE"""),87.2)</f>
        <v>87.2</v>
      </c>
    </row>
    <row r="860">
      <c r="A860" s="2">
        <f>IFERROR(__xludf.DUMMYFUNCTION("""COMPUTED_VALUE"""),45348.66666666667)</f>
        <v>45348.66667</v>
      </c>
      <c r="B860" s="1">
        <f>IFERROR(__xludf.DUMMYFUNCTION("""COMPUTED_VALUE"""),87.17)</f>
        <v>87.17</v>
      </c>
    </row>
    <row r="861">
      <c r="A861" s="2">
        <f>IFERROR(__xludf.DUMMYFUNCTION("""COMPUTED_VALUE"""),45349.66666666667)</f>
        <v>45349.66667</v>
      </c>
      <c r="B861" s="1">
        <f>IFERROR(__xludf.DUMMYFUNCTION("""COMPUTED_VALUE"""),87.24)</f>
        <v>87.24</v>
      </c>
    </row>
    <row r="862">
      <c r="A862" s="2">
        <f>IFERROR(__xludf.DUMMYFUNCTION("""COMPUTED_VALUE"""),45350.66666666667)</f>
        <v>45350.66667</v>
      </c>
      <c r="B862" s="1">
        <f>IFERROR(__xludf.DUMMYFUNCTION("""COMPUTED_VALUE"""),87.86)</f>
        <v>87.86</v>
      </c>
    </row>
    <row r="863">
      <c r="A863" s="2">
        <f>IFERROR(__xludf.DUMMYFUNCTION("""COMPUTED_VALUE"""),45351.66666666667)</f>
        <v>45351.66667</v>
      </c>
      <c r="B863" s="1">
        <f>IFERROR(__xludf.DUMMYFUNCTION("""COMPUTED_VALUE"""),87.68)</f>
        <v>87.68</v>
      </c>
    </row>
    <row r="864">
      <c r="A864" s="2">
        <f>IFERROR(__xludf.DUMMYFUNCTION("""COMPUTED_VALUE"""),45352.66666666667)</f>
        <v>45352.66667</v>
      </c>
      <c r="B864" s="1">
        <f>IFERROR(__xludf.DUMMYFUNCTION("""COMPUTED_VALUE"""),88.1)</f>
        <v>88.1</v>
      </c>
    </row>
    <row r="865">
      <c r="A865" s="2">
        <f>IFERROR(__xludf.DUMMYFUNCTION("""COMPUTED_VALUE"""),45355.66666666667)</f>
        <v>45355.66667</v>
      </c>
      <c r="B865" s="1">
        <f>IFERROR(__xludf.DUMMYFUNCTION("""COMPUTED_VALUE"""),88.36)</f>
        <v>88.36</v>
      </c>
    </row>
    <row r="866">
      <c r="A866" s="2">
        <f>IFERROR(__xludf.DUMMYFUNCTION("""COMPUTED_VALUE"""),45356.66666666667)</f>
        <v>45356.66667</v>
      </c>
      <c r="B866" s="1">
        <f>IFERROR(__xludf.DUMMYFUNCTION("""COMPUTED_VALUE"""),88.24)</f>
        <v>88.24</v>
      </c>
    </row>
    <row r="867">
      <c r="A867" s="2">
        <f>IFERROR(__xludf.DUMMYFUNCTION("""COMPUTED_VALUE"""),45357.66666666667)</f>
        <v>45357.66667</v>
      </c>
      <c r="B867" s="1">
        <f>IFERROR(__xludf.DUMMYFUNCTION("""COMPUTED_VALUE"""),88.36)</f>
        <v>88.36</v>
      </c>
    </row>
    <row r="868">
      <c r="A868" s="2">
        <f>IFERROR(__xludf.DUMMYFUNCTION("""COMPUTED_VALUE"""),45358.66666666667)</f>
        <v>45358.66667</v>
      </c>
      <c r="B868" s="1">
        <f>IFERROR(__xludf.DUMMYFUNCTION("""COMPUTED_VALUE"""),88.13)</f>
        <v>88.13</v>
      </c>
    </row>
    <row r="869">
      <c r="A869" s="2">
        <f>IFERROR(__xludf.DUMMYFUNCTION("""COMPUTED_VALUE"""),45359.66666666667)</f>
        <v>45359.66667</v>
      </c>
      <c r="B869" s="1">
        <f>IFERROR(__xludf.DUMMYFUNCTION("""COMPUTED_VALUE"""),88.61)</f>
        <v>88.61</v>
      </c>
    </row>
    <row r="870">
      <c r="A870" s="2">
        <f>IFERROR(__xludf.DUMMYFUNCTION("""COMPUTED_VALUE"""),45362.66666666667)</f>
        <v>45362.66667</v>
      </c>
      <c r="B870" s="1">
        <f>IFERROR(__xludf.DUMMYFUNCTION("""COMPUTED_VALUE"""),87.9)</f>
        <v>87.9</v>
      </c>
    </row>
    <row r="871">
      <c r="A871" s="2">
        <f>IFERROR(__xludf.DUMMYFUNCTION("""COMPUTED_VALUE"""),45363.66666666667)</f>
        <v>45363.66667</v>
      </c>
      <c r="B871" s="1">
        <f>IFERROR(__xludf.DUMMYFUNCTION("""COMPUTED_VALUE"""),88.48)</f>
        <v>88.48</v>
      </c>
    </row>
    <row r="872">
      <c r="A872" s="2">
        <f>IFERROR(__xludf.DUMMYFUNCTION("""COMPUTED_VALUE"""),45364.66666666667)</f>
        <v>45364.66667</v>
      </c>
      <c r="B872" s="1">
        <f>IFERROR(__xludf.DUMMYFUNCTION("""COMPUTED_VALUE"""),88.79)</f>
        <v>88.79</v>
      </c>
    </row>
    <row r="873">
      <c r="A873" s="2">
        <f>IFERROR(__xludf.DUMMYFUNCTION("""COMPUTED_VALUE"""),45365.66666666667)</f>
        <v>45365.66667</v>
      </c>
      <c r="B873" s="1">
        <f>IFERROR(__xludf.DUMMYFUNCTION("""COMPUTED_VALUE"""),88.85)</f>
        <v>88.85</v>
      </c>
    </row>
    <row r="874">
      <c r="A874" s="2">
        <f>IFERROR(__xludf.DUMMYFUNCTION("""COMPUTED_VALUE"""),45366.66666666667)</f>
        <v>45366.66667</v>
      </c>
      <c r="B874" s="1">
        <f>IFERROR(__xludf.DUMMYFUNCTION("""COMPUTED_VALUE"""),88.83)</f>
        <v>88.83</v>
      </c>
    </row>
    <row r="875">
      <c r="A875" s="2">
        <f>IFERROR(__xludf.DUMMYFUNCTION("""COMPUTED_VALUE"""),45369.66666666667)</f>
        <v>45369.66667</v>
      </c>
      <c r="B875" s="1">
        <f>IFERROR(__xludf.DUMMYFUNCTION("""COMPUTED_VALUE"""),89.03)</f>
        <v>89.03</v>
      </c>
    </row>
    <row r="876">
      <c r="A876" s="2">
        <f>IFERROR(__xludf.DUMMYFUNCTION("""COMPUTED_VALUE"""),45370.66666666667)</f>
        <v>45370.66667</v>
      </c>
      <c r="B876" s="1">
        <f>IFERROR(__xludf.DUMMYFUNCTION("""COMPUTED_VALUE"""),89.11)</f>
        <v>89.11</v>
      </c>
    </row>
    <row r="877">
      <c r="A877" s="2">
        <f>IFERROR(__xludf.DUMMYFUNCTION("""COMPUTED_VALUE"""),45371.66666666667)</f>
        <v>45371.66667</v>
      </c>
      <c r="B877" s="1">
        <f>IFERROR(__xludf.DUMMYFUNCTION("""COMPUTED_VALUE"""),88.97)</f>
        <v>88.97</v>
      </c>
    </row>
    <row r="878">
      <c r="A878" s="2">
        <f>IFERROR(__xludf.DUMMYFUNCTION("""COMPUTED_VALUE"""),45372.66666666667)</f>
        <v>45372.66667</v>
      </c>
      <c r="B878" s="1">
        <f>IFERROR(__xludf.DUMMYFUNCTION("""COMPUTED_VALUE"""),89.3)</f>
        <v>89.3</v>
      </c>
    </row>
    <row r="879">
      <c r="A879" s="2">
        <f>IFERROR(__xludf.DUMMYFUNCTION("""COMPUTED_VALUE"""),45373.66666666667)</f>
        <v>45373.66667</v>
      </c>
      <c r="B879" s="1">
        <f>IFERROR(__xludf.DUMMYFUNCTION("""COMPUTED_VALUE"""),89.64)</f>
        <v>89.64</v>
      </c>
    </row>
    <row r="880">
      <c r="A880" s="2">
        <f>IFERROR(__xludf.DUMMYFUNCTION("""COMPUTED_VALUE"""),45376.66666666667)</f>
        <v>45376.66667</v>
      </c>
      <c r="B880" s="1">
        <f>IFERROR(__xludf.DUMMYFUNCTION("""COMPUTED_VALUE"""),89.65)</f>
        <v>89.65</v>
      </c>
    </row>
    <row r="881">
      <c r="A881" s="2">
        <f>IFERROR(__xludf.DUMMYFUNCTION("""COMPUTED_VALUE"""),45377.66666666667)</f>
        <v>45377.66667</v>
      </c>
      <c r="B881" s="1">
        <f>IFERROR(__xludf.DUMMYFUNCTION("""COMPUTED_VALUE"""),89.47)</f>
        <v>89.47</v>
      </c>
    </row>
    <row r="882">
      <c r="A882" s="2">
        <f>IFERROR(__xludf.DUMMYFUNCTION("""COMPUTED_VALUE"""),45378.66666666667)</f>
        <v>45378.66667</v>
      </c>
      <c r="B882" s="1">
        <f>IFERROR(__xludf.DUMMYFUNCTION("""COMPUTED_VALUE"""),90.36)</f>
        <v>90.36</v>
      </c>
    </row>
    <row r="883">
      <c r="A883" s="2">
        <f>IFERROR(__xludf.DUMMYFUNCTION("""COMPUTED_VALUE"""),45379.66666666667)</f>
        <v>45379.66667</v>
      </c>
      <c r="B883" s="1">
        <f>IFERROR(__xludf.DUMMYFUNCTION("""COMPUTED_VALUE"""),89.9)</f>
        <v>89.9</v>
      </c>
    </row>
    <row r="884">
      <c r="A884" s="2">
        <f>IFERROR(__xludf.DUMMYFUNCTION("""COMPUTED_VALUE"""),45384.66666666667)</f>
        <v>45384.66667</v>
      </c>
      <c r="B884" s="1">
        <f>IFERROR(__xludf.DUMMYFUNCTION("""COMPUTED_VALUE"""),90.16)</f>
        <v>90.16</v>
      </c>
    </row>
    <row r="885">
      <c r="A885" s="2">
        <f>IFERROR(__xludf.DUMMYFUNCTION("""COMPUTED_VALUE"""),45385.66666666667)</f>
        <v>45385.66667</v>
      </c>
      <c r="B885" s="1">
        <f>IFERROR(__xludf.DUMMYFUNCTION("""COMPUTED_VALUE"""),89.49)</f>
        <v>89.49</v>
      </c>
    </row>
    <row r="886">
      <c r="A886" s="2">
        <f>IFERROR(__xludf.DUMMYFUNCTION("""COMPUTED_VALUE"""),45386.66666666667)</f>
        <v>45386.66667</v>
      </c>
      <c r="B886" s="1">
        <f>IFERROR(__xludf.DUMMYFUNCTION("""COMPUTED_VALUE"""),89.32)</f>
        <v>89.32</v>
      </c>
    </row>
    <row r="887">
      <c r="A887" s="2">
        <f>IFERROR(__xludf.DUMMYFUNCTION("""COMPUTED_VALUE"""),45387.66666666667)</f>
        <v>45387.66667</v>
      </c>
      <c r="B887" s="1">
        <f>IFERROR(__xludf.DUMMYFUNCTION("""COMPUTED_VALUE"""),88.62)</f>
        <v>88.62</v>
      </c>
    </row>
    <row r="888">
      <c r="A888" s="2">
        <f>IFERROR(__xludf.DUMMYFUNCTION("""COMPUTED_VALUE"""),45390.66666666667)</f>
        <v>45390.66667</v>
      </c>
      <c r="B888" s="1">
        <f>IFERROR(__xludf.DUMMYFUNCTION("""COMPUTED_VALUE"""),88.83)</f>
        <v>88.83</v>
      </c>
    </row>
    <row r="889">
      <c r="A889" s="2">
        <f>IFERROR(__xludf.DUMMYFUNCTION("""COMPUTED_VALUE"""),45391.66666666667)</f>
        <v>45391.66667</v>
      </c>
      <c r="B889" s="1">
        <f>IFERROR(__xludf.DUMMYFUNCTION("""COMPUTED_VALUE"""),88.96)</f>
        <v>88.96</v>
      </c>
    </row>
    <row r="890">
      <c r="A890" s="2">
        <f>IFERROR(__xludf.DUMMYFUNCTION("""COMPUTED_VALUE"""),45392.66666666667)</f>
        <v>45392.66667</v>
      </c>
      <c r="B890" s="1">
        <f>IFERROR(__xludf.DUMMYFUNCTION("""COMPUTED_VALUE"""),88.88)</f>
        <v>88.88</v>
      </c>
    </row>
    <row r="891">
      <c r="A891" s="2">
        <f>IFERROR(__xludf.DUMMYFUNCTION("""COMPUTED_VALUE"""),45393.66666666667)</f>
        <v>45393.66667</v>
      </c>
      <c r="B891" s="1">
        <f>IFERROR(__xludf.DUMMYFUNCTION("""COMPUTED_VALUE"""),89.28)</f>
        <v>89.28</v>
      </c>
    </row>
    <row r="892">
      <c r="A892" s="2">
        <f>IFERROR(__xludf.DUMMYFUNCTION("""COMPUTED_VALUE"""),45394.66666666667)</f>
        <v>45394.66667</v>
      </c>
      <c r="B892" s="1">
        <f>IFERROR(__xludf.DUMMYFUNCTION("""COMPUTED_VALUE"""),89.01)</f>
        <v>89.01</v>
      </c>
    </row>
    <row r="893">
      <c r="A893" s="2">
        <f>IFERROR(__xludf.DUMMYFUNCTION("""COMPUTED_VALUE"""),45397.66666666667)</f>
        <v>45397.66667</v>
      </c>
      <c r="B893" s="1">
        <f>IFERROR(__xludf.DUMMYFUNCTION("""COMPUTED_VALUE"""),88.73)</f>
        <v>88.73</v>
      </c>
    </row>
    <row r="894">
      <c r="A894" s="2">
        <f>IFERROR(__xludf.DUMMYFUNCTION("""COMPUTED_VALUE"""),45398.66666666667)</f>
        <v>45398.66667</v>
      </c>
      <c r="B894" s="1">
        <f>IFERROR(__xludf.DUMMYFUNCTION("""COMPUTED_VALUE"""),88.15)</f>
        <v>88.15</v>
      </c>
    </row>
    <row r="895">
      <c r="A895" s="2">
        <f>IFERROR(__xludf.DUMMYFUNCTION("""COMPUTED_VALUE"""),45399.66666666667)</f>
        <v>45399.66667</v>
      </c>
      <c r="B895" s="1">
        <f>IFERROR(__xludf.DUMMYFUNCTION("""COMPUTED_VALUE"""),87.5)</f>
        <v>87.5</v>
      </c>
    </row>
    <row r="896">
      <c r="A896" s="2">
        <f>IFERROR(__xludf.DUMMYFUNCTION("""COMPUTED_VALUE"""),45400.66666666667)</f>
        <v>45400.66667</v>
      </c>
      <c r="B896" s="1">
        <f>IFERROR(__xludf.DUMMYFUNCTION("""COMPUTED_VALUE"""),88.08)</f>
        <v>88.08</v>
      </c>
    </row>
    <row r="897">
      <c r="A897" s="2">
        <f>IFERROR(__xludf.DUMMYFUNCTION("""COMPUTED_VALUE"""),45401.66666666667)</f>
        <v>45401.66667</v>
      </c>
      <c r="B897" s="1">
        <f>IFERROR(__xludf.DUMMYFUNCTION("""COMPUTED_VALUE"""),87.0)</f>
        <v>87</v>
      </c>
    </row>
    <row r="898">
      <c r="A898" s="2">
        <f>IFERROR(__xludf.DUMMYFUNCTION("""COMPUTED_VALUE"""),45404.66666666667)</f>
        <v>45404.66667</v>
      </c>
      <c r="B898" s="1">
        <f>IFERROR(__xludf.DUMMYFUNCTION("""COMPUTED_VALUE"""),87.88)</f>
        <v>87.88</v>
      </c>
    </row>
    <row r="899">
      <c r="A899" s="2">
        <f>IFERROR(__xludf.DUMMYFUNCTION("""COMPUTED_VALUE"""),45405.66666666667)</f>
        <v>45405.66667</v>
      </c>
      <c r="B899" s="1">
        <f>IFERROR(__xludf.DUMMYFUNCTION("""COMPUTED_VALUE"""),88.31)</f>
        <v>88.31</v>
      </c>
    </row>
    <row r="900">
      <c r="A900" s="2">
        <f>IFERROR(__xludf.DUMMYFUNCTION("""COMPUTED_VALUE"""),45406.66666666667)</f>
        <v>45406.66667</v>
      </c>
      <c r="B900" s="1">
        <f>IFERROR(__xludf.DUMMYFUNCTION("""COMPUTED_VALUE"""),88.84)</f>
        <v>88.84</v>
      </c>
    </row>
    <row r="901">
      <c r="A901" s="2">
        <f>IFERROR(__xludf.DUMMYFUNCTION("""COMPUTED_VALUE"""),45408.66666666667)</f>
        <v>45408.66667</v>
      </c>
      <c r="B901" s="1">
        <f>IFERROR(__xludf.DUMMYFUNCTION("""COMPUTED_VALUE"""),88.25)</f>
        <v>88.25</v>
      </c>
    </row>
    <row r="902">
      <c r="A902" s="2">
        <f>IFERROR(__xludf.DUMMYFUNCTION("""COMPUTED_VALUE"""),45411.66666666667)</f>
        <v>45411.66667</v>
      </c>
      <c r="B902" s="1">
        <f>IFERROR(__xludf.DUMMYFUNCTION("""COMPUTED_VALUE"""),88.58)</f>
        <v>88.58</v>
      </c>
    </row>
    <row r="903">
      <c r="A903" s="2">
        <f>IFERROR(__xludf.DUMMYFUNCTION("""COMPUTED_VALUE"""),45412.66666666667)</f>
        <v>45412.66667</v>
      </c>
      <c r="B903" s="1">
        <f>IFERROR(__xludf.DUMMYFUNCTION("""COMPUTED_VALUE"""),88.78)</f>
        <v>88.78</v>
      </c>
    </row>
    <row r="904">
      <c r="A904" s="2">
        <f>IFERROR(__xludf.DUMMYFUNCTION("""COMPUTED_VALUE"""),45413.66666666667)</f>
        <v>45413.66667</v>
      </c>
      <c r="B904" s="1">
        <f>IFERROR(__xludf.DUMMYFUNCTION("""COMPUTED_VALUE"""),88.36)</f>
        <v>88.36</v>
      </c>
    </row>
    <row r="905">
      <c r="A905" s="2">
        <f>IFERROR(__xludf.DUMMYFUNCTION("""COMPUTED_VALUE"""),45414.66666666667)</f>
        <v>45414.66667</v>
      </c>
      <c r="B905" s="1">
        <f>IFERROR(__xludf.DUMMYFUNCTION("""COMPUTED_VALUE"""),88.65)</f>
        <v>88.65</v>
      </c>
    </row>
    <row r="906">
      <c r="A906" s="2">
        <f>IFERROR(__xludf.DUMMYFUNCTION("""COMPUTED_VALUE"""),45415.66666666667)</f>
        <v>45415.66667</v>
      </c>
      <c r="B906" s="1">
        <f>IFERROR(__xludf.DUMMYFUNCTION("""COMPUTED_VALUE"""),88.61)</f>
        <v>88.61</v>
      </c>
    </row>
    <row r="907">
      <c r="A907" s="2">
        <f>IFERROR(__xludf.DUMMYFUNCTION("""COMPUTED_VALUE"""),45418.66666666667)</f>
        <v>45418.66667</v>
      </c>
      <c r="B907" s="1">
        <f>IFERROR(__xludf.DUMMYFUNCTION("""COMPUTED_VALUE"""),88.64)</f>
        <v>88.64</v>
      </c>
    </row>
    <row r="908">
      <c r="A908" s="2">
        <f>IFERROR(__xludf.DUMMYFUNCTION("""COMPUTED_VALUE"""),45419.66666666667)</f>
        <v>45419.66667</v>
      </c>
      <c r="B908" s="1">
        <f>IFERROR(__xludf.DUMMYFUNCTION("""COMPUTED_VALUE"""),89.18)</f>
        <v>89.18</v>
      </c>
    </row>
    <row r="909">
      <c r="A909" s="2">
        <f>IFERROR(__xludf.DUMMYFUNCTION("""COMPUTED_VALUE"""),45420.66666666667)</f>
        <v>45420.66667</v>
      </c>
      <c r="B909" s="1">
        <f>IFERROR(__xludf.DUMMYFUNCTION("""COMPUTED_VALUE"""),89.45)</f>
        <v>89.45</v>
      </c>
    </row>
    <row r="910">
      <c r="A910" s="2">
        <f>IFERROR(__xludf.DUMMYFUNCTION("""COMPUTED_VALUE"""),45421.66666666667)</f>
        <v>45421.66667</v>
      </c>
      <c r="B910" s="1">
        <f>IFERROR(__xludf.DUMMYFUNCTION("""COMPUTED_VALUE"""),89.45)</f>
        <v>89.45</v>
      </c>
    </row>
    <row r="911">
      <c r="A911" s="2">
        <f>IFERROR(__xludf.DUMMYFUNCTION("""COMPUTED_VALUE"""),45422.66666666667)</f>
        <v>45422.66667</v>
      </c>
      <c r="B911" s="1">
        <f>IFERROR(__xludf.DUMMYFUNCTION("""COMPUTED_VALUE"""),89.62)</f>
        <v>89.62</v>
      </c>
    </row>
    <row r="912">
      <c r="A912" s="2">
        <f>IFERROR(__xludf.DUMMYFUNCTION("""COMPUTED_VALUE"""),45425.66666666667)</f>
        <v>45425.66667</v>
      </c>
      <c r="B912" s="1">
        <f>IFERROR(__xludf.DUMMYFUNCTION("""COMPUTED_VALUE"""),90.05)</f>
        <v>90.05</v>
      </c>
    </row>
    <row r="913">
      <c r="A913" s="2">
        <f>IFERROR(__xludf.DUMMYFUNCTION("""COMPUTED_VALUE"""),45426.66666666667)</f>
        <v>45426.66667</v>
      </c>
      <c r="B913" s="1">
        <f>IFERROR(__xludf.DUMMYFUNCTION("""COMPUTED_VALUE"""),90.33)</f>
        <v>90.33</v>
      </c>
    </row>
    <row r="914">
      <c r="A914" s="2">
        <f>IFERROR(__xludf.DUMMYFUNCTION("""COMPUTED_VALUE"""),45427.66666666667)</f>
        <v>45427.66667</v>
      </c>
      <c r="B914" s="1">
        <f>IFERROR(__xludf.DUMMYFUNCTION("""COMPUTED_VALUE"""),90.01)</f>
        <v>90.01</v>
      </c>
    </row>
    <row r="915">
      <c r="A915" s="2">
        <f>IFERROR(__xludf.DUMMYFUNCTION("""COMPUTED_VALUE"""),45428.66666666667)</f>
        <v>45428.66667</v>
      </c>
      <c r="B915" s="1">
        <f>IFERROR(__xludf.DUMMYFUNCTION("""COMPUTED_VALUE"""),90.7)</f>
        <v>90.7</v>
      </c>
    </row>
    <row r="916">
      <c r="A916" s="2">
        <f>IFERROR(__xludf.DUMMYFUNCTION("""COMPUTED_VALUE"""),45429.66666666667)</f>
        <v>45429.66667</v>
      </c>
      <c r="B916" s="1">
        <f>IFERROR(__xludf.DUMMYFUNCTION("""COMPUTED_VALUE"""),90.25)</f>
        <v>90.25</v>
      </c>
    </row>
    <row r="917">
      <c r="A917" s="2">
        <f>IFERROR(__xludf.DUMMYFUNCTION("""COMPUTED_VALUE"""),45432.66666666667)</f>
        <v>45432.66667</v>
      </c>
      <c r="B917" s="1">
        <f>IFERROR(__xludf.DUMMYFUNCTION("""COMPUTED_VALUE"""),90.5)</f>
        <v>90.5</v>
      </c>
    </row>
    <row r="918">
      <c r="A918" s="2">
        <f>IFERROR(__xludf.DUMMYFUNCTION("""COMPUTED_VALUE"""),45433.66666666667)</f>
        <v>45433.66667</v>
      </c>
      <c r="B918" s="1">
        <f>IFERROR(__xludf.DUMMYFUNCTION("""COMPUTED_VALUE"""),90.54)</f>
        <v>90.54</v>
      </c>
    </row>
    <row r="919">
      <c r="A919" s="2">
        <f>IFERROR(__xludf.DUMMYFUNCTION("""COMPUTED_VALUE"""),45434.66666666667)</f>
        <v>45434.66667</v>
      </c>
      <c r="B919" s="1">
        <f>IFERROR(__xludf.DUMMYFUNCTION("""COMPUTED_VALUE"""),90.48)</f>
        <v>90.48</v>
      </c>
    </row>
    <row r="920">
      <c r="A920" s="2">
        <f>IFERROR(__xludf.DUMMYFUNCTION("""COMPUTED_VALUE"""),45435.66666666667)</f>
        <v>45435.66667</v>
      </c>
      <c r="B920" s="1">
        <f>IFERROR(__xludf.DUMMYFUNCTION("""COMPUTED_VALUE"""),90.76)</f>
        <v>90.76</v>
      </c>
    </row>
    <row r="921">
      <c r="A921" s="2">
        <f>IFERROR(__xludf.DUMMYFUNCTION("""COMPUTED_VALUE"""),45436.66666666667)</f>
        <v>45436.66667</v>
      </c>
      <c r="B921" s="1">
        <f>IFERROR(__xludf.DUMMYFUNCTION("""COMPUTED_VALUE"""),90.3)</f>
        <v>90.3</v>
      </c>
    </row>
    <row r="922">
      <c r="A922" s="2">
        <f>IFERROR(__xludf.DUMMYFUNCTION("""COMPUTED_VALUE"""),45439.66666666667)</f>
        <v>45439.66667</v>
      </c>
      <c r="B922" s="1">
        <f>IFERROR(__xludf.DUMMYFUNCTION("""COMPUTED_VALUE"""),90.46)</f>
        <v>90.46</v>
      </c>
    </row>
    <row r="923">
      <c r="A923" s="2">
        <f>IFERROR(__xludf.DUMMYFUNCTION("""COMPUTED_VALUE"""),45440.66666666667)</f>
        <v>45440.66667</v>
      </c>
      <c r="B923" s="1">
        <f>IFERROR(__xludf.DUMMYFUNCTION("""COMPUTED_VALUE"""),90.45)</f>
        <v>90.45</v>
      </c>
    </row>
    <row r="924">
      <c r="A924" s="2">
        <f>IFERROR(__xludf.DUMMYFUNCTION("""COMPUTED_VALUE"""),45441.66666666667)</f>
        <v>45441.66667</v>
      </c>
      <c r="B924" s="1">
        <f>IFERROR(__xludf.DUMMYFUNCTION("""COMPUTED_VALUE"""),89.65)</f>
        <v>89.65</v>
      </c>
    </row>
    <row r="925">
      <c r="A925" s="2">
        <f>IFERROR(__xludf.DUMMYFUNCTION("""COMPUTED_VALUE"""),45442.66666666667)</f>
        <v>45442.66667</v>
      </c>
      <c r="B925" s="1">
        <f>IFERROR(__xludf.DUMMYFUNCTION("""COMPUTED_VALUE"""),88.89)</f>
        <v>88.89</v>
      </c>
    </row>
    <row r="926">
      <c r="A926" s="2">
        <f>IFERROR(__xludf.DUMMYFUNCTION("""COMPUTED_VALUE"""),45443.66666666667)</f>
        <v>45443.66667</v>
      </c>
      <c r="B926" s="1">
        <f>IFERROR(__xludf.DUMMYFUNCTION("""COMPUTED_VALUE"""),89.4)</f>
        <v>89.4</v>
      </c>
    </row>
    <row r="927">
      <c r="A927" s="2">
        <f>IFERROR(__xludf.DUMMYFUNCTION("""COMPUTED_VALUE"""),45446.66666666667)</f>
        <v>45446.66667</v>
      </c>
      <c r="B927" s="1">
        <f>IFERROR(__xludf.DUMMYFUNCTION("""COMPUTED_VALUE"""),90.19)</f>
        <v>90.19</v>
      </c>
    </row>
    <row r="928">
      <c r="A928" s="2">
        <f>IFERROR(__xludf.DUMMYFUNCTION("""COMPUTED_VALUE"""),45447.66666666667)</f>
        <v>45447.66667</v>
      </c>
      <c r="B928" s="1">
        <f>IFERROR(__xludf.DUMMYFUNCTION("""COMPUTED_VALUE"""),89.55)</f>
        <v>89.55</v>
      </c>
    </row>
    <row r="929">
      <c r="A929" s="2">
        <f>IFERROR(__xludf.DUMMYFUNCTION("""COMPUTED_VALUE"""),45448.66666666667)</f>
        <v>45448.66667</v>
      </c>
      <c r="B929" s="1">
        <f>IFERROR(__xludf.DUMMYFUNCTION("""COMPUTED_VALUE"""),89.63)</f>
        <v>89.63</v>
      </c>
    </row>
    <row r="930">
      <c r="A930" s="2">
        <f>IFERROR(__xludf.DUMMYFUNCTION("""COMPUTED_VALUE"""),45449.66666666667)</f>
        <v>45449.66667</v>
      </c>
      <c r="B930" s="1">
        <f>IFERROR(__xludf.DUMMYFUNCTION("""COMPUTED_VALUE"""),90.22)</f>
        <v>90.22</v>
      </c>
    </row>
    <row r="931">
      <c r="A931" s="2">
        <f>IFERROR(__xludf.DUMMYFUNCTION("""COMPUTED_VALUE"""),45450.66666666667)</f>
        <v>45450.66667</v>
      </c>
      <c r="B931" s="1">
        <f>IFERROR(__xludf.DUMMYFUNCTION("""COMPUTED_VALUE"""),90.33)</f>
        <v>90.33</v>
      </c>
    </row>
    <row r="932">
      <c r="A932" s="2">
        <f>IFERROR(__xludf.DUMMYFUNCTION("""COMPUTED_VALUE"""),45454.66666666667)</f>
        <v>45454.66667</v>
      </c>
      <c r="B932" s="1">
        <f>IFERROR(__xludf.DUMMYFUNCTION("""COMPUTED_VALUE"""),90.16)</f>
        <v>90.16</v>
      </c>
    </row>
    <row r="933">
      <c r="A933" s="2">
        <f>IFERROR(__xludf.DUMMYFUNCTION("""COMPUTED_VALUE"""),45455.66666666667)</f>
        <v>45455.66667</v>
      </c>
      <c r="B933" s="1">
        <f>IFERROR(__xludf.DUMMYFUNCTION("""COMPUTED_VALUE"""),89.61)</f>
        <v>89.61</v>
      </c>
    </row>
    <row r="934">
      <c r="A934" s="2">
        <f>IFERROR(__xludf.DUMMYFUNCTION("""COMPUTED_VALUE"""),45456.66666666667)</f>
        <v>45456.66667</v>
      </c>
      <c r="B934" s="1">
        <f>IFERROR(__xludf.DUMMYFUNCTION("""COMPUTED_VALUE"""),89.77)</f>
        <v>89.77</v>
      </c>
    </row>
    <row r="935">
      <c r="A935" s="2">
        <f>IFERROR(__xludf.DUMMYFUNCTION("""COMPUTED_VALUE"""),45457.66666666667)</f>
        <v>45457.66667</v>
      </c>
      <c r="B935" s="1">
        <f>IFERROR(__xludf.DUMMYFUNCTION("""COMPUTED_VALUE"""),89.53)</f>
        <v>89.53</v>
      </c>
    </row>
    <row r="936">
      <c r="A936" s="2">
        <f>IFERROR(__xludf.DUMMYFUNCTION("""COMPUTED_VALUE"""),45460.66666666667)</f>
        <v>45460.66667</v>
      </c>
      <c r="B936" s="1">
        <f>IFERROR(__xludf.DUMMYFUNCTION("""COMPUTED_VALUE"""),89.1)</f>
        <v>89.1</v>
      </c>
    </row>
    <row r="937">
      <c r="A937" s="2">
        <f>IFERROR(__xludf.DUMMYFUNCTION("""COMPUTED_VALUE"""),45461.66666666667)</f>
        <v>45461.66667</v>
      </c>
      <c r="B937" s="1">
        <f>IFERROR(__xludf.DUMMYFUNCTION("""COMPUTED_VALUE"""),89.0)</f>
        <v>89</v>
      </c>
    </row>
    <row r="938">
      <c r="A938" s="2">
        <f>IFERROR(__xludf.DUMMYFUNCTION("""COMPUTED_VALUE"""),45462.66666666667)</f>
        <v>45462.66667</v>
      </c>
      <c r="B938" s="1">
        <f>IFERROR(__xludf.DUMMYFUNCTION("""COMPUTED_VALUE"""),89.13)</f>
        <v>89.13</v>
      </c>
    </row>
    <row r="939">
      <c r="A939" s="2">
        <f>IFERROR(__xludf.DUMMYFUNCTION("""COMPUTED_VALUE"""),45463.66666666667)</f>
        <v>45463.66667</v>
      </c>
      <c r="B939" s="1">
        <f>IFERROR(__xludf.DUMMYFUNCTION("""COMPUTED_VALUE"""),89.01)</f>
        <v>89.01</v>
      </c>
    </row>
    <row r="940">
      <c r="A940" s="2">
        <f>IFERROR(__xludf.DUMMYFUNCTION("""COMPUTED_VALUE"""),45464.66666666667)</f>
        <v>45464.66667</v>
      </c>
      <c r="B940" s="1">
        <f>IFERROR(__xludf.DUMMYFUNCTION("""COMPUTED_VALUE"""),88.51)</f>
        <v>88.51</v>
      </c>
    </row>
    <row r="941">
      <c r="A941" s="2">
        <f>IFERROR(__xludf.DUMMYFUNCTION("""COMPUTED_VALUE"""),45467.66666666667)</f>
        <v>45467.66667</v>
      </c>
      <c r="B941" s="1">
        <f>IFERROR(__xludf.DUMMYFUNCTION("""COMPUTED_VALUE"""),88.12)</f>
        <v>88.12</v>
      </c>
    </row>
    <row r="942">
      <c r="A942" s="2">
        <f>IFERROR(__xludf.DUMMYFUNCTION("""COMPUTED_VALUE"""),45468.66666666667)</f>
        <v>45468.66667</v>
      </c>
      <c r="B942" s="1">
        <f>IFERROR(__xludf.DUMMYFUNCTION("""COMPUTED_VALUE"""),88.87)</f>
        <v>88.87</v>
      </c>
    </row>
    <row r="943">
      <c r="A943" s="2">
        <f>IFERROR(__xludf.DUMMYFUNCTION("""COMPUTED_VALUE"""),45469.66666666667)</f>
        <v>45469.66667</v>
      </c>
      <c r="B943" s="1">
        <f>IFERROR(__xludf.DUMMYFUNCTION("""COMPUTED_VALUE"""),88.45)</f>
        <v>88.45</v>
      </c>
    </row>
    <row r="944">
      <c r="A944" s="2">
        <f>IFERROR(__xludf.DUMMYFUNCTION("""COMPUTED_VALUE"""),45470.66666666667)</f>
        <v>45470.66667</v>
      </c>
      <c r="B944" s="1">
        <f>IFERROR(__xludf.DUMMYFUNCTION("""COMPUTED_VALUE"""),87.91)</f>
        <v>87.91</v>
      </c>
    </row>
    <row r="945">
      <c r="A945" s="2">
        <f>IFERROR(__xludf.DUMMYFUNCTION("""COMPUTED_VALUE"""),45471.66666666667)</f>
        <v>45471.66667</v>
      </c>
      <c r="B945" s="1">
        <f>IFERROR(__xludf.DUMMYFUNCTION("""COMPUTED_VALUE"""),88.66)</f>
        <v>88.66</v>
      </c>
    </row>
    <row r="946">
      <c r="A946" s="2">
        <f>IFERROR(__xludf.DUMMYFUNCTION("""COMPUTED_VALUE"""),45474.66666666667)</f>
        <v>45474.66667</v>
      </c>
      <c r="B946" s="1">
        <f>IFERROR(__xludf.DUMMYFUNCTION("""COMPUTED_VALUE"""),88.81)</f>
        <v>88.81</v>
      </c>
    </row>
    <row r="947">
      <c r="A947" s="2">
        <f>IFERROR(__xludf.DUMMYFUNCTION("""COMPUTED_VALUE"""),45475.66666666667)</f>
        <v>45475.66667</v>
      </c>
      <c r="B947" s="1">
        <f>IFERROR(__xludf.DUMMYFUNCTION("""COMPUTED_VALUE"""),88.53)</f>
        <v>88.53</v>
      </c>
    </row>
    <row r="948">
      <c r="A948" s="2">
        <f>IFERROR(__xludf.DUMMYFUNCTION("""COMPUTED_VALUE"""),45476.66666666667)</f>
        <v>45476.66667</v>
      </c>
      <c r="B948" s="1">
        <f>IFERROR(__xludf.DUMMYFUNCTION("""COMPUTED_VALUE"""),88.45)</f>
        <v>88.45</v>
      </c>
    </row>
    <row r="949">
      <c r="A949" s="2">
        <f>IFERROR(__xludf.DUMMYFUNCTION("""COMPUTED_VALUE"""),45477.66666666667)</f>
        <v>45477.66667</v>
      </c>
      <c r="B949" s="1">
        <f>IFERROR(__xludf.DUMMYFUNCTION("""COMPUTED_VALUE"""),89.0)</f>
        <v>89</v>
      </c>
    </row>
    <row r="950">
      <c r="A950" s="2">
        <f>IFERROR(__xludf.DUMMYFUNCTION("""COMPUTED_VALUE"""),45478.66666666667)</f>
        <v>45478.66667</v>
      </c>
      <c r="B950" s="1">
        <f>IFERROR(__xludf.DUMMYFUNCTION("""COMPUTED_VALUE"""),89.18)</f>
        <v>89.18</v>
      </c>
    </row>
    <row r="951">
      <c r="A951" s="2">
        <f>IFERROR(__xludf.DUMMYFUNCTION("""COMPUTED_VALUE"""),45481.66666666667)</f>
        <v>45481.66667</v>
      </c>
      <c r="B951" s="1">
        <f>IFERROR(__xludf.DUMMYFUNCTION("""COMPUTED_VALUE"""),88.55)</f>
        <v>88.55</v>
      </c>
    </row>
    <row r="952">
      <c r="A952" s="2">
        <f>IFERROR(__xludf.DUMMYFUNCTION("""COMPUTED_VALUE"""),45482.66666666667)</f>
        <v>45482.66667</v>
      </c>
      <c r="B952" s="1">
        <f>IFERROR(__xludf.DUMMYFUNCTION("""COMPUTED_VALUE"""),89.11)</f>
        <v>89.11</v>
      </c>
    </row>
    <row r="953">
      <c r="A953" s="2">
        <f>IFERROR(__xludf.DUMMYFUNCTION("""COMPUTED_VALUE"""),45483.66666666667)</f>
        <v>45483.66667</v>
      </c>
      <c r="B953" s="1">
        <f>IFERROR(__xludf.DUMMYFUNCTION("""COMPUTED_VALUE"""),88.65)</f>
        <v>88.65</v>
      </c>
    </row>
    <row r="954">
      <c r="A954" s="2">
        <f>IFERROR(__xludf.DUMMYFUNCTION("""COMPUTED_VALUE"""),45484.66666666667)</f>
        <v>45484.66667</v>
      </c>
      <c r="B954" s="1">
        <f>IFERROR(__xludf.DUMMYFUNCTION("""COMPUTED_VALUE"""),89.5)</f>
        <v>89.5</v>
      </c>
    </row>
    <row r="955">
      <c r="A955" s="2">
        <f>IFERROR(__xludf.DUMMYFUNCTION("""COMPUTED_VALUE"""),45485.66666666667)</f>
        <v>45485.66667</v>
      </c>
      <c r="B955" s="1">
        <f>IFERROR(__xludf.DUMMYFUNCTION("""COMPUTED_VALUE"""),89.71)</f>
        <v>89.71</v>
      </c>
    </row>
    <row r="956">
      <c r="A956" s="2">
        <f>IFERROR(__xludf.DUMMYFUNCTION("""COMPUTED_VALUE"""),45488.66666666667)</f>
        <v>45488.66667</v>
      </c>
      <c r="B956" s="1">
        <f>IFERROR(__xludf.DUMMYFUNCTION("""COMPUTED_VALUE"""),90.17)</f>
        <v>90.17</v>
      </c>
    </row>
    <row r="957">
      <c r="A957" s="2">
        <f>IFERROR(__xludf.DUMMYFUNCTION("""COMPUTED_VALUE"""),45489.66666666667)</f>
        <v>45489.66667</v>
      </c>
      <c r="B957" s="1">
        <f>IFERROR(__xludf.DUMMYFUNCTION("""COMPUTED_VALUE"""),90.18)</f>
        <v>90.18</v>
      </c>
    </row>
    <row r="958">
      <c r="A958" s="2">
        <f>IFERROR(__xludf.DUMMYFUNCTION("""COMPUTED_VALUE"""),45490.66666666667)</f>
        <v>45490.66667</v>
      </c>
      <c r="B958" s="1">
        <f>IFERROR(__xludf.DUMMYFUNCTION("""COMPUTED_VALUE"""),90.53)</f>
        <v>90.53</v>
      </c>
    </row>
    <row r="959">
      <c r="A959" s="2">
        <f>IFERROR(__xludf.DUMMYFUNCTION("""COMPUTED_VALUE"""),45491.66666666667)</f>
        <v>45491.66667</v>
      </c>
      <c r="B959" s="1">
        <f>IFERROR(__xludf.DUMMYFUNCTION("""COMPUTED_VALUE"""),90.09)</f>
        <v>90.09</v>
      </c>
    </row>
    <row r="960">
      <c r="A960" s="2">
        <f>IFERROR(__xludf.DUMMYFUNCTION("""COMPUTED_VALUE"""),45492.66666666667)</f>
        <v>45492.66667</v>
      </c>
      <c r="B960" s="1">
        <f>IFERROR(__xludf.DUMMYFUNCTION("""COMPUTED_VALUE"""),89.47)</f>
        <v>89.47</v>
      </c>
    </row>
    <row r="961">
      <c r="A961" s="2">
        <f>IFERROR(__xludf.DUMMYFUNCTION("""COMPUTED_VALUE"""),45495.66666666667)</f>
        <v>45495.66667</v>
      </c>
      <c r="B961" s="1">
        <f>IFERROR(__xludf.DUMMYFUNCTION("""COMPUTED_VALUE"""),89.55)</f>
        <v>89.55</v>
      </c>
    </row>
    <row r="962">
      <c r="A962" s="2">
        <f>IFERROR(__xludf.DUMMYFUNCTION("""COMPUTED_VALUE"""),45496.66666666667)</f>
        <v>45496.66667</v>
      </c>
      <c r="B962" s="1">
        <f>IFERROR(__xludf.DUMMYFUNCTION("""COMPUTED_VALUE"""),90.55)</f>
        <v>90.55</v>
      </c>
    </row>
    <row r="963">
      <c r="A963" s="2">
        <f>IFERROR(__xludf.DUMMYFUNCTION("""COMPUTED_VALUE"""),45497.66666666667)</f>
        <v>45497.66667</v>
      </c>
      <c r="B963" s="1">
        <f>IFERROR(__xludf.DUMMYFUNCTION("""COMPUTED_VALUE"""),90.47)</f>
        <v>90.47</v>
      </c>
    </row>
    <row r="964">
      <c r="A964" s="2">
        <f>IFERROR(__xludf.DUMMYFUNCTION("""COMPUTED_VALUE"""),45498.66666666667)</f>
        <v>45498.66667</v>
      </c>
      <c r="B964" s="1">
        <f>IFERROR(__xludf.DUMMYFUNCTION("""COMPUTED_VALUE"""),89.87)</f>
        <v>89.87</v>
      </c>
    </row>
    <row r="965">
      <c r="A965" s="2">
        <f>IFERROR(__xludf.DUMMYFUNCTION("""COMPUTED_VALUE"""),45499.66666666667)</f>
        <v>45499.66667</v>
      </c>
      <c r="B965" s="1">
        <f>IFERROR(__xludf.DUMMYFUNCTION("""COMPUTED_VALUE"""),89.97)</f>
        <v>89.97</v>
      </c>
    </row>
    <row r="966">
      <c r="A966" s="2">
        <f>IFERROR(__xludf.DUMMYFUNCTION("""COMPUTED_VALUE"""),45502.66666666667)</f>
        <v>45502.66667</v>
      </c>
      <c r="B966" s="1">
        <f>IFERROR(__xludf.DUMMYFUNCTION("""COMPUTED_VALUE"""),91.03)</f>
        <v>91.03</v>
      </c>
    </row>
    <row r="967">
      <c r="A967" s="2">
        <f>IFERROR(__xludf.DUMMYFUNCTION("""COMPUTED_VALUE"""),45503.66666666667)</f>
        <v>45503.66667</v>
      </c>
      <c r="B967" s="1">
        <f>IFERROR(__xludf.DUMMYFUNCTION("""COMPUTED_VALUE"""),90.33)</f>
        <v>90.33</v>
      </c>
    </row>
    <row r="968">
      <c r="A968" s="2">
        <f>IFERROR(__xludf.DUMMYFUNCTION("""COMPUTED_VALUE"""),45504.66666666667)</f>
        <v>45504.66667</v>
      </c>
      <c r="B968" s="1">
        <f>IFERROR(__xludf.DUMMYFUNCTION("""COMPUTED_VALUE"""),92.13)</f>
        <v>92.13</v>
      </c>
    </row>
    <row r="969">
      <c r="A969" s="2">
        <f>IFERROR(__xludf.DUMMYFUNCTION("""COMPUTED_VALUE"""),45505.66666666667)</f>
        <v>45505.66667</v>
      </c>
      <c r="B969" s="1">
        <f>IFERROR(__xludf.DUMMYFUNCTION("""COMPUTED_VALUE"""),91.85)</f>
        <v>91.85</v>
      </c>
    </row>
    <row r="970">
      <c r="A970" s="2">
        <f>IFERROR(__xludf.DUMMYFUNCTION("""COMPUTED_VALUE"""),45506.66666666667)</f>
        <v>45506.66667</v>
      </c>
      <c r="B970" s="1">
        <f>IFERROR(__xludf.DUMMYFUNCTION("""COMPUTED_VALUE"""),89.33)</f>
        <v>89.33</v>
      </c>
    </row>
    <row r="971">
      <c r="A971" s="2">
        <f>IFERROR(__xludf.DUMMYFUNCTION("""COMPUTED_VALUE"""),45509.66666666667)</f>
        <v>45509.66667</v>
      </c>
      <c r="B971" s="1">
        <f>IFERROR(__xludf.DUMMYFUNCTION("""COMPUTED_VALUE"""),86.38)</f>
        <v>86.38</v>
      </c>
    </row>
    <row r="972">
      <c r="A972" s="2">
        <f>IFERROR(__xludf.DUMMYFUNCTION("""COMPUTED_VALUE"""),45510.66666666667)</f>
        <v>45510.66667</v>
      </c>
      <c r="B972" s="1">
        <f>IFERROR(__xludf.DUMMYFUNCTION("""COMPUTED_VALUE"""),87.26)</f>
        <v>87.26</v>
      </c>
    </row>
    <row r="973">
      <c r="A973" s="2">
        <f>IFERROR(__xludf.DUMMYFUNCTION("""COMPUTED_VALUE"""),45511.66666666667)</f>
        <v>45511.66667</v>
      </c>
      <c r="B973" s="1">
        <f>IFERROR(__xludf.DUMMYFUNCTION("""COMPUTED_VALUE"""),87.78)</f>
        <v>87.78</v>
      </c>
    </row>
    <row r="974">
      <c r="A974" s="2">
        <f>IFERROR(__xludf.DUMMYFUNCTION("""COMPUTED_VALUE"""),45512.66666666667)</f>
        <v>45512.66667</v>
      </c>
      <c r="B974" s="1">
        <f>IFERROR(__xludf.DUMMYFUNCTION("""COMPUTED_VALUE"""),87.74)</f>
        <v>87.74</v>
      </c>
    </row>
    <row r="975">
      <c r="A975" s="2">
        <f>IFERROR(__xludf.DUMMYFUNCTION("""COMPUTED_VALUE"""),45513.66666666667)</f>
        <v>45513.66667</v>
      </c>
      <c r="B975" s="1">
        <f>IFERROR(__xludf.DUMMYFUNCTION("""COMPUTED_VALUE"""),88.16)</f>
        <v>88.16</v>
      </c>
    </row>
    <row r="976">
      <c r="A976" s="2">
        <f>IFERROR(__xludf.DUMMYFUNCTION("""COMPUTED_VALUE"""),45516.66666666667)</f>
        <v>45516.66667</v>
      </c>
      <c r="B976" s="1">
        <f>IFERROR(__xludf.DUMMYFUNCTION("""COMPUTED_VALUE"""),88.67)</f>
        <v>88.67</v>
      </c>
    </row>
    <row r="977">
      <c r="A977" s="2">
        <f>IFERROR(__xludf.DUMMYFUNCTION("""COMPUTED_VALUE"""),45517.66666666667)</f>
        <v>45517.66667</v>
      </c>
      <c r="B977" s="1">
        <f>IFERROR(__xludf.DUMMYFUNCTION("""COMPUTED_VALUE"""),88.73)</f>
        <v>88.73</v>
      </c>
    </row>
    <row r="978">
      <c r="A978" s="2">
        <f>IFERROR(__xludf.DUMMYFUNCTION("""COMPUTED_VALUE"""),45518.66666666667)</f>
        <v>45518.66667</v>
      </c>
      <c r="B978" s="1">
        <f>IFERROR(__xludf.DUMMYFUNCTION("""COMPUTED_VALUE"""),89.19)</f>
        <v>89.19</v>
      </c>
    </row>
    <row r="979">
      <c r="A979" s="2">
        <f>IFERROR(__xludf.DUMMYFUNCTION("""COMPUTED_VALUE"""),45519.66666666667)</f>
        <v>45519.66667</v>
      </c>
      <c r="B979" s="1">
        <f>IFERROR(__xludf.DUMMYFUNCTION("""COMPUTED_VALUE"""),89.8)</f>
        <v>89.8</v>
      </c>
    </row>
    <row r="980">
      <c r="A980" s="2">
        <f>IFERROR(__xludf.DUMMYFUNCTION("""COMPUTED_VALUE"""),45520.66666666667)</f>
        <v>45520.66667</v>
      </c>
      <c r="B980" s="1">
        <f>IFERROR(__xludf.DUMMYFUNCTION("""COMPUTED_VALUE"""),90.86)</f>
        <v>90.86</v>
      </c>
    </row>
    <row r="981">
      <c r="A981" s="2">
        <f>IFERROR(__xludf.DUMMYFUNCTION("""COMPUTED_VALUE"""),45523.66666666667)</f>
        <v>45523.66667</v>
      </c>
      <c r="B981" s="1">
        <f>IFERROR(__xludf.DUMMYFUNCTION("""COMPUTED_VALUE"""),90.54)</f>
        <v>90.54</v>
      </c>
    </row>
    <row r="982">
      <c r="A982" s="2">
        <f>IFERROR(__xludf.DUMMYFUNCTION("""COMPUTED_VALUE"""),45524.66666666667)</f>
        <v>45524.66667</v>
      </c>
      <c r="B982" s="1">
        <f>IFERROR(__xludf.DUMMYFUNCTION("""COMPUTED_VALUE"""),90.71)</f>
        <v>90.71</v>
      </c>
    </row>
    <row r="983">
      <c r="A983" s="2">
        <f>IFERROR(__xludf.DUMMYFUNCTION("""COMPUTED_VALUE"""),45525.66666666667)</f>
        <v>45525.66667</v>
      </c>
      <c r="B983" s="1">
        <f>IFERROR(__xludf.DUMMYFUNCTION("""COMPUTED_VALUE"""),90.41)</f>
        <v>90.41</v>
      </c>
    </row>
    <row r="984">
      <c r="A984" s="2">
        <f>IFERROR(__xludf.DUMMYFUNCTION("""COMPUTED_VALUE"""),45526.66666666667)</f>
        <v>45526.66667</v>
      </c>
      <c r="B984" s="1">
        <f>IFERROR(__xludf.DUMMYFUNCTION("""COMPUTED_VALUE"""),90.64)</f>
        <v>90.64</v>
      </c>
    </row>
    <row r="985">
      <c r="A985" s="2">
        <f>IFERROR(__xludf.DUMMYFUNCTION("""COMPUTED_VALUE"""),45527.66666666667)</f>
        <v>45527.66667</v>
      </c>
      <c r="B985" s="1">
        <f>IFERROR(__xludf.DUMMYFUNCTION("""COMPUTED_VALUE"""),91.0)</f>
        <v>91</v>
      </c>
    </row>
    <row r="986">
      <c r="A986" s="2">
        <f>IFERROR(__xludf.DUMMYFUNCTION("""COMPUTED_VALUE"""),45530.66666666667)</f>
        <v>45530.66667</v>
      </c>
      <c r="B986" s="1">
        <f>IFERROR(__xludf.DUMMYFUNCTION("""COMPUTED_VALUE"""),91.1)</f>
        <v>91.1</v>
      </c>
    </row>
    <row r="987">
      <c r="A987" s="2">
        <f>IFERROR(__xludf.DUMMYFUNCTION("""COMPUTED_VALUE"""),45531.66666666667)</f>
        <v>45531.66667</v>
      </c>
      <c r="B987" s="1">
        <f>IFERROR(__xludf.DUMMYFUNCTION("""COMPUTED_VALUE"""),90.88)</f>
        <v>90.88</v>
      </c>
    </row>
    <row r="988">
      <c r="A988" s="2">
        <f>IFERROR(__xludf.DUMMYFUNCTION("""COMPUTED_VALUE"""),45532.66666666667)</f>
        <v>45532.66667</v>
      </c>
      <c r="B988" s="1">
        <f>IFERROR(__xludf.DUMMYFUNCTION("""COMPUTED_VALUE"""),91.0)</f>
        <v>91</v>
      </c>
    </row>
    <row r="989">
      <c r="A989" s="2">
        <f>IFERROR(__xludf.DUMMYFUNCTION("""COMPUTED_VALUE"""),45533.66666666667)</f>
        <v>45533.66667</v>
      </c>
      <c r="B989" s="1">
        <f>IFERROR(__xludf.DUMMYFUNCTION("""COMPUTED_VALUE"""),90.31)</f>
        <v>90.31</v>
      </c>
    </row>
    <row r="990">
      <c r="A990" s="2">
        <f>IFERROR(__xludf.DUMMYFUNCTION("""COMPUTED_VALUE"""),45534.66666666667)</f>
        <v>45534.66667</v>
      </c>
      <c r="B990" s="1">
        <f>IFERROR(__xludf.DUMMYFUNCTION("""COMPUTED_VALUE"""),90.95)</f>
        <v>90.95</v>
      </c>
    </row>
    <row r="991">
      <c r="A991" s="2">
        <f>IFERROR(__xludf.DUMMYFUNCTION("""COMPUTED_VALUE"""),45537.66666666667)</f>
        <v>45537.66667</v>
      </c>
      <c r="B991" s="1">
        <f>IFERROR(__xludf.DUMMYFUNCTION("""COMPUTED_VALUE"""),91.13)</f>
        <v>91.13</v>
      </c>
    </row>
    <row r="992">
      <c r="A992" s="2">
        <f>IFERROR(__xludf.DUMMYFUNCTION("""COMPUTED_VALUE"""),45538.66666666667)</f>
        <v>45538.66667</v>
      </c>
      <c r="B992" s="1">
        <f>IFERROR(__xludf.DUMMYFUNCTION("""COMPUTED_VALUE"""),91.48)</f>
        <v>91.48</v>
      </c>
    </row>
    <row r="993">
      <c r="A993" s="2">
        <f>IFERROR(__xludf.DUMMYFUNCTION("""COMPUTED_VALUE"""),45539.66666666667)</f>
        <v>45539.66667</v>
      </c>
      <c r="B993" s="1">
        <f>IFERROR(__xludf.DUMMYFUNCTION("""COMPUTED_VALUE"""),90.16)</f>
        <v>90.16</v>
      </c>
    </row>
    <row r="994">
      <c r="A994" s="2">
        <f>IFERROR(__xludf.DUMMYFUNCTION("""COMPUTED_VALUE"""),45540.66666666667)</f>
        <v>45540.66667</v>
      </c>
      <c r="B994" s="1">
        <f>IFERROR(__xludf.DUMMYFUNCTION("""COMPUTED_VALUE"""),89.98)</f>
        <v>89.98</v>
      </c>
    </row>
    <row r="995">
      <c r="A995" s="2">
        <f>IFERROR(__xludf.DUMMYFUNCTION("""COMPUTED_VALUE"""),45541.66666666667)</f>
        <v>45541.66667</v>
      </c>
      <c r="B995" s="1">
        <f>IFERROR(__xludf.DUMMYFUNCTION("""COMPUTED_VALUE"""),90.14)</f>
        <v>90.14</v>
      </c>
    </row>
    <row r="996">
      <c r="A996" s="2">
        <f>IFERROR(__xludf.DUMMYFUNCTION("""COMPUTED_VALUE"""),45544.66666666667)</f>
        <v>45544.66667</v>
      </c>
      <c r="B996" s="1">
        <f>IFERROR(__xludf.DUMMYFUNCTION("""COMPUTED_VALUE"""),89.82)</f>
        <v>89.82</v>
      </c>
    </row>
    <row r="997">
      <c r="A997" s="2">
        <f>IFERROR(__xludf.DUMMYFUNCTION("""COMPUTED_VALUE"""),45545.66666666667)</f>
        <v>45545.66667</v>
      </c>
      <c r="B997" s="1">
        <f>IFERROR(__xludf.DUMMYFUNCTION("""COMPUTED_VALUE"""),89.82)</f>
        <v>89.82</v>
      </c>
    </row>
    <row r="998">
      <c r="A998" s="2">
        <f>IFERROR(__xludf.DUMMYFUNCTION("""COMPUTED_VALUE"""),45546.66666666667)</f>
        <v>45546.66667</v>
      </c>
      <c r="B998" s="1">
        <f>IFERROR(__xludf.DUMMYFUNCTION("""COMPUTED_VALUE"""),89.85)</f>
        <v>89.85</v>
      </c>
    </row>
    <row r="999">
      <c r="A999" s="2">
        <f>IFERROR(__xludf.DUMMYFUNCTION("""COMPUTED_VALUE"""),45547.66666666667)</f>
        <v>45547.66667</v>
      </c>
      <c r="B999" s="1">
        <f>IFERROR(__xludf.DUMMYFUNCTION("""COMPUTED_VALUE"""),90.35)</f>
        <v>90.35</v>
      </c>
    </row>
    <row r="1000">
      <c r="A1000" s="2">
        <f>IFERROR(__xludf.DUMMYFUNCTION("""COMPUTED_VALUE"""),45548.66666666667)</f>
        <v>45548.66667</v>
      </c>
      <c r="B1000" s="1">
        <f>IFERROR(__xludf.DUMMYFUNCTION("""COMPUTED_VALUE"""),90.39)</f>
        <v>90.39</v>
      </c>
    </row>
    <row r="1001">
      <c r="A1001" s="2">
        <f>IFERROR(__xludf.DUMMYFUNCTION("""COMPUTED_VALUE"""),45551.66666666667)</f>
        <v>45551.66667</v>
      </c>
      <c r="B1001" s="1">
        <f>IFERROR(__xludf.DUMMYFUNCTION("""COMPUTED_VALUE"""),90.84)</f>
        <v>90.84</v>
      </c>
    </row>
    <row r="1002">
      <c r="A1002" s="2">
        <f>IFERROR(__xludf.DUMMYFUNCTION("""COMPUTED_VALUE"""),45552.66666666667)</f>
        <v>45552.66667</v>
      </c>
      <c r="B1002" s="1">
        <f>IFERROR(__xludf.DUMMYFUNCTION("""COMPUTED_VALUE"""),90.74)</f>
        <v>90.74</v>
      </c>
    </row>
    <row r="1003">
      <c r="A1003" s="2">
        <f>IFERROR(__xludf.DUMMYFUNCTION("""COMPUTED_VALUE"""),45553.66666666667)</f>
        <v>45553.66667</v>
      </c>
      <c r="B1003" s="1">
        <f>IFERROR(__xludf.DUMMYFUNCTION("""COMPUTED_VALUE"""),90.63)</f>
        <v>90.63</v>
      </c>
    </row>
    <row r="1004">
      <c r="A1004" s="2">
        <f>IFERROR(__xludf.DUMMYFUNCTION("""COMPUTED_VALUE"""),45554.66666666667)</f>
        <v>45554.66667</v>
      </c>
      <c r="B1004" s="1">
        <f>IFERROR(__xludf.DUMMYFUNCTION("""COMPUTED_VALUE"""),90.59)</f>
        <v>90.59</v>
      </c>
    </row>
    <row r="1005">
      <c r="A1005" s="2">
        <f>IFERROR(__xludf.DUMMYFUNCTION("""COMPUTED_VALUE"""),45555.66666666667)</f>
        <v>45555.66667</v>
      </c>
      <c r="B1005" s="1">
        <f>IFERROR(__xludf.DUMMYFUNCTION("""COMPUTED_VALUE"""),90.76)</f>
        <v>90.76</v>
      </c>
    </row>
    <row r="1006">
      <c r="A1006" s="2">
        <f>IFERROR(__xludf.DUMMYFUNCTION("""COMPUTED_VALUE"""),45558.66666666667)</f>
        <v>45558.66667</v>
      </c>
      <c r="B1006" s="1">
        <f>IFERROR(__xludf.DUMMYFUNCTION("""COMPUTED_VALUE"""),90.28)</f>
        <v>90.28</v>
      </c>
    </row>
    <row r="1007">
      <c r="A1007" s="2">
        <f>IFERROR(__xludf.DUMMYFUNCTION("""COMPUTED_VALUE"""),45559.66666666667)</f>
        <v>45559.66667</v>
      </c>
      <c r="B1007" s="1">
        <f>IFERROR(__xludf.DUMMYFUNCTION("""COMPUTED_VALUE"""),90.54)</f>
        <v>90.54</v>
      </c>
    </row>
    <row r="1008">
      <c r="A1008" s="2">
        <f>IFERROR(__xludf.DUMMYFUNCTION("""COMPUTED_VALUE"""),45560.66666666667)</f>
        <v>45560.66667</v>
      </c>
      <c r="B1008" s="1">
        <f>IFERROR(__xludf.DUMMYFUNCTION("""COMPUTED_VALUE"""),90.62)</f>
        <v>90.62</v>
      </c>
    </row>
    <row r="1009">
      <c r="A1009" s="2">
        <f>IFERROR(__xludf.DUMMYFUNCTION("""COMPUTED_VALUE"""),45561.66666666667)</f>
        <v>45561.66667</v>
      </c>
      <c r="B1009" s="1">
        <f>IFERROR(__xludf.DUMMYFUNCTION("""COMPUTED_VALUE"""),91.69)</f>
        <v>91.69</v>
      </c>
    </row>
    <row r="1010">
      <c r="A1010" s="2">
        <f>IFERROR(__xludf.DUMMYFUNCTION("""COMPUTED_VALUE"""),45562.66666666667)</f>
        <v>45562.66667</v>
      </c>
      <c r="B1010" s="1">
        <f>IFERROR(__xludf.DUMMYFUNCTION("""COMPUTED_VALUE"""),92.52)</f>
        <v>92.52</v>
      </c>
    </row>
    <row r="1011">
      <c r="A1011" s="2">
        <f>IFERROR(__xludf.DUMMYFUNCTION("""COMPUTED_VALUE"""),45565.66666666667)</f>
        <v>45565.66667</v>
      </c>
      <c r="B1011" s="1">
        <f>IFERROR(__xludf.DUMMYFUNCTION("""COMPUTED_VALUE"""),92.11)</f>
        <v>92.11</v>
      </c>
    </row>
    <row r="1012">
      <c r="A1012" s="2">
        <f>IFERROR(__xludf.DUMMYFUNCTION("""COMPUTED_VALUE"""),45566.66666666667)</f>
        <v>45566.66667</v>
      </c>
      <c r="B1012" s="1">
        <f>IFERROR(__xludf.DUMMYFUNCTION("""COMPUTED_VALUE"""),91.39)</f>
        <v>91.39</v>
      </c>
    </row>
    <row r="1013">
      <c r="A1013" s="2">
        <f>IFERROR(__xludf.DUMMYFUNCTION("""COMPUTED_VALUE"""),45567.66666666667)</f>
        <v>45567.66667</v>
      </c>
      <c r="B1013" s="1">
        <f>IFERROR(__xludf.DUMMYFUNCTION("""COMPUTED_VALUE"""),91.76)</f>
        <v>91.76</v>
      </c>
    </row>
    <row r="1014">
      <c r="A1014" s="2">
        <f>IFERROR(__xludf.DUMMYFUNCTION("""COMPUTED_VALUE"""),45568.66666666667)</f>
        <v>45568.66667</v>
      </c>
      <c r="B1014" s="1">
        <f>IFERROR(__xludf.DUMMYFUNCTION("""COMPUTED_VALUE"""),91.52)</f>
        <v>91.52</v>
      </c>
    </row>
    <row r="1015">
      <c r="A1015" s="2">
        <f>IFERROR(__xludf.DUMMYFUNCTION("""COMPUTED_VALUE"""),45569.66666666667)</f>
        <v>45569.66667</v>
      </c>
      <c r="B1015" s="1">
        <f>IFERROR(__xludf.DUMMYFUNCTION("""COMPUTED_VALUE"""),91.87)</f>
        <v>91.87</v>
      </c>
    </row>
    <row r="1016">
      <c r="A1016" s="2">
        <f>IFERROR(__xludf.DUMMYFUNCTION("""COMPUTED_VALUE"""),45572.66666666667)</f>
        <v>45572.66667</v>
      </c>
      <c r="B1016" s="1">
        <f>IFERROR(__xludf.DUMMYFUNCTION("""COMPUTED_VALUE"""),92.78)</f>
        <v>92.78</v>
      </c>
    </row>
    <row r="1017">
      <c r="A1017" s="2">
        <f>IFERROR(__xludf.DUMMYFUNCTION("""COMPUTED_VALUE"""),45573.66666666667)</f>
        <v>45573.66667</v>
      </c>
      <c r="B1017" s="1">
        <f>IFERROR(__xludf.DUMMYFUNCTION("""COMPUTED_VALUE"""),92.56)</f>
        <v>92.56</v>
      </c>
    </row>
    <row r="1018">
      <c r="A1018" s="2">
        <f>IFERROR(__xludf.DUMMYFUNCTION("""COMPUTED_VALUE"""),45574.66666666667)</f>
        <v>45574.66667</v>
      </c>
      <c r="B1018" s="1">
        <f>IFERROR(__xludf.DUMMYFUNCTION("""COMPUTED_VALUE"""),92.13)</f>
        <v>92.13</v>
      </c>
    </row>
    <row r="1019">
      <c r="A1019" s="2">
        <f>IFERROR(__xludf.DUMMYFUNCTION("""COMPUTED_VALUE"""),45575.66666666667)</f>
        <v>45575.66667</v>
      </c>
      <c r="B1019" s="1">
        <f>IFERROR(__xludf.DUMMYFUNCTION("""COMPUTED_VALUE"""),92.48)</f>
        <v>92.48</v>
      </c>
    </row>
    <row r="1020">
      <c r="A1020" s="2">
        <f>IFERROR(__xludf.DUMMYFUNCTION("""COMPUTED_VALUE"""),45576.66666666667)</f>
        <v>45576.66667</v>
      </c>
      <c r="B1020" s="1">
        <f>IFERROR(__xludf.DUMMYFUNCTION("""COMPUTED_VALUE"""),92.14)</f>
        <v>92.14</v>
      </c>
    </row>
    <row r="1021">
      <c r="A1021" s="2">
        <f>IFERROR(__xludf.DUMMYFUNCTION("""COMPUTED_VALUE"""),45579.66666666667)</f>
        <v>45579.66667</v>
      </c>
      <c r="B1021" s="1">
        <f>IFERROR(__xludf.DUMMYFUNCTION("""COMPUTED_VALUE"""),92.65)</f>
        <v>92.65</v>
      </c>
    </row>
    <row r="1022">
      <c r="A1022" s="2">
        <f>IFERROR(__xludf.DUMMYFUNCTION("""COMPUTED_VALUE"""),45580.66666666667)</f>
        <v>45580.66667</v>
      </c>
      <c r="B1022" s="1">
        <f>IFERROR(__xludf.DUMMYFUNCTION("""COMPUTED_VALUE"""),92.96)</f>
        <v>92.96</v>
      </c>
    </row>
    <row r="1023">
      <c r="A1023" s="2">
        <f>IFERROR(__xludf.DUMMYFUNCTION("""COMPUTED_VALUE"""),45581.66666666667)</f>
        <v>45581.66667</v>
      </c>
      <c r="B1023" s="1">
        <f>IFERROR(__xludf.DUMMYFUNCTION("""COMPUTED_VALUE"""),92.26)</f>
        <v>92.26</v>
      </c>
    </row>
    <row r="1024">
      <c r="A1024" s="2">
        <f>IFERROR(__xludf.DUMMYFUNCTION("""COMPUTED_VALUE"""),45582.66666666667)</f>
        <v>45582.66667</v>
      </c>
      <c r="B1024" s="1">
        <f>IFERROR(__xludf.DUMMYFUNCTION("""COMPUTED_VALUE"""),92.13)</f>
        <v>92.13</v>
      </c>
    </row>
    <row r="1025">
      <c r="A1025" s="2">
        <f>IFERROR(__xludf.DUMMYFUNCTION("""COMPUTED_VALUE"""),45583.66666666667)</f>
        <v>45583.66667</v>
      </c>
      <c r="B1025" s="1">
        <f>IFERROR(__xludf.DUMMYFUNCTION("""COMPUTED_VALUE"""),92.21)</f>
        <v>92.21</v>
      </c>
    </row>
    <row r="1026">
      <c r="A1026" s="2">
        <f>IFERROR(__xludf.DUMMYFUNCTION("""COMPUTED_VALUE"""),45586.66666666667)</f>
        <v>45586.66667</v>
      </c>
      <c r="B1026" s="1">
        <f>IFERROR(__xludf.DUMMYFUNCTION("""COMPUTED_VALUE"""),92.64)</f>
        <v>92.64</v>
      </c>
    </row>
    <row r="1027">
      <c r="A1027" s="2">
        <f>IFERROR(__xludf.DUMMYFUNCTION("""COMPUTED_VALUE"""),45587.66666666667)</f>
        <v>45587.66667</v>
      </c>
      <c r="B1027" s="1">
        <f>IFERROR(__xludf.DUMMYFUNCTION("""COMPUTED_VALUE"""),91.9)</f>
        <v>91.9</v>
      </c>
    </row>
    <row r="1028">
      <c r="A1028" s="2">
        <f>IFERROR(__xludf.DUMMYFUNCTION("""COMPUTED_VALUE"""),45588.66666666667)</f>
        <v>45588.66667</v>
      </c>
      <c r="B1028" s="1">
        <f>IFERROR(__xludf.DUMMYFUNCTION("""COMPUTED_VALUE"""),91.88)</f>
        <v>91.88</v>
      </c>
    </row>
    <row r="1029">
      <c r="A1029" s="2">
        <f>IFERROR(__xludf.DUMMYFUNCTION("""COMPUTED_VALUE"""),45589.66666666667)</f>
        <v>45589.66667</v>
      </c>
      <c r="B1029" s="1">
        <f>IFERROR(__xludf.DUMMYFUNCTION("""COMPUTED_VALUE"""),91.7)</f>
        <v>91.7</v>
      </c>
    </row>
    <row r="1030">
      <c r="A1030" s="2">
        <f>IFERROR(__xludf.DUMMYFUNCTION("""COMPUTED_VALUE"""),45590.66666666667)</f>
        <v>45590.66667</v>
      </c>
      <c r="B1030" s="1">
        <f>IFERROR(__xludf.DUMMYFUNCTION("""COMPUTED_VALUE"""),91.9)</f>
        <v>91.9</v>
      </c>
    </row>
    <row r="1031">
      <c r="A1031" s="2">
        <f>IFERROR(__xludf.DUMMYFUNCTION("""COMPUTED_VALUE"""),45593.66666666667)</f>
        <v>45593.66667</v>
      </c>
      <c r="B1031" s="1">
        <f>IFERROR(__xludf.DUMMYFUNCTION("""COMPUTED_VALUE"""),92.5)</f>
        <v>92.5</v>
      </c>
    </row>
    <row r="1032">
      <c r="A1032" s="2">
        <f>IFERROR(__xludf.DUMMYFUNCTION("""COMPUTED_VALUE"""),45594.66666666667)</f>
        <v>45594.66667</v>
      </c>
      <c r="B1032" s="1">
        <f>IFERROR(__xludf.DUMMYFUNCTION("""COMPUTED_VALUE"""),93.02)</f>
        <v>93.02</v>
      </c>
    </row>
    <row r="1033">
      <c r="A1033" s="2">
        <f>IFERROR(__xludf.DUMMYFUNCTION("""COMPUTED_VALUE"""),45596.66666666667)</f>
        <v>45596.66667</v>
      </c>
      <c r="B1033" s="1">
        <f>IFERROR(__xludf.DUMMYFUNCTION("""COMPUTED_VALUE"""),91.9)</f>
        <v>91.9</v>
      </c>
    </row>
    <row r="1034">
      <c r="A1034" s="2">
        <f>IFERROR(__xludf.DUMMYFUNCTION("""COMPUTED_VALUE"""),45597.66666666667)</f>
        <v>45597.66667</v>
      </c>
      <c r="B1034" s="1">
        <f>IFERROR(__xludf.DUMMYFUNCTION("""COMPUTED_VALUE"""),91.56)</f>
        <v>91.56</v>
      </c>
    </row>
    <row r="1035">
      <c r="A1035" s="2">
        <f>IFERROR(__xludf.DUMMYFUNCTION("""COMPUTED_VALUE"""),45600.66666666667)</f>
        <v>45600.66667</v>
      </c>
      <c r="B1035" s="1">
        <f>IFERROR(__xludf.DUMMYFUNCTION("""COMPUTED_VALUE"""),91.98)</f>
        <v>91.98</v>
      </c>
    </row>
    <row r="1036">
      <c r="A1036" s="2">
        <f>IFERROR(__xludf.DUMMYFUNCTION("""COMPUTED_VALUE"""),45601.66666666667)</f>
        <v>45601.66667</v>
      </c>
      <c r="B1036" s="1">
        <f>IFERROR(__xludf.DUMMYFUNCTION("""COMPUTED_VALUE"""),92.05)</f>
        <v>92.05</v>
      </c>
    </row>
    <row r="1037">
      <c r="A1037" s="2">
        <f>IFERROR(__xludf.DUMMYFUNCTION("""COMPUTED_VALUE"""),45602.66666666667)</f>
        <v>45602.66667</v>
      </c>
      <c r="B1037" s="1">
        <f>IFERROR(__xludf.DUMMYFUNCTION("""COMPUTED_VALUE"""),92.37)</f>
        <v>92.37</v>
      </c>
    </row>
    <row r="1038">
      <c r="A1038" s="2">
        <f>IFERROR(__xludf.DUMMYFUNCTION("""COMPUTED_VALUE"""),45603.66666666667)</f>
        <v>45603.66667</v>
      </c>
      <c r="B1038" s="1">
        <f>IFERROR(__xludf.DUMMYFUNCTION("""COMPUTED_VALUE"""),91.4)</f>
        <v>91.4</v>
      </c>
    </row>
    <row r="1039">
      <c r="A1039" s="2">
        <f>IFERROR(__xludf.DUMMYFUNCTION("""COMPUTED_VALUE"""),45604.66666666667)</f>
        <v>45604.66667</v>
      </c>
      <c r="B1039" s="1">
        <f>IFERROR(__xludf.DUMMYFUNCTION("""COMPUTED_VALUE"""),91.9)</f>
        <v>91.9</v>
      </c>
    </row>
    <row r="1040">
      <c r="A1040" s="2">
        <f>IFERROR(__xludf.DUMMYFUNCTION("""COMPUTED_VALUE"""),45607.66666666667)</f>
        <v>45607.66667</v>
      </c>
      <c r="B1040" s="1">
        <f>IFERROR(__xludf.DUMMYFUNCTION("""COMPUTED_VALUE"""),91.52)</f>
        <v>91.52</v>
      </c>
    </row>
    <row r="1041">
      <c r="A1041" s="2">
        <f>IFERROR(__xludf.DUMMYFUNCTION("""COMPUTED_VALUE"""),45608.66666666667)</f>
        <v>45608.66667</v>
      </c>
      <c r="B1041" s="1">
        <f>IFERROR(__xludf.DUMMYFUNCTION("""COMPUTED_VALUE"""),91.59)</f>
        <v>91.59</v>
      </c>
    </row>
    <row r="1042">
      <c r="A1042" s="2">
        <f>IFERROR(__xludf.DUMMYFUNCTION("""COMPUTED_VALUE"""),45609.66666666667)</f>
        <v>45609.66667</v>
      </c>
      <c r="B1042" s="1">
        <f>IFERROR(__xludf.DUMMYFUNCTION("""COMPUTED_VALUE"""),90.58)</f>
        <v>90.58</v>
      </c>
    </row>
    <row r="1043">
      <c r="A1043" s="2">
        <f>IFERROR(__xludf.DUMMYFUNCTION("""COMPUTED_VALUE"""),45610.66666666667)</f>
        <v>45610.66667</v>
      </c>
      <c r="B1043" s="1">
        <f>IFERROR(__xludf.DUMMYFUNCTION("""COMPUTED_VALUE"""),91.1)</f>
        <v>91.1</v>
      </c>
    </row>
    <row r="1044">
      <c r="A1044" s="2">
        <f>IFERROR(__xludf.DUMMYFUNCTION("""COMPUTED_VALUE"""),45611.66666666667)</f>
        <v>45611.66667</v>
      </c>
      <c r="B1044" s="1">
        <f>IFERROR(__xludf.DUMMYFUNCTION("""COMPUTED_VALUE"""),91.24)</f>
        <v>91.24</v>
      </c>
    </row>
    <row r="1045">
      <c r="A1045" s="2">
        <f>IFERROR(__xludf.DUMMYFUNCTION("""COMPUTED_VALUE"""),45614.66666666667)</f>
        <v>45614.66667</v>
      </c>
      <c r="B1045" s="1">
        <f>IFERROR(__xludf.DUMMYFUNCTION("""COMPUTED_VALUE"""),91.36)</f>
        <v>91.36</v>
      </c>
    </row>
    <row r="1046">
      <c r="A1046" s="2">
        <f>IFERROR(__xludf.DUMMYFUNCTION("""COMPUTED_VALUE"""),45615.66666666667)</f>
        <v>45615.66667</v>
      </c>
      <c r="B1046" s="1">
        <f>IFERROR(__xludf.DUMMYFUNCTION("""COMPUTED_VALUE"""),91.41)</f>
        <v>91.41</v>
      </c>
    </row>
    <row r="1047">
      <c r="A1047" s="2">
        <f>IFERROR(__xludf.DUMMYFUNCTION("""COMPUTED_VALUE"""),45616.66666666667)</f>
        <v>45616.66667</v>
      </c>
      <c r="B1047" s="1">
        <f>IFERROR(__xludf.DUMMYFUNCTION("""COMPUTED_VALUE"""),90.83)</f>
        <v>90.83</v>
      </c>
    </row>
    <row r="1048">
      <c r="A1048" s="2">
        <f>IFERROR(__xludf.DUMMYFUNCTION("""COMPUTED_VALUE"""),45617.66666666667)</f>
        <v>45617.66667</v>
      </c>
      <c r="B1048" s="1">
        <f>IFERROR(__xludf.DUMMYFUNCTION("""COMPUTED_VALUE"""),90.43)</f>
        <v>90.43</v>
      </c>
    </row>
    <row r="1049">
      <c r="A1049" s="2">
        <f>IFERROR(__xludf.DUMMYFUNCTION("""COMPUTED_VALUE"""),45618.66666666667)</f>
        <v>45618.66667</v>
      </c>
      <c r="B1049" s="1">
        <f>IFERROR(__xludf.DUMMYFUNCTION("""COMPUTED_VALUE"""),90.91)</f>
        <v>90.91</v>
      </c>
    </row>
    <row r="1050">
      <c r="A1050" s="2">
        <f>IFERROR(__xludf.DUMMYFUNCTION("""COMPUTED_VALUE"""),45621.66666666667)</f>
        <v>45621.66667</v>
      </c>
      <c r="B1050" s="1">
        <f>IFERROR(__xludf.DUMMYFUNCTION("""COMPUTED_VALUE"""),91.47)</f>
        <v>91.47</v>
      </c>
    </row>
    <row r="1051">
      <c r="A1051" s="2">
        <f>IFERROR(__xludf.DUMMYFUNCTION("""COMPUTED_VALUE"""),45622.66666666667)</f>
        <v>45622.66667</v>
      </c>
      <c r="B1051" s="1">
        <f>IFERROR(__xludf.DUMMYFUNCTION("""COMPUTED_VALUE"""),90.88)</f>
        <v>90.88</v>
      </c>
    </row>
    <row r="1052">
      <c r="A1052" s="2">
        <f>IFERROR(__xludf.DUMMYFUNCTION("""COMPUTED_VALUE"""),45623.66666666667)</f>
        <v>45623.66667</v>
      </c>
      <c r="B1052" s="1">
        <f>IFERROR(__xludf.DUMMYFUNCTION("""COMPUTED_VALUE"""),91.2)</f>
        <v>91.2</v>
      </c>
    </row>
    <row r="1053">
      <c r="A1053" s="2">
        <f>IFERROR(__xludf.DUMMYFUNCTION("""COMPUTED_VALUE"""),45624.66666666667)</f>
        <v>45624.66667</v>
      </c>
      <c r="B1053" s="1">
        <f>IFERROR(__xludf.DUMMYFUNCTION("""COMPUTED_VALUE"""),91.7)</f>
        <v>91.7</v>
      </c>
    </row>
    <row r="1054">
      <c r="A1054" s="2">
        <f>IFERROR(__xludf.DUMMYFUNCTION("""COMPUTED_VALUE"""),45625.66666666667)</f>
        <v>45625.66667</v>
      </c>
      <c r="B1054" s="1">
        <f>IFERROR(__xludf.DUMMYFUNCTION("""COMPUTED_VALUE"""),91.65)</f>
        <v>91.65</v>
      </c>
    </row>
    <row r="1055">
      <c r="A1055" s="2">
        <f>IFERROR(__xludf.DUMMYFUNCTION("""COMPUTED_VALUE"""),45628.66666666667)</f>
        <v>45628.66667</v>
      </c>
      <c r="B1055" s="1">
        <f>IFERROR(__xludf.DUMMYFUNCTION("""COMPUTED_VALUE"""),92.04)</f>
        <v>92.04</v>
      </c>
    </row>
    <row r="1056">
      <c r="A1056" s="2">
        <f>IFERROR(__xludf.DUMMYFUNCTION("""COMPUTED_VALUE"""),45629.66666666667)</f>
        <v>45629.66667</v>
      </c>
      <c r="B1056" s="1">
        <f>IFERROR(__xludf.DUMMYFUNCTION("""COMPUTED_VALUE"""),93.22)</f>
        <v>93.22</v>
      </c>
    </row>
    <row r="1057">
      <c r="A1057" s="2">
        <f>IFERROR(__xludf.DUMMYFUNCTION("""COMPUTED_VALUE"""),45630.66666666667)</f>
        <v>45630.66667</v>
      </c>
      <c r="B1057" s="1">
        <f>IFERROR(__xludf.DUMMYFUNCTION("""COMPUTED_VALUE"""),93.73)</f>
        <v>93.73</v>
      </c>
    </row>
    <row r="1058">
      <c r="A1058" s="2">
        <f>IFERROR(__xludf.DUMMYFUNCTION("""COMPUTED_VALUE"""),45631.66666666667)</f>
        <v>45631.66667</v>
      </c>
      <c r="B1058" s="1">
        <f>IFERROR(__xludf.DUMMYFUNCTION("""COMPUTED_VALUE"""),93.81)</f>
        <v>93.81</v>
      </c>
    </row>
    <row r="1059">
      <c r="A1059" s="2">
        <f>IFERROR(__xludf.DUMMYFUNCTION("""COMPUTED_VALUE"""),45632.66666666667)</f>
        <v>45632.66667</v>
      </c>
      <c r="B1059" s="1">
        <f>IFERROR(__xludf.DUMMYFUNCTION("""COMPUTED_VALUE"""),94.38)</f>
        <v>94.38</v>
      </c>
    </row>
    <row r="1060">
      <c r="A1060" s="2">
        <f>IFERROR(__xludf.DUMMYFUNCTION("""COMPUTED_VALUE"""),45635.66666666667)</f>
        <v>45635.66667</v>
      </c>
      <c r="B1060" s="1">
        <f>IFERROR(__xludf.DUMMYFUNCTION("""COMPUTED_VALUE"""),94.9)</f>
        <v>94.9</v>
      </c>
    </row>
    <row r="1061">
      <c r="A1061" s="2">
        <f>IFERROR(__xludf.DUMMYFUNCTION("""COMPUTED_VALUE"""),45636.66666666667)</f>
        <v>45636.66667</v>
      </c>
      <c r="B1061" s="1">
        <f>IFERROR(__xludf.DUMMYFUNCTION("""COMPUTED_VALUE"""),95.2)</f>
        <v>95.2</v>
      </c>
    </row>
    <row r="1062">
      <c r="A1062" s="2">
        <f>IFERROR(__xludf.DUMMYFUNCTION("""COMPUTED_VALUE"""),45637.66666666667)</f>
        <v>45637.66667</v>
      </c>
      <c r="B1062" s="1">
        <f>IFERROR(__xludf.DUMMYFUNCTION("""COMPUTED_VALUE"""),94.86)</f>
        <v>94.86</v>
      </c>
    </row>
    <row r="1063">
      <c r="A1063" s="2">
        <f>IFERROR(__xludf.DUMMYFUNCTION("""COMPUTED_VALUE"""),45638.66666666667)</f>
        <v>45638.66667</v>
      </c>
      <c r="B1063" s="1">
        <f>IFERROR(__xludf.DUMMYFUNCTION("""COMPUTED_VALUE"""),94.67)</f>
        <v>94.67</v>
      </c>
    </row>
    <row r="1064">
      <c r="A1064" s="2">
        <f>IFERROR(__xludf.DUMMYFUNCTION("""COMPUTED_VALUE"""),45639.66666666667)</f>
        <v>45639.66667</v>
      </c>
      <c r="B1064" s="1">
        <f>IFERROR(__xludf.DUMMYFUNCTION("""COMPUTED_VALUE"""),94.46)</f>
        <v>94.46</v>
      </c>
    </row>
    <row r="1065">
      <c r="A1065" s="2">
        <f>IFERROR(__xludf.DUMMYFUNCTION("""COMPUTED_VALUE"""),45642.66666666667)</f>
        <v>45642.66667</v>
      </c>
      <c r="B1065" s="1">
        <f>IFERROR(__xludf.DUMMYFUNCTION("""COMPUTED_VALUE"""),94.17)</f>
        <v>94.17</v>
      </c>
    </row>
    <row r="1066">
      <c r="A1066" s="2">
        <f>IFERROR(__xludf.DUMMYFUNCTION("""COMPUTED_VALUE"""),45643.66666666667)</f>
        <v>45643.66667</v>
      </c>
      <c r="B1066" s="1">
        <f>IFERROR(__xludf.DUMMYFUNCTION("""COMPUTED_VALUE"""),93.81)</f>
        <v>93.81</v>
      </c>
    </row>
    <row r="1067">
      <c r="A1067" s="2">
        <f>IFERROR(__xludf.DUMMYFUNCTION("""COMPUTED_VALUE"""),45644.66666666667)</f>
        <v>45644.66667</v>
      </c>
      <c r="B1067" s="1">
        <f>IFERROR(__xludf.DUMMYFUNCTION("""COMPUTED_VALUE"""),94.57)</f>
        <v>94.57</v>
      </c>
    </row>
    <row r="1068">
      <c r="A1068" s="2">
        <f>IFERROR(__xludf.DUMMYFUNCTION("""COMPUTED_VALUE"""),45645.66666666667)</f>
        <v>45645.66667</v>
      </c>
      <c r="B1068" s="1">
        <f>IFERROR(__xludf.DUMMYFUNCTION("""COMPUTED_VALUE"""),93.84)</f>
        <v>93.84</v>
      </c>
    </row>
    <row r="1069">
      <c r="A1069" s="2">
        <f>IFERROR(__xludf.DUMMYFUNCTION("""COMPUTED_VALUE"""),45646.66666666667)</f>
        <v>45646.66667</v>
      </c>
      <c r="B1069" s="1">
        <f>IFERROR(__xludf.DUMMYFUNCTION("""COMPUTED_VALUE"""),91.95)</f>
        <v>91.95</v>
      </c>
    </row>
    <row r="1070">
      <c r="A1070" s="2">
        <f>IFERROR(__xludf.DUMMYFUNCTION("""COMPUTED_VALUE"""),45649.66666666667)</f>
        <v>45649.66667</v>
      </c>
      <c r="B1070" s="1">
        <f>IFERROR(__xludf.DUMMYFUNCTION("""COMPUTED_VALUE"""),91.8)</f>
        <v>91.8</v>
      </c>
    </row>
    <row r="1071">
      <c r="A1071" s="2">
        <f>IFERROR(__xludf.DUMMYFUNCTION("""COMPUTED_VALUE"""),45650.59027777778)</f>
        <v>45650.59028</v>
      </c>
      <c r="B1071" s="1">
        <f>IFERROR(__xludf.DUMMYFUNCTION("""COMPUTED_VALUE"""),92.26)</f>
        <v>92.26</v>
      </c>
    </row>
    <row r="1072">
      <c r="A1072" s="2">
        <f>IFERROR(__xludf.DUMMYFUNCTION("""COMPUTED_VALUE"""),45653.66666666667)</f>
        <v>45653.66667</v>
      </c>
      <c r="B1072" s="1">
        <f>IFERROR(__xludf.DUMMYFUNCTION("""COMPUTED_VALUE"""),93.24)</f>
        <v>93.24</v>
      </c>
    </row>
    <row r="1073">
      <c r="A1073" s="2">
        <f>IFERROR(__xludf.DUMMYFUNCTION("""COMPUTED_VALUE"""),45656.66666666667)</f>
        <v>45656.66667</v>
      </c>
      <c r="B1073" s="1">
        <f>IFERROR(__xludf.DUMMYFUNCTION("""COMPUTED_VALUE"""),93.1)</f>
        <v>93.1</v>
      </c>
    </row>
    <row r="1074">
      <c r="A1074" s="2">
        <f>IFERROR(__xludf.DUMMYFUNCTION("""COMPUTED_VALUE"""),45657.59027777778)</f>
        <v>45657.59028</v>
      </c>
      <c r="B1074" s="1">
        <f>IFERROR(__xludf.DUMMYFUNCTION("""COMPUTED_VALUE"""),92.49)</f>
        <v>92.49</v>
      </c>
    </row>
    <row r="1075">
      <c r="A1075" s="2">
        <f>IFERROR(__xludf.DUMMYFUNCTION("""COMPUTED_VALUE"""),45659.66666666667)</f>
        <v>45659.66667</v>
      </c>
      <c r="B1075" s="1">
        <f>IFERROR(__xludf.DUMMYFUNCTION("""COMPUTED_VALUE"""),92.77)</f>
        <v>92.77</v>
      </c>
    </row>
    <row r="1076">
      <c r="A1076" s="2">
        <f>IFERROR(__xludf.DUMMYFUNCTION("""COMPUTED_VALUE"""),45660.66666666667)</f>
        <v>45660.66667</v>
      </c>
      <c r="B1076" s="1">
        <f>IFERROR(__xludf.DUMMYFUNCTION("""COMPUTED_VALUE"""),92.56)</f>
        <v>92.56</v>
      </c>
    </row>
    <row r="1077">
      <c r="A1077" s="2">
        <f>IFERROR(__xludf.DUMMYFUNCTION("""COMPUTED_VALUE"""),45663.66666666667)</f>
        <v>45663.66667</v>
      </c>
      <c r="B1077" s="1">
        <f>IFERROR(__xludf.DUMMYFUNCTION("""COMPUTED_VALUE"""),92.51)</f>
        <v>92.51</v>
      </c>
    </row>
    <row r="1078">
      <c r="A1078" s="2">
        <f>IFERROR(__xludf.DUMMYFUNCTION("""COMPUTED_VALUE"""),45664.66666666667)</f>
        <v>45664.66667</v>
      </c>
      <c r="B1078" s="1">
        <f>IFERROR(__xludf.DUMMYFUNCTION("""COMPUTED_VALUE"""),92.63)</f>
        <v>92.63</v>
      </c>
    </row>
    <row r="1079">
      <c r="A1079" s="2">
        <f>IFERROR(__xludf.DUMMYFUNCTION("""COMPUTED_VALUE"""),45665.66666666667)</f>
        <v>45665.66667</v>
      </c>
      <c r="B1079" s="1">
        <f>IFERROR(__xludf.DUMMYFUNCTION("""COMPUTED_VALUE"""),92.8)</f>
        <v>92.8</v>
      </c>
    </row>
    <row r="1080">
      <c r="A1080" s="2">
        <f>IFERROR(__xludf.DUMMYFUNCTION("""COMPUTED_VALUE"""),45666.66666666667)</f>
        <v>45666.66667</v>
      </c>
      <c r="B1080" s="1">
        <f>IFERROR(__xludf.DUMMYFUNCTION("""COMPUTED_VALUE"""),92.75)</f>
        <v>92.75</v>
      </c>
    </row>
    <row r="1081">
      <c r="A1081" s="2">
        <f>IFERROR(__xludf.DUMMYFUNCTION("""COMPUTED_VALUE"""),45667.66666666667)</f>
        <v>45667.66667</v>
      </c>
      <c r="B1081" s="1">
        <f>IFERROR(__xludf.DUMMYFUNCTION("""COMPUTED_VALUE"""),92.75)</f>
        <v>92.75</v>
      </c>
    </row>
    <row r="1082">
      <c r="A1082" s="2">
        <f>IFERROR(__xludf.DUMMYFUNCTION("""COMPUTED_VALUE"""),45670.66666666667)</f>
        <v>45670.66667</v>
      </c>
      <c r="B1082" s="1">
        <f>IFERROR(__xludf.DUMMYFUNCTION("""COMPUTED_VALUE"""),91.82)</f>
        <v>91.82</v>
      </c>
    </row>
    <row r="1083">
      <c r="A1083" s="2">
        <f>IFERROR(__xludf.DUMMYFUNCTION("""COMPUTED_VALUE"""),45671.66666666667)</f>
        <v>45671.66667</v>
      </c>
      <c r="B1083" s="1">
        <f>IFERROR(__xludf.DUMMYFUNCTION("""COMPUTED_VALUE"""),91.76)</f>
        <v>91.76</v>
      </c>
    </row>
    <row r="1084">
      <c r="A1084" s="2">
        <f>IFERROR(__xludf.DUMMYFUNCTION("""COMPUTED_VALUE"""),45672.66666666667)</f>
        <v>45672.66667</v>
      </c>
      <c r="B1084" s="1">
        <f>IFERROR(__xludf.DUMMYFUNCTION("""COMPUTED_VALUE"""),91.97)</f>
        <v>91.97</v>
      </c>
    </row>
    <row r="1085">
      <c r="A1085" s="2">
        <f>IFERROR(__xludf.DUMMYFUNCTION("""COMPUTED_VALUE"""),45673.66666666667)</f>
        <v>45673.66667</v>
      </c>
      <c r="B1085" s="1">
        <f>IFERROR(__xludf.DUMMYFUNCTION("""COMPUTED_VALUE"""),92.88)</f>
        <v>92.88</v>
      </c>
    </row>
    <row r="1086">
      <c r="A1086" s="2">
        <f>IFERROR(__xludf.DUMMYFUNCTION("""COMPUTED_VALUE"""),45674.66666666667)</f>
        <v>45674.66667</v>
      </c>
      <c r="B1086" s="1">
        <f>IFERROR(__xludf.DUMMYFUNCTION("""COMPUTED_VALUE"""),93.2)</f>
        <v>93.2</v>
      </c>
    </row>
    <row r="1087">
      <c r="A1087" s="2">
        <f>IFERROR(__xludf.DUMMYFUNCTION("""COMPUTED_VALUE"""),45677.66666666667)</f>
        <v>45677.66667</v>
      </c>
      <c r="B1087" s="1">
        <f>IFERROR(__xludf.DUMMYFUNCTION("""COMPUTED_VALUE"""),93.93)</f>
        <v>93.93</v>
      </c>
    </row>
    <row r="1088">
      <c r="A1088" s="2">
        <f>IFERROR(__xludf.DUMMYFUNCTION("""COMPUTED_VALUE"""),45678.66666666667)</f>
        <v>45678.66667</v>
      </c>
      <c r="B1088" s="1">
        <f>IFERROR(__xludf.DUMMYFUNCTION("""COMPUTED_VALUE"""),93.8)</f>
        <v>93.8</v>
      </c>
    </row>
    <row r="1089">
      <c r="A1089" s="2">
        <f>IFERROR(__xludf.DUMMYFUNCTION("""COMPUTED_VALUE"""),45679.66666666667)</f>
        <v>45679.66667</v>
      </c>
      <c r="B1089" s="1">
        <f>IFERROR(__xludf.DUMMYFUNCTION("""COMPUTED_VALUE"""),94.07)</f>
        <v>94.07</v>
      </c>
    </row>
    <row r="1090">
      <c r="A1090" s="2">
        <f>IFERROR(__xludf.DUMMYFUNCTION("""COMPUTED_VALUE"""),45680.66666666667)</f>
        <v>45680.66667</v>
      </c>
      <c r="B1090" s="1">
        <f>IFERROR(__xludf.DUMMYFUNCTION("""COMPUTED_VALUE"""),94.07)</f>
        <v>94.07</v>
      </c>
    </row>
    <row r="1091">
      <c r="A1091" s="2">
        <f>IFERROR(__xludf.DUMMYFUNCTION("""COMPUTED_VALUE"""),45681.66666666667)</f>
        <v>45681.66667</v>
      </c>
      <c r="B1091" s="1">
        <f>IFERROR(__xludf.DUMMYFUNCTION("""COMPUTED_VALUE"""),94.25)</f>
        <v>94.25</v>
      </c>
    </row>
    <row r="1092">
      <c r="A1092" s="2">
        <f>IFERROR(__xludf.DUMMYFUNCTION("""COMPUTED_VALUE"""),45685.66666666667)</f>
        <v>45685.66667</v>
      </c>
      <c r="B1092" s="1">
        <f>IFERROR(__xludf.DUMMYFUNCTION("""COMPUTED_VALUE"""),94.15)</f>
        <v>94.15</v>
      </c>
    </row>
    <row r="1093">
      <c r="A1093" s="2">
        <f>IFERROR(__xludf.DUMMYFUNCTION("""COMPUTED_VALUE"""),45686.66666666667)</f>
        <v>45686.66667</v>
      </c>
      <c r="B1093" s="1">
        <f>IFERROR(__xludf.DUMMYFUNCTION("""COMPUTED_VALUE"""),95.23)</f>
        <v>95.23</v>
      </c>
    </row>
    <row r="1094">
      <c r="A1094" s="2">
        <f>IFERROR(__xludf.DUMMYFUNCTION("""COMPUTED_VALUE"""),45687.66666666667)</f>
        <v>45687.66667</v>
      </c>
      <c r="B1094" s="1">
        <f>IFERROR(__xludf.DUMMYFUNCTION("""COMPUTED_VALUE"""),95.64)</f>
        <v>95.64</v>
      </c>
    </row>
    <row r="1095">
      <c r="A1095" s="2">
        <f>IFERROR(__xludf.DUMMYFUNCTION("""COMPUTED_VALUE"""),45688.66666666667)</f>
        <v>45688.66667</v>
      </c>
      <c r="B1095" s="1">
        <f>IFERROR(__xludf.DUMMYFUNCTION("""COMPUTED_VALUE"""),96.42)</f>
        <v>96.42</v>
      </c>
    </row>
    <row r="1096">
      <c r="A1096" s="2">
        <f>IFERROR(__xludf.DUMMYFUNCTION("""COMPUTED_VALUE"""),45691.66666666667)</f>
        <v>45691.66667</v>
      </c>
      <c r="B1096" s="1">
        <f>IFERROR(__xludf.DUMMYFUNCTION("""COMPUTED_VALUE"""),94.56)</f>
        <v>94.56</v>
      </c>
    </row>
    <row r="1097">
      <c r="A1097" s="2">
        <f>IFERROR(__xludf.DUMMYFUNCTION("""COMPUTED_VALUE"""),45692.66666666667)</f>
        <v>45692.66667</v>
      </c>
      <c r="B1097" s="1">
        <f>IFERROR(__xludf.DUMMYFUNCTION("""COMPUTED_VALUE"""),95.45)</f>
        <v>95.45</v>
      </c>
    </row>
    <row r="1098">
      <c r="A1098" s="2">
        <f>IFERROR(__xludf.DUMMYFUNCTION("""COMPUTED_VALUE"""),45693.66666666667)</f>
        <v>45693.66667</v>
      </c>
      <c r="B1098" s="1">
        <f>IFERROR(__xludf.DUMMYFUNCTION("""COMPUTED_VALUE"""),95.16)</f>
        <v>95.16</v>
      </c>
    </row>
    <row r="1099">
      <c r="A1099" s="2">
        <f>IFERROR(__xludf.DUMMYFUNCTION("""COMPUTED_VALUE"""),45694.66666666667)</f>
        <v>45694.66667</v>
      </c>
      <c r="B1099" s="1">
        <f>IFERROR(__xludf.DUMMYFUNCTION("""COMPUTED_VALUE"""),95.5)</f>
        <v>95.5</v>
      </c>
    </row>
    <row r="1100">
      <c r="A1100" s="2">
        <f>IFERROR(__xludf.DUMMYFUNCTION("""COMPUTED_VALUE"""),45695.66666666667)</f>
        <v>45695.66667</v>
      </c>
      <c r="B1100" s="1">
        <f>IFERROR(__xludf.DUMMYFUNCTION("""COMPUTED_VALUE"""),95.75)</f>
        <v>95.75</v>
      </c>
    </row>
    <row r="1101">
      <c r="A1101" s="2">
        <f>IFERROR(__xludf.DUMMYFUNCTION("""COMPUTED_VALUE"""),45698.66666666667)</f>
        <v>45698.66667</v>
      </c>
      <c r="B1101" s="1">
        <f>IFERROR(__xludf.DUMMYFUNCTION("""COMPUTED_VALUE"""),95.65)</f>
        <v>95.65</v>
      </c>
    </row>
    <row r="1102">
      <c r="A1102" s="2">
        <f>IFERROR(__xludf.DUMMYFUNCTION("""COMPUTED_VALUE"""),45699.66666666667)</f>
        <v>45699.66667</v>
      </c>
      <c r="B1102" s="1">
        <f>IFERROR(__xludf.DUMMYFUNCTION("""COMPUTED_VALUE"""),95.79)</f>
        <v>95.79</v>
      </c>
    </row>
    <row r="1103">
      <c r="A1103" s="2">
        <f>IFERROR(__xludf.DUMMYFUNCTION("""COMPUTED_VALUE"""),45700.66666666667)</f>
        <v>45700.66667</v>
      </c>
      <c r="B1103" s="1">
        <f>IFERROR(__xludf.DUMMYFUNCTION("""COMPUTED_VALUE"""),95.71)</f>
        <v>95.71</v>
      </c>
    </row>
    <row r="1104">
      <c r="A1104" s="2">
        <f>IFERROR(__xludf.DUMMYFUNCTION("""COMPUTED_VALUE"""),45701.66666666667)</f>
        <v>45701.66667</v>
      </c>
      <c r="B1104" s="1">
        <f>IFERROR(__xludf.DUMMYFUNCTION("""COMPUTED_VALUE"""),96.53)</f>
        <v>96.53</v>
      </c>
    </row>
    <row r="1105">
      <c r="A1105" s="2">
        <f>IFERROR(__xludf.DUMMYFUNCTION("""COMPUTED_VALUE"""),45702.66666666667)</f>
        <v>45702.66667</v>
      </c>
      <c r="B1105" s="1">
        <f>IFERROR(__xludf.DUMMYFUNCTION("""COMPUTED_VALUE"""),96.72)</f>
        <v>96.72</v>
      </c>
    </row>
    <row r="1106">
      <c r="A1106" s="2">
        <f>IFERROR(__xludf.DUMMYFUNCTION("""COMPUTED_VALUE"""),45705.66666666667)</f>
        <v>45705.66667</v>
      </c>
      <c r="B1106" s="1">
        <f>IFERROR(__xludf.DUMMYFUNCTION("""COMPUTED_VALUE"""),96.58)</f>
        <v>96.58</v>
      </c>
    </row>
    <row r="1107">
      <c r="A1107" s="2">
        <f>IFERROR(__xludf.DUMMYFUNCTION("""COMPUTED_VALUE"""),45706.66666666667)</f>
        <v>45706.66667</v>
      </c>
      <c r="B1107" s="1">
        <f>IFERROR(__xludf.DUMMYFUNCTION("""COMPUTED_VALUE"""),97.07)</f>
        <v>97.07</v>
      </c>
    </row>
    <row r="1108">
      <c r="A1108" s="2">
        <f>IFERROR(__xludf.DUMMYFUNCTION("""COMPUTED_VALUE"""),45707.66666666667)</f>
        <v>45707.66667</v>
      </c>
      <c r="B1108" s="1">
        <f>IFERROR(__xludf.DUMMYFUNCTION("""COMPUTED_VALUE"""),97.12)</f>
        <v>97.12</v>
      </c>
    </row>
    <row r="1109">
      <c r="A1109" s="2">
        <f>IFERROR(__xludf.DUMMYFUNCTION("""COMPUTED_VALUE"""),45708.66666666667)</f>
        <v>45708.66667</v>
      </c>
      <c r="B1109" s="1">
        <f>IFERROR(__xludf.DUMMYFUNCTION("""COMPUTED_VALUE"""),96.48)</f>
        <v>96.48</v>
      </c>
    </row>
    <row r="1110">
      <c r="A1110" s="2">
        <f>IFERROR(__xludf.DUMMYFUNCTION("""COMPUTED_VALUE"""),45709.66666666667)</f>
        <v>45709.66667</v>
      </c>
      <c r="B1110" s="1">
        <f>IFERROR(__xludf.DUMMYFUNCTION("""COMPUTED_VALUE"""),96.16)</f>
        <v>96.16</v>
      </c>
    </row>
    <row r="1111">
      <c r="A1111" s="2">
        <f>IFERROR(__xludf.DUMMYFUNCTION("""COMPUTED_VALUE"""),45712.66666666667)</f>
        <v>45712.66667</v>
      </c>
      <c r="B1111" s="1">
        <f>IFERROR(__xludf.DUMMYFUNCTION("""COMPUTED_VALUE"""),96.67)</f>
        <v>96.67</v>
      </c>
    </row>
    <row r="1112">
      <c r="A1112" s="2">
        <f>IFERROR(__xludf.DUMMYFUNCTION("""COMPUTED_VALUE"""),45713.66666666667)</f>
        <v>45713.66667</v>
      </c>
      <c r="B1112" s="1">
        <f>IFERROR(__xludf.DUMMYFUNCTION("""COMPUTED_VALUE"""),96.56)</f>
        <v>96.56</v>
      </c>
    </row>
    <row r="1113">
      <c r="A1113" s="2">
        <f>IFERROR(__xludf.DUMMYFUNCTION("""COMPUTED_VALUE"""),45714.66666666667)</f>
        <v>45714.66667</v>
      </c>
      <c r="B1113" s="1">
        <f>IFERROR(__xludf.DUMMYFUNCTION("""COMPUTED_VALUE"""),97.24)</f>
        <v>97.24</v>
      </c>
    </row>
    <row r="1114">
      <c r="A1114" s="2">
        <f>IFERROR(__xludf.DUMMYFUNCTION("""COMPUTED_VALUE"""),45715.66666666667)</f>
        <v>45715.66667</v>
      </c>
      <c r="B1114" s="1">
        <f>IFERROR(__xludf.DUMMYFUNCTION("""COMPUTED_VALUE"""),97.85)</f>
        <v>97.85</v>
      </c>
    </row>
    <row r="1115">
      <c r="A1115" s="2">
        <f>IFERROR(__xludf.DUMMYFUNCTION("""COMPUTED_VALUE"""),45716.66666666667)</f>
        <v>45716.66667</v>
      </c>
      <c r="B1115" s="1">
        <f>IFERROR(__xludf.DUMMYFUNCTION("""COMPUTED_VALUE"""),97.22)</f>
        <v>97.22</v>
      </c>
    </row>
    <row r="1116">
      <c r="A1116" s="2">
        <f>IFERROR(__xludf.DUMMYFUNCTION("""COMPUTED_VALUE"""),45719.66666666667)</f>
        <v>45719.66667</v>
      </c>
      <c r="B1116" s="1">
        <f>IFERROR(__xludf.DUMMYFUNCTION("""COMPUTED_VALUE"""),98.2)</f>
        <v>98.2</v>
      </c>
    </row>
    <row r="1117">
      <c r="A1117" s="2">
        <f>IFERROR(__xludf.DUMMYFUNCTION("""COMPUTED_VALUE"""),45720.66666666667)</f>
        <v>45720.66667</v>
      </c>
      <c r="B1117" s="1">
        <f>IFERROR(__xludf.DUMMYFUNCTION("""COMPUTED_VALUE"""),98.39)</f>
        <v>98.39</v>
      </c>
    </row>
    <row r="1118">
      <c r="A1118" s="2">
        <f>IFERROR(__xludf.DUMMYFUNCTION("""COMPUTED_VALUE"""),45721.66666666667)</f>
        <v>45721.66667</v>
      </c>
      <c r="B1118" s="1">
        <f>IFERROR(__xludf.DUMMYFUNCTION("""COMPUTED_VALUE"""),98.17)</f>
        <v>98.17</v>
      </c>
    </row>
    <row r="1119">
      <c r="A1119" s="2">
        <f>IFERROR(__xludf.DUMMYFUNCTION("""COMPUTED_VALUE"""),45722.66666666667)</f>
        <v>45722.66667</v>
      </c>
      <c r="B1119" s="1">
        <f>IFERROR(__xludf.DUMMYFUNCTION("""COMPUTED_VALUE"""),98.4)</f>
        <v>98.4</v>
      </c>
    </row>
    <row r="1120">
      <c r="A1120" s="2">
        <f>IFERROR(__xludf.DUMMYFUNCTION("""COMPUTED_VALUE"""),45723.66666666667)</f>
        <v>45723.66667</v>
      </c>
      <c r="B1120" s="1">
        <f>IFERROR(__xludf.DUMMYFUNCTION("""COMPUTED_VALUE"""),98.57)</f>
        <v>98.57</v>
      </c>
    </row>
    <row r="1121">
      <c r="A1121" s="2">
        <f>IFERROR(__xludf.DUMMYFUNCTION("""COMPUTED_VALUE"""),45726.66666666667)</f>
        <v>45726.66667</v>
      </c>
      <c r="B1121" s="1">
        <f>IFERROR(__xludf.DUMMYFUNCTION("""COMPUTED_VALUE"""),98.22)</f>
        <v>98.22</v>
      </c>
    </row>
    <row r="1122">
      <c r="A1122" s="2">
        <f>IFERROR(__xludf.DUMMYFUNCTION("""COMPUTED_VALUE"""),45727.66666666667)</f>
        <v>45727.66667</v>
      </c>
      <c r="B1122" s="1">
        <f>IFERROR(__xludf.DUMMYFUNCTION("""COMPUTED_VALUE"""),97.51)</f>
        <v>97.51</v>
      </c>
    </row>
    <row r="1123">
      <c r="A1123" s="2">
        <f>IFERROR(__xludf.DUMMYFUNCTION("""COMPUTED_VALUE"""),45728.66666666667)</f>
        <v>45728.66667</v>
      </c>
      <c r="B1123" s="1">
        <f>IFERROR(__xludf.DUMMYFUNCTION("""COMPUTED_VALUE"""),97.18)</f>
        <v>97.18</v>
      </c>
    </row>
    <row r="1124">
      <c r="A1124" s="2">
        <f>IFERROR(__xludf.DUMMYFUNCTION("""COMPUTED_VALUE"""),45729.66666666667)</f>
        <v>45729.66667</v>
      </c>
      <c r="B1124" s="1">
        <f>IFERROR(__xludf.DUMMYFUNCTION("""COMPUTED_VALUE"""),96.72)</f>
        <v>96.72</v>
      </c>
    </row>
    <row r="1125">
      <c r="A1125" s="2">
        <f>IFERROR(__xludf.DUMMYFUNCTION("""COMPUTED_VALUE"""),45730.66666666667)</f>
        <v>45730.66667</v>
      </c>
      <c r="B1125" s="1">
        <f>IFERROR(__xludf.DUMMYFUNCTION("""COMPUTED_VALUE"""),97.3)</f>
        <v>97.3</v>
      </c>
    </row>
    <row r="1126">
      <c r="A1126" s="2">
        <f>IFERROR(__xludf.DUMMYFUNCTION("""COMPUTED_VALUE"""),45733.66666666667)</f>
        <v>45733.66667</v>
      </c>
      <c r="B1126" s="1">
        <f>IFERROR(__xludf.DUMMYFUNCTION("""COMPUTED_VALUE"""),97.97)</f>
        <v>97.97</v>
      </c>
    </row>
    <row r="1127">
      <c r="A1127" s="2">
        <f>IFERROR(__xludf.DUMMYFUNCTION("""COMPUTED_VALUE"""),45734.66666666667)</f>
        <v>45734.66667</v>
      </c>
      <c r="B1127" s="1">
        <f>IFERROR(__xludf.DUMMYFUNCTION("""COMPUTED_VALUE"""),98.29)</f>
        <v>98.29</v>
      </c>
    </row>
    <row r="1128">
      <c r="A1128" s="2">
        <f>IFERROR(__xludf.DUMMYFUNCTION("""COMPUTED_VALUE"""),45735.66666666667)</f>
        <v>45735.66667</v>
      </c>
      <c r="B1128" s="1">
        <f>IFERROR(__xludf.DUMMYFUNCTION("""COMPUTED_VALUE"""),98.99)</f>
        <v>98.99</v>
      </c>
    </row>
    <row r="1129">
      <c r="A1129" s="2">
        <f>IFERROR(__xludf.DUMMYFUNCTION("""COMPUTED_VALUE"""),45736.66666666667)</f>
        <v>45736.66667</v>
      </c>
      <c r="B1129" s="1">
        <f>IFERROR(__xludf.DUMMYFUNCTION("""COMPUTED_VALUE"""),99.42)</f>
        <v>99.42</v>
      </c>
    </row>
    <row r="1130">
      <c r="A1130" s="2">
        <f>IFERROR(__xludf.DUMMYFUNCTION("""COMPUTED_VALUE"""),45737.66666666667)</f>
        <v>45737.66667</v>
      </c>
      <c r="B1130" s="1">
        <f>IFERROR(__xludf.DUMMYFUNCTION("""COMPUTED_VALUE"""),98.93)</f>
        <v>98.93</v>
      </c>
    </row>
    <row r="1131">
      <c r="A1131" s="2">
        <f>IFERROR(__xludf.DUMMYFUNCTION("""COMPUTED_VALUE"""),45740.66666666667)</f>
        <v>45740.66667</v>
      </c>
      <c r="B1131" s="1">
        <f>IFERROR(__xludf.DUMMYFUNCTION("""COMPUTED_VALUE"""),98.77)</f>
        <v>98.77</v>
      </c>
    </row>
    <row r="1132">
      <c r="A1132" s="2">
        <f>IFERROR(__xludf.DUMMYFUNCTION("""COMPUTED_VALUE"""),45741.66666666667)</f>
        <v>45741.66667</v>
      </c>
      <c r="B1132" s="1">
        <f>IFERROR(__xludf.DUMMYFUNCTION("""COMPUTED_VALUE"""),98.3)</f>
        <v>98.3</v>
      </c>
    </row>
    <row r="1133">
      <c r="A1133" s="2">
        <f>IFERROR(__xludf.DUMMYFUNCTION("""COMPUTED_VALUE"""),45742.66666666667)</f>
        <v>45742.66667</v>
      </c>
      <c r="B1133" s="1">
        <f>IFERROR(__xludf.DUMMYFUNCTION("""COMPUTED_VALUE"""),98.81)</f>
        <v>98.81</v>
      </c>
    </row>
    <row r="1134">
      <c r="A1134" s="2">
        <f>IFERROR(__xludf.DUMMYFUNCTION("""COMPUTED_VALUE"""),45743.66666666667)</f>
        <v>45743.66667</v>
      </c>
      <c r="B1134" s="1">
        <f>IFERROR(__xludf.DUMMYFUNCTION("""COMPUTED_VALUE"""),98.14)</f>
        <v>98.14</v>
      </c>
    </row>
    <row r="1135">
      <c r="A1135" s="2">
        <f>IFERROR(__xludf.DUMMYFUNCTION("""COMPUTED_VALUE"""),45744.66666666667)</f>
        <v>45744.66667</v>
      </c>
      <c r="B1135" s="1">
        <f>IFERROR(__xludf.DUMMYFUNCTION("""COMPUTED_VALUE"""),98.49)</f>
        <v>98.49</v>
      </c>
    </row>
    <row r="1136">
      <c r="A1136" s="2">
        <f>IFERROR(__xludf.DUMMYFUNCTION("""COMPUTED_VALUE"""),45747.66666666667)</f>
        <v>45747.66667</v>
      </c>
      <c r="B1136" s="1">
        <f>IFERROR(__xludf.DUMMYFUNCTION("""COMPUTED_VALUE"""),96.5)</f>
        <v>96.5</v>
      </c>
    </row>
    <row r="1137">
      <c r="A1137" s="2">
        <f>IFERROR(__xludf.DUMMYFUNCTION("""COMPUTED_VALUE"""),45748.66666666667)</f>
        <v>45748.66667</v>
      </c>
      <c r="B1137" s="1">
        <f>IFERROR(__xludf.DUMMYFUNCTION("""COMPUTED_VALUE"""),96.82)</f>
        <v>96.82</v>
      </c>
    </row>
    <row r="1138">
      <c r="A1138" s="2">
        <f>IFERROR(__xludf.DUMMYFUNCTION("""COMPUTED_VALUE"""),45749.66666666667)</f>
        <v>45749.66667</v>
      </c>
      <c r="B1138" s="1">
        <f>IFERROR(__xludf.DUMMYFUNCTION("""COMPUTED_VALUE"""),96.4)</f>
        <v>96.4</v>
      </c>
    </row>
    <row r="1139">
      <c r="A1139" s="2">
        <f>IFERROR(__xludf.DUMMYFUNCTION("""COMPUTED_VALUE"""),45750.66666666667)</f>
        <v>45750.66667</v>
      </c>
      <c r="B1139" s="1">
        <f>IFERROR(__xludf.DUMMYFUNCTION("""COMPUTED_VALUE"""),95.58)</f>
        <v>95.58</v>
      </c>
    </row>
    <row r="1140">
      <c r="A1140" s="2">
        <f>IFERROR(__xludf.DUMMYFUNCTION("""COMPUTED_VALUE"""),45751.66666666667)</f>
        <v>45751.66667</v>
      </c>
      <c r="B1140" s="1">
        <f>IFERROR(__xludf.DUMMYFUNCTION("""COMPUTED_VALUE"""),95.36)</f>
        <v>95.36</v>
      </c>
    </row>
    <row r="1141">
      <c r="A1141" s="2">
        <f>IFERROR(__xludf.DUMMYFUNCTION("""COMPUTED_VALUE"""),45754.66666666667)</f>
        <v>45754.66667</v>
      </c>
      <c r="B1141" s="1">
        <f>IFERROR(__xludf.DUMMYFUNCTION("""COMPUTED_VALUE"""),91.15)</f>
        <v>91.15</v>
      </c>
    </row>
    <row r="1142">
      <c r="A1142" s="2">
        <f>IFERROR(__xludf.DUMMYFUNCTION("""COMPUTED_VALUE"""),45755.66666666667)</f>
        <v>45755.66667</v>
      </c>
      <c r="B1142" s="1">
        <f>IFERROR(__xludf.DUMMYFUNCTION("""COMPUTED_VALUE"""),91.74)</f>
        <v>91.74</v>
      </c>
    </row>
    <row r="1143">
      <c r="A1143" s="2">
        <f>IFERROR(__xludf.DUMMYFUNCTION("""COMPUTED_VALUE"""),45756.66666666667)</f>
        <v>45756.66667</v>
      </c>
      <c r="B1143" s="1">
        <f>IFERROR(__xludf.DUMMYFUNCTION("""COMPUTED_VALUE"""),91.24)</f>
        <v>91.24</v>
      </c>
    </row>
    <row r="1144">
      <c r="A1144" s="2">
        <f>IFERROR(__xludf.DUMMYFUNCTION("""COMPUTED_VALUE"""),45757.66666666667)</f>
        <v>45757.66667</v>
      </c>
      <c r="B1144" s="1">
        <f>IFERROR(__xludf.DUMMYFUNCTION("""COMPUTED_VALUE"""),93.46)</f>
        <v>93.46</v>
      </c>
    </row>
    <row r="1145">
      <c r="A1145" s="2">
        <f>IFERROR(__xludf.DUMMYFUNCTION("""COMPUTED_VALUE"""),45758.66666666667)</f>
        <v>45758.66667</v>
      </c>
      <c r="B1145" s="1">
        <f>IFERROR(__xludf.DUMMYFUNCTION("""COMPUTED_VALUE"""),93.69)</f>
        <v>93.69</v>
      </c>
    </row>
    <row r="1146">
      <c r="A1146" s="2">
        <f>IFERROR(__xludf.DUMMYFUNCTION("""COMPUTED_VALUE"""),45761.66666666667)</f>
        <v>45761.66667</v>
      </c>
      <c r="B1146" s="1">
        <f>IFERROR(__xludf.DUMMYFUNCTION("""COMPUTED_VALUE"""),93.83)</f>
        <v>93.83</v>
      </c>
    </row>
    <row r="1147">
      <c r="A1147" s="2">
        <f>IFERROR(__xludf.DUMMYFUNCTION("""COMPUTED_VALUE"""),45762.66666666667)</f>
        <v>45762.66667</v>
      </c>
      <c r="B1147" s="1">
        <f>IFERROR(__xludf.DUMMYFUNCTION("""COMPUTED_VALUE"""),93.46)</f>
        <v>93.46</v>
      </c>
    </row>
    <row r="1148">
      <c r="A1148" s="2">
        <f>IFERROR(__xludf.DUMMYFUNCTION("""COMPUTED_VALUE"""),45763.66666666667)</f>
        <v>45763.66667</v>
      </c>
      <c r="B1148" s="1">
        <f>IFERROR(__xludf.DUMMYFUNCTION("""COMPUTED_VALUE"""),93.39)</f>
        <v>93.39</v>
      </c>
    </row>
    <row r="1149">
      <c r="A1149" s="2">
        <f>IFERROR(__xludf.DUMMYFUNCTION("""COMPUTED_VALUE"""),45764.66666666667)</f>
        <v>45764.66667</v>
      </c>
      <c r="B1149" s="1">
        <f>IFERROR(__xludf.DUMMYFUNCTION("""COMPUTED_VALUE"""),94.34)</f>
        <v>94.34</v>
      </c>
    </row>
    <row r="1150">
      <c r="A1150" s="2">
        <f>IFERROR(__xludf.DUMMYFUNCTION("""COMPUTED_VALUE"""),45769.66666666667)</f>
        <v>45769.66667</v>
      </c>
      <c r="B1150" s="1">
        <f>IFERROR(__xludf.DUMMYFUNCTION("""COMPUTED_VALUE"""),93.76)</f>
        <v>93.76</v>
      </c>
    </row>
    <row r="1151">
      <c r="A1151" s="2">
        <f>IFERROR(__xludf.DUMMYFUNCTION("""COMPUTED_VALUE"""),45770.66666666667)</f>
        <v>45770.66667</v>
      </c>
      <c r="B1151" s="1">
        <f>IFERROR(__xludf.DUMMYFUNCTION("""COMPUTED_VALUE"""),95.53)</f>
        <v>95.53</v>
      </c>
    </row>
    <row r="1152">
      <c r="A1152" s="2">
        <f>IFERROR(__xludf.DUMMYFUNCTION("""COMPUTED_VALUE"""),45771.66666666667)</f>
        <v>45771.66667</v>
      </c>
      <c r="B1152" s="1">
        <f>IFERROR(__xludf.DUMMYFUNCTION("""COMPUTED_VALUE"""),96.01)</f>
        <v>96.01</v>
      </c>
    </row>
    <row r="1153">
      <c r="A1153" s="2">
        <f>IFERROR(__xludf.DUMMYFUNCTION("""COMPUTED_VALUE"""),45775.66666666667)</f>
        <v>45775.66667</v>
      </c>
      <c r="B1153" s="1">
        <f>IFERROR(__xludf.DUMMYFUNCTION("""COMPUTED_VALUE"""),96.6)</f>
        <v>96.6</v>
      </c>
    </row>
    <row r="1154">
      <c r="A1154" s="2">
        <f>IFERROR(__xludf.DUMMYFUNCTION("""COMPUTED_VALUE"""),45776.66666666667)</f>
        <v>45776.66667</v>
      </c>
      <c r="B1154" s="1">
        <f>IFERROR(__xludf.DUMMYFUNCTION("""COMPUTED_VALUE"""),97.16)</f>
        <v>97.16</v>
      </c>
    </row>
    <row r="1155">
      <c r="A1155" s="2">
        <f>IFERROR(__xludf.DUMMYFUNCTION("""COMPUTED_VALUE"""),45777.66666666667)</f>
        <v>45777.66667</v>
      </c>
      <c r="B1155" s="1">
        <f>IFERROR(__xludf.DUMMYFUNCTION("""COMPUTED_VALUE"""),97.28)</f>
        <v>97.28</v>
      </c>
    </row>
    <row r="1156">
      <c r="A1156" s="2">
        <f>IFERROR(__xludf.DUMMYFUNCTION("""COMPUTED_VALUE"""),45778.66666666667)</f>
        <v>45778.66667</v>
      </c>
      <c r="B1156" s="1">
        <f>IFERROR(__xludf.DUMMYFUNCTION("""COMPUTED_VALUE"""),97.84)</f>
        <v>97.84</v>
      </c>
    </row>
    <row r="1157">
      <c r="A1157" s="2">
        <f>IFERROR(__xludf.DUMMYFUNCTION("""COMPUTED_VALUE"""),45779.66666666667)</f>
        <v>45779.66667</v>
      </c>
      <c r="B1157" s="1">
        <f>IFERROR(__xludf.DUMMYFUNCTION("""COMPUTED_VALUE"""),98.14)</f>
        <v>98.14</v>
      </c>
    </row>
    <row r="1158">
      <c r="A1158" s="2">
        <f>IFERROR(__xludf.DUMMYFUNCTION("""COMPUTED_VALUE"""),45782.66666666667)</f>
        <v>45782.66667</v>
      </c>
      <c r="B1158" s="1">
        <f>IFERROR(__xludf.DUMMYFUNCTION("""COMPUTED_VALUE"""),97.96)</f>
        <v>97.96</v>
      </c>
    </row>
    <row r="1159">
      <c r="A1159" s="2">
        <f>IFERROR(__xludf.DUMMYFUNCTION("""COMPUTED_VALUE"""),45783.66666666667)</f>
        <v>45783.66667</v>
      </c>
      <c r="B1159" s="1">
        <f>IFERROR(__xludf.DUMMYFUNCTION("""COMPUTED_VALUE"""),98.58)</f>
        <v>98.58</v>
      </c>
    </row>
    <row r="1160">
      <c r="A1160" s="2">
        <f>IFERROR(__xludf.DUMMYFUNCTION("""COMPUTED_VALUE"""),45784.66666666667)</f>
        <v>45784.66667</v>
      </c>
      <c r="B1160" s="1">
        <f>IFERROR(__xludf.DUMMYFUNCTION("""COMPUTED_VALUE"""),98.18)</f>
        <v>98.18</v>
      </c>
    </row>
    <row r="1161">
      <c r="A1161" s="2">
        <f>IFERROR(__xludf.DUMMYFUNCTION("""COMPUTED_VALUE"""),45785.66666666667)</f>
        <v>45785.66667</v>
      </c>
      <c r="B1161" s="1">
        <f>IFERROR(__xludf.DUMMYFUNCTION("""COMPUTED_VALUE"""),98.5)</f>
        <v>98.5</v>
      </c>
    </row>
    <row r="1162">
      <c r="A1162" s="2">
        <f>IFERROR(__xludf.DUMMYFUNCTION("""COMPUTED_VALUE"""),45786.66666666667)</f>
        <v>45786.66667</v>
      </c>
      <c r="B1162" s="1">
        <f>IFERROR(__xludf.DUMMYFUNCTION("""COMPUTED_VALUE"""),98.92)</f>
        <v>98.92</v>
      </c>
    </row>
    <row r="1163">
      <c r="A1163" s="2">
        <f>IFERROR(__xludf.DUMMYFUNCTION("""COMPUTED_VALUE"""),45789.66666666667)</f>
        <v>45789.66667</v>
      </c>
      <c r="B1163" s="1">
        <f>IFERROR(__xludf.DUMMYFUNCTION("""COMPUTED_VALUE"""),99.23)</f>
        <v>99.23</v>
      </c>
    </row>
    <row r="1164">
      <c r="A1164" s="2">
        <f>IFERROR(__xludf.DUMMYFUNCTION("""COMPUTED_VALUE"""),45790.66666666667)</f>
        <v>45790.66667</v>
      </c>
      <c r="B1164" s="1">
        <f>IFERROR(__xludf.DUMMYFUNCTION("""COMPUTED_VALUE"""),99.74)</f>
        <v>99.74</v>
      </c>
    </row>
    <row r="1165">
      <c r="A1165" s="2">
        <f>IFERROR(__xludf.DUMMYFUNCTION("""COMPUTED_VALUE"""),45791.66666666667)</f>
        <v>45791.66667</v>
      </c>
      <c r="B1165" s="1">
        <f>IFERROR(__xludf.DUMMYFUNCTION("""COMPUTED_VALUE"""),99.29)</f>
        <v>99.29</v>
      </c>
    </row>
    <row r="1166">
      <c r="A1166" s="2">
        <f>IFERROR(__xludf.DUMMYFUNCTION("""COMPUTED_VALUE"""),45792.66666666667)</f>
        <v>45792.66667</v>
      </c>
      <c r="B1166" s="1">
        <f>IFERROR(__xludf.DUMMYFUNCTION("""COMPUTED_VALUE"""),99.81)</f>
        <v>99.81</v>
      </c>
    </row>
    <row r="1167">
      <c r="A1167" s="2">
        <f>IFERROR(__xludf.DUMMYFUNCTION("""COMPUTED_VALUE"""),45793.66666666667)</f>
        <v>45793.66667</v>
      </c>
      <c r="B1167" s="1">
        <f>IFERROR(__xludf.DUMMYFUNCTION("""COMPUTED_VALUE"""),100.52)</f>
        <v>100.52</v>
      </c>
    </row>
    <row r="1168">
      <c r="A1168" s="2">
        <f>IFERROR(__xludf.DUMMYFUNCTION("""COMPUTED_VALUE"""),45796.66666666667)</f>
        <v>45796.66667</v>
      </c>
      <c r="B1168" s="1">
        <f>IFERROR(__xludf.DUMMYFUNCTION("""COMPUTED_VALUE"""),100.77)</f>
        <v>100.77</v>
      </c>
    </row>
    <row r="1169">
      <c r="A1169" s="2">
        <f>IFERROR(__xludf.DUMMYFUNCTION("""COMPUTED_VALUE"""),45797.66666666667)</f>
        <v>45797.66667</v>
      </c>
      <c r="B1169" s="1">
        <f>IFERROR(__xludf.DUMMYFUNCTION("""COMPUTED_VALUE"""),101.31)</f>
        <v>101.31</v>
      </c>
    </row>
    <row r="1170">
      <c r="A1170" s="2">
        <f>IFERROR(__xludf.DUMMYFUNCTION("""COMPUTED_VALUE"""),45798.66666666667)</f>
        <v>45798.66667</v>
      </c>
      <c r="B1170" s="1">
        <f>IFERROR(__xludf.DUMMYFUNCTION("""COMPUTED_VALUE"""),101.61)</f>
        <v>101.61</v>
      </c>
    </row>
    <row r="1171">
      <c r="A1171" s="2">
        <f>IFERROR(__xludf.DUMMYFUNCTION("""COMPUTED_VALUE"""),45799.66666666667)</f>
        <v>45799.66667</v>
      </c>
      <c r="B1171" s="1">
        <f>IFERROR(__xludf.DUMMYFUNCTION("""COMPUTED_VALUE"""),101.26)</f>
        <v>101.26</v>
      </c>
    </row>
    <row r="1172">
      <c r="A1172" s="2">
        <f>IFERROR(__xludf.DUMMYFUNCTION("""COMPUTED_VALUE"""),45800.66666666667)</f>
        <v>45800.66667</v>
      </c>
      <c r="B1172" s="1">
        <f>IFERROR(__xludf.DUMMYFUNCTION("""COMPUTED_VALUE"""),101.33)</f>
        <v>101.33</v>
      </c>
    </row>
    <row r="1173">
      <c r="A1173" s="2">
        <f>IFERROR(__xludf.DUMMYFUNCTION("""COMPUTED_VALUE"""),45803.66666666667)</f>
        <v>45803.66667</v>
      </c>
      <c r="B1173" s="1">
        <f>IFERROR(__xludf.DUMMYFUNCTION("""COMPUTED_VALUE"""),100.83)</f>
        <v>100.83</v>
      </c>
    </row>
    <row r="1174">
      <c r="A1174" s="2">
        <f>IFERROR(__xludf.DUMMYFUNCTION("""COMPUTED_VALUE"""),45804.66666666667)</f>
        <v>45804.66667</v>
      </c>
      <c r="B1174" s="1">
        <f>IFERROR(__xludf.DUMMYFUNCTION("""COMPUTED_VALUE"""),101.45)</f>
        <v>101.45</v>
      </c>
    </row>
    <row r="1175">
      <c r="A1175" s="2">
        <f>IFERROR(__xludf.DUMMYFUNCTION("""COMPUTED_VALUE"""),45805.66666666667)</f>
        <v>45805.66667</v>
      </c>
      <c r="B1175" s="1">
        <f>IFERROR(__xludf.DUMMYFUNCTION("""COMPUTED_VALUE"""),101.77)</f>
        <v>101.77</v>
      </c>
    </row>
    <row r="1176">
      <c r="A1176" s="2">
        <f>IFERROR(__xludf.DUMMYFUNCTION("""COMPUTED_VALUE"""),45806.66666666667)</f>
        <v>45806.66667</v>
      </c>
      <c r="B1176" s="1">
        <f>IFERROR(__xludf.DUMMYFUNCTION("""COMPUTED_VALUE"""),102.0)</f>
        <v>102</v>
      </c>
    </row>
    <row r="1177">
      <c r="A1177" s="2">
        <f>IFERROR(__xludf.DUMMYFUNCTION("""COMPUTED_VALUE"""),45807.66666666667)</f>
        <v>45807.66667</v>
      </c>
      <c r="B1177" s="1">
        <f>IFERROR(__xludf.DUMMYFUNCTION("""COMPUTED_VALUE"""),101.91)</f>
        <v>101.91</v>
      </c>
    </row>
    <row r="1178">
      <c r="A1178" s="2">
        <f>IFERROR(__xludf.DUMMYFUNCTION("""COMPUTED_VALUE"""),45810.66666666667)</f>
        <v>45810.66667</v>
      </c>
      <c r="B1178" s="1">
        <f>IFERROR(__xludf.DUMMYFUNCTION("""COMPUTED_VALUE"""),101.08)</f>
        <v>101.08</v>
      </c>
    </row>
    <row r="1179">
      <c r="A1179" s="2">
        <f>IFERROR(__xludf.DUMMYFUNCTION("""COMPUTED_VALUE"""),45811.66666666667)</f>
        <v>45811.66667</v>
      </c>
      <c r="B1179" s="1">
        <f>IFERROR(__xludf.DUMMYFUNCTION("""COMPUTED_VALUE"""),101.78)</f>
        <v>101.78</v>
      </c>
    </row>
    <row r="1180">
      <c r="A1180" s="2">
        <f>IFERROR(__xludf.DUMMYFUNCTION("""COMPUTED_VALUE"""),45812.66666666667)</f>
        <v>45812.66667</v>
      </c>
      <c r="B1180" s="1">
        <f>IFERROR(__xludf.DUMMYFUNCTION("""COMPUTED_VALUE"""),101.94)</f>
        <v>101.94</v>
      </c>
    </row>
    <row r="1181">
      <c r="A1181" s="2">
        <f>IFERROR(__xludf.DUMMYFUNCTION("""COMPUTED_VALUE"""),45813.66666666667)</f>
        <v>45813.66667</v>
      </c>
      <c r="B1181" s="1">
        <f>IFERROR(__xludf.DUMMYFUNCTION("""COMPUTED_VALUE"""),101.77)</f>
        <v>101.77</v>
      </c>
    </row>
    <row r="1182">
      <c r="A1182" s="2">
        <f>IFERROR(__xludf.DUMMYFUNCTION("""COMPUTED_VALUE"""),45814.66666666667)</f>
        <v>45814.66667</v>
      </c>
      <c r="B1182" s="1">
        <f>IFERROR(__xludf.DUMMYFUNCTION("""COMPUTED_VALUE"""),101.98)</f>
        <v>101.98</v>
      </c>
    </row>
    <row r="1183">
      <c r="A1183" s="2">
        <f>IFERROR(__xludf.DUMMYFUNCTION("""COMPUTED_VALUE"""),45818.66666666667)</f>
        <v>45818.66667</v>
      </c>
      <c r="B1183" s="1">
        <f>IFERROR(__xludf.DUMMYFUNCTION("""COMPUTED_VALUE"""),102.2)</f>
        <v>102.2</v>
      </c>
    </row>
    <row r="1184">
      <c r="A1184" s="2">
        <f>IFERROR(__xludf.DUMMYFUNCTION("""COMPUTED_VALUE"""),45819.66666666667)</f>
        <v>45819.66667</v>
      </c>
      <c r="B1184" s="1">
        <f>IFERROR(__xludf.DUMMYFUNCTION("""COMPUTED_VALUE"""),102.45)</f>
        <v>102.45</v>
      </c>
    </row>
    <row r="1185">
      <c r="A1185" s="2">
        <f>IFERROR(__xludf.DUMMYFUNCTION("""COMPUTED_VALUE"""),45820.66666666667)</f>
        <v>45820.66667</v>
      </c>
      <c r="B1185" s="1">
        <f>IFERROR(__xludf.DUMMYFUNCTION("""COMPUTED_VALUE"""),102.95)</f>
        <v>102.95</v>
      </c>
    </row>
    <row r="1186">
      <c r="A1186" s="2">
        <f>IFERROR(__xludf.DUMMYFUNCTION("""COMPUTED_VALUE"""),45821.66666666667)</f>
        <v>45821.66667</v>
      </c>
      <c r="B1186" s="1">
        <f>IFERROR(__xludf.DUMMYFUNCTION("""COMPUTED_VALUE"""),102.48)</f>
        <v>102.48</v>
      </c>
    </row>
    <row r="1187">
      <c r="A1187" s="2">
        <f>IFERROR(__xludf.DUMMYFUNCTION("""COMPUTED_VALUE"""),45824.66666666667)</f>
        <v>45824.66667</v>
      </c>
      <c r="B1187" s="1">
        <f>IFERROR(__xludf.DUMMYFUNCTION("""COMPUTED_VALUE"""),102.33)</f>
        <v>102.33</v>
      </c>
    </row>
    <row r="1188">
      <c r="A1188" s="2">
        <f>IFERROR(__xludf.DUMMYFUNCTION("""COMPUTED_VALUE"""),45825.66666666667)</f>
        <v>45825.66667</v>
      </c>
      <c r="B1188" s="1">
        <f>IFERROR(__xludf.DUMMYFUNCTION("""COMPUTED_VALUE"""),101.84)</f>
        <v>101.84</v>
      </c>
    </row>
    <row r="1189">
      <c r="A1189" s="2">
        <f>IFERROR(__xludf.DUMMYFUNCTION("""COMPUTED_VALUE"""),45826.66666666667)</f>
        <v>45826.66667</v>
      </c>
      <c r="B1189" s="1">
        <f>IFERROR(__xludf.DUMMYFUNCTION("""COMPUTED_VALUE"""),101.7)</f>
        <v>101.7</v>
      </c>
    </row>
    <row r="1190">
      <c r="A1190" s="2">
        <f>IFERROR(__xludf.DUMMYFUNCTION("""COMPUTED_VALUE"""),45827.66666666667)</f>
        <v>45827.66667</v>
      </c>
      <c r="B1190" s="1">
        <f>IFERROR(__xludf.DUMMYFUNCTION("""COMPUTED_VALUE"""),101.22)</f>
        <v>101.22</v>
      </c>
    </row>
    <row r="1191">
      <c r="A1191" s="2">
        <f>IFERROR(__xludf.DUMMYFUNCTION("""COMPUTED_VALUE"""),45828.66666666667)</f>
        <v>45828.66667</v>
      </c>
      <c r="B1191" s="1">
        <f>IFERROR(__xludf.DUMMYFUNCTION("""COMPUTED_VALUE"""),100.67)</f>
        <v>100.67</v>
      </c>
    </row>
    <row r="1192">
      <c r="A1192" s="2">
        <f>IFERROR(__xludf.DUMMYFUNCTION("""COMPUTED_VALUE"""),45831.66666666667)</f>
        <v>45831.66667</v>
      </c>
      <c r="B1192" s="1">
        <f>IFERROR(__xludf.DUMMYFUNCTION("""COMPUTED_VALUE"""),100.88)</f>
        <v>100.88</v>
      </c>
    </row>
    <row r="1193">
      <c r="A1193" s="2">
        <f>IFERROR(__xludf.DUMMYFUNCTION("""COMPUTED_VALUE"""),45832.66666666667)</f>
        <v>45832.66667</v>
      </c>
      <c r="B1193" s="1">
        <f>IFERROR(__xludf.DUMMYFUNCTION("""COMPUTED_VALUE"""),101.7)</f>
        <v>101.7</v>
      </c>
    </row>
    <row r="1194">
      <c r="A1194" s="2">
        <f>IFERROR(__xludf.DUMMYFUNCTION("""COMPUTED_VALUE"""),45833.66666666667)</f>
        <v>45833.66667</v>
      </c>
      <c r="B1194" s="1">
        <f>IFERROR(__xludf.DUMMYFUNCTION("""COMPUTED_VALUE"""),102.3)</f>
        <v>102.3</v>
      </c>
    </row>
    <row r="1195">
      <c r="A1195" s="2">
        <f>IFERROR(__xludf.DUMMYFUNCTION("""COMPUTED_VALUE"""),45834.66666666667)</f>
        <v>45834.66667</v>
      </c>
      <c r="B1195" s="1">
        <f>IFERROR(__xludf.DUMMYFUNCTION("""COMPUTED_VALUE"""),101.98)</f>
        <v>101.98</v>
      </c>
    </row>
    <row r="1196">
      <c r="A1196" s="2">
        <f>IFERROR(__xludf.DUMMYFUNCTION("""COMPUTED_VALUE"""),45835.66666666667)</f>
        <v>45835.66667</v>
      </c>
      <c r="B1196" s="1">
        <f>IFERROR(__xludf.DUMMYFUNCTION("""COMPUTED_VALUE"""),102.33)</f>
        <v>102.33</v>
      </c>
    </row>
    <row r="1197">
      <c r="A1197" s="2">
        <f>IFERROR(__xludf.DUMMYFUNCTION("""COMPUTED_VALUE"""),45838.66666666667)</f>
        <v>45838.66667</v>
      </c>
      <c r="B1197" s="1">
        <f>IFERROR(__xludf.DUMMYFUNCTION("""COMPUTED_VALUE"""),102.82)</f>
        <v>102.82</v>
      </c>
    </row>
    <row r="1198">
      <c r="A1198" s="2">
        <f>IFERROR(__xludf.DUMMYFUNCTION("""COMPUTED_VALUE"""),45839.66666666667)</f>
        <v>45839.66667</v>
      </c>
      <c r="B1198" s="1">
        <f>IFERROR(__xludf.DUMMYFUNCTION("""COMPUTED_VALUE"""),102.3)</f>
        <v>102.3</v>
      </c>
    </row>
    <row r="1199">
      <c r="A1199" s="2">
        <f>IFERROR(__xludf.DUMMYFUNCTION("""COMPUTED_VALUE"""),45840.66666666667)</f>
        <v>45840.66667</v>
      </c>
      <c r="B1199" s="1">
        <f>IFERROR(__xludf.DUMMYFUNCTION("""COMPUTED_VALUE"""),102.54)</f>
        <v>102.54</v>
      </c>
    </row>
    <row r="1200">
      <c r="A1200" s="2">
        <f>IFERROR(__xludf.DUMMYFUNCTION("""COMPUTED_VALUE"""),45841.66666666667)</f>
        <v>45841.66667</v>
      </c>
      <c r="B1200" s="1">
        <f>IFERROR(__xludf.DUMMYFUNCTION("""COMPUTED_VALUE"""),102.89)</f>
        <v>102.89</v>
      </c>
    </row>
    <row r="1201">
      <c r="A1201" s="2">
        <f>IFERROR(__xludf.DUMMYFUNCTION("""COMPUTED_VALUE"""),45842.66666666667)</f>
        <v>45842.66667</v>
      </c>
      <c r="B1201" s="1">
        <f>IFERROR(__xludf.DUMMYFUNCTION("""COMPUTED_VALUE"""),102.66)</f>
        <v>102.66</v>
      </c>
    </row>
    <row r="1202">
      <c r="A1202" s="2">
        <f>IFERROR(__xludf.DUMMYFUNCTION("""COMPUTED_VALUE"""),45845.66666666667)</f>
        <v>45845.66667</v>
      </c>
      <c r="B1202" s="1">
        <f>IFERROR(__xludf.DUMMYFUNCTION("""COMPUTED_VALUE"""),103.35)</f>
        <v>103.35</v>
      </c>
    </row>
    <row r="1203">
      <c r="A1203" s="2">
        <f>IFERROR(__xludf.DUMMYFUNCTION("""COMPUTED_VALUE"""),45846.66666666667)</f>
        <v>45846.66667</v>
      </c>
      <c r="B1203" s="1">
        <f>IFERROR(__xludf.DUMMYFUNCTION("""COMPUTED_VALUE"""),102.86)</f>
        <v>102.86</v>
      </c>
    </row>
    <row r="1204">
      <c r="A1204" s="2">
        <f>IFERROR(__xludf.DUMMYFUNCTION("""COMPUTED_VALUE"""),45847.66666666667)</f>
        <v>45847.66667</v>
      </c>
      <c r="B1204" s="1">
        <f>IFERROR(__xludf.DUMMYFUNCTION("""COMPUTED_VALUE"""),102.93)</f>
        <v>102.93</v>
      </c>
    </row>
    <row r="1205">
      <c r="A1205" s="2">
        <f>IFERROR(__xludf.DUMMYFUNCTION("""COMPUTED_VALUE"""),45848.66666666667)</f>
        <v>45848.66667</v>
      </c>
      <c r="B1205" s="1">
        <f>IFERROR(__xludf.DUMMYFUNCTION("""COMPUTED_VALUE"""),103.09)</f>
        <v>103.09</v>
      </c>
    </row>
    <row r="1206">
      <c r="A1206" s="2">
        <f>IFERROR(__xludf.DUMMYFUNCTION("""COMPUTED_VALUE"""),45849.66666666667)</f>
        <v>45849.66667</v>
      </c>
      <c r="B1206" s="1">
        <f>IFERROR(__xludf.DUMMYFUNCTION("""COMPUTED_VALUE"""),102.75)</f>
        <v>102.75</v>
      </c>
    </row>
    <row r="1207">
      <c r="A1207" s="2">
        <f>IFERROR(__xludf.DUMMYFUNCTION("""COMPUTED_VALUE"""),45852.66666666667)</f>
        <v>45852.66667</v>
      </c>
      <c r="B1207" s="1">
        <f>IFERROR(__xludf.DUMMYFUNCTION("""COMPUTED_VALUE"""),102.11)</f>
        <v>102.11</v>
      </c>
    </row>
    <row r="1208">
      <c r="A1208" s="2">
        <f>IFERROR(__xludf.DUMMYFUNCTION("""COMPUTED_VALUE"""),45853.66666666667)</f>
        <v>45853.66667</v>
      </c>
      <c r="B1208" s="1">
        <f>IFERROR(__xludf.DUMMYFUNCTION("""COMPUTED_VALUE"""),103.0)</f>
        <v>103</v>
      </c>
    </row>
    <row r="1209">
      <c r="A1209" s="2">
        <f>IFERROR(__xludf.DUMMYFUNCTION("""COMPUTED_VALUE"""),45854.66666666667)</f>
        <v>45854.66667</v>
      </c>
      <c r="B1209" s="1">
        <f>IFERROR(__xludf.DUMMYFUNCTION("""COMPUTED_VALUE"""),102.62)</f>
        <v>102.62</v>
      </c>
    </row>
    <row r="1210">
      <c r="A1210" s="2">
        <f>IFERROR(__xludf.DUMMYFUNCTION("""COMPUTED_VALUE"""),45855.66666666667)</f>
        <v>45855.66667</v>
      </c>
      <c r="B1210" s="1">
        <f>IFERROR(__xludf.DUMMYFUNCTION("""COMPUTED_VALUE"""),103.85)</f>
        <v>103.85</v>
      </c>
    </row>
    <row r="1211">
      <c r="A1211" s="2">
        <f>IFERROR(__xludf.DUMMYFUNCTION("""COMPUTED_VALUE"""),45856.66666666667)</f>
        <v>45856.66667</v>
      </c>
      <c r="B1211" s="1">
        <f>IFERROR(__xludf.DUMMYFUNCTION("""COMPUTED_VALUE"""),103.86)</f>
        <v>103.86</v>
      </c>
    </row>
    <row r="1212">
      <c r="A1212" s="2">
        <f>IFERROR(__xludf.DUMMYFUNCTION("""COMPUTED_VALUE"""),45859.66666666667)</f>
        <v>45859.66667</v>
      </c>
      <c r="B1212" s="1">
        <f>IFERROR(__xludf.DUMMYFUNCTION("""COMPUTED_VALUE"""),103.6)</f>
        <v>103.6</v>
      </c>
    </row>
    <row r="1213">
      <c r="A1213" s="2">
        <f>IFERROR(__xludf.DUMMYFUNCTION("""COMPUTED_VALUE"""),45860.66666666667)</f>
        <v>45860.66667</v>
      </c>
      <c r="B1213" s="1">
        <f>IFERROR(__xludf.DUMMYFUNCTION("""COMPUTED_VALUE"""),103.68)</f>
        <v>103.68</v>
      </c>
    </row>
    <row r="1214">
      <c r="A1214" s="2">
        <f>IFERROR(__xludf.DUMMYFUNCTION("""COMPUTED_VALUE"""),45861.66666666667)</f>
        <v>45861.66667</v>
      </c>
      <c r="B1214" s="1">
        <f>IFERROR(__xludf.DUMMYFUNCTION("""COMPUTED_VALUE"""),104.39)</f>
        <v>104.39</v>
      </c>
    </row>
    <row r="1215">
      <c r="A1215" s="2">
        <f>IFERROR(__xludf.DUMMYFUNCTION("""COMPUTED_VALUE"""),45862.66666666667)</f>
        <v>45862.66667</v>
      </c>
      <c r="B1215" s="1">
        <f>IFERROR(__xludf.DUMMYFUNCTION("""COMPUTED_VALUE"""),104.94)</f>
        <v>104.94</v>
      </c>
    </row>
    <row r="1216">
      <c r="A1216" s="2">
        <f>IFERROR(__xludf.DUMMYFUNCTION("""COMPUTED_VALUE"""),45863.66666666667)</f>
        <v>45863.66667</v>
      </c>
      <c r="B1216" s="1">
        <f>IFERROR(__xludf.DUMMYFUNCTION("""COMPUTED_VALUE"""),104.27)</f>
        <v>104.27</v>
      </c>
    </row>
    <row r="1217">
      <c r="A1217" s="2">
        <f>IFERROR(__xludf.DUMMYFUNCTION("""COMPUTED_VALUE"""),45866.66666666667)</f>
        <v>45866.66667</v>
      </c>
      <c r="B1217" s="1">
        <f>IFERROR(__xludf.DUMMYFUNCTION("""COMPUTED_VALUE"""),105.03)</f>
        <v>105.03</v>
      </c>
    </row>
    <row r="1218">
      <c r="A1218" s="2">
        <f>IFERROR(__xludf.DUMMYFUNCTION("""COMPUTED_VALUE"""),45867.66666666667)</f>
        <v>45867.66667</v>
      </c>
      <c r="B1218" s="1">
        <f>IFERROR(__xludf.DUMMYFUNCTION("""COMPUTED_VALUE"""),104.03)</f>
        <v>104.03</v>
      </c>
    </row>
    <row r="1219">
      <c r="A1219" s="2">
        <f>IFERROR(__xludf.DUMMYFUNCTION("""COMPUTED_VALUE"""),45868.66666666667)</f>
        <v>45868.66667</v>
      </c>
      <c r="B1219" s="1">
        <f>IFERROR(__xludf.DUMMYFUNCTION("""COMPUTED_VALUE"""),104.03)</f>
        <v>104.03</v>
      </c>
    </row>
    <row r="1220">
      <c r="A1220" s="2">
        <f>IFERROR(__xludf.DUMMYFUNCTION("""COMPUTED_VALUE"""),45869.66666666667)</f>
        <v>45869.66667</v>
      </c>
      <c r="B1220" s="1">
        <f>IFERROR(__xludf.DUMMYFUNCTION("""COMPUTED_VALUE"""),104.34)</f>
        <v>104.34</v>
      </c>
    </row>
    <row r="1221">
      <c r="A1221" s="2">
        <f>IFERROR(__xludf.DUMMYFUNCTION("""COMPUTED_VALUE"""),45870.66666666667)</f>
        <v>45870.66667</v>
      </c>
      <c r="B1221" s="1">
        <f>IFERROR(__xludf.DUMMYFUNCTION("""COMPUTED_VALUE"""),103.43)</f>
        <v>103.43</v>
      </c>
    </row>
    <row r="1222">
      <c r="A1222" s="2">
        <f>IFERROR(__xludf.DUMMYFUNCTION("""COMPUTED_VALUE"""),45873.66666666667)</f>
        <v>45873.66667</v>
      </c>
      <c r="B1222" s="1">
        <f>IFERROR(__xludf.DUMMYFUNCTION("""COMPUTED_VALUE"""),102.95)</f>
        <v>102.95</v>
      </c>
    </row>
    <row r="1223">
      <c r="A1223" s="2">
        <f>IFERROR(__xludf.DUMMYFUNCTION("""COMPUTED_VALUE"""),45874.66666666667)</f>
        <v>45874.66667</v>
      </c>
      <c r="B1223" s="1">
        <f>IFERROR(__xludf.DUMMYFUNCTION("""COMPUTED_VALUE"""),104.31)</f>
        <v>104.31</v>
      </c>
    </row>
    <row r="1224">
      <c r="A1224" s="2">
        <f>IFERROR(__xludf.DUMMYFUNCTION("""COMPUTED_VALUE"""),45875.66666666667)</f>
        <v>45875.66667</v>
      </c>
      <c r="B1224" s="1">
        <f>IFERROR(__xludf.DUMMYFUNCTION("""COMPUTED_VALUE"""),104.4)</f>
        <v>104.4</v>
      </c>
    </row>
    <row r="1225">
      <c r="A1225" s="2">
        <f>IFERROR(__xludf.DUMMYFUNCTION("""COMPUTED_VALUE"""),45876.66666666667)</f>
        <v>45876.66667</v>
      </c>
      <c r="B1225" s="1">
        <f>IFERROR(__xludf.DUMMYFUNCTION("""COMPUTED_VALUE"""),104.62)</f>
        <v>104.62</v>
      </c>
    </row>
    <row r="1226">
      <c r="A1226" s="2">
        <f>IFERROR(__xludf.DUMMYFUNCTION("""COMPUTED_VALUE"""),45877.66666666667)</f>
        <v>45877.66667</v>
      </c>
      <c r="B1226" s="1">
        <f>IFERROR(__xludf.DUMMYFUNCTION("""COMPUTED_VALUE"""),104.97)</f>
        <v>104.97</v>
      </c>
    </row>
    <row r="1227">
      <c r="A1227" s="2">
        <f>IFERROR(__xludf.DUMMYFUNCTION("""COMPUTED_VALUE"""),45880.66666666667)</f>
        <v>45880.66667</v>
      </c>
      <c r="B1227" s="1">
        <f>IFERROR(__xludf.DUMMYFUNCTION("""COMPUTED_VALUE"""),105.35)</f>
        <v>105.35</v>
      </c>
    </row>
    <row r="1228">
      <c r="A1228" s="2">
        <f>IFERROR(__xludf.DUMMYFUNCTION("""COMPUTED_VALUE"""),45881.66666666667)</f>
        <v>45881.66667</v>
      </c>
      <c r="B1228" s="1">
        <f>IFERROR(__xludf.DUMMYFUNCTION("""COMPUTED_VALUE"""),105.48)</f>
        <v>105.48</v>
      </c>
    </row>
    <row r="1229">
      <c r="A1229" s="2">
        <f>IFERROR(__xludf.DUMMYFUNCTION("""COMPUTED_VALUE"""),45882.66666666667)</f>
        <v>45882.66667</v>
      </c>
      <c r="B1229" s="1">
        <f>IFERROR(__xludf.DUMMYFUNCTION("""COMPUTED_VALUE"""),105.88)</f>
        <v>105.88</v>
      </c>
    </row>
    <row r="1230">
      <c r="A1230" s="2">
        <f>IFERROR(__xludf.DUMMYFUNCTION("""COMPUTED_VALUE"""),45883.66666666667)</f>
        <v>45883.66667</v>
      </c>
      <c r="B1230" s="1">
        <f>IFERROR(__xludf.DUMMYFUNCTION("""COMPUTED_VALUE"""),105.95)</f>
        <v>105.95</v>
      </c>
    </row>
    <row r="1231">
      <c r="A1231" s="2">
        <f>IFERROR(__xludf.DUMMYFUNCTION("""COMPUTED_VALUE"""),45884.66666666667)</f>
        <v>45884.66667</v>
      </c>
      <c r="B1231" s="1">
        <f>IFERROR(__xludf.DUMMYFUNCTION("""COMPUTED_VALUE"""),107.08)</f>
        <v>107.08</v>
      </c>
    </row>
    <row r="1232">
      <c r="A1232" s="2">
        <f>IFERROR(__xludf.DUMMYFUNCTION("""COMPUTED_VALUE"""),45887.66666666667)</f>
        <v>45887.66667</v>
      </c>
      <c r="B1232" s="1">
        <f>IFERROR(__xludf.DUMMYFUNCTION("""COMPUTED_VALUE"""),107.08)</f>
        <v>107.08</v>
      </c>
    </row>
    <row r="1233">
      <c r="A1233" s="2">
        <f>IFERROR(__xludf.DUMMYFUNCTION("""COMPUTED_VALUE"""),45888.66666666667)</f>
        <v>45888.66667</v>
      </c>
      <c r="B1233" s="1">
        <f>IFERROR(__xludf.DUMMYFUNCTION("""COMPUTED_VALUE"""),107.23)</f>
        <v>107.23</v>
      </c>
    </row>
    <row r="1234">
      <c r="A1234" s="2">
        <f>IFERROR(__xludf.DUMMYFUNCTION("""COMPUTED_VALUE"""),45889.66666666667)</f>
        <v>45889.66667</v>
      </c>
      <c r="B1234" s="1">
        <f>IFERROR(__xludf.DUMMYFUNCTION("""COMPUTED_VALUE"""),107.56)</f>
        <v>107.56</v>
      </c>
    </row>
    <row r="1235">
      <c r="A1235" s="2">
        <f>IFERROR(__xludf.DUMMYFUNCTION("""COMPUTED_VALUE"""),45890.66666666667)</f>
        <v>45890.66667</v>
      </c>
      <c r="B1235" s="1">
        <f>IFERROR(__xludf.DUMMYFUNCTION("""COMPUTED_VALUE"""),108.27)</f>
        <v>108.27</v>
      </c>
    </row>
    <row r="1236">
      <c r="A1236" s="2">
        <f>IFERROR(__xludf.DUMMYFUNCTION("""COMPUTED_VALUE"""),45891.66666666667)</f>
        <v>45891.66667</v>
      </c>
      <c r="B1236" s="1">
        <f>IFERROR(__xludf.DUMMYFUNCTION("""COMPUTED_VALUE"""),107.99)</f>
        <v>107.99</v>
      </c>
    </row>
    <row r="1237">
      <c r="A1237" s="2">
        <f>IFERROR(__xludf.DUMMYFUNCTION("""COMPUTED_VALUE"""),45894.66666666667)</f>
        <v>45894.66667</v>
      </c>
      <c r="B1237" s="1">
        <f>IFERROR(__xludf.DUMMYFUNCTION("""COMPUTED_VALUE"""),108.22)</f>
        <v>108.22</v>
      </c>
    </row>
    <row r="1238">
      <c r="A1238" s="2">
        <f>IFERROR(__xludf.DUMMYFUNCTION("""COMPUTED_VALUE"""),45895.66666666667)</f>
        <v>45895.66667</v>
      </c>
      <c r="B1238" s="1">
        <f>IFERROR(__xludf.DUMMYFUNCTION("""COMPUTED_VALUE"""),107.55)</f>
        <v>107.55</v>
      </c>
    </row>
    <row r="1239">
      <c r="A1239" s="2">
        <f>IFERROR(__xludf.DUMMYFUNCTION("""COMPUTED_VALUE"""),45896.66666666667)</f>
        <v>45896.66667</v>
      </c>
      <c r="B1239" s="1">
        <f>IFERROR(__xludf.DUMMYFUNCTION("""COMPUTED_VALUE"""),107.19)</f>
        <v>107.19</v>
      </c>
    </row>
    <row r="1240">
      <c r="A1240" s="2">
        <f>IFERROR(__xludf.DUMMYFUNCTION("""COMPUTED_VALUE"""),45897.66666666667)</f>
        <v>45897.66667</v>
      </c>
      <c r="B1240" s="1">
        <f>IFERROR(__xludf.DUMMYFUNCTION("""COMPUTED_VALUE"""),106.86)</f>
        <v>106.86</v>
      </c>
    </row>
    <row r="1241">
      <c r="A1241" s="2">
        <f>IFERROR(__xludf.DUMMYFUNCTION("""COMPUTED_VALUE"""),45898.66666666667)</f>
        <v>45898.66667</v>
      </c>
      <c r="B1241" s="1">
        <f>IFERROR(__xludf.DUMMYFUNCTION("""COMPUTED_VALUE"""),106.57)</f>
        <v>106.57</v>
      </c>
    </row>
    <row r="1242">
      <c r="A1242" s="2">
        <f>IFERROR(__xludf.DUMMYFUNCTION("""COMPUTED_VALUE"""),45901.66666666667)</f>
        <v>45901.66667</v>
      </c>
      <c r="B1242" s="1">
        <f>IFERROR(__xludf.DUMMYFUNCTION("""COMPUTED_VALUE"""),106.4)</f>
        <v>106.4</v>
      </c>
    </row>
    <row r="1243">
      <c r="A1243" s="2">
        <f>IFERROR(__xludf.DUMMYFUNCTION("""COMPUTED_VALUE"""),45902.66666666667)</f>
        <v>45902.66667</v>
      </c>
      <c r="B1243" s="1">
        <f>IFERROR(__xludf.DUMMYFUNCTION("""COMPUTED_VALUE"""),106.22)</f>
        <v>106.22</v>
      </c>
    </row>
    <row r="1244">
      <c r="A1244" s="2">
        <f>IFERROR(__xludf.DUMMYFUNCTION("""COMPUTED_VALUE"""),45903.66666666667)</f>
        <v>45903.66667</v>
      </c>
      <c r="B1244" s="1">
        <f>IFERROR(__xludf.DUMMYFUNCTION("""COMPUTED_VALUE"""),105.59)</f>
        <v>105.59</v>
      </c>
    </row>
    <row r="1245">
      <c r="A1245" s="2">
        <f>IFERROR(__xludf.DUMMYFUNCTION("""COMPUTED_VALUE"""),45904.66666666667)</f>
        <v>45904.66667</v>
      </c>
      <c r="B1245" s="1">
        <f>IFERROR(__xludf.DUMMYFUNCTION("""COMPUTED_VALUE"""),106.0)</f>
        <v>106</v>
      </c>
    </row>
    <row r="1246">
      <c r="A1246" s="2">
        <f>IFERROR(__xludf.DUMMYFUNCTION("""COMPUTED_VALUE"""),45905.66666666667)</f>
        <v>45905.66667</v>
      </c>
      <c r="B1246" s="1">
        <f>IFERROR(__xludf.DUMMYFUNCTION("""COMPUTED_VALUE"""),106.55)</f>
        <v>106.55</v>
      </c>
    </row>
    <row r="1247">
      <c r="A1247" s="2">
        <f>IFERROR(__xludf.DUMMYFUNCTION("""COMPUTED_VALUE"""),45908.66666666667)</f>
        <v>45908.66667</v>
      </c>
      <c r="B1247" s="1">
        <f>IFERROR(__xludf.DUMMYFUNCTION("""COMPUTED_VALUE"""),106.65)</f>
        <v>106.65</v>
      </c>
    </row>
    <row r="1248">
      <c r="A1248" s="2">
        <f>IFERROR(__xludf.DUMMYFUNCTION("""COMPUTED_VALUE"""),45909.66666666667)</f>
        <v>45909.66667</v>
      </c>
      <c r="B1248" s="1">
        <f>IFERROR(__xludf.DUMMYFUNCTION("""COMPUTED_VALUE"""),106.63)</f>
        <v>106.63</v>
      </c>
    </row>
    <row r="1249">
      <c r="A1249" s="2">
        <f>IFERROR(__xludf.DUMMYFUNCTION("""COMPUTED_VALUE"""),45910.66666666667)</f>
        <v>45910.66667</v>
      </c>
      <c r="B1249" s="1">
        <f>IFERROR(__xludf.DUMMYFUNCTION("""COMPUTED_VALUE"""),107.03)</f>
        <v>107.03</v>
      </c>
    </row>
    <row r="1250">
      <c r="A1250" s="2">
        <f>IFERROR(__xludf.DUMMYFUNCTION("""COMPUTED_VALUE"""),45911.66666666667)</f>
        <v>45911.66667</v>
      </c>
      <c r="B1250" s="1">
        <f>IFERROR(__xludf.DUMMYFUNCTION("""COMPUTED_VALUE"""),106.9)</f>
        <v>106.9</v>
      </c>
    </row>
    <row r="1251">
      <c r="A1251" s="2">
        <f>IFERROR(__xludf.DUMMYFUNCTION("""COMPUTED_VALUE"""),45912.66666666667)</f>
        <v>45912.66667</v>
      </c>
      <c r="B1251" s="1">
        <f>IFERROR(__xludf.DUMMYFUNCTION("""COMPUTED_VALUE"""),107.16)</f>
        <v>107.16</v>
      </c>
    </row>
    <row r="1252">
      <c r="A1252" s="2">
        <f>IFERROR(__xludf.DUMMYFUNCTION("""COMPUTED_VALUE"""),45915.66666666667)</f>
        <v>45915.66667</v>
      </c>
      <c r="B1252" s="1">
        <f>IFERROR(__xludf.DUMMYFUNCTION("""COMPUTED_VALUE"""),107.04)</f>
        <v>107.04</v>
      </c>
    </row>
    <row r="1253">
      <c r="A1253" s="2">
        <f>IFERROR(__xludf.DUMMYFUNCTION("""COMPUTED_VALUE"""),45916.66666666667)</f>
        <v>45916.66667</v>
      </c>
      <c r="B1253" s="1">
        <f>IFERROR(__xludf.DUMMYFUNCTION("""COMPUTED_VALUE"""),107.75)</f>
        <v>107.75</v>
      </c>
    </row>
    <row r="1254">
      <c r="A1254" s="2">
        <f>IFERROR(__xludf.DUMMYFUNCTION("""COMPUTED_VALUE"""),45917.66666666667)</f>
        <v>45917.66667</v>
      </c>
      <c r="B1254" s="1">
        <f>IFERROR(__xludf.DUMMYFUNCTION("""COMPUTED_VALUE"""),107.53)</f>
        <v>107.53</v>
      </c>
    </row>
    <row r="1255">
      <c r="A1255" s="2">
        <f>IFERROR(__xludf.DUMMYFUNCTION("""COMPUTED_VALUE"""),45918.66666666667)</f>
        <v>45918.66667</v>
      </c>
      <c r="B1255" s="1">
        <f>IFERROR(__xludf.DUMMYFUNCTION("""COMPUTED_VALUE"""),107.96)</f>
        <v>107.96</v>
      </c>
    </row>
    <row r="1256">
      <c r="A1256" s="2">
        <f>IFERROR(__xludf.DUMMYFUNCTION("""COMPUTED_VALUE"""),45919.66666666667)</f>
        <v>45919.66667</v>
      </c>
      <c r="B1256" s="1">
        <f>IFERROR(__xludf.DUMMYFUNCTION("""COMPUTED_VALUE"""),107.91)</f>
        <v>107.91</v>
      </c>
    </row>
    <row r="1257">
      <c r="A1257" s="2">
        <f>IFERROR(__xludf.DUMMYFUNCTION("""COMPUTED_VALUE"""),45922.66666666667)</f>
        <v>45922.66667</v>
      </c>
      <c r="B1257" s="1">
        <f>IFERROR(__xludf.DUMMYFUNCTION("""COMPUTED_VALUE"""),108.04)</f>
        <v>108.04</v>
      </c>
    </row>
    <row r="1258">
      <c r="A1258" s="2">
        <f>IFERROR(__xludf.DUMMYFUNCTION("""COMPUTED_VALUE"""),45923.66666666667)</f>
        <v>45923.66667</v>
      </c>
      <c r="B1258" s="1">
        <f>IFERROR(__xludf.DUMMYFUNCTION("""COMPUTED_VALUE"""),108.36)</f>
        <v>108.36</v>
      </c>
    </row>
    <row r="1259">
      <c r="A1259" s="2">
        <f>IFERROR(__xludf.DUMMYFUNCTION("""COMPUTED_VALUE"""),45924.66666666667)</f>
        <v>45924.66667</v>
      </c>
      <c r="B1259" s="1">
        <f>IFERROR(__xludf.DUMMYFUNCTION("""COMPUTED_VALUE"""),107.78)</f>
        <v>107.78</v>
      </c>
    </row>
    <row r="1260">
      <c r="A1260" s="2">
        <f>IFERROR(__xludf.DUMMYFUNCTION("""COMPUTED_VALUE"""),45925.66666666667)</f>
        <v>45925.66667</v>
      </c>
      <c r="B1260" s="1">
        <f>IFERROR(__xludf.DUMMYFUNCTION("""COMPUTED_VALUE"""),108.05)</f>
        <v>108.05</v>
      </c>
    </row>
    <row r="1261">
      <c r="A1261" s="2">
        <f>IFERROR(__xludf.DUMMYFUNCTION("""COMPUTED_VALUE"""),45926.66666666667)</f>
        <v>45926.66667</v>
      </c>
      <c r="B1261" s="1">
        <f>IFERROR(__xludf.DUMMYFUNCTION("""COMPUTED_VALUE"""),107.69)</f>
        <v>107.69</v>
      </c>
    </row>
    <row r="1262">
      <c r="A1262" s="2">
        <f>IFERROR(__xludf.DUMMYFUNCTION("""COMPUTED_VALUE"""),45929.66666666667)</f>
        <v>45929.66667</v>
      </c>
      <c r="B1262" s="1">
        <f>IFERROR(__xludf.DUMMYFUNCTION("""COMPUTED_VALUE"""),108.27)</f>
        <v>108.27</v>
      </c>
    </row>
    <row r="1263">
      <c r="A1263" s="2">
        <f>IFERROR(__xludf.DUMMYFUNCTION("""COMPUTED_VALUE"""),45930.66666666667)</f>
        <v>45930.66667</v>
      </c>
      <c r="B1263" s="1">
        <f>IFERROR(__xludf.DUMMYFUNCTION("""COMPUTED_VALUE"""),107.84)</f>
        <v>107.84</v>
      </c>
    </row>
    <row r="1264">
      <c r="A1264" s="2">
        <f>IFERROR(__xludf.DUMMYFUNCTION("""COMPUTED_VALUE"""),45931.66666666667)</f>
        <v>45931.66667</v>
      </c>
      <c r="B1264" s="1">
        <f>IFERROR(__xludf.DUMMYFUNCTION("""COMPUTED_VALUE"""),108.17)</f>
        <v>108.17</v>
      </c>
    </row>
    <row r="1265">
      <c r="A1265" s="2">
        <f>IFERROR(__xludf.DUMMYFUNCTION("""COMPUTED_VALUE"""),45932.66666666667)</f>
        <v>45932.66667</v>
      </c>
      <c r="B1265" s="1">
        <f>IFERROR(__xludf.DUMMYFUNCTION("""COMPUTED_VALUE"""),109.15)</f>
        <v>109.15</v>
      </c>
    </row>
    <row r="1266">
      <c r="A1266" s="2">
        <f>IFERROR(__xludf.DUMMYFUNCTION("""COMPUTED_VALUE"""),45933.66666666667)</f>
        <v>45933.66667</v>
      </c>
      <c r="B1266" s="1">
        <f>IFERROR(__xludf.DUMMYFUNCTION("""COMPUTED_VALUE"""),109.74)</f>
        <v>109.74</v>
      </c>
    </row>
    <row r="1267">
      <c r="A1267" s="2">
        <f>IFERROR(__xludf.DUMMYFUNCTION("""COMPUTED_VALUE"""),45936.66666666667)</f>
        <v>45936.66667</v>
      </c>
      <c r="B1267" s="1">
        <f>IFERROR(__xludf.DUMMYFUNCTION("""COMPUTED_VALUE"""),110.12)</f>
        <v>110.12</v>
      </c>
    </row>
    <row r="1268">
      <c r="A1268" s="2">
        <f>IFERROR(__xludf.DUMMYFUNCTION("""COMPUTED_VALUE"""),45937.66666666667)</f>
        <v>45937.66667</v>
      </c>
      <c r="B1268" s="1">
        <f>IFERROR(__xludf.DUMMYFUNCTION("""COMPUTED_VALUE"""),110.24)</f>
        <v>110.24</v>
      </c>
    </row>
    <row r="1269">
      <c r="A1269" s="2">
        <f>IFERROR(__xludf.DUMMYFUNCTION("""COMPUTED_VALUE"""),45938.66666666667)</f>
        <v>45938.66667</v>
      </c>
      <c r="B1269" s="1">
        <f>IFERROR(__xludf.DUMMYFUNCTION("""COMPUTED_VALUE"""),110.0)</f>
        <v>110</v>
      </c>
    </row>
    <row r="1270">
      <c r="A1270" s="2">
        <f>IFERROR(__xludf.DUMMYFUNCTION("""COMPUTED_VALUE"""),45939.66666666667)</f>
        <v>45939.66667</v>
      </c>
      <c r="B1270" s="1">
        <f>IFERROR(__xludf.DUMMYFUNCTION("""COMPUTED_VALUE"""),109.86)</f>
        <v>109.86</v>
      </c>
    </row>
    <row r="1271">
      <c r="A1271" s="2">
        <f>IFERROR(__xludf.DUMMYFUNCTION("""COMPUTED_VALUE"""),45940.66666666667)</f>
        <v>45940.66667</v>
      </c>
      <c r="B1271" s="1">
        <f>IFERROR(__xludf.DUMMYFUNCTION("""COMPUTED_VALUE"""),109.59)</f>
        <v>109.59</v>
      </c>
    </row>
    <row r="1272">
      <c r="A1272" s="2">
        <f>IFERROR(__xludf.DUMMYFUNCTION("""COMPUTED_VALUE"""),45943.66666666667)</f>
        <v>45943.66667</v>
      </c>
      <c r="B1272" s="1">
        <f>IFERROR(__xludf.DUMMYFUNCTION("""COMPUTED_VALUE"""),108.99)</f>
        <v>108.99</v>
      </c>
    </row>
    <row r="1273">
      <c r="A1273" s="2">
        <f>IFERROR(__xludf.DUMMYFUNCTION("""COMPUTED_VALUE"""),45944.66666666667)</f>
        <v>45944.66667</v>
      </c>
      <c r="B1273" s="1">
        <f>IFERROR(__xludf.DUMMYFUNCTION("""COMPUTED_VALUE"""),109.49)</f>
        <v>109.49</v>
      </c>
    </row>
    <row r="1274">
      <c r="A1274" s="2">
        <f>IFERROR(__xludf.DUMMYFUNCTION("""COMPUTED_VALUE"""),45945.66666666667)</f>
        <v>45945.66667</v>
      </c>
      <c r="B1274" s="1">
        <f>IFERROR(__xludf.DUMMYFUNCTION("""COMPUTED_VALUE"""),110.32)</f>
        <v>110.32</v>
      </c>
    </row>
    <row r="1275">
      <c r="A1275" s="2">
        <f>IFERROR(__xludf.DUMMYFUNCTION("""COMPUTED_VALUE"""),45946.66666666667)</f>
        <v>45946.66667</v>
      </c>
      <c r="B1275" s="1">
        <f>IFERROR(__xludf.DUMMYFUNCTION("""COMPUTED_VALUE"""),111.24)</f>
        <v>111.24</v>
      </c>
    </row>
    <row r="1276">
      <c r="A1276" s="2">
        <f>IFERROR(__xludf.DUMMYFUNCTION("""COMPUTED_VALUE"""),45947.66666666667)</f>
        <v>45947.66667</v>
      </c>
      <c r="B1276" s="1">
        <f>IFERROR(__xludf.DUMMYFUNCTION("""COMPUTED_VALUE"""),111.48)</f>
        <v>111.48</v>
      </c>
    </row>
    <row r="1277">
      <c r="A1277" s="2">
        <f>IFERROR(__xludf.DUMMYFUNCTION("""COMPUTED_VALUE"""),45950.66666666667)</f>
        <v>45950.66667</v>
      </c>
      <c r="B1277" s="1">
        <f>IFERROR(__xludf.DUMMYFUNCTION("""COMPUTED_VALUE"""),111.79)</f>
        <v>111.79</v>
      </c>
    </row>
    <row r="1278">
      <c r="A1278" s="2">
        <f>IFERROR(__xludf.DUMMYFUNCTION("""COMPUTED_VALUE"""),45951.66666666667)</f>
        <v>45951.66667</v>
      </c>
      <c r="B1278" s="1">
        <f>IFERROR(__xludf.DUMMYFUNCTION("""COMPUTED_VALUE"""),112.34)</f>
        <v>112.34</v>
      </c>
    </row>
    <row r="1279">
      <c r="A1279" s="2">
        <f>IFERROR(__xludf.DUMMYFUNCTION("""COMPUTED_VALUE"""),45952.66666666667)</f>
        <v>45952.66667</v>
      </c>
      <c r="B1279" s="1">
        <f>IFERROR(__xludf.DUMMYFUNCTION("""COMPUTED_VALUE"""),111.75)</f>
        <v>111.75</v>
      </c>
    </row>
    <row r="1280">
      <c r="A1280" s="2">
        <f>IFERROR(__xludf.DUMMYFUNCTION("""COMPUTED_VALUE"""),45953.66666666667)</f>
        <v>45953.66667</v>
      </c>
      <c r="B1280" s="1">
        <f>IFERROR(__xludf.DUMMYFUNCTION("""COMPUTED_VALUE"""),111.56)</f>
        <v>111.56</v>
      </c>
    </row>
    <row r="1281">
      <c r="A1281" s="2">
        <f>IFERROR(__xludf.DUMMYFUNCTION("""COMPUTED_VALUE"""),45954.66666666667)</f>
        <v>45954.66667</v>
      </c>
      <c r="B1281" s="1">
        <f>IFERROR(__xludf.DUMMYFUNCTION("""COMPUTED_VALUE"""),112.18)</f>
        <v>112.18</v>
      </c>
    </row>
    <row r="1282">
      <c r="A1282" s="2">
        <f>IFERROR(__xludf.DUMMYFUNCTION("""COMPUTED_VALUE"""),45957.66666666667)</f>
        <v>45957.66667</v>
      </c>
      <c r="B1282" s="1">
        <f>IFERROR(__xludf.DUMMYFUNCTION("""COMPUTED_VALUE"""),112.58)</f>
        <v>112.58</v>
      </c>
    </row>
    <row r="1283">
      <c r="A1283" s="2">
        <f>IFERROR(__xludf.DUMMYFUNCTION("""COMPUTED_VALUE"""),45958.66666666667)</f>
        <v>45958.66667</v>
      </c>
      <c r="B1283" s="1">
        <f>IFERROR(__xludf.DUMMYFUNCTION("""COMPUTED_VALUE"""),112.04)</f>
        <v>112.04</v>
      </c>
    </row>
    <row r="1284">
      <c r="A1284" s="2">
        <f>IFERROR(__xludf.DUMMYFUNCTION("""COMPUTED_VALUE"""),45959.66666666667)</f>
        <v>45959.66667</v>
      </c>
      <c r="B1284" s="1">
        <f>IFERROR(__xludf.DUMMYFUNCTION("""COMPUTED_VALUE"""),111.45)</f>
        <v>111.45</v>
      </c>
    </row>
    <row r="1285">
      <c r="A1285" s="2">
        <f>IFERROR(__xludf.DUMMYFUNCTION("""COMPUTED_VALUE"""),45960.66666666667)</f>
        <v>45960.66667</v>
      </c>
      <c r="B1285" s="1">
        <f>IFERROR(__xludf.DUMMYFUNCTION("""COMPUTED_VALUE"""),111.25)</f>
        <v>111.25</v>
      </c>
    </row>
    <row r="1286">
      <c r="A1286" s="2">
        <f>IFERROR(__xludf.DUMMYFUNCTION("""COMPUTED_VALUE"""),45961.66666666667)</f>
        <v>45961.66667</v>
      </c>
      <c r="B1286" s="1">
        <f>IFERROR(__xludf.DUMMYFUNCTION("""COMPUTED_VALUE"""),111.46)</f>
        <v>111.46</v>
      </c>
    </row>
    <row r="1287">
      <c r="A1287" s="2">
        <f>IFERROR(__xludf.DUMMYFUNCTION("""COMPUTED_VALUE"""),45965.66666666667)</f>
        <v>45965.66667</v>
      </c>
      <c r="B1287" s="1">
        <f>IFERROR(__xludf.DUMMYFUNCTION("""COMPUTED_VALUE"""),111.29)</f>
        <v>111.29</v>
      </c>
    </row>
    <row r="1288">
      <c r="A1288" s="2">
        <f>IFERROR(__xludf.DUMMYFUNCTION("""COMPUTED_VALUE"""),45966.66666666667)</f>
        <v>45966.66667</v>
      </c>
      <c r="B1288" s="1">
        <f>IFERROR(__xludf.DUMMYFUNCTION("""COMPUTED_VALUE"""),110.5)</f>
        <v>110.5</v>
      </c>
    </row>
    <row r="1289">
      <c r="A1289" s="2">
        <f>IFERROR(__xludf.DUMMYFUNCTION("""COMPUTED_VALUE"""),45967.66666666667)</f>
        <v>45967.66667</v>
      </c>
      <c r="B1289" s="1">
        <f>IFERROR(__xludf.DUMMYFUNCTION("""COMPUTED_VALUE"""),111.55)</f>
        <v>111.55</v>
      </c>
    </row>
    <row r="1290">
      <c r="A1290" s="2">
        <f>IFERROR(__xludf.DUMMYFUNCTION("""COMPUTED_VALUE"""),45968.66666666667)</f>
        <v>45968.66667</v>
      </c>
      <c r="B1290" s="1">
        <f>IFERROR(__xludf.DUMMYFUNCTION("""COMPUTED_VALUE"""),111.34)</f>
        <v>111.34</v>
      </c>
    </row>
    <row r="1291">
      <c r="A1291" s="2">
        <f>IFERROR(__xludf.DUMMYFUNCTION("""COMPUTED_VALUE"""),45971.66666666667)</f>
        <v>45971.66667</v>
      </c>
      <c r="B1291" s="1">
        <f>IFERROR(__xludf.DUMMYFUNCTION("""COMPUTED_VALUE"""),111.58)</f>
        <v>111.58</v>
      </c>
    </row>
    <row r="1292">
      <c r="A1292" s="2">
        <f>IFERROR(__xludf.DUMMYFUNCTION("""COMPUTED_VALUE"""),45972.66666666667)</f>
        <v>45972.66667</v>
      </c>
      <c r="B1292" s="1">
        <f>IFERROR(__xludf.DUMMYFUNCTION("""COMPUTED_VALUE"""),111.74)</f>
        <v>111.74</v>
      </c>
    </row>
    <row r="1293">
      <c r="A1293" s="2">
        <f>IFERROR(__xludf.DUMMYFUNCTION("""COMPUTED_VALUE"""),45973.66666666667)</f>
        <v>45973.66667</v>
      </c>
      <c r="B1293" s="1">
        <f>IFERROR(__xludf.DUMMYFUNCTION("""COMPUTED_VALUE"""),112.95)</f>
        <v>112.95</v>
      </c>
    </row>
    <row r="1294">
      <c r="A1294" s="2">
        <f>IFERROR(__xludf.DUMMYFUNCTION("""COMPUTED_VALUE"""),45974.66666666667)</f>
        <v>45974.66667</v>
      </c>
      <c r="B1294" s="1">
        <f>IFERROR(__xludf.DUMMYFUNCTION("""COMPUTED_VALUE"""),112.97)</f>
        <v>112.97</v>
      </c>
    </row>
    <row r="1295">
      <c r="A1295" s="2">
        <f>IFERROR(__xludf.DUMMYFUNCTION("""COMPUTED_VALUE"""),45975.66666666667)</f>
        <v>45975.66667</v>
      </c>
      <c r="B1295" s="1">
        <f>IFERROR(__xludf.DUMMYFUNCTION("""COMPUTED_VALUE"""),112.31)</f>
        <v>112.31</v>
      </c>
    </row>
    <row r="1296">
      <c r="A1296" s="2">
        <f>IFERROR(__xludf.DUMMYFUNCTION("""COMPUTED_VALUE"""),45978.66666666667)</f>
        <v>45978.66667</v>
      </c>
      <c r="B1296" s="1">
        <f>IFERROR(__xludf.DUMMYFUNCTION("""COMPUTED_VALUE"""),111.93)</f>
        <v>111.93</v>
      </c>
    </row>
    <row r="1297">
      <c r="A1297" s="2">
        <f>IFERROR(__xludf.DUMMYFUNCTION("""COMPUTED_VALUE"""),45979.66666666667)</f>
        <v>45979.66667</v>
      </c>
      <c r="B1297" s="1">
        <f>IFERROR(__xludf.DUMMYFUNCTION("""COMPUTED_VALUE"""),110.69)</f>
        <v>110.69</v>
      </c>
    </row>
    <row r="1298">
      <c r="A1298" s="2">
        <f>IFERROR(__xludf.DUMMYFUNCTION("""COMPUTED_VALUE"""),45980.66666666667)</f>
        <v>45980.66667</v>
      </c>
      <c r="B1298" s="1">
        <f>IFERROR(__xludf.DUMMYFUNCTION("""COMPUTED_VALUE"""),110.16)</f>
        <v>110.16</v>
      </c>
    </row>
    <row r="1299">
      <c r="A1299" s="2">
        <f>IFERROR(__xludf.DUMMYFUNCTION("""COMPUTED_VALUE"""),45981.66666666667)</f>
        <v>45981.66667</v>
      </c>
      <c r="B1299" s="1">
        <f>IFERROR(__xludf.DUMMYFUNCTION("""COMPUTED_VALUE"""),110.67)</f>
        <v>110.67</v>
      </c>
    </row>
    <row r="1300">
      <c r="A1300" s="2">
        <f>IFERROR(__xludf.DUMMYFUNCTION("""COMPUTED_VALUE"""),45982.66666666667)</f>
        <v>45982.66667</v>
      </c>
      <c r="B1300" s="1">
        <f>IFERROR(__xludf.DUMMYFUNCTION("""COMPUTED_VALUE"""),109.72)</f>
        <v>109.72</v>
      </c>
    </row>
    <row r="1301">
      <c r="A1301" s="2">
        <f>IFERROR(__xludf.DUMMYFUNCTION("""COMPUTED_VALUE"""),45985.66666666667)</f>
        <v>45985.66667</v>
      </c>
      <c r="B1301" s="1">
        <f>IFERROR(__xludf.DUMMYFUNCTION("""COMPUTED_VALUE"""),110.24)</f>
        <v>110.24</v>
      </c>
    </row>
    <row r="1302">
      <c r="A1302" s="2">
        <f>IFERROR(__xludf.DUMMYFUNCTION("""COMPUTED_VALUE"""),45986.66666666667)</f>
        <v>45986.66667</v>
      </c>
      <c r="B1302" s="1">
        <f>IFERROR(__xludf.DUMMYFUNCTION("""COMPUTED_VALUE"""),110.27)</f>
        <v>110.27</v>
      </c>
    </row>
    <row r="1303">
      <c r="A1303" s="2">
        <f>IFERROR(__xludf.DUMMYFUNCTION("""COMPUTED_VALUE"""),45987.66666666667)</f>
        <v>45987.66667</v>
      </c>
      <c r="B1303" s="1">
        <f>IFERROR(__xludf.DUMMYFUNCTION("""COMPUTED_VALUE"""),111.21)</f>
        <v>111.21</v>
      </c>
    </row>
    <row r="1304">
      <c r="A1304" s="2">
        <f>IFERROR(__xludf.DUMMYFUNCTION("""COMPUTED_VALUE"""),45988.66666666667)</f>
        <v>45988.66667</v>
      </c>
      <c r="B1304" s="1">
        <f>IFERROR(__xludf.DUMMYFUNCTION("""COMPUTED_VALUE"""),111.45)</f>
        <v>111.45</v>
      </c>
    </row>
    <row r="1305">
      <c r="A1305" s="2">
        <f>IFERROR(__xludf.DUMMYFUNCTION("""COMPUTED_VALUE"""),45989.66666666667)</f>
        <v>45989.66667</v>
      </c>
      <c r="B1305" s="1">
        <f>IFERROR(__xludf.DUMMYFUNCTION("""COMPUTED_VALUE"""),111.57)</f>
        <v>111.57</v>
      </c>
    </row>
    <row r="1306">
      <c r="A1306" s="2">
        <f>IFERROR(__xludf.DUMMYFUNCTION("""COMPUTED_VALUE"""),45992.66666666667)</f>
        <v>45992.66667</v>
      </c>
      <c r="B1306" s="1">
        <f>IFERROR(__xludf.DUMMYFUNCTION("""COMPUTED_VALUE"""),110.85)</f>
        <v>110.85</v>
      </c>
    </row>
    <row r="1307">
      <c r="A1307" s="2">
        <f>IFERROR(__xludf.DUMMYFUNCTION("""COMPUTED_VALUE"""),45993.66666666667)</f>
        <v>45993.66667</v>
      </c>
      <c r="B1307" s="1">
        <f>IFERROR(__xludf.DUMMYFUNCTION("""COMPUTED_VALUE"""),111.0)</f>
        <v>111</v>
      </c>
    </row>
    <row r="1308">
      <c r="A1308" s="2">
        <f>IFERROR(__xludf.DUMMYFUNCTION("""COMPUTED_VALUE"""),45994.66666666667)</f>
        <v>45994.66667</v>
      </c>
      <c r="B1308" s="1">
        <f>IFERROR(__xludf.DUMMYFUNCTION("""COMPUTED_VALUE"""),110.8)</f>
        <v>110.8</v>
      </c>
    </row>
    <row r="1309">
      <c r="A1309" s="2">
        <f>IFERROR(__xludf.DUMMYFUNCTION("""COMPUTED_VALUE"""),45995.66666666667)</f>
        <v>45995.66667</v>
      </c>
      <c r="B1309" s="1">
        <f>IFERROR(__xludf.DUMMYFUNCTION("""COMPUTED_VALUE"""),110.85)</f>
        <v>110.85</v>
      </c>
    </row>
    <row r="1310">
      <c r="A1310" s="2">
        <f>IFERROR(__xludf.DUMMYFUNCTION("""COMPUTED_VALUE"""),45996.66666666667)</f>
        <v>45996.66667</v>
      </c>
      <c r="B1310" s="1">
        <f>IFERROR(__xludf.DUMMYFUNCTION("""COMPUTED_VALUE"""),111.04)</f>
        <v>111.04</v>
      </c>
    </row>
    <row r="1311">
      <c r="A1311" s="2">
        <f>IFERROR(__xludf.DUMMYFUNCTION("""COMPUTED_VALUE"""),45999.66666666667)</f>
        <v>45999.66667</v>
      </c>
      <c r="B1311" s="1">
        <f>IFERROR(__xludf.DUMMYFUNCTION("""COMPUTED_VALUE"""),110.87)</f>
        <v>110.87</v>
      </c>
    </row>
    <row r="1312">
      <c r="A1312" s="2">
        <f>IFERROR(__xludf.DUMMYFUNCTION("""COMPUTED_VALUE"""),46000.66666666667)</f>
        <v>46000.66667</v>
      </c>
      <c r="B1312" s="1">
        <f>IFERROR(__xludf.DUMMYFUNCTION("""COMPUTED_VALUE"""),110.34)</f>
        <v>110.34</v>
      </c>
    </row>
    <row r="1313">
      <c r="A1313" s="2">
        <f>IFERROR(__xludf.DUMMYFUNCTION("""COMPUTED_VALUE"""),46001.66666666667)</f>
        <v>46001.66667</v>
      </c>
      <c r="B1313" s="1">
        <f>IFERROR(__xludf.DUMMYFUNCTION("""COMPUTED_VALUE"""),110.27)</f>
        <v>110.27</v>
      </c>
    </row>
    <row r="1314">
      <c r="A1314" s="2">
        <f>IFERROR(__xludf.DUMMYFUNCTION("""COMPUTED_VALUE"""),46002.66666666667)</f>
        <v>46002.66667</v>
      </c>
      <c r="B1314" s="1">
        <f>IFERROR(__xludf.DUMMYFUNCTION("""COMPUTED_VALUE"""),110.53)</f>
        <v>110.53</v>
      </c>
    </row>
    <row r="1315">
      <c r="A1315" s="2">
        <f>IFERROR(__xludf.DUMMYFUNCTION("""COMPUTED_VALUE"""),46003.66666666667)</f>
        <v>46003.66667</v>
      </c>
      <c r="B1315" s="1">
        <f>IFERROR(__xludf.DUMMYFUNCTION("""COMPUTED_VALUE"""),111.55)</f>
        <v>111.55</v>
      </c>
    </row>
    <row r="1316">
      <c r="A1316" s="2">
        <f>IFERROR(__xludf.DUMMYFUNCTION("""COMPUTED_VALUE"""),46006.66666666667)</f>
        <v>46006.66667</v>
      </c>
      <c r="B1316" s="1">
        <f>IFERROR(__xludf.DUMMYFUNCTION("""COMPUTED_VALUE"""),111.47)</f>
        <v>111.47</v>
      </c>
    </row>
    <row r="1317">
      <c r="A1317" s="2">
        <f>IFERROR(__xludf.DUMMYFUNCTION("""COMPUTED_VALUE"""),46007.66666666667)</f>
        <v>46007.66667</v>
      </c>
      <c r="B1317" s="1">
        <f>IFERROR(__xludf.DUMMYFUNCTION("""COMPUTED_VALUE"""),110.87)</f>
        <v>110.87</v>
      </c>
    </row>
    <row r="1318">
      <c r="A1318" s="2">
        <f>IFERROR(__xludf.DUMMYFUNCTION("""COMPUTED_VALUE"""),46008.66666666667)</f>
        <v>46008.66667</v>
      </c>
      <c r="B1318" s="1">
        <f>IFERROR(__xludf.DUMMYFUNCTION("""COMPUTED_VALUE"""),110.86)</f>
        <v>110.86</v>
      </c>
    </row>
    <row r="1319">
      <c r="A1319" s="2">
        <f>IFERROR(__xludf.DUMMYFUNCTION("""COMPUTED_VALUE"""),46009.66666666667)</f>
        <v>46009.66667</v>
      </c>
      <c r="B1319" s="1">
        <f>IFERROR(__xludf.DUMMYFUNCTION("""COMPUTED_VALUE"""),111.05)</f>
        <v>111.05</v>
      </c>
    </row>
    <row r="1320">
      <c r="A1320" s="2">
        <f>IFERROR(__xludf.DUMMYFUNCTION("""COMPUTED_VALUE"""),46010.66666666667)</f>
        <v>46010.66667</v>
      </c>
      <c r="B1320" s="1">
        <f>IFERROR(__xludf.DUMMYFUNCTION("""COMPUTED_VALUE"""),109.66)</f>
        <v>109.66</v>
      </c>
    </row>
    <row r="1321">
      <c r="A1321" s="2">
        <f>IFERROR(__xludf.DUMMYFUNCTION("""COMPUTED_VALUE"""),46013.66666666667)</f>
        <v>46013.66667</v>
      </c>
      <c r="B1321" s="1">
        <f>IFERROR(__xludf.DUMMYFUNCTION("""COMPUTED_VALUE"""),110.24)</f>
        <v>110.24</v>
      </c>
    </row>
    <row r="1322">
      <c r="A1322" s="2">
        <f>IFERROR(__xludf.DUMMYFUNCTION("""COMPUTED_VALUE"""),46014.66666666667)</f>
        <v>46014.66667</v>
      </c>
      <c r="B1322" s="1">
        <f>IFERROR(__xludf.DUMMYFUNCTION("""COMPUTED_VALUE"""),110.2)</f>
        <v>110.2</v>
      </c>
    </row>
    <row r="1323">
      <c r="A1323" s="2">
        <f>IFERROR(__xludf.DUMMYFUNCTION("""COMPUTED_VALUE"""),46015.597916666666)</f>
        <v>46015.59792</v>
      </c>
      <c r="B1323" s="1">
        <f>IFERROR(__xludf.DUMMYFUNCTION("""COMPUTED_VALUE"""),109.97)</f>
        <v>109.97</v>
      </c>
    </row>
    <row r="1324">
      <c r="A1324" s="2">
        <f>IFERROR(__xludf.DUMMYFUNCTION("""COMPUTED_VALUE"""),46020.66666666667)</f>
        <v>46020.66667</v>
      </c>
      <c r="B1324" s="1">
        <f>IFERROR(__xludf.DUMMYFUNCTION("""COMPUTED_VALUE"""),110.15)</f>
        <v>110.15</v>
      </c>
    </row>
    <row r="1325">
      <c r="A1325" s="2">
        <f>IFERROR(__xludf.DUMMYFUNCTION("""COMPUTED_VALUE"""),46021.66666666667)</f>
        <v>46021.66667</v>
      </c>
      <c r="B1325" s="1">
        <f>IFERROR(__xludf.DUMMYFUNCTION("""COMPUTED_VALUE"""),110.25)</f>
        <v>110.25</v>
      </c>
    </row>
    <row r="1326">
      <c r="A1326" s="2">
        <f>IFERROR(__xludf.DUMMYFUNCTION("""COMPUTED_VALUE"""),46022.597916666666)</f>
        <v>46022.59792</v>
      </c>
      <c r="B1326" s="1">
        <f>IFERROR(__xludf.DUMMYFUNCTION("""COMPUTED_VALUE"""),110.31)</f>
        <v>110.31</v>
      </c>
    </row>
    <row r="1327">
      <c r="A1327" s="2">
        <f>IFERROR(__xludf.DUMMYFUNCTION("""COMPUTED_VALUE"""),46024.66666666667)</f>
        <v>46024.66667</v>
      </c>
      <c r="B1327" s="1">
        <f>IFERROR(__xludf.DUMMYFUNCTION("""COMPUTED_VALUE"""),110.81)</f>
        <v>110.81</v>
      </c>
    </row>
    <row r="1328">
      <c r="A1328" s="2">
        <f>IFERROR(__xludf.DUMMYFUNCTION("""COMPUTED_VALUE"""),46027.66666666667)</f>
        <v>46027.66667</v>
      </c>
      <c r="B1328" s="1">
        <f>IFERROR(__xludf.DUMMYFUNCTION("""COMPUTED_VALUE"""),112.3)</f>
        <v>112.3</v>
      </c>
    </row>
    <row r="1329">
      <c r="A1329" s="2">
        <f>IFERROR(__xludf.DUMMYFUNCTION("""COMPUTED_VALUE"""),46028.66666666667)</f>
        <v>46028.66667</v>
      </c>
      <c r="B1329" s="1">
        <f>IFERROR(__xludf.DUMMYFUNCTION("""COMPUTED_VALUE"""),112.72)</f>
        <v>112.72</v>
      </c>
    </row>
    <row r="1330">
      <c r="A1330" s="2">
        <f>IFERROR(__xludf.DUMMYFUNCTION("""COMPUTED_VALUE"""),46029.66666666667)</f>
        <v>46029.66667</v>
      </c>
      <c r="B1330" s="1">
        <f>IFERROR(__xludf.DUMMYFUNCTION("""COMPUTED_VALUE"""),111.95)</f>
        <v>111.95</v>
      </c>
    </row>
    <row r="1331">
      <c r="A1331" s="2">
        <f>IFERROR(__xludf.DUMMYFUNCTION("""COMPUTED_VALUE"""),46030.66666666667)</f>
        <v>46030.66667</v>
      </c>
      <c r="B1331" s="1">
        <f>IFERROR(__xludf.DUMMYFUNCTION("""COMPUTED_VALUE"""),112.42)</f>
        <v>112.42</v>
      </c>
    </row>
    <row r="1332">
      <c r="A1332" s="2">
        <f>IFERROR(__xludf.DUMMYFUNCTION("""COMPUTED_VALUE"""),46031.66666666667)</f>
        <v>46031.66667</v>
      </c>
      <c r="B1332" s="1">
        <f>IFERROR(__xludf.DUMMYFUNCTION("""COMPUTED_VALUE"""),112.57)</f>
        <v>112.57</v>
      </c>
    </row>
    <row r="1333">
      <c r="A1333" s="2">
        <f>IFERROR(__xludf.DUMMYFUNCTION("""COMPUTED_VALUE"""),46034.66666666667)</f>
        <v>46034.66667</v>
      </c>
      <c r="B1333" s="1">
        <f>IFERROR(__xludf.DUMMYFUNCTION("""COMPUTED_VALUE"""),113.44)</f>
        <v>113.44</v>
      </c>
    </row>
    <row r="1334">
      <c r="A1334" s="2">
        <f>IFERROR(__xludf.DUMMYFUNCTION("""COMPUTED_VALUE"""),46035.66666666667)</f>
        <v>46035.66667</v>
      </c>
      <c r="B1334" s="1">
        <f>IFERROR(__xludf.DUMMYFUNCTION("""COMPUTED_VALUE"""),113.78)</f>
        <v>113.78</v>
      </c>
    </row>
    <row r="1335">
      <c r="A1335" s="2">
        <f>IFERROR(__xludf.DUMMYFUNCTION("""COMPUTED_VALUE"""),46036.66666666667)</f>
        <v>46036.66667</v>
      </c>
      <c r="B1335" s="1">
        <f>IFERROR(__xludf.DUMMYFUNCTION("""COMPUTED_VALUE"""),114.28)</f>
        <v>114.28</v>
      </c>
    </row>
    <row r="1336">
      <c r="A1336" s="2">
        <f>IFERROR(__xludf.DUMMYFUNCTION("""COMPUTED_VALUE"""),46037.66666666667)</f>
        <v>46037.66667</v>
      </c>
      <c r="B1336" s="1">
        <f>IFERROR(__xludf.DUMMYFUNCTION("""COMPUTED_VALUE"""),114.88)</f>
        <v>114.88</v>
      </c>
    </row>
    <row r="1337">
      <c r="A1337" s="2">
        <f>IFERROR(__xludf.DUMMYFUNCTION("""COMPUTED_VALUE"""),46038.66666666667)</f>
        <v>46038.66667</v>
      </c>
      <c r="B1337" s="1">
        <f>IFERROR(__xludf.DUMMYFUNCTION("""COMPUTED_VALUE"""),114.77)</f>
        <v>114.77</v>
      </c>
    </row>
    <row r="1338">
      <c r="A1338" s="2">
        <f>IFERROR(__xludf.DUMMYFUNCTION("""COMPUTED_VALUE"""),46041.66666666667)</f>
        <v>46041.66667</v>
      </c>
      <c r="B1338" s="1">
        <f>IFERROR(__xludf.DUMMYFUNCTION("""COMPUTED_VALUE"""),114.5)</f>
        <v>114.5</v>
      </c>
    </row>
    <row r="1339">
      <c r="A1339" s="2">
        <f>IFERROR(__xludf.DUMMYFUNCTION("""COMPUTED_VALUE"""),46042.66666666667)</f>
        <v>46042.66667</v>
      </c>
      <c r="B1339" s="1">
        <f>IFERROR(__xludf.DUMMYFUNCTION("""COMPUTED_VALUE"""),113.35)</f>
        <v>113.35</v>
      </c>
    </row>
    <row r="1340">
      <c r="A1340" s="2">
        <f>IFERROR(__xludf.DUMMYFUNCTION("""COMPUTED_VALUE"""),46043.66666666667)</f>
        <v>46043.66667</v>
      </c>
      <c r="B1340" s="1">
        <f>IFERROR(__xludf.DUMMYFUNCTION("""COMPUTED_VALUE"""),113.02)</f>
        <v>113.02</v>
      </c>
    </row>
    <row r="1341">
      <c r="A1341" s="2">
        <f>IFERROR(__xludf.DUMMYFUNCTION("""COMPUTED_VALUE"""),46044.66666666667)</f>
        <v>46044.66667</v>
      </c>
      <c r="B1341" s="1">
        <f>IFERROR(__xludf.DUMMYFUNCTION("""COMPUTED_VALUE"""),112.92)</f>
        <v>112.92</v>
      </c>
    </row>
    <row r="1342">
      <c r="A1342" s="2">
        <f>IFERROR(__xludf.DUMMYFUNCTION("""COMPUTED_VALUE"""),46045.66666666667)</f>
        <v>46045.66667</v>
      </c>
      <c r="B1342" s="1">
        <f>IFERROR(__xludf.DUMMYFUNCTION("""COMPUTED_VALUE"""),112.59)</f>
        <v>112.59</v>
      </c>
    </row>
    <row r="1343">
      <c r="A1343" s="2">
        <f>IFERROR(__xludf.DUMMYFUNCTION("""COMPUTED_VALUE"""),46049.66666666667)</f>
        <v>46049.66667</v>
      </c>
      <c r="B1343" s="1">
        <f>IFERROR(__xludf.DUMMYFUNCTION("""COMPUTED_VALUE"""),113.16)</f>
        <v>113.16</v>
      </c>
    </row>
    <row r="1344">
      <c r="A1344" s="2">
        <f>IFERROR(__xludf.DUMMYFUNCTION("""COMPUTED_VALUE"""),46050.66666666667)</f>
        <v>46050.66667</v>
      </c>
      <c r="B1344" s="1">
        <f>IFERROR(__xludf.DUMMYFUNCTION("""COMPUTED_VALUE"""),113.39)</f>
        <v>113.39</v>
      </c>
    </row>
    <row r="1345">
      <c r="A1345" s="2">
        <f>IFERROR(__xludf.DUMMYFUNCTION("""COMPUTED_VALUE"""),46051.66666666667)</f>
        <v>46051.66667</v>
      </c>
      <c r="B1345" s="1">
        <f>IFERROR(__xludf.DUMMYFUNCTION("""COMPUTED_VALUE"""),111.7)</f>
        <v>111.7</v>
      </c>
    </row>
    <row r="1346">
      <c r="A1346" s="2">
        <f>IFERROR(__xludf.DUMMYFUNCTION("""COMPUTED_VALUE"""),46052.66666666667)</f>
        <v>46052.66667</v>
      </c>
      <c r="B1346" s="1">
        <f>IFERROR(__xludf.DUMMYFUNCTION("""COMPUTED_VALUE"""),112.28)</f>
        <v>112.28</v>
      </c>
    </row>
    <row r="1347">
      <c r="A1347" s="2">
        <f>IFERROR(__xludf.DUMMYFUNCTION("""COMPUTED_VALUE"""),46055.66666666667)</f>
        <v>46055.66667</v>
      </c>
      <c r="B1347" s="1">
        <f>IFERROR(__xludf.DUMMYFUNCTION("""COMPUTED_VALUE"""),111.07)</f>
        <v>111.07</v>
      </c>
    </row>
    <row r="1348">
      <c r="A1348" s="2">
        <f>IFERROR(__xludf.DUMMYFUNCTION("""COMPUTED_VALUE"""),46056.66666666667)</f>
        <v>46056.66667</v>
      </c>
      <c r="B1348" s="1">
        <f>IFERROR(__xludf.DUMMYFUNCTION("""COMPUTED_VALUE"""),112.06)</f>
        <v>112.06</v>
      </c>
    </row>
    <row r="1349">
      <c r="A1349" s="2">
        <f>IFERROR(__xludf.DUMMYFUNCTION("""COMPUTED_VALUE"""),46057.66666666667)</f>
        <v>46057.66667</v>
      </c>
      <c r="B1349" s="1">
        <f>IFERROR(__xludf.DUMMYFUNCTION("""COMPUTED_VALUE"""),112.05)</f>
        <v>112.05</v>
      </c>
    </row>
    <row r="1350">
      <c r="A1350" s="2">
        <f>IFERROR(__xludf.DUMMYFUNCTION("""COMPUTED_VALUE"""),46058.66666666667)</f>
        <v>46058.66667</v>
      </c>
      <c r="B1350" s="1">
        <f>IFERROR(__xludf.DUMMYFUNCTION("""COMPUTED_VALUE"""),112.11)</f>
        <v>112.11</v>
      </c>
    </row>
    <row r="1351">
      <c r="A1351" s="2">
        <f>IFERROR(__xludf.DUMMYFUNCTION("""COMPUTED_VALUE"""),46059.66666666667)</f>
        <v>46059.66667</v>
      </c>
      <c r="B1351" s="1">
        <f>IFERROR(__xludf.DUMMYFUNCTION("""COMPUTED_VALUE"""),111.64)</f>
        <v>111.64</v>
      </c>
    </row>
    <row r="1352">
      <c r="A1352" s="2">
        <f>IFERROR(__xludf.DUMMYFUNCTION("""COMPUTED_VALUE"""),46062.66666666667)</f>
        <v>46062.66667</v>
      </c>
      <c r="B1352" s="1">
        <f>IFERROR(__xludf.DUMMYFUNCTION("""COMPUTED_VALUE"""),112.65)</f>
        <v>112.65</v>
      </c>
    </row>
    <row r="1353">
      <c r="A1353" s="2">
        <f>IFERROR(__xludf.DUMMYFUNCTION("""COMPUTED_VALUE"""),46063.66666666667)</f>
        <v>46063.66667</v>
      </c>
      <c r="B1353" s="1">
        <f>IFERROR(__xludf.DUMMYFUNCTION("""COMPUTED_VALUE"""),113.46)</f>
        <v>113.46</v>
      </c>
    </row>
    <row r="1354">
      <c r="A1354" s="2">
        <f>IFERROR(__xludf.DUMMYFUNCTION("""COMPUTED_VALUE"""),46064.66666666667)</f>
        <v>46064.66667</v>
      </c>
      <c r="B1354" s="1">
        <f>IFERROR(__xludf.DUMMYFUNCTION("""COMPUTED_VALUE"""),113.82)</f>
        <v>113.82</v>
      </c>
    </row>
    <row r="1355">
      <c r="A1355" s="2">
        <f>IFERROR(__xludf.DUMMYFUNCTION("""COMPUTED_VALUE"""),46065.66666666667)</f>
        <v>46065.66667</v>
      </c>
      <c r="B1355" s="1">
        <f>IFERROR(__xludf.DUMMYFUNCTION("""COMPUTED_VALUE"""),113.98)</f>
        <v>113.98</v>
      </c>
    </row>
    <row r="1356">
      <c r="A1356" s="2">
        <f>IFERROR(__xludf.DUMMYFUNCTION("""COMPUTED_VALUE"""),46066.66666666667)</f>
        <v>46066.66667</v>
      </c>
      <c r="B1356" s="1">
        <f>IFERROR(__xludf.DUMMYFUNCTION("""COMPUTED_VALUE"""),113.4)</f>
        <v>113.4</v>
      </c>
    </row>
    <row r="1357">
      <c r="A1357" s="2">
        <f>IFERROR(__xludf.DUMMYFUNCTION("""COMPUTED_VALUE"""),46069.66666666667)</f>
        <v>46069.66667</v>
      </c>
      <c r="B1357" s="1">
        <f>IFERROR(__xludf.DUMMYFUNCTION("""COMPUTED_VALUE"""),113.39)</f>
        <v>113.39</v>
      </c>
    </row>
    <row r="1358">
      <c r="A1358" s="2">
        <f>IFERROR(__xludf.DUMMYFUNCTION("""COMPUTED_VALUE"""),46070.66666666667)</f>
        <v>46070.66667</v>
      </c>
      <c r="B1358" s="1">
        <f>IFERROR(__xludf.DUMMYFUNCTION("""COMPUTED_VALUE"""),113.0)</f>
        <v>113</v>
      </c>
    </row>
    <row r="1359">
      <c r="A1359" s="2">
        <f>IFERROR(__xludf.DUMMYFUNCTION("""COMPUTED_VALUE"""),46071.66666666667)</f>
        <v>46071.66667</v>
      </c>
      <c r="B1359" s="1">
        <f>IFERROR(__xludf.DUMMYFUNCTION("""COMPUTED_VALUE"""),113.67)</f>
        <v>113.67</v>
      </c>
    </row>
    <row r="1360">
      <c r="A1360" s="2">
        <f>IFERROR(__xludf.DUMMYFUNCTION("""COMPUTED_VALUE"""),46072.66666666667)</f>
        <v>46072.66667</v>
      </c>
      <c r="B1360" s="1">
        <f>IFERROR(__xludf.DUMMYFUNCTION("""COMPUTED_VALUE"""),114.64)</f>
        <v>114.64</v>
      </c>
    </row>
    <row r="1361">
      <c r="A1361" s="2">
        <f>IFERROR(__xludf.DUMMYFUNCTION("""COMPUTED_VALUE"""),46073.66666666667)</f>
        <v>46073.66667</v>
      </c>
      <c r="B1361" s="1">
        <f>IFERROR(__xludf.DUMMYFUNCTION("""COMPUTED_VALUE"""),114.32)</f>
        <v>114.32</v>
      </c>
    </row>
    <row r="1362">
      <c r="A1362" s="2">
        <f>IFERROR(__xludf.DUMMYFUNCTION("""COMPUTED_VALUE"""),46076.66666666667)</f>
        <v>46076.66667</v>
      </c>
      <c r="B1362" s="1">
        <f>IFERROR(__xludf.DUMMYFUNCTION("""COMPUTED_VALUE"""),114.67)</f>
        <v>114.67</v>
      </c>
    </row>
    <row r="1363">
      <c r="A1363" s="2">
        <f>IFERROR(__xludf.DUMMYFUNCTION("""COMPUTED_VALUE"""),46077.66666666667)</f>
        <v>46077.66667</v>
      </c>
      <c r="B1363" s="1">
        <f>IFERROR(__xludf.DUMMYFUNCTION("""COMPUTED_VALUE"""),114.93)</f>
        <v>114.93</v>
      </c>
    </row>
    <row r="1364">
      <c r="A1364" s="2">
        <f>IFERROR(__xludf.DUMMYFUNCTION("""COMPUTED_VALUE"""),46078.66666666667)</f>
        <v>46078.66667</v>
      </c>
      <c r="B1364" s="1">
        <f>IFERROR(__xludf.DUMMYFUNCTION("""COMPUTED_VALUE"""),115.31)</f>
        <v>115.31</v>
      </c>
    </row>
    <row r="1365">
      <c r="A1365" s="2">
        <f>IFERROR(__xludf.DUMMYFUNCTION("""COMPUTED_VALUE"""),46079.66666666667)</f>
        <v>46079.66667</v>
      </c>
      <c r="B1365" s="1">
        <f>IFERROR(__xludf.DUMMYFUNCTION("""COMPUTED_VALUE"""),115.36)</f>
        <v>115.36</v>
      </c>
    </row>
    <row r="1366">
      <c r="A1366" s="2">
        <f>IFERROR(__xludf.DUMMYFUNCTION("""COMPUTED_VALUE"""),46080.66666666667)</f>
        <v>46080.66667</v>
      </c>
      <c r="B1366" s="1">
        <f>IFERROR(__xludf.DUMMYFUNCTION("""COMPUTED_VALUE"""),115.57)</f>
        <v>115.57</v>
      </c>
    </row>
    <row r="1367">
      <c r="A1367" s="2">
        <f>IFERROR(__xludf.DUMMYFUNCTION("""COMPUTED_VALUE"""),46083.66666666667)</f>
        <v>46083.66667</v>
      </c>
      <c r="B1367" s="1">
        <f>IFERROR(__xludf.DUMMYFUNCTION("""COMPUTED_VALUE"""),114.48)</f>
        <v>114.48</v>
      </c>
    </row>
    <row r="1368">
      <c r="A1368" s="2">
        <f>IFERROR(__xludf.DUMMYFUNCTION("""COMPUTED_VALUE"""),46084.66666666667)</f>
        <v>46084.66667</v>
      </c>
      <c r="B1368" s="1">
        <f>IFERROR(__xludf.DUMMYFUNCTION("""COMPUTED_VALUE"""),112.09)</f>
        <v>112.09</v>
      </c>
    </row>
    <row r="1369">
      <c r="A1369" s="2">
        <f>IFERROR(__xludf.DUMMYFUNCTION("""COMPUTED_VALUE"""),46085.66666666667)</f>
        <v>46085.66667</v>
      </c>
      <c r="B1369" s="1">
        <f>IFERROR(__xludf.DUMMYFUNCTION("""COMPUTED_VALUE"""),109.36)</f>
        <v>109.36</v>
      </c>
    </row>
    <row r="1370">
      <c r="A1370" s="2">
        <f>IFERROR(__xludf.DUMMYFUNCTION("""COMPUTED_VALUE"""),46086.66666666667)</f>
        <v>46086.66667</v>
      </c>
      <c r="B1370" s="1">
        <f>IFERROR(__xludf.DUMMYFUNCTION("""COMPUTED_VALUE"""),110.95)</f>
        <v>110.95</v>
      </c>
    </row>
    <row r="1371">
      <c r="A1371" s="2">
        <f>IFERROR(__xludf.DUMMYFUNCTION("""COMPUTED_VALUE"""),46087.66666666667)</f>
        <v>46087.66667</v>
      </c>
      <c r="B1371" s="1">
        <f>IFERROR(__xludf.DUMMYFUNCTION("""COMPUTED_VALUE"""),110.49)</f>
        <v>110.49</v>
      </c>
    </row>
    <row r="1372">
      <c r="A1372" s="2">
        <f>IFERROR(__xludf.DUMMYFUNCTION("""COMPUTED_VALUE"""),46090.66666666667)</f>
        <v>46090.66667</v>
      </c>
      <c r="B1372" s="1">
        <f>IFERROR(__xludf.DUMMYFUNCTION("""COMPUTED_VALUE"""),106.01)</f>
        <v>106.01</v>
      </c>
    </row>
    <row r="1373">
      <c r="A1373" s="2">
        <f>IFERROR(__xludf.DUMMYFUNCTION("""COMPUTED_VALUE"""),46091.66666666667)</f>
        <v>46091.66667</v>
      </c>
      <c r="B1373" s="1">
        <f>IFERROR(__xludf.DUMMYFUNCTION("""COMPUTED_VALUE"""),108.76)</f>
        <v>108.76</v>
      </c>
    </row>
    <row r="1374">
      <c r="A1374" s="2">
        <f>IFERROR(__xludf.DUMMYFUNCTION("""COMPUTED_VALUE"""),46092.66666666667)</f>
        <v>46092.66667</v>
      </c>
      <c r="B1374" s="1">
        <f>IFERROR(__xludf.DUMMYFUNCTION("""COMPUTED_VALUE"""),108.64)</f>
        <v>108.64</v>
      </c>
    </row>
    <row r="1375">
      <c r="A1375" s="2">
        <f>IFERROR(__xludf.DUMMYFUNCTION("""COMPUTED_VALUE"""),46093.66666666667)</f>
        <v>46093.66667</v>
      </c>
      <c r="B1375" s="1">
        <f>IFERROR(__xludf.DUMMYFUNCTION("""COMPUTED_VALUE"""),106.98)</f>
        <v>106.98</v>
      </c>
    </row>
    <row r="1376">
      <c r="A1376" s="2">
        <f>IFERROR(__xludf.DUMMYFUNCTION("""COMPUTED_VALUE"""),46094.66666666667)</f>
        <v>46094.66667</v>
      </c>
      <c r="B1376" s="1">
        <f>IFERROR(__xludf.DUMMYFUNCTION("""COMPUTED_VALUE"""),107.6)</f>
        <v>107.6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IFERROR(__xludf.DUMMYFUNCTION("GOOGLEFINANCE(""AAPL"",""close"",DATE(2020,10,1),TODAY(),""daily"")"),"Date")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IFERROR(__xludf.DUMMYFUNCTION("""COMPUTED_VALUE"""),116.79)</f>
        <v>116.79</v>
      </c>
    </row>
    <row r="3">
      <c r="A3" s="2">
        <f>IFERROR(__xludf.DUMMYFUNCTION("""COMPUTED_VALUE"""),44106.66666666667)</f>
        <v>44106.66667</v>
      </c>
      <c r="B3" s="1">
        <f>IFERROR(__xludf.DUMMYFUNCTION("""COMPUTED_VALUE"""),113.02)</f>
        <v>113.02</v>
      </c>
    </row>
    <row r="4">
      <c r="A4" s="2">
        <f>IFERROR(__xludf.DUMMYFUNCTION("""COMPUTED_VALUE"""),44109.66666666667)</f>
        <v>44109.66667</v>
      </c>
      <c r="B4" s="1">
        <f>IFERROR(__xludf.DUMMYFUNCTION("""COMPUTED_VALUE"""),116.5)</f>
        <v>116.5</v>
      </c>
    </row>
    <row r="5">
      <c r="A5" s="2">
        <f>IFERROR(__xludf.DUMMYFUNCTION("""COMPUTED_VALUE"""),44110.66666666667)</f>
        <v>44110.66667</v>
      </c>
      <c r="B5" s="1">
        <f>IFERROR(__xludf.DUMMYFUNCTION("""COMPUTED_VALUE"""),113.16)</f>
        <v>113.16</v>
      </c>
    </row>
    <row r="6">
      <c r="A6" s="2">
        <f>IFERROR(__xludf.DUMMYFUNCTION("""COMPUTED_VALUE"""),44111.66666666667)</f>
        <v>44111.66667</v>
      </c>
      <c r="B6" s="1">
        <f>IFERROR(__xludf.DUMMYFUNCTION("""COMPUTED_VALUE"""),115.08)</f>
        <v>115.08</v>
      </c>
    </row>
    <row r="7">
      <c r="A7" s="2">
        <f>IFERROR(__xludf.DUMMYFUNCTION("""COMPUTED_VALUE"""),44112.66666666667)</f>
        <v>44112.66667</v>
      </c>
      <c r="B7" s="1">
        <f>IFERROR(__xludf.DUMMYFUNCTION("""COMPUTED_VALUE"""),114.97)</f>
        <v>114.97</v>
      </c>
    </row>
    <row r="8">
      <c r="A8" s="2">
        <f>IFERROR(__xludf.DUMMYFUNCTION("""COMPUTED_VALUE"""),44113.66666666667)</f>
        <v>44113.66667</v>
      </c>
      <c r="B8" s="1">
        <f>IFERROR(__xludf.DUMMYFUNCTION("""COMPUTED_VALUE"""),116.97)</f>
        <v>116.97</v>
      </c>
    </row>
    <row r="9">
      <c r="A9" s="2">
        <f>IFERROR(__xludf.DUMMYFUNCTION("""COMPUTED_VALUE"""),44116.66666666667)</f>
        <v>44116.66667</v>
      </c>
      <c r="B9" s="1">
        <f>IFERROR(__xludf.DUMMYFUNCTION("""COMPUTED_VALUE"""),124.4)</f>
        <v>124.4</v>
      </c>
    </row>
    <row r="10">
      <c r="A10" s="2">
        <f>IFERROR(__xludf.DUMMYFUNCTION("""COMPUTED_VALUE"""),44117.66666666667)</f>
        <v>44117.66667</v>
      </c>
      <c r="B10" s="1">
        <f>IFERROR(__xludf.DUMMYFUNCTION("""COMPUTED_VALUE"""),121.1)</f>
        <v>121.1</v>
      </c>
    </row>
    <row r="11">
      <c r="A11" s="2">
        <f>IFERROR(__xludf.DUMMYFUNCTION("""COMPUTED_VALUE"""),44118.66666666667)</f>
        <v>44118.66667</v>
      </c>
      <c r="B11" s="1">
        <f>IFERROR(__xludf.DUMMYFUNCTION("""COMPUTED_VALUE"""),121.19)</f>
        <v>121.19</v>
      </c>
    </row>
    <row r="12">
      <c r="A12" s="2">
        <f>IFERROR(__xludf.DUMMYFUNCTION("""COMPUTED_VALUE"""),44119.66666666667)</f>
        <v>44119.66667</v>
      </c>
      <c r="B12" s="1">
        <f>IFERROR(__xludf.DUMMYFUNCTION("""COMPUTED_VALUE"""),120.71)</f>
        <v>120.71</v>
      </c>
    </row>
    <row r="13">
      <c r="A13" s="2">
        <f>IFERROR(__xludf.DUMMYFUNCTION("""COMPUTED_VALUE"""),44120.66666666667)</f>
        <v>44120.66667</v>
      </c>
      <c r="B13" s="1">
        <f>IFERROR(__xludf.DUMMYFUNCTION("""COMPUTED_VALUE"""),119.02)</f>
        <v>119.02</v>
      </c>
    </row>
    <row r="14">
      <c r="A14" s="2">
        <f>IFERROR(__xludf.DUMMYFUNCTION("""COMPUTED_VALUE"""),44123.66666666667)</f>
        <v>44123.66667</v>
      </c>
      <c r="B14" s="1">
        <f>IFERROR(__xludf.DUMMYFUNCTION("""COMPUTED_VALUE"""),115.98)</f>
        <v>115.98</v>
      </c>
    </row>
    <row r="15">
      <c r="A15" s="2">
        <f>IFERROR(__xludf.DUMMYFUNCTION("""COMPUTED_VALUE"""),44124.66666666667)</f>
        <v>44124.66667</v>
      </c>
      <c r="B15" s="1">
        <f>IFERROR(__xludf.DUMMYFUNCTION("""COMPUTED_VALUE"""),117.51)</f>
        <v>117.51</v>
      </c>
    </row>
    <row r="16">
      <c r="A16" s="2">
        <f>IFERROR(__xludf.DUMMYFUNCTION("""COMPUTED_VALUE"""),44125.66666666667)</f>
        <v>44125.66667</v>
      </c>
      <c r="B16" s="1">
        <f>IFERROR(__xludf.DUMMYFUNCTION("""COMPUTED_VALUE"""),116.87)</f>
        <v>116.87</v>
      </c>
    </row>
    <row r="17">
      <c r="A17" s="2">
        <f>IFERROR(__xludf.DUMMYFUNCTION("""COMPUTED_VALUE"""),44126.66666666667)</f>
        <v>44126.66667</v>
      </c>
      <c r="B17" s="1">
        <f>IFERROR(__xludf.DUMMYFUNCTION("""COMPUTED_VALUE"""),115.75)</f>
        <v>115.75</v>
      </c>
    </row>
    <row r="18">
      <c r="A18" s="2">
        <f>IFERROR(__xludf.DUMMYFUNCTION("""COMPUTED_VALUE"""),44127.66666666667)</f>
        <v>44127.66667</v>
      </c>
      <c r="B18" s="1">
        <f>IFERROR(__xludf.DUMMYFUNCTION("""COMPUTED_VALUE"""),115.04)</f>
        <v>115.04</v>
      </c>
    </row>
    <row r="19">
      <c r="A19" s="2">
        <f>IFERROR(__xludf.DUMMYFUNCTION("""COMPUTED_VALUE"""),44130.66666666667)</f>
        <v>44130.66667</v>
      </c>
      <c r="B19" s="1">
        <f>IFERROR(__xludf.DUMMYFUNCTION("""COMPUTED_VALUE"""),115.05)</f>
        <v>115.05</v>
      </c>
    </row>
    <row r="20">
      <c r="A20" s="2">
        <f>IFERROR(__xludf.DUMMYFUNCTION("""COMPUTED_VALUE"""),44131.66666666667)</f>
        <v>44131.66667</v>
      </c>
      <c r="B20" s="1">
        <f>IFERROR(__xludf.DUMMYFUNCTION("""COMPUTED_VALUE"""),116.6)</f>
        <v>116.6</v>
      </c>
    </row>
    <row r="21">
      <c r="A21" s="2">
        <f>IFERROR(__xludf.DUMMYFUNCTION("""COMPUTED_VALUE"""),44132.66666666667)</f>
        <v>44132.66667</v>
      </c>
      <c r="B21" s="1">
        <f>IFERROR(__xludf.DUMMYFUNCTION("""COMPUTED_VALUE"""),111.2)</f>
        <v>111.2</v>
      </c>
    </row>
    <row r="22">
      <c r="A22" s="2">
        <f>IFERROR(__xludf.DUMMYFUNCTION("""COMPUTED_VALUE"""),44133.66666666667)</f>
        <v>44133.66667</v>
      </c>
      <c r="B22" s="1">
        <f>IFERROR(__xludf.DUMMYFUNCTION("""COMPUTED_VALUE"""),115.32)</f>
        <v>115.32</v>
      </c>
    </row>
    <row r="23">
      <c r="A23" s="2">
        <f>IFERROR(__xludf.DUMMYFUNCTION("""COMPUTED_VALUE"""),44134.66666666667)</f>
        <v>44134.66667</v>
      </c>
      <c r="B23" s="1">
        <f>IFERROR(__xludf.DUMMYFUNCTION("""COMPUTED_VALUE"""),108.86)</f>
        <v>108.86</v>
      </c>
    </row>
    <row r="24">
      <c r="A24" s="2">
        <f>IFERROR(__xludf.DUMMYFUNCTION("""COMPUTED_VALUE"""),44137.66666666667)</f>
        <v>44137.66667</v>
      </c>
      <c r="B24" s="1">
        <f>IFERROR(__xludf.DUMMYFUNCTION("""COMPUTED_VALUE"""),108.77)</f>
        <v>108.77</v>
      </c>
    </row>
    <row r="25">
      <c r="A25" s="2">
        <f>IFERROR(__xludf.DUMMYFUNCTION("""COMPUTED_VALUE"""),44138.66666666667)</f>
        <v>44138.66667</v>
      </c>
      <c r="B25" s="1">
        <f>IFERROR(__xludf.DUMMYFUNCTION("""COMPUTED_VALUE"""),110.44)</f>
        <v>110.44</v>
      </c>
    </row>
    <row r="26">
      <c r="A26" s="2">
        <f>IFERROR(__xludf.DUMMYFUNCTION("""COMPUTED_VALUE"""),44139.66666666667)</f>
        <v>44139.66667</v>
      </c>
      <c r="B26" s="1">
        <f>IFERROR(__xludf.DUMMYFUNCTION("""COMPUTED_VALUE"""),114.95)</f>
        <v>114.95</v>
      </c>
    </row>
    <row r="27">
      <c r="A27" s="2">
        <f>IFERROR(__xludf.DUMMYFUNCTION("""COMPUTED_VALUE"""),44140.66666666667)</f>
        <v>44140.66667</v>
      </c>
      <c r="B27" s="1">
        <f>IFERROR(__xludf.DUMMYFUNCTION("""COMPUTED_VALUE"""),119.03)</f>
        <v>119.03</v>
      </c>
    </row>
    <row r="28">
      <c r="A28" s="2">
        <f>IFERROR(__xludf.DUMMYFUNCTION("""COMPUTED_VALUE"""),44141.66666666667)</f>
        <v>44141.66667</v>
      </c>
      <c r="B28" s="1">
        <f>IFERROR(__xludf.DUMMYFUNCTION("""COMPUTED_VALUE"""),118.69)</f>
        <v>118.69</v>
      </c>
    </row>
    <row r="29">
      <c r="A29" s="2">
        <f>IFERROR(__xludf.DUMMYFUNCTION("""COMPUTED_VALUE"""),44144.66666666667)</f>
        <v>44144.66667</v>
      </c>
      <c r="B29" s="1">
        <f>IFERROR(__xludf.DUMMYFUNCTION("""COMPUTED_VALUE"""),116.32)</f>
        <v>116.32</v>
      </c>
    </row>
    <row r="30">
      <c r="A30" s="2">
        <f>IFERROR(__xludf.DUMMYFUNCTION("""COMPUTED_VALUE"""),44145.66666666667)</f>
        <v>44145.66667</v>
      </c>
      <c r="B30" s="1">
        <f>IFERROR(__xludf.DUMMYFUNCTION("""COMPUTED_VALUE"""),115.97)</f>
        <v>115.97</v>
      </c>
    </row>
    <row r="31">
      <c r="A31" s="2">
        <f>IFERROR(__xludf.DUMMYFUNCTION("""COMPUTED_VALUE"""),44146.66666666667)</f>
        <v>44146.66667</v>
      </c>
      <c r="B31" s="1">
        <f>IFERROR(__xludf.DUMMYFUNCTION("""COMPUTED_VALUE"""),119.49)</f>
        <v>119.49</v>
      </c>
    </row>
    <row r="32">
      <c r="A32" s="2">
        <f>IFERROR(__xludf.DUMMYFUNCTION("""COMPUTED_VALUE"""),44147.66666666667)</f>
        <v>44147.66667</v>
      </c>
      <c r="B32" s="1">
        <f>IFERROR(__xludf.DUMMYFUNCTION("""COMPUTED_VALUE"""),119.21)</f>
        <v>119.21</v>
      </c>
    </row>
    <row r="33">
      <c r="A33" s="2">
        <f>IFERROR(__xludf.DUMMYFUNCTION("""COMPUTED_VALUE"""),44148.66666666667)</f>
        <v>44148.66667</v>
      </c>
      <c r="B33" s="1">
        <f>IFERROR(__xludf.DUMMYFUNCTION("""COMPUTED_VALUE"""),119.26)</f>
        <v>119.26</v>
      </c>
    </row>
    <row r="34">
      <c r="A34" s="2">
        <f>IFERROR(__xludf.DUMMYFUNCTION("""COMPUTED_VALUE"""),44151.66666666667)</f>
        <v>44151.66667</v>
      </c>
      <c r="B34" s="1">
        <f>IFERROR(__xludf.DUMMYFUNCTION("""COMPUTED_VALUE"""),120.3)</f>
        <v>120.3</v>
      </c>
    </row>
    <row r="35">
      <c r="A35" s="2">
        <f>IFERROR(__xludf.DUMMYFUNCTION("""COMPUTED_VALUE"""),44152.66666666667)</f>
        <v>44152.66667</v>
      </c>
      <c r="B35" s="1">
        <f>IFERROR(__xludf.DUMMYFUNCTION("""COMPUTED_VALUE"""),119.39)</f>
        <v>119.39</v>
      </c>
    </row>
    <row r="36">
      <c r="A36" s="2">
        <f>IFERROR(__xludf.DUMMYFUNCTION("""COMPUTED_VALUE"""),44153.66666666667)</f>
        <v>44153.66667</v>
      </c>
      <c r="B36" s="1">
        <f>IFERROR(__xludf.DUMMYFUNCTION("""COMPUTED_VALUE"""),118.03)</f>
        <v>118.03</v>
      </c>
    </row>
    <row r="37">
      <c r="A37" s="2">
        <f>IFERROR(__xludf.DUMMYFUNCTION("""COMPUTED_VALUE"""),44154.66666666667)</f>
        <v>44154.66667</v>
      </c>
      <c r="B37" s="1">
        <f>IFERROR(__xludf.DUMMYFUNCTION("""COMPUTED_VALUE"""),118.64)</f>
        <v>118.64</v>
      </c>
    </row>
    <row r="38">
      <c r="A38" s="2">
        <f>IFERROR(__xludf.DUMMYFUNCTION("""COMPUTED_VALUE"""),44155.66666666667)</f>
        <v>44155.66667</v>
      </c>
      <c r="B38" s="1">
        <f>IFERROR(__xludf.DUMMYFUNCTION("""COMPUTED_VALUE"""),117.34)</f>
        <v>117.34</v>
      </c>
    </row>
    <row r="39">
      <c r="A39" s="2">
        <f>IFERROR(__xludf.DUMMYFUNCTION("""COMPUTED_VALUE"""),44158.66666666667)</f>
        <v>44158.66667</v>
      </c>
      <c r="B39" s="1">
        <f>IFERROR(__xludf.DUMMYFUNCTION("""COMPUTED_VALUE"""),113.85)</f>
        <v>113.85</v>
      </c>
    </row>
    <row r="40">
      <c r="A40" s="2">
        <f>IFERROR(__xludf.DUMMYFUNCTION("""COMPUTED_VALUE"""),44159.66666666667)</f>
        <v>44159.66667</v>
      </c>
      <c r="B40" s="1">
        <f>IFERROR(__xludf.DUMMYFUNCTION("""COMPUTED_VALUE"""),115.17)</f>
        <v>115.17</v>
      </c>
    </row>
    <row r="41">
      <c r="A41" s="2">
        <f>IFERROR(__xludf.DUMMYFUNCTION("""COMPUTED_VALUE"""),44160.66666666667)</f>
        <v>44160.66667</v>
      </c>
      <c r="B41" s="1">
        <f>IFERROR(__xludf.DUMMYFUNCTION("""COMPUTED_VALUE"""),116.03)</f>
        <v>116.03</v>
      </c>
    </row>
    <row r="42">
      <c r="A42" s="2">
        <f>IFERROR(__xludf.DUMMYFUNCTION("""COMPUTED_VALUE"""),44162.54166666667)</f>
        <v>44162.54167</v>
      </c>
      <c r="B42" s="1">
        <f>IFERROR(__xludf.DUMMYFUNCTION("""COMPUTED_VALUE"""),116.59)</f>
        <v>116.59</v>
      </c>
    </row>
    <row r="43">
      <c r="A43" s="2">
        <f>IFERROR(__xludf.DUMMYFUNCTION("""COMPUTED_VALUE"""),44165.66666666667)</f>
        <v>44165.66667</v>
      </c>
      <c r="B43" s="1">
        <f>IFERROR(__xludf.DUMMYFUNCTION("""COMPUTED_VALUE"""),119.05)</f>
        <v>119.05</v>
      </c>
    </row>
    <row r="44">
      <c r="A44" s="2">
        <f>IFERROR(__xludf.DUMMYFUNCTION("""COMPUTED_VALUE"""),44166.66666666667)</f>
        <v>44166.66667</v>
      </c>
      <c r="B44" s="1">
        <f>IFERROR(__xludf.DUMMYFUNCTION("""COMPUTED_VALUE"""),122.72)</f>
        <v>122.72</v>
      </c>
    </row>
    <row r="45">
      <c r="A45" s="2">
        <f>IFERROR(__xludf.DUMMYFUNCTION("""COMPUTED_VALUE"""),44167.66666666667)</f>
        <v>44167.66667</v>
      </c>
      <c r="B45" s="1">
        <f>IFERROR(__xludf.DUMMYFUNCTION("""COMPUTED_VALUE"""),123.08)</f>
        <v>123.08</v>
      </c>
    </row>
    <row r="46">
      <c r="A46" s="2">
        <f>IFERROR(__xludf.DUMMYFUNCTION("""COMPUTED_VALUE"""),44168.66666666667)</f>
        <v>44168.66667</v>
      </c>
      <c r="B46" s="1">
        <f>IFERROR(__xludf.DUMMYFUNCTION("""COMPUTED_VALUE"""),122.94)</f>
        <v>122.94</v>
      </c>
    </row>
    <row r="47">
      <c r="A47" s="2">
        <f>IFERROR(__xludf.DUMMYFUNCTION("""COMPUTED_VALUE"""),44169.66666666667)</f>
        <v>44169.66667</v>
      </c>
      <c r="B47" s="1">
        <f>IFERROR(__xludf.DUMMYFUNCTION("""COMPUTED_VALUE"""),122.25)</f>
        <v>122.25</v>
      </c>
    </row>
    <row r="48">
      <c r="A48" s="2">
        <f>IFERROR(__xludf.DUMMYFUNCTION("""COMPUTED_VALUE"""),44172.66666666667)</f>
        <v>44172.66667</v>
      </c>
      <c r="B48" s="1">
        <f>IFERROR(__xludf.DUMMYFUNCTION("""COMPUTED_VALUE"""),123.75)</f>
        <v>123.75</v>
      </c>
    </row>
    <row r="49">
      <c r="A49" s="2">
        <f>IFERROR(__xludf.DUMMYFUNCTION("""COMPUTED_VALUE"""),44173.66666666667)</f>
        <v>44173.66667</v>
      </c>
      <c r="B49" s="1">
        <f>IFERROR(__xludf.DUMMYFUNCTION("""COMPUTED_VALUE"""),124.38)</f>
        <v>124.38</v>
      </c>
    </row>
    <row r="50">
      <c r="A50" s="2">
        <f>IFERROR(__xludf.DUMMYFUNCTION("""COMPUTED_VALUE"""),44174.66666666667)</f>
        <v>44174.66667</v>
      </c>
      <c r="B50" s="1">
        <f>IFERROR(__xludf.DUMMYFUNCTION("""COMPUTED_VALUE"""),121.78)</f>
        <v>121.78</v>
      </c>
    </row>
    <row r="51">
      <c r="A51" s="2">
        <f>IFERROR(__xludf.DUMMYFUNCTION("""COMPUTED_VALUE"""),44175.66666666667)</f>
        <v>44175.66667</v>
      </c>
      <c r="B51" s="1">
        <f>IFERROR(__xludf.DUMMYFUNCTION("""COMPUTED_VALUE"""),123.24)</f>
        <v>123.24</v>
      </c>
    </row>
    <row r="52">
      <c r="A52" s="2">
        <f>IFERROR(__xludf.DUMMYFUNCTION("""COMPUTED_VALUE"""),44176.66666666667)</f>
        <v>44176.66667</v>
      </c>
      <c r="B52" s="1">
        <f>IFERROR(__xludf.DUMMYFUNCTION("""COMPUTED_VALUE"""),122.41)</f>
        <v>122.41</v>
      </c>
    </row>
    <row r="53">
      <c r="A53" s="2">
        <f>IFERROR(__xludf.DUMMYFUNCTION("""COMPUTED_VALUE"""),44179.66666666667)</f>
        <v>44179.66667</v>
      </c>
      <c r="B53" s="1">
        <f>IFERROR(__xludf.DUMMYFUNCTION("""COMPUTED_VALUE"""),121.78)</f>
        <v>121.78</v>
      </c>
    </row>
    <row r="54">
      <c r="A54" s="2">
        <f>IFERROR(__xludf.DUMMYFUNCTION("""COMPUTED_VALUE"""),44180.66666666667)</f>
        <v>44180.66667</v>
      </c>
      <c r="B54" s="1">
        <f>IFERROR(__xludf.DUMMYFUNCTION("""COMPUTED_VALUE"""),127.88)</f>
        <v>127.88</v>
      </c>
    </row>
    <row r="55">
      <c r="A55" s="2">
        <f>IFERROR(__xludf.DUMMYFUNCTION("""COMPUTED_VALUE"""),44181.66666666667)</f>
        <v>44181.66667</v>
      </c>
      <c r="B55" s="1">
        <f>IFERROR(__xludf.DUMMYFUNCTION("""COMPUTED_VALUE"""),127.81)</f>
        <v>127.81</v>
      </c>
    </row>
    <row r="56">
      <c r="A56" s="2">
        <f>IFERROR(__xludf.DUMMYFUNCTION("""COMPUTED_VALUE"""),44182.66666666667)</f>
        <v>44182.66667</v>
      </c>
      <c r="B56" s="1">
        <f>IFERROR(__xludf.DUMMYFUNCTION("""COMPUTED_VALUE"""),128.7)</f>
        <v>128.7</v>
      </c>
    </row>
    <row r="57">
      <c r="A57" s="2">
        <f>IFERROR(__xludf.DUMMYFUNCTION("""COMPUTED_VALUE"""),44183.66666666667)</f>
        <v>44183.66667</v>
      </c>
      <c r="B57" s="1">
        <f>IFERROR(__xludf.DUMMYFUNCTION("""COMPUTED_VALUE"""),126.66)</f>
        <v>126.66</v>
      </c>
    </row>
    <row r="58">
      <c r="A58" s="2">
        <f>IFERROR(__xludf.DUMMYFUNCTION("""COMPUTED_VALUE"""),44186.66666666667)</f>
        <v>44186.66667</v>
      </c>
      <c r="B58" s="1">
        <f>IFERROR(__xludf.DUMMYFUNCTION("""COMPUTED_VALUE"""),128.23)</f>
        <v>128.23</v>
      </c>
    </row>
    <row r="59">
      <c r="A59" s="2">
        <f>IFERROR(__xludf.DUMMYFUNCTION("""COMPUTED_VALUE"""),44187.66666666667)</f>
        <v>44187.66667</v>
      </c>
      <c r="B59" s="1">
        <f>IFERROR(__xludf.DUMMYFUNCTION("""COMPUTED_VALUE"""),131.88)</f>
        <v>131.88</v>
      </c>
    </row>
    <row r="60">
      <c r="A60" s="2">
        <f>IFERROR(__xludf.DUMMYFUNCTION("""COMPUTED_VALUE"""),44188.66666666667)</f>
        <v>44188.66667</v>
      </c>
      <c r="B60" s="1">
        <f>IFERROR(__xludf.DUMMYFUNCTION("""COMPUTED_VALUE"""),130.96)</f>
        <v>130.96</v>
      </c>
    </row>
    <row r="61">
      <c r="A61" s="2">
        <f>IFERROR(__xludf.DUMMYFUNCTION("""COMPUTED_VALUE"""),44189.54166666667)</f>
        <v>44189.54167</v>
      </c>
      <c r="B61" s="1">
        <f>IFERROR(__xludf.DUMMYFUNCTION("""COMPUTED_VALUE"""),131.97)</f>
        <v>131.97</v>
      </c>
    </row>
    <row r="62">
      <c r="A62" s="2">
        <f>IFERROR(__xludf.DUMMYFUNCTION("""COMPUTED_VALUE"""),44193.66666666667)</f>
        <v>44193.66667</v>
      </c>
      <c r="B62" s="1">
        <f>IFERROR(__xludf.DUMMYFUNCTION("""COMPUTED_VALUE"""),136.69)</f>
        <v>136.69</v>
      </c>
    </row>
    <row r="63">
      <c r="A63" s="2">
        <f>IFERROR(__xludf.DUMMYFUNCTION("""COMPUTED_VALUE"""),44194.66666666667)</f>
        <v>44194.66667</v>
      </c>
      <c r="B63" s="1">
        <f>IFERROR(__xludf.DUMMYFUNCTION("""COMPUTED_VALUE"""),134.87)</f>
        <v>134.87</v>
      </c>
    </row>
    <row r="64">
      <c r="A64" s="2">
        <f>IFERROR(__xludf.DUMMYFUNCTION("""COMPUTED_VALUE"""),44195.66666666667)</f>
        <v>44195.66667</v>
      </c>
      <c r="B64" s="1">
        <f>IFERROR(__xludf.DUMMYFUNCTION("""COMPUTED_VALUE"""),133.72)</f>
        <v>133.72</v>
      </c>
    </row>
    <row r="65">
      <c r="A65" s="2">
        <f>IFERROR(__xludf.DUMMYFUNCTION("""COMPUTED_VALUE"""),44196.66666666667)</f>
        <v>44196.66667</v>
      </c>
      <c r="B65" s="1">
        <f>IFERROR(__xludf.DUMMYFUNCTION("""COMPUTED_VALUE"""),132.69)</f>
        <v>132.69</v>
      </c>
    </row>
    <row r="66">
      <c r="A66" s="2">
        <f>IFERROR(__xludf.DUMMYFUNCTION("""COMPUTED_VALUE"""),44200.66666666667)</f>
        <v>44200.66667</v>
      </c>
      <c r="B66" s="1">
        <f>IFERROR(__xludf.DUMMYFUNCTION("""COMPUTED_VALUE"""),129.41)</f>
        <v>129.41</v>
      </c>
    </row>
    <row r="67">
      <c r="A67" s="2">
        <f>IFERROR(__xludf.DUMMYFUNCTION("""COMPUTED_VALUE"""),44201.66666666667)</f>
        <v>44201.66667</v>
      </c>
      <c r="B67" s="1">
        <f>IFERROR(__xludf.DUMMYFUNCTION("""COMPUTED_VALUE"""),131.01)</f>
        <v>131.01</v>
      </c>
    </row>
    <row r="68">
      <c r="A68" s="2">
        <f>IFERROR(__xludf.DUMMYFUNCTION("""COMPUTED_VALUE"""),44202.66666666667)</f>
        <v>44202.66667</v>
      </c>
      <c r="B68" s="1">
        <f>IFERROR(__xludf.DUMMYFUNCTION("""COMPUTED_VALUE"""),126.6)</f>
        <v>126.6</v>
      </c>
    </row>
    <row r="69">
      <c r="A69" s="2">
        <f>IFERROR(__xludf.DUMMYFUNCTION("""COMPUTED_VALUE"""),44203.66666666667)</f>
        <v>44203.66667</v>
      </c>
      <c r="B69" s="1">
        <f>IFERROR(__xludf.DUMMYFUNCTION("""COMPUTED_VALUE"""),130.92)</f>
        <v>130.92</v>
      </c>
    </row>
    <row r="70">
      <c r="A70" s="2">
        <f>IFERROR(__xludf.DUMMYFUNCTION("""COMPUTED_VALUE"""),44204.66666666667)</f>
        <v>44204.66667</v>
      </c>
      <c r="B70" s="1">
        <f>IFERROR(__xludf.DUMMYFUNCTION("""COMPUTED_VALUE"""),132.05)</f>
        <v>132.05</v>
      </c>
    </row>
    <row r="71">
      <c r="A71" s="2">
        <f>IFERROR(__xludf.DUMMYFUNCTION("""COMPUTED_VALUE"""),44207.66666666667)</f>
        <v>44207.66667</v>
      </c>
      <c r="B71" s="1">
        <f>IFERROR(__xludf.DUMMYFUNCTION("""COMPUTED_VALUE"""),128.98)</f>
        <v>128.98</v>
      </c>
    </row>
    <row r="72">
      <c r="A72" s="2">
        <f>IFERROR(__xludf.DUMMYFUNCTION("""COMPUTED_VALUE"""),44208.66666666667)</f>
        <v>44208.66667</v>
      </c>
      <c r="B72" s="1">
        <f>IFERROR(__xludf.DUMMYFUNCTION("""COMPUTED_VALUE"""),128.8)</f>
        <v>128.8</v>
      </c>
    </row>
    <row r="73">
      <c r="A73" s="2">
        <f>IFERROR(__xludf.DUMMYFUNCTION("""COMPUTED_VALUE"""),44209.66666666667)</f>
        <v>44209.66667</v>
      </c>
      <c r="B73" s="1">
        <f>IFERROR(__xludf.DUMMYFUNCTION("""COMPUTED_VALUE"""),130.89)</f>
        <v>130.89</v>
      </c>
    </row>
    <row r="74">
      <c r="A74" s="2">
        <f>IFERROR(__xludf.DUMMYFUNCTION("""COMPUTED_VALUE"""),44210.66666666667)</f>
        <v>44210.66667</v>
      </c>
      <c r="B74" s="1">
        <f>IFERROR(__xludf.DUMMYFUNCTION("""COMPUTED_VALUE"""),128.91)</f>
        <v>128.91</v>
      </c>
    </row>
    <row r="75">
      <c r="A75" s="2">
        <f>IFERROR(__xludf.DUMMYFUNCTION("""COMPUTED_VALUE"""),44211.66666666667)</f>
        <v>44211.66667</v>
      </c>
      <c r="B75" s="1">
        <f>IFERROR(__xludf.DUMMYFUNCTION("""COMPUTED_VALUE"""),127.14)</f>
        <v>127.14</v>
      </c>
    </row>
    <row r="76">
      <c r="A76" s="2">
        <f>IFERROR(__xludf.DUMMYFUNCTION("""COMPUTED_VALUE"""),44215.66666666667)</f>
        <v>44215.66667</v>
      </c>
      <c r="B76" s="1">
        <f>IFERROR(__xludf.DUMMYFUNCTION("""COMPUTED_VALUE"""),127.83)</f>
        <v>127.83</v>
      </c>
    </row>
    <row r="77">
      <c r="A77" s="2">
        <f>IFERROR(__xludf.DUMMYFUNCTION("""COMPUTED_VALUE"""),44216.66666666667)</f>
        <v>44216.66667</v>
      </c>
      <c r="B77" s="1">
        <f>IFERROR(__xludf.DUMMYFUNCTION("""COMPUTED_VALUE"""),132.03)</f>
        <v>132.03</v>
      </c>
    </row>
    <row r="78">
      <c r="A78" s="2">
        <f>IFERROR(__xludf.DUMMYFUNCTION("""COMPUTED_VALUE"""),44217.66666666667)</f>
        <v>44217.66667</v>
      </c>
      <c r="B78" s="1">
        <f>IFERROR(__xludf.DUMMYFUNCTION("""COMPUTED_VALUE"""),136.87)</f>
        <v>136.87</v>
      </c>
    </row>
    <row r="79">
      <c r="A79" s="2">
        <f>IFERROR(__xludf.DUMMYFUNCTION("""COMPUTED_VALUE"""),44218.66666666667)</f>
        <v>44218.66667</v>
      </c>
      <c r="B79" s="1">
        <f>IFERROR(__xludf.DUMMYFUNCTION("""COMPUTED_VALUE"""),139.07)</f>
        <v>139.07</v>
      </c>
    </row>
    <row r="80">
      <c r="A80" s="2">
        <f>IFERROR(__xludf.DUMMYFUNCTION("""COMPUTED_VALUE"""),44221.66666666667)</f>
        <v>44221.66667</v>
      </c>
      <c r="B80" s="1">
        <f>IFERROR(__xludf.DUMMYFUNCTION("""COMPUTED_VALUE"""),142.92)</f>
        <v>142.92</v>
      </c>
    </row>
    <row r="81">
      <c r="A81" s="2">
        <f>IFERROR(__xludf.DUMMYFUNCTION("""COMPUTED_VALUE"""),44222.66666666667)</f>
        <v>44222.66667</v>
      </c>
      <c r="B81" s="1">
        <f>IFERROR(__xludf.DUMMYFUNCTION("""COMPUTED_VALUE"""),143.16)</f>
        <v>143.16</v>
      </c>
    </row>
    <row r="82">
      <c r="A82" s="2">
        <f>IFERROR(__xludf.DUMMYFUNCTION("""COMPUTED_VALUE"""),44223.66666666667)</f>
        <v>44223.66667</v>
      </c>
      <c r="B82" s="1">
        <f>IFERROR(__xludf.DUMMYFUNCTION("""COMPUTED_VALUE"""),142.06)</f>
        <v>142.06</v>
      </c>
    </row>
    <row r="83">
      <c r="A83" s="2">
        <f>IFERROR(__xludf.DUMMYFUNCTION("""COMPUTED_VALUE"""),44224.66666666667)</f>
        <v>44224.66667</v>
      </c>
      <c r="B83" s="1">
        <f>IFERROR(__xludf.DUMMYFUNCTION("""COMPUTED_VALUE"""),137.09)</f>
        <v>137.09</v>
      </c>
    </row>
    <row r="84">
      <c r="A84" s="2">
        <f>IFERROR(__xludf.DUMMYFUNCTION("""COMPUTED_VALUE"""),44225.66666666667)</f>
        <v>44225.66667</v>
      </c>
      <c r="B84" s="1">
        <f>IFERROR(__xludf.DUMMYFUNCTION("""COMPUTED_VALUE"""),131.96)</f>
        <v>131.96</v>
      </c>
    </row>
    <row r="85">
      <c r="A85" s="2">
        <f>IFERROR(__xludf.DUMMYFUNCTION("""COMPUTED_VALUE"""),44228.66666666667)</f>
        <v>44228.66667</v>
      </c>
      <c r="B85" s="1">
        <f>IFERROR(__xludf.DUMMYFUNCTION("""COMPUTED_VALUE"""),134.14)</f>
        <v>134.14</v>
      </c>
    </row>
    <row r="86">
      <c r="A86" s="2">
        <f>IFERROR(__xludf.DUMMYFUNCTION("""COMPUTED_VALUE"""),44229.66666666667)</f>
        <v>44229.66667</v>
      </c>
      <c r="B86" s="1">
        <f>IFERROR(__xludf.DUMMYFUNCTION("""COMPUTED_VALUE"""),134.99)</f>
        <v>134.99</v>
      </c>
    </row>
    <row r="87">
      <c r="A87" s="2">
        <f>IFERROR(__xludf.DUMMYFUNCTION("""COMPUTED_VALUE"""),44230.66666666667)</f>
        <v>44230.66667</v>
      </c>
      <c r="B87" s="1">
        <f>IFERROR(__xludf.DUMMYFUNCTION("""COMPUTED_VALUE"""),133.94)</f>
        <v>133.94</v>
      </c>
    </row>
    <row r="88">
      <c r="A88" s="2">
        <f>IFERROR(__xludf.DUMMYFUNCTION("""COMPUTED_VALUE"""),44231.66666666667)</f>
        <v>44231.66667</v>
      </c>
      <c r="B88" s="1">
        <f>IFERROR(__xludf.DUMMYFUNCTION("""COMPUTED_VALUE"""),137.39)</f>
        <v>137.39</v>
      </c>
    </row>
    <row r="89">
      <c r="A89" s="2">
        <f>IFERROR(__xludf.DUMMYFUNCTION("""COMPUTED_VALUE"""),44232.66666666667)</f>
        <v>44232.66667</v>
      </c>
      <c r="B89" s="1">
        <f>IFERROR(__xludf.DUMMYFUNCTION("""COMPUTED_VALUE"""),136.76)</f>
        <v>136.76</v>
      </c>
    </row>
    <row r="90">
      <c r="A90" s="2">
        <f>IFERROR(__xludf.DUMMYFUNCTION("""COMPUTED_VALUE"""),44235.66666666667)</f>
        <v>44235.66667</v>
      </c>
      <c r="B90" s="1">
        <f>IFERROR(__xludf.DUMMYFUNCTION("""COMPUTED_VALUE"""),136.91)</f>
        <v>136.91</v>
      </c>
    </row>
    <row r="91">
      <c r="A91" s="2">
        <f>IFERROR(__xludf.DUMMYFUNCTION("""COMPUTED_VALUE"""),44236.66666666667)</f>
        <v>44236.66667</v>
      </c>
      <c r="B91" s="1">
        <f>IFERROR(__xludf.DUMMYFUNCTION("""COMPUTED_VALUE"""),136.01)</f>
        <v>136.01</v>
      </c>
    </row>
    <row r="92">
      <c r="A92" s="2">
        <f>IFERROR(__xludf.DUMMYFUNCTION("""COMPUTED_VALUE"""),44237.66666666667)</f>
        <v>44237.66667</v>
      </c>
      <c r="B92" s="1">
        <f>IFERROR(__xludf.DUMMYFUNCTION("""COMPUTED_VALUE"""),135.39)</f>
        <v>135.39</v>
      </c>
    </row>
    <row r="93">
      <c r="A93" s="2">
        <f>IFERROR(__xludf.DUMMYFUNCTION("""COMPUTED_VALUE"""),44238.66666666667)</f>
        <v>44238.66667</v>
      </c>
      <c r="B93" s="1">
        <f>IFERROR(__xludf.DUMMYFUNCTION("""COMPUTED_VALUE"""),135.13)</f>
        <v>135.13</v>
      </c>
    </row>
    <row r="94">
      <c r="A94" s="2">
        <f>IFERROR(__xludf.DUMMYFUNCTION("""COMPUTED_VALUE"""),44239.66666666667)</f>
        <v>44239.66667</v>
      </c>
      <c r="B94" s="1">
        <f>IFERROR(__xludf.DUMMYFUNCTION("""COMPUTED_VALUE"""),135.37)</f>
        <v>135.37</v>
      </c>
    </row>
    <row r="95">
      <c r="A95" s="2">
        <f>IFERROR(__xludf.DUMMYFUNCTION("""COMPUTED_VALUE"""),44243.66666666667)</f>
        <v>44243.66667</v>
      </c>
      <c r="B95" s="1">
        <f>IFERROR(__xludf.DUMMYFUNCTION("""COMPUTED_VALUE"""),133.19)</f>
        <v>133.19</v>
      </c>
    </row>
    <row r="96">
      <c r="A96" s="2">
        <f>IFERROR(__xludf.DUMMYFUNCTION("""COMPUTED_VALUE"""),44244.66666666667)</f>
        <v>44244.66667</v>
      </c>
      <c r="B96" s="1">
        <f>IFERROR(__xludf.DUMMYFUNCTION("""COMPUTED_VALUE"""),130.84)</f>
        <v>130.84</v>
      </c>
    </row>
    <row r="97">
      <c r="A97" s="2">
        <f>IFERROR(__xludf.DUMMYFUNCTION("""COMPUTED_VALUE"""),44245.66666666667)</f>
        <v>44245.66667</v>
      </c>
      <c r="B97" s="1">
        <f>IFERROR(__xludf.DUMMYFUNCTION("""COMPUTED_VALUE"""),129.71)</f>
        <v>129.71</v>
      </c>
    </row>
    <row r="98">
      <c r="A98" s="2">
        <f>IFERROR(__xludf.DUMMYFUNCTION("""COMPUTED_VALUE"""),44246.66666666667)</f>
        <v>44246.66667</v>
      </c>
      <c r="B98" s="1">
        <f>IFERROR(__xludf.DUMMYFUNCTION("""COMPUTED_VALUE"""),129.87)</f>
        <v>129.87</v>
      </c>
    </row>
    <row r="99">
      <c r="A99" s="2">
        <f>IFERROR(__xludf.DUMMYFUNCTION("""COMPUTED_VALUE"""),44249.66666666667)</f>
        <v>44249.66667</v>
      </c>
      <c r="B99" s="1">
        <f>IFERROR(__xludf.DUMMYFUNCTION("""COMPUTED_VALUE"""),126.0)</f>
        <v>126</v>
      </c>
    </row>
    <row r="100">
      <c r="A100" s="2">
        <f>IFERROR(__xludf.DUMMYFUNCTION("""COMPUTED_VALUE"""),44250.66666666667)</f>
        <v>44250.66667</v>
      </c>
      <c r="B100" s="1">
        <f>IFERROR(__xludf.DUMMYFUNCTION("""COMPUTED_VALUE"""),125.86)</f>
        <v>125.86</v>
      </c>
    </row>
    <row r="101">
      <c r="A101" s="2">
        <f>IFERROR(__xludf.DUMMYFUNCTION("""COMPUTED_VALUE"""),44251.66666666667)</f>
        <v>44251.66667</v>
      </c>
      <c r="B101" s="1">
        <f>IFERROR(__xludf.DUMMYFUNCTION("""COMPUTED_VALUE"""),125.35)</f>
        <v>125.35</v>
      </c>
    </row>
    <row r="102">
      <c r="A102" s="2">
        <f>IFERROR(__xludf.DUMMYFUNCTION("""COMPUTED_VALUE"""),44252.66666666667)</f>
        <v>44252.66667</v>
      </c>
      <c r="B102" s="1">
        <f>IFERROR(__xludf.DUMMYFUNCTION("""COMPUTED_VALUE"""),120.99)</f>
        <v>120.99</v>
      </c>
    </row>
    <row r="103">
      <c r="A103" s="2">
        <f>IFERROR(__xludf.DUMMYFUNCTION("""COMPUTED_VALUE"""),44253.66666666667)</f>
        <v>44253.66667</v>
      </c>
      <c r="B103" s="1">
        <f>IFERROR(__xludf.DUMMYFUNCTION("""COMPUTED_VALUE"""),121.26)</f>
        <v>121.26</v>
      </c>
    </row>
    <row r="104">
      <c r="A104" s="2">
        <f>IFERROR(__xludf.DUMMYFUNCTION("""COMPUTED_VALUE"""),44256.66666666667)</f>
        <v>44256.66667</v>
      </c>
      <c r="B104" s="1">
        <f>IFERROR(__xludf.DUMMYFUNCTION("""COMPUTED_VALUE"""),127.79)</f>
        <v>127.79</v>
      </c>
    </row>
    <row r="105">
      <c r="A105" s="2">
        <f>IFERROR(__xludf.DUMMYFUNCTION("""COMPUTED_VALUE"""),44257.66666666667)</f>
        <v>44257.66667</v>
      </c>
      <c r="B105" s="1">
        <f>IFERROR(__xludf.DUMMYFUNCTION("""COMPUTED_VALUE"""),125.12)</f>
        <v>125.12</v>
      </c>
    </row>
    <row r="106">
      <c r="A106" s="2">
        <f>IFERROR(__xludf.DUMMYFUNCTION("""COMPUTED_VALUE"""),44258.66666666667)</f>
        <v>44258.66667</v>
      </c>
      <c r="B106" s="1">
        <f>IFERROR(__xludf.DUMMYFUNCTION("""COMPUTED_VALUE"""),122.06)</f>
        <v>122.06</v>
      </c>
    </row>
    <row r="107">
      <c r="A107" s="2">
        <f>IFERROR(__xludf.DUMMYFUNCTION("""COMPUTED_VALUE"""),44259.66666666667)</f>
        <v>44259.66667</v>
      </c>
      <c r="B107" s="1">
        <f>IFERROR(__xludf.DUMMYFUNCTION("""COMPUTED_VALUE"""),120.13)</f>
        <v>120.13</v>
      </c>
    </row>
    <row r="108">
      <c r="A108" s="2">
        <f>IFERROR(__xludf.DUMMYFUNCTION("""COMPUTED_VALUE"""),44260.66666666667)</f>
        <v>44260.66667</v>
      </c>
      <c r="B108" s="1">
        <f>IFERROR(__xludf.DUMMYFUNCTION("""COMPUTED_VALUE"""),121.42)</f>
        <v>121.42</v>
      </c>
    </row>
    <row r="109">
      <c r="A109" s="2">
        <f>IFERROR(__xludf.DUMMYFUNCTION("""COMPUTED_VALUE"""),44263.66666666667)</f>
        <v>44263.66667</v>
      </c>
      <c r="B109" s="1">
        <f>IFERROR(__xludf.DUMMYFUNCTION("""COMPUTED_VALUE"""),116.36)</f>
        <v>116.36</v>
      </c>
    </row>
    <row r="110">
      <c r="A110" s="2">
        <f>IFERROR(__xludf.DUMMYFUNCTION("""COMPUTED_VALUE"""),44264.66666666667)</f>
        <v>44264.66667</v>
      </c>
      <c r="B110" s="1">
        <f>IFERROR(__xludf.DUMMYFUNCTION("""COMPUTED_VALUE"""),121.09)</f>
        <v>121.09</v>
      </c>
    </row>
    <row r="111">
      <c r="A111" s="2">
        <f>IFERROR(__xludf.DUMMYFUNCTION("""COMPUTED_VALUE"""),44265.66666666667)</f>
        <v>44265.66667</v>
      </c>
      <c r="B111" s="1">
        <f>IFERROR(__xludf.DUMMYFUNCTION("""COMPUTED_VALUE"""),119.98)</f>
        <v>119.98</v>
      </c>
    </row>
    <row r="112">
      <c r="A112" s="2">
        <f>IFERROR(__xludf.DUMMYFUNCTION("""COMPUTED_VALUE"""),44266.66666666667)</f>
        <v>44266.66667</v>
      </c>
      <c r="B112" s="1">
        <f>IFERROR(__xludf.DUMMYFUNCTION("""COMPUTED_VALUE"""),121.96)</f>
        <v>121.96</v>
      </c>
    </row>
    <row r="113">
      <c r="A113" s="2">
        <f>IFERROR(__xludf.DUMMYFUNCTION("""COMPUTED_VALUE"""),44267.66666666667)</f>
        <v>44267.66667</v>
      </c>
      <c r="B113" s="1">
        <f>IFERROR(__xludf.DUMMYFUNCTION("""COMPUTED_VALUE"""),121.03)</f>
        <v>121.03</v>
      </c>
    </row>
    <row r="114">
      <c r="A114" s="2">
        <f>IFERROR(__xludf.DUMMYFUNCTION("""COMPUTED_VALUE"""),44270.66666666667)</f>
        <v>44270.66667</v>
      </c>
      <c r="B114" s="1">
        <f>IFERROR(__xludf.DUMMYFUNCTION("""COMPUTED_VALUE"""),123.99)</f>
        <v>123.99</v>
      </c>
    </row>
    <row r="115">
      <c r="A115" s="2">
        <f>IFERROR(__xludf.DUMMYFUNCTION("""COMPUTED_VALUE"""),44271.66666666667)</f>
        <v>44271.66667</v>
      </c>
      <c r="B115" s="1">
        <f>IFERROR(__xludf.DUMMYFUNCTION("""COMPUTED_VALUE"""),125.57)</f>
        <v>125.57</v>
      </c>
    </row>
    <row r="116">
      <c r="A116" s="2">
        <f>IFERROR(__xludf.DUMMYFUNCTION("""COMPUTED_VALUE"""),44272.66666666667)</f>
        <v>44272.66667</v>
      </c>
      <c r="B116" s="1">
        <f>IFERROR(__xludf.DUMMYFUNCTION("""COMPUTED_VALUE"""),124.76)</f>
        <v>124.76</v>
      </c>
    </row>
    <row r="117">
      <c r="A117" s="2">
        <f>IFERROR(__xludf.DUMMYFUNCTION("""COMPUTED_VALUE"""),44273.66666666667)</f>
        <v>44273.66667</v>
      </c>
      <c r="B117" s="1">
        <f>IFERROR(__xludf.DUMMYFUNCTION("""COMPUTED_VALUE"""),120.53)</f>
        <v>120.53</v>
      </c>
    </row>
    <row r="118">
      <c r="A118" s="2">
        <f>IFERROR(__xludf.DUMMYFUNCTION("""COMPUTED_VALUE"""),44274.66666666667)</f>
        <v>44274.66667</v>
      </c>
      <c r="B118" s="1">
        <f>IFERROR(__xludf.DUMMYFUNCTION("""COMPUTED_VALUE"""),119.99)</f>
        <v>119.99</v>
      </c>
    </row>
    <row r="119">
      <c r="A119" s="2">
        <f>IFERROR(__xludf.DUMMYFUNCTION("""COMPUTED_VALUE"""),44277.66666666667)</f>
        <v>44277.66667</v>
      </c>
      <c r="B119" s="1">
        <f>IFERROR(__xludf.DUMMYFUNCTION("""COMPUTED_VALUE"""),123.39)</f>
        <v>123.39</v>
      </c>
    </row>
    <row r="120">
      <c r="A120" s="2">
        <f>IFERROR(__xludf.DUMMYFUNCTION("""COMPUTED_VALUE"""),44278.66666666667)</f>
        <v>44278.66667</v>
      </c>
      <c r="B120" s="1">
        <f>IFERROR(__xludf.DUMMYFUNCTION("""COMPUTED_VALUE"""),122.54)</f>
        <v>122.54</v>
      </c>
    </row>
    <row r="121">
      <c r="A121" s="2">
        <f>IFERROR(__xludf.DUMMYFUNCTION("""COMPUTED_VALUE"""),44279.66666666667)</f>
        <v>44279.66667</v>
      </c>
      <c r="B121" s="1">
        <f>IFERROR(__xludf.DUMMYFUNCTION("""COMPUTED_VALUE"""),120.09)</f>
        <v>120.09</v>
      </c>
    </row>
    <row r="122">
      <c r="A122" s="2">
        <f>IFERROR(__xludf.DUMMYFUNCTION("""COMPUTED_VALUE"""),44280.66666666667)</f>
        <v>44280.66667</v>
      </c>
      <c r="B122" s="1">
        <f>IFERROR(__xludf.DUMMYFUNCTION("""COMPUTED_VALUE"""),120.59)</f>
        <v>120.59</v>
      </c>
    </row>
    <row r="123">
      <c r="A123" s="2">
        <f>IFERROR(__xludf.DUMMYFUNCTION("""COMPUTED_VALUE"""),44281.66666666667)</f>
        <v>44281.66667</v>
      </c>
      <c r="B123" s="1">
        <f>IFERROR(__xludf.DUMMYFUNCTION("""COMPUTED_VALUE"""),121.21)</f>
        <v>121.21</v>
      </c>
    </row>
    <row r="124">
      <c r="A124" s="2">
        <f>IFERROR(__xludf.DUMMYFUNCTION("""COMPUTED_VALUE"""),44284.66666666667)</f>
        <v>44284.66667</v>
      </c>
      <c r="B124" s="1">
        <f>IFERROR(__xludf.DUMMYFUNCTION("""COMPUTED_VALUE"""),121.39)</f>
        <v>121.39</v>
      </c>
    </row>
    <row r="125">
      <c r="A125" s="2">
        <f>IFERROR(__xludf.DUMMYFUNCTION("""COMPUTED_VALUE"""),44285.66666666667)</f>
        <v>44285.66667</v>
      </c>
      <c r="B125" s="1">
        <f>IFERROR(__xludf.DUMMYFUNCTION("""COMPUTED_VALUE"""),119.9)</f>
        <v>119.9</v>
      </c>
    </row>
    <row r="126">
      <c r="A126" s="2">
        <f>IFERROR(__xludf.DUMMYFUNCTION("""COMPUTED_VALUE"""),44286.66666666667)</f>
        <v>44286.66667</v>
      </c>
      <c r="B126" s="1">
        <f>IFERROR(__xludf.DUMMYFUNCTION("""COMPUTED_VALUE"""),122.15)</f>
        <v>122.15</v>
      </c>
    </row>
    <row r="127">
      <c r="A127" s="2">
        <f>IFERROR(__xludf.DUMMYFUNCTION("""COMPUTED_VALUE"""),44287.66666666667)</f>
        <v>44287.66667</v>
      </c>
      <c r="B127" s="1">
        <f>IFERROR(__xludf.DUMMYFUNCTION("""COMPUTED_VALUE"""),123.0)</f>
        <v>123</v>
      </c>
    </row>
    <row r="128">
      <c r="A128" s="2">
        <f>IFERROR(__xludf.DUMMYFUNCTION("""COMPUTED_VALUE"""),44291.66666666667)</f>
        <v>44291.66667</v>
      </c>
      <c r="B128" s="1">
        <f>IFERROR(__xludf.DUMMYFUNCTION("""COMPUTED_VALUE"""),125.9)</f>
        <v>125.9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IFERROR(__xludf.DUMMYFUNCTION("""COMPUTED_VALUE"""),126.21)</f>
        <v>126.21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IFERROR(__xludf.DUMMYFUNCTION("""COMPUTED_VALUE"""),127.9)</f>
        <v>127.9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IFERROR(__xludf.DUMMYFUNCTION("""COMPUTED_VALUE"""),130.36)</f>
        <v>130.36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IFERROR(__xludf.DUMMYFUNCTION("""COMPUTED_VALUE"""),133.0)</f>
        <v>133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IFERROR(__xludf.DUMMYFUNCTION("""COMPUTED_VALUE"""),131.24)</f>
        <v>131.24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IFERROR(__xludf.DUMMYFUNCTION("""COMPUTED_VALUE"""),134.43)</f>
        <v>134.43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IFERROR(__xludf.DUMMYFUNCTION("""COMPUTED_VALUE"""),132.03)</f>
        <v>132.03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IFERROR(__xludf.DUMMYFUNCTION("""COMPUTED_VALUE"""),134.5)</f>
        <v>134.5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IFERROR(__xludf.DUMMYFUNCTION("""COMPUTED_VALUE"""),134.16)</f>
        <v>134.16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IFERROR(__xludf.DUMMYFUNCTION("""COMPUTED_VALUE"""),134.84)</f>
        <v>134.84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IFERROR(__xludf.DUMMYFUNCTION("""COMPUTED_VALUE"""),133.11)</f>
        <v>133.11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IFERROR(__xludf.DUMMYFUNCTION("""COMPUTED_VALUE"""),133.5)</f>
        <v>133.5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IFERROR(__xludf.DUMMYFUNCTION("""COMPUTED_VALUE"""),131.94)</f>
        <v>131.94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IFERROR(__xludf.DUMMYFUNCTION("""COMPUTED_VALUE"""),134.32)</f>
        <v>134.32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IFERROR(__xludf.DUMMYFUNCTION("""COMPUTED_VALUE"""),134.72)</f>
        <v>134.72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IFERROR(__xludf.DUMMYFUNCTION("""COMPUTED_VALUE"""),134.39)</f>
        <v>134.39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IFERROR(__xludf.DUMMYFUNCTION("""COMPUTED_VALUE"""),133.58)</f>
        <v>133.58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IFERROR(__xludf.DUMMYFUNCTION("""COMPUTED_VALUE"""),133.48)</f>
        <v>133.48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IFERROR(__xludf.DUMMYFUNCTION("""COMPUTED_VALUE"""),131.46)</f>
        <v>131.46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IFERROR(__xludf.DUMMYFUNCTION("""COMPUTED_VALUE"""),132.54)</f>
        <v>132.54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IFERROR(__xludf.DUMMYFUNCTION("""COMPUTED_VALUE"""),127.85)</f>
        <v>127.85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IFERROR(__xludf.DUMMYFUNCTION("""COMPUTED_VALUE"""),128.1)</f>
        <v>128.1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IFERROR(__xludf.DUMMYFUNCTION("""COMPUTED_VALUE"""),129.74)</f>
        <v>129.74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IFERROR(__xludf.DUMMYFUNCTION("""COMPUTED_VALUE"""),130.21)</f>
        <v>130.21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IFERROR(__xludf.DUMMYFUNCTION("""COMPUTED_VALUE"""),126.85)</f>
        <v>126.85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IFERROR(__xludf.DUMMYFUNCTION("""COMPUTED_VALUE"""),125.91)</f>
        <v>125.91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IFERROR(__xludf.DUMMYFUNCTION("""COMPUTED_VALUE"""),122.77)</f>
        <v>122.77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IFERROR(__xludf.DUMMYFUNCTION("""COMPUTED_VALUE"""),124.97)</f>
        <v>124.97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IFERROR(__xludf.DUMMYFUNCTION("""COMPUTED_VALUE"""),127.45)</f>
        <v>127.45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IFERROR(__xludf.DUMMYFUNCTION("""COMPUTED_VALUE"""),126.27)</f>
        <v>126.27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IFERROR(__xludf.DUMMYFUNCTION("""COMPUTED_VALUE"""),124.85)</f>
        <v>124.85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IFERROR(__xludf.DUMMYFUNCTION("""COMPUTED_VALUE"""),124.69)</f>
        <v>124.69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IFERROR(__xludf.DUMMYFUNCTION("""COMPUTED_VALUE"""),127.31)</f>
        <v>127.31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IFERROR(__xludf.DUMMYFUNCTION("""COMPUTED_VALUE"""),125.43)</f>
        <v>125.43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IFERROR(__xludf.DUMMYFUNCTION("""COMPUTED_VALUE"""),127.1)</f>
        <v>127.1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IFERROR(__xludf.DUMMYFUNCTION("""COMPUTED_VALUE"""),126.9)</f>
        <v>126.9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IFERROR(__xludf.DUMMYFUNCTION("""COMPUTED_VALUE"""),126.85)</f>
        <v>126.85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IFERROR(__xludf.DUMMYFUNCTION("""COMPUTED_VALUE"""),125.28)</f>
        <v>125.28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IFERROR(__xludf.DUMMYFUNCTION("""COMPUTED_VALUE"""),124.61)</f>
        <v>124.61</v>
      </c>
    </row>
    <row r="168">
      <c r="A168" s="2">
        <f>IFERROR(__xludf.DUMMYFUNCTION("""COMPUTED_VALUE"""),44348.66666666667)</f>
        <v>44348.66667</v>
      </c>
      <c r="B168" s="1">
        <f>IFERROR(__xludf.DUMMYFUNCTION("""COMPUTED_VALUE"""),124.28)</f>
        <v>124.28</v>
      </c>
    </row>
    <row r="169">
      <c r="A169" s="2">
        <f>IFERROR(__xludf.DUMMYFUNCTION("""COMPUTED_VALUE"""),44349.66666666667)</f>
        <v>44349.66667</v>
      </c>
      <c r="B169" s="1">
        <f>IFERROR(__xludf.DUMMYFUNCTION("""COMPUTED_VALUE"""),125.06)</f>
        <v>125.06</v>
      </c>
    </row>
    <row r="170">
      <c r="A170" s="2">
        <f>IFERROR(__xludf.DUMMYFUNCTION("""COMPUTED_VALUE"""),44350.66666666667)</f>
        <v>44350.66667</v>
      </c>
      <c r="B170" s="1">
        <f>IFERROR(__xludf.DUMMYFUNCTION("""COMPUTED_VALUE"""),123.54)</f>
        <v>123.54</v>
      </c>
    </row>
    <row r="171">
      <c r="A171" s="2">
        <f>IFERROR(__xludf.DUMMYFUNCTION("""COMPUTED_VALUE"""),44351.66666666667)</f>
        <v>44351.66667</v>
      </c>
      <c r="B171" s="1">
        <f>IFERROR(__xludf.DUMMYFUNCTION("""COMPUTED_VALUE"""),125.89)</f>
        <v>125.89</v>
      </c>
    </row>
    <row r="172">
      <c r="A172" s="2">
        <f>IFERROR(__xludf.DUMMYFUNCTION("""COMPUTED_VALUE"""),44354.66666666667)</f>
        <v>44354.66667</v>
      </c>
      <c r="B172" s="1">
        <f>IFERROR(__xludf.DUMMYFUNCTION("""COMPUTED_VALUE"""),125.9)</f>
        <v>125.9</v>
      </c>
    </row>
    <row r="173">
      <c r="A173" s="2">
        <f>IFERROR(__xludf.DUMMYFUNCTION("""COMPUTED_VALUE"""),44355.66666666667)</f>
        <v>44355.66667</v>
      </c>
      <c r="B173" s="1">
        <f>IFERROR(__xludf.DUMMYFUNCTION("""COMPUTED_VALUE"""),126.74)</f>
        <v>126.74</v>
      </c>
    </row>
    <row r="174">
      <c r="A174" s="2">
        <f>IFERROR(__xludf.DUMMYFUNCTION("""COMPUTED_VALUE"""),44356.66666666667)</f>
        <v>44356.66667</v>
      </c>
      <c r="B174" s="1">
        <f>IFERROR(__xludf.DUMMYFUNCTION("""COMPUTED_VALUE"""),127.13)</f>
        <v>127.13</v>
      </c>
    </row>
    <row r="175">
      <c r="A175" s="2">
        <f>IFERROR(__xludf.DUMMYFUNCTION("""COMPUTED_VALUE"""),44357.66666666667)</f>
        <v>44357.66667</v>
      </c>
      <c r="B175" s="1">
        <f>IFERROR(__xludf.DUMMYFUNCTION("""COMPUTED_VALUE"""),126.11)</f>
        <v>126.11</v>
      </c>
    </row>
    <row r="176">
      <c r="A176" s="2">
        <f>IFERROR(__xludf.DUMMYFUNCTION("""COMPUTED_VALUE"""),44358.66666666667)</f>
        <v>44358.66667</v>
      </c>
      <c r="B176" s="1">
        <f>IFERROR(__xludf.DUMMYFUNCTION("""COMPUTED_VALUE"""),127.35)</f>
        <v>127.35</v>
      </c>
    </row>
    <row r="177">
      <c r="A177" s="2">
        <f>IFERROR(__xludf.DUMMYFUNCTION("""COMPUTED_VALUE"""),44361.66666666667)</f>
        <v>44361.66667</v>
      </c>
      <c r="B177" s="1">
        <f>IFERROR(__xludf.DUMMYFUNCTION("""COMPUTED_VALUE"""),130.48)</f>
        <v>130.48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IFERROR(__xludf.DUMMYFUNCTION("""COMPUTED_VALUE"""),129.64)</f>
        <v>129.64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IFERROR(__xludf.DUMMYFUNCTION("""COMPUTED_VALUE"""),130.15)</f>
        <v>130.15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IFERROR(__xludf.DUMMYFUNCTION("""COMPUTED_VALUE"""),131.79)</f>
        <v>131.79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IFERROR(__xludf.DUMMYFUNCTION("""COMPUTED_VALUE"""),130.46)</f>
        <v>130.46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IFERROR(__xludf.DUMMYFUNCTION("""COMPUTED_VALUE"""),132.3)</f>
        <v>132.3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IFERROR(__xludf.DUMMYFUNCTION("""COMPUTED_VALUE"""),133.98)</f>
        <v>133.98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IFERROR(__xludf.DUMMYFUNCTION("""COMPUTED_VALUE"""),133.7)</f>
        <v>133.7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IFERROR(__xludf.DUMMYFUNCTION("""COMPUTED_VALUE"""),133.41)</f>
        <v>133.41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IFERROR(__xludf.DUMMYFUNCTION("""COMPUTED_VALUE"""),133.11)</f>
        <v>133.11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IFERROR(__xludf.DUMMYFUNCTION("""COMPUTED_VALUE"""),134.78)</f>
        <v>134.78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IFERROR(__xludf.DUMMYFUNCTION("""COMPUTED_VALUE"""),136.33)</f>
        <v>136.33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IFERROR(__xludf.DUMMYFUNCTION("""COMPUTED_VALUE"""),136.96)</f>
        <v>136.96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IFERROR(__xludf.DUMMYFUNCTION("""COMPUTED_VALUE"""),137.27)</f>
        <v>137.27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IFERROR(__xludf.DUMMYFUNCTION("""COMPUTED_VALUE"""),139.96)</f>
        <v>139.96</v>
      </c>
    </row>
    <row r="192">
      <c r="A192" s="2">
        <f>IFERROR(__xludf.DUMMYFUNCTION("""COMPUTED_VALUE"""),44383.66666666667)</f>
        <v>44383.66667</v>
      </c>
      <c r="B192" s="1">
        <f>IFERROR(__xludf.DUMMYFUNCTION("""COMPUTED_VALUE"""),142.02)</f>
        <v>142.02</v>
      </c>
    </row>
    <row r="193">
      <c r="A193" s="2">
        <f>IFERROR(__xludf.DUMMYFUNCTION("""COMPUTED_VALUE"""),44384.66666666667)</f>
        <v>44384.66667</v>
      </c>
      <c r="B193" s="1">
        <f>IFERROR(__xludf.DUMMYFUNCTION("""COMPUTED_VALUE"""),144.57)</f>
        <v>144.57</v>
      </c>
    </row>
    <row r="194">
      <c r="A194" s="2">
        <f>IFERROR(__xludf.DUMMYFUNCTION("""COMPUTED_VALUE"""),44385.66666666667)</f>
        <v>44385.66667</v>
      </c>
      <c r="B194" s="1">
        <f>IFERROR(__xludf.DUMMYFUNCTION("""COMPUTED_VALUE"""),143.24)</f>
        <v>143.24</v>
      </c>
    </row>
    <row r="195">
      <c r="A195" s="2">
        <f>IFERROR(__xludf.DUMMYFUNCTION("""COMPUTED_VALUE"""),44386.66666666667)</f>
        <v>44386.66667</v>
      </c>
      <c r="B195" s="1">
        <f>IFERROR(__xludf.DUMMYFUNCTION("""COMPUTED_VALUE"""),145.11)</f>
        <v>145.11</v>
      </c>
    </row>
    <row r="196">
      <c r="A196" s="2">
        <f>IFERROR(__xludf.DUMMYFUNCTION("""COMPUTED_VALUE"""),44389.66666666667)</f>
        <v>44389.66667</v>
      </c>
      <c r="B196" s="1">
        <f>IFERROR(__xludf.DUMMYFUNCTION("""COMPUTED_VALUE"""),144.5)</f>
        <v>144.5</v>
      </c>
    </row>
    <row r="197">
      <c r="A197" s="2">
        <f>IFERROR(__xludf.DUMMYFUNCTION("""COMPUTED_VALUE"""),44390.66666666667)</f>
        <v>44390.66667</v>
      </c>
      <c r="B197" s="1">
        <f>IFERROR(__xludf.DUMMYFUNCTION("""COMPUTED_VALUE"""),145.64)</f>
        <v>145.64</v>
      </c>
    </row>
    <row r="198">
      <c r="A198" s="2">
        <f>IFERROR(__xludf.DUMMYFUNCTION("""COMPUTED_VALUE"""),44391.66666666667)</f>
        <v>44391.66667</v>
      </c>
      <c r="B198" s="1">
        <f>IFERROR(__xludf.DUMMYFUNCTION("""COMPUTED_VALUE"""),149.15)</f>
        <v>149.15</v>
      </c>
    </row>
    <row r="199">
      <c r="A199" s="2">
        <f>IFERROR(__xludf.DUMMYFUNCTION("""COMPUTED_VALUE"""),44392.66666666667)</f>
        <v>44392.66667</v>
      </c>
      <c r="B199" s="1">
        <f>IFERROR(__xludf.DUMMYFUNCTION("""COMPUTED_VALUE"""),148.48)</f>
        <v>148.48</v>
      </c>
    </row>
    <row r="200">
      <c r="A200" s="2">
        <f>IFERROR(__xludf.DUMMYFUNCTION("""COMPUTED_VALUE"""),44393.66666666667)</f>
        <v>44393.66667</v>
      </c>
      <c r="B200" s="1">
        <f>IFERROR(__xludf.DUMMYFUNCTION("""COMPUTED_VALUE"""),146.39)</f>
        <v>146.39</v>
      </c>
    </row>
    <row r="201">
      <c r="A201" s="2">
        <f>IFERROR(__xludf.DUMMYFUNCTION("""COMPUTED_VALUE"""),44396.66666666667)</f>
        <v>44396.66667</v>
      </c>
      <c r="B201" s="1">
        <f>IFERROR(__xludf.DUMMYFUNCTION("""COMPUTED_VALUE"""),142.45)</f>
        <v>142.45</v>
      </c>
    </row>
    <row r="202">
      <c r="A202" s="2">
        <f>IFERROR(__xludf.DUMMYFUNCTION("""COMPUTED_VALUE"""),44397.66666666667)</f>
        <v>44397.66667</v>
      </c>
      <c r="B202" s="1">
        <f>IFERROR(__xludf.DUMMYFUNCTION("""COMPUTED_VALUE"""),146.15)</f>
        <v>146.15</v>
      </c>
    </row>
    <row r="203">
      <c r="A203" s="2">
        <f>IFERROR(__xludf.DUMMYFUNCTION("""COMPUTED_VALUE"""),44398.66666666667)</f>
        <v>44398.66667</v>
      </c>
      <c r="B203" s="1">
        <f>IFERROR(__xludf.DUMMYFUNCTION("""COMPUTED_VALUE"""),145.4)</f>
        <v>145.4</v>
      </c>
    </row>
    <row r="204">
      <c r="A204" s="2">
        <f>IFERROR(__xludf.DUMMYFUNCTION("""COMPUTED_VALUE"""),44399.66666666667)</f>
        <v>44399.66667</v>
      </c>
      <c r="B204" s="1">
        <f>IFERROR(__xludf.DUMMYFUNCTION("""COMPUTED_VALUE"""),146.8)</f>
        <v>146.8</v>
      </c>
    </row>
    <row r="205">
      <c r="A205" s="2">
        <f>IFERROR(__xludf.DUMMYFUNCTION("""COMPUTED_VALUE"""),44400.66666666667)</f>
        <v>44400.66667</v>
      </c>
      <c r="B205" s="1">
        <f>IFERROR(__xludf.DUMMYFUNCTION("""COMPUTED_VALUE"""),148.56)</f>
        <v>148.56</v>
      </c>
    </row>
    <row r="206">
      <c r="A206" s="2">
        <f>IFERROR(__xludf.DUMMYFUNCTION("""COMPUTED_VALUE"""),44403.66666666667)</f>
        <v>44403.66667</v>
      </c>
      <c r="B206" s="1">
        <f>IFERROR(__xludf.DUMMYFUNCTION("""COMPUTED_VALUE"""),148.99)</f>
        <v>148.99</v>
      </c>
    </row>
    <row r="207">
      <c r="A207" s="2">
        <f>IFERROR(__xludf.DUMMYFUNCTION("""COMPUTED_VALUE"""),44404.66666666667)</f>
        <v>44404.66667</v>
      </c>
      <c r="B207" s="1">
        <f>IFERROR(__xludf.DUMMYFUNCTION("""COMPUTED_VALUE"""),146.77)</f>
        <v>146.77</v>
      </c>
    </row>
    <row r="208">
      <c r="A208" s="2">
        <f>IFERROR(__xludf.DUMMYFUNCTION("""COMPUTED_VALUE"""),44405.66666666667)</f>
        <v>44405.66667</v>
      </c>
      <c r="B208" s="1">
        <f>IFERROR(__xludf.DUMMYFUNCTION("""COMPUTED_VALUE"""),144.98)</f>
        <v>144.98</v>
      </c>
    </row>
    <row r="209">
      <c r="A209" s="2">
        <f>IFERROR(__xludf.DUMMYFUNCTION("""COMPUTED_VALUE"""),44406.66666666667)</f>
        <v>44406.66667</v>
      </c>
      <c r="B209" s="1">
        <f>IFERROR(__xludf.DUMMYFUNCTION("""COMPUTED_VALUE"""),145.64)</f>
        <v>145.64</v>
      </c>
    </row>
    <row r="210">
      <c r="A210" s="2">
        <f>IFERROR(__xludf.DUMMYFUNCTION("""COMPUTED_VALUE"""),44407.66666666667)</f>
        <v>44407.66667</v>
      </c>
      <c r="B210" s="1">
        <f>IFERROR(__xludf.DUMMYFUNCTION("""COMPUTED_VALUE"""),145.86)</f>
        <v>145.86</v>
      </c>
    </row>
    <row r="211">
      <c r="A211" s="2">
        <f>IFERROR(__xludf.DUMMYFUNCTION("""COMPUTED_VALUE"""),44410.66666666667)</f>
        <v>44410.66667</v>
      </c>
      <c r="B211" s="1">
        <f>IFERROR(__xludf.DUMMYFUNCTION("""COMPUTED_VALUE"""),145.52)</f>
        <v>145.52</v>
      </c>
    </row>
    <row r="212">
      <c r="A212" s="2">
        <f>IFERROR(__xludf.DUMMYFUNCTION("""COMPUTED_VALUE"""),44411.66666666667)</f>
        <v>44411.66667</v>
      </c>
      <c r="B212" s="1">
        <f>IFERROR(__xludf.DUMMYFUNCTION("""COMPUTED_VALUE"""),147.36)</f>
        <v>147.36</v>
      </c>
    </row>
    <row r="213">
      <c r="A213" s="2">
        <f>IFERROR(__xludf.DUMMYFUNCTION("""COMPUTED_VALUE"""),44412.66666666667)</f>
        <v>44412.66667</v>
      </c>
      <c r="B213" s="1">
        <f>IFERROR(__xludf.DUMMYFUNCTION("""COMPUTED_VALUE"""),146.95)</f>
        <v>146.95</v>
      </c>
    </row>
    <row r="214">
      <c r="A214" s="2">
        <f>IFERROR(__xludf.DUMMYFUNCTION("""COMPUTED_VALUE"""),44413.66666666667)</f>
        <v>44413.66667</v>
      </c>
      <c r="B214" s="1">
        <f>IFERROR(__xludf.DUMMYFUNCTION("""COMPUTED_VALUE"""),147.06)</f>
        <v>147.06</v>
      </c>
    </row>
    <row r="215">
      <c r="A215" s="2">
        <f>IFERROR(__xludf.DUMMYFUNCTION("""COMPUTED_VALUE"""),44414.66666666667)</f>
        <v>44414.66667</v>
      </c>
      <c r="B215" s="1">
        <f>IFERROR(__xludf.DUMMYFUNCTION("""COMPUTED_VALUE"""),146.14)</f>
        <v>146.14</v>
      </c>
    </row>
    <row r="216">
      <c r="A216" s="2">
        <f>IFERROR(__xludf.DUMMYFUNCTION("""COMPUTED_VALUE"""),44417.66666666667)</f>
        <v>44417.66667</v>
      </c>
      <c r="B216" s="1">
        <f>IFERROR(__xludf.DUMMYFUNCTION("""COMPUTED_VALUE"""),146.09)</f>
        <v>146.09</v>
      </c>
    </row>
    <row r="217">
      <c r="A217" s="2">
        <f>IFERROR(__xludf.DUMMYFUNCTION("""COMPUTED_VALUE"""),44418.66666666667)</f>
        <v>44418.66667</v>
      </c>
      <c r="B217" s="1">
        <f>IFERROR(__xludf.DUMMYFUNCTION("""COMPUTED_VALUE"""),145.6)</f>
        <v>145.6</v>
      </c>
    </row>
    <row r="218">
      <c r="A218" s="2">
        <f>IFERROR(__xludf.DUMMYFUNCTION("""COMPUTED_VALUE"""),44419.66666666667)</f>
        <v>44419.66667</v>
      </c>
      <c r="B218" s="1">
        <f>IFERROR(__xludf.DUMMYFUNCTION("""COMPUTED_VALUE"""),145.86)</f>
        <v>145.86</v>
      </c>
    </row>
    <row r="219">
      <c r="A219" s="2">
        <f>IFERROR(__xludf.DUMMYFUNCTION("""COMPUTED_VALUE"""),44420.66666666667)</f>
        <v>44420.66667</v>
      </c>
      <c r="B219" s="1">
        <f>IFERROR(__xludf.DUMMYFUNCTION("""COMPUTED_VALUE"""),148.89)</f>
        <v>148.89</v>
      </c>
    </row>
    <row r="220">
      <c r="A220" s="2">
        <f>IFERROR(__xludf.DUMMYFUNCTION("""COMPUTED_VALUE"""),44421.66666666667)</f>
        <v>44421.66667</v>
      </c>
      <c r="B220" s="1">
        <f>IFERROR(__xludf.DUMMYFUNCTION("""COMPUTED_VALUE"""),149.1)</f>
        <v>149.1</v>
      </c>
    </row>
    <row r="221">
      <c r="A221" s="2">
        <f>IFERROR(__xludf.DUMMYFUNCTION("""COMPUTED_VALUE"""),44424.66666666667)</f>
        <v>44424.66667</v>
      </c>
      <c r="B221" s="1">
        <f>IFERROR(__xludf.DUMMYFUNCTION("""COMPUTED_VALUE"""),151.12)</f>
        <v>151.12</v>
      </c>
    </row>
    <row r="222">
      <c r="A222" s="2">
        <f>IFERROR(__xludf.DUMMYFUNCTION("""COMPUTED_VALUE"""),44425.66666666667)</f>
        <v>44425.66667</v>
      </c>
      <c r="B222" s="1">
        <f>IFERROR(__xludf.DUMMYFUNCTION("""COMPUTED_VALUE"""),150.19)</f>
        <v>150.19</v>
      </c>
    </row>
    <row r="223">
      <c r="A223" s="2">
        <f>IFERROR(__xludf.DUMMYFUNCTION("""COMPUTED_VALUE"""),44426.66666666667)</f>
        <v>44426.66667</v>
      </c>
      <c r="B223" s="1">
        <f>IFERROR(__xludf.DUMMYFUNCTION("""COMPUTED_VALUE"""),146.36)</f>
        <v>146.36</v>
      </c>
    </row>
    <row r="224">
      <c r="A224" s="2">
        <f>IFERROR(__xludf.DUMMYFUNCTION("""COMPUTED_VALUE"""),44427.66666666667)</f>
        <v>44427.66667</v>
      </c>
      <c r="B224" s="1">
        <f>IFERROR(__xludf.DUMMYFUNCTION("""COMPUTED_VALUE"""),146.7)</f>
        <v>146.7</v>
      </c>
    </row>
    <row r="225">
      <c r="A225" s="2">
        <f>IFERROR(__xludf.DUMMYFUNCTION("""COMPUTED_VALUE"""),44428.66666666667)</f>
        <v>44428.66667</v>
      </c>
      <c r="B225" s="1">
        <f>IFERROR(__xludf.DUMMYFUNCTION("""COMPUTED_VALUE"""),148.19)</f>
        <v>148.19</v>
      </c>
    </row>
    <row r="226">
      <c r="A226" s="2">
        <f>IFERROR(__xludf.DUMMYFUNCTION("""COMPUTED_VALUE"""),44431.66666666667)</f>
        <v>44431.66667</v>
      </c>
      <c r="B226" s="1">
        <f>IFERROR(__xludf.DUMMYFUNCTION("""COMPUTED_VALUE"""),149.71)</f>
        <v>149.71</v>
      </c>
    </row>
    <row r="227">
      <c r="A227" s="2">
        <f>IFERROR(__xludf.DUMMYFUNCTION("""COMPUTED_VALUE"""),44432.66666666667)</f>
        <v>44432.66667</v>
      </c>
      <c r="B227" s="1">
        <f>IFERROR(__xludf.DUMMYFUNCTION("""COMPUTED_VALUE"""),149.62)</f>
        <v>149.62</v>
      </c>
    </row>
    <row r="228">
      <c r="A228" s="2">
        <f>IFERROR(__xludf.DUMMYFUNCTION("""COMPUTED_VALUE"""),44433.66666666667)</f>
        <v>44433.66667</v>
      </c>
      <c r="B228" s="1">
        <f>IFERROR(__xludf.DUMMYFUNCTION("""COMPUTED_VALUE"""),148.36)</f>
        <v>148.36</v>
      </c>
    </row>
    <row r="229">
      <c r="A229" s="2">
        <f>IFERROR(__xludf.DUMMYFUNCTION("""COMPUTED_VALUE"""),44434.66666666667)</f>
        <v>44434.66667</v>
      </c>
      <c r="B229" s="1">
        <f>IFERROR(__xludf.DUMMYFUNCTION("""COMPUTED_VALUE"""),147.54)</f>
        <v>147.54</v>
      </c>
    </row>
    <row r="230">
      <c r="A230" s="2">
        <f>IFERROR(__xludf.DUMMYFUNCTION("""COMPUTED_VALUE"""),44435.66666666667)</f>
        <v>44435.66667</v>
      </c>
      <c r="B230" s="1">
        <f>IFERROR(__xludf.DUMMYFUNCTION("""COMPUTED_VALUE"""),148.6)</f>
        <v>148.6</v>
      </c>
    </row>
    <row r="231">
      <c r="A231" s="2">
        <f>IFERROR(__xludf.DUMMYFUNCTION("""COMPUTED_VALUE"""),44438.66666666667)</f>
        <v>44438.66667</v>
      </c>
      <c r="B231" s="1">
        <f>IFERROR(__xludf.DUMMYFUNCTION("""COMPUTED_VALUE"""),153.12)</f>
        <v>153.12</v>
      </c>
    </row>
    <row r="232">
      <c r="A232" s="2">
        <f>IFERROR(__xludf.DUMMYFUNCTION("""COMPUTED_VALUE"""),44439.66666666667)</f>
        <v>44439.66667</v>
      </c>
      <c r="B232" s="1">
        <f>IFERROR(__xludf.DUMMYFUNCTION("""COMPUTED_VALUE"""),151.83)</f>
        <v>151.83</v>
      </c>
    </row>
    <row r="233">
      <c r="A233" s="2">
        <f>IFERROR(__xludf.DUMMYFUNCTION("""COMPUTED_VALUE"""),44440.66666666667)</f>
        <v>44440.66667</v>
      </c>
      <c r="B233" s="1">
        <f>IFERROR(__xludf.DUMMYFUNCTION("""COMPUTED_VALUE"""),152.51)</f>
        <v>152.51</v>
      </c>
    </row>
    <row r="234">
      <c r="A234" s="2">
        <f>IFERROR(__xludf.DUMMYFUNCTION("""COMPUTED_VALUE"""),44441.66666666667)</f>
        <v>44441.66667</v>
      </c>
      <c r="B234" s="1">
        <f>IFERROR(__xludf.DUMMYFUNCTION("""COMPUTED_VALUE"""),153.65)</f>
        <v>153.65</v>
      </c>
    </row>
    <row r="235">
      <c r="A235" s="2">
        <f>IFERROR(__xludf.DUMMYFUNCTION("""COMPUTED_VALUE"""),44442.66666666667)</f>
        <v>44442.66667</v>
      </c>
      <c r="B235" s="1">
        <f>IFERROR(__xludf.DUMMYFUNCTION("""COMPUTED_VALUE"""),154.3)</f>
        <v>154.3</v>
      </c>
    </row>
    <row r="236">
      <c r="A236" s="2">
        <f>IFERROR(__xludf.DUMMYFUNCTION("""COMPUTED_VALUE"""),44446.66666666667)</f>
        <v>44446.66667</v>
      </c>
      <c r="B236" s="1">
        <f>IFERROR(__xludf.DUMMYFUNCTION("""COMPUTED_VALUE"""),156.69)</f>
        <v>156.69</v>
      </c>
    </row>
    <row r="237">
      <c r="A237" s="2">
        <f>IFERROR(__xludf.DUMMYFUNCTION("""COMPUTED_VALUE"""),44447.66666666667)</f>
        <v>44447.66667</v>
      </c>
      <c r="B237" s="1">
        <f>IFERROR(__xludf.DUMMYFUNCTION("""COMPUTED_VALUE"""),155.11)</f>
        <v>155.11</v>
      </c>
    </row>
    <row r="238">
      <c r="A238" s="2">
        <f>IFERROR(__xludf.DUMMYFUNCTION("""COMPUTED_VALUE"""),44448.66666666667)</f>
        <v>44448.66667</v>
      </c>
      <c r="B238" s="1">
        <f>IFERROR(__xludf.DUMMYFUNCTION("""COMPUTED_VALUE"""),154.07)</f>
        <v>154.07</v>
      </c>
    </row>
    <row r="239">
      <c r="A239" s="2">
        <f>IFERROR(__xludf.DUMMYFUNCTION("""COMPUTED_VALUE"""),44449.66666666667)</f>
        <v>44449.66667</v>
      </c>
      <c r="B239" s="1">
        <f>IFERROR(__xludf.DUMMYFUNCTION("""COMPUTED_VALUE"""),148.97)</f>
        <v>148.97</v>
      </c>
    </row>
    <row r="240">
      <c r="A240" s="2">
        <f>IFERROR(__xludf.DUMMYFUNCTION("""COMPUTED_VALUE"""),44452.66666666667)</f>
        <v>44452.66667</v>
      </c>
      <c r="B240" s="1">
        <f>IFERROR(__xludf.DUMMYFUNCTION("""COMPUTED_VALUE"""),149.55)</f>
        <v>149.55</v>
      </c>
    </row>
    <row r="241">
      <c r="A241" s="2">
        <f>IFERROR(__xludf.DUMMYFUNCTION("""COMPUTED_VALUE"""),44453.66666666667)</f>
        <v>44453.66667</v>
      </c>
      <c r="B241" s="1">
        <f>IFERROR(__xludf.DUMMYFUNCTION("""COMPUTED_VALUE"""),148.12)</f>
        <v>148.12</v>
      </c>
    </row>
    <row r="242">
      <c r="A242" s="2">
        <f>IFERROR(__xludf.DUMMYFUNCTION("""COMPUTED_VALUE"""),44454.66666666667)</f>
        <v>44454.66667</v>
      </c>
      <c r="B242" s="1">
        <f>IFERROR(__xludf.DUMMYFUNCTION("""COMPUTED_VALUE"""),149.03)</f>
        <v>149.03</v>
      </c>
    </row>
    <row r="243">
      <c r="A243" s="2">
        <f>IFERROR(__xludf.DUMMYFUNCTION("""COMPUTED_VALUE"""),44455.66666666667)</f>
        <v>44455.66667</v>
      </c>
      <c r="B243" s="1">
        <f>IFERROR(__xludf.DUMMYFUNCTION("""COMPUTED_VALUE"""),148.79)</f>
        <v>148.79</v>
      </c>
    </row>
    <row r="244">
      <c r="A244" s="2">
        <f>IFERROR(__xludf.DUMMYFUNCTION("""COMPUTED_VALUE"""),44456.66666666667)</f>
        <v>44456.66667</v>
      </c>
      <c r="B244" s="1">
        <f>IFERROR(__xludf.DUMMYFUNCTION("""COMPUTED_VALUE"""),146.06)</f>
        <v>146.06</v>
      </c>
    </row>
    <row r="245">
      <c r="A245" s="2">
        <f>IFERROR(__xludf.DUMMYFUNCTION("""COMPUTED_VALUE"""),44459.66666666667)</f>
        <v>44459.66667</v>
      </c>
      <c r="B245" s="1">
        <f>IFERROR(__xludf.DUMMYFUNCTION("""COMPUTED_VALUE"""),142.94)</f>
        <v>142.94</v>
      </c>
    </row>
    <row r="246">
      <c r="A246" s="2">
        <f>IFERROR(__xludf.DUMMYFUNCTION("""COMPUTED_VALUE"""),44460.66666666667)</f>
        <v>44460.66667</v>
      </c>
      <c r="B246" s="1">
        <f>IFERROR(__xludf.DUMMYFUNCTION("""COMPUTED_VALUE"""),143.43)</f>
        <v>143.43</v>
      </c>
    </row>
    <row r="247">
      <c r="A247" s="2">
        <f>IFERROR(__xludf.DUMMYFUNCTION("""COMPUTED_VALUE"""),44461.66666666667)</f>
        <v>44461.66667</v>
      </c>
      <c r="B247" s="1">
        <f>IFERROR(__xludf.DUMMYFUNCTION("""COMPUTED_VALUE"""),145.85)</f>
        <v>145.85</v>
      </c>
    </row>
    <row r="248">
      <c r="A248" s="2">
        <f>IFERROR(__xludf.DUMMYFUNCTION("""COMPUTED_VALUE"""),44462.66666666667)</f>
        <v>44462.66667</v>
      </c>
      <c r="B248" s="1">
        <f>IFERROR(__xludf.DUMMYFUNCTION("""COMPUTED_VALUE"""),146.83)</f>
        <v>146.83</v>
      </c>
    </row>
    <row r="249">
      <c r="A249" s="2">
        <f>IFERROR(__xludf.DUMMYFUNCTION("""COMPUTED_VALUE"""),44463.66666666667)</f>
        <v>44463.66667</v>
      </c>
      <c r="B249" s="1">
        <f>IFERROR(__xludf.DUMMYFUNCTION("""COMPUTED_VALUE"""),146.92)</f>
        <v>146.92</v>
      </c>
    </row>
    <row r="250">
      <c r="A250" s="2">
        <f>IFERROR(__xludf.DUMMYFUNCTION("""COMPUTED_VALUE"""),44466.66666666667)</f>
        <v>44466.66667</v>
      </c>
      <c r="B250" s="1">
        <f>IFERROR(__xludf.DUMMYFUNCTION("""COMPUTED_VALUE"""),145.37)</f>
        <v>145.37</v>
      </c>
    </row>
    <row r="251">
      <c r="A251" s="2">
        <f>IFERROR(__xludf.DUMMYFUNCTION("""COMPUTED_VALUE"""),44467.66666666667)</f>
        <v>44467.66667</v>
      </c>
      <c r="B251" s="1">
        <f>IFERROR(__xludf.DUMMYFUNCTION("""COMPUTED_VALUE"""),141.91)</f>
        <v>141.91</v>
      </c>
    </row>
    <row r="252">
      <c r="A252" s="2">
        <f>IFERROR(__xludf.DUMMYFUNCTION("""COMPUTED_VALUE"""),44468.66666666667)</f>
        <v>44468.66667</v>
      </c>
      <c r="B252" s="1">
        <f>IFERROR(__xludf.DUMMYFUNCTION("""COMPUTED_VALUE"""),142.83)</f>
        <v>142.83</v>
      </c>
    </row>
    <row r="253">
      <c r="A253" s="2">
        <f>IFERROR(__xludf.DUMMYFUNCTION("""COMPUTED_VALUE"""),44469.66666666667)</f>
        <v>44469.66667</v>
      </c>
      <c r="B253" s="1">
        <f>IFERROR(__xludf.DUMMYFUNCTION("""COMPUTED_VALUE"""),141.5)</f>
        <v>141.5</v>
      </c>
    </row>
    <row r="254">
      <c r="A254" s="2">
        <f>IFERROR(__xludf.DUMMYFUNCTION("""COMPUTED_VALUE"""),44470.66666666667)</f>
        <v>44470.66667</v>
      </c>
      <c r="B254" s="1">
        <f>IFERROR(__xludf.DUMMYFUNCTION("""COMPUTED_VALUE"""),142.65)</f>
        <v>142.65</v>
      </c>
    </row>
    <row r="255">
      <c r="A255" s="2">
        <f>IFERROR(__xludf.DUMMYFUNCTION("""COMPUTED_VALUE"""),44473.66666666667)</f>
        <v>44473.66667</v>
      </c>
      <c r="B255" s="1">
        <f>IFERROR(__xludf.DUMMYFUNCTION("""COMPUTED_VALUE"""),139.14)</f>
        <v>139.14</v>
      </c>
    </row>
    <row r="256">
      <c r="A256" s="2">
        <f>IFERROR(__xludf.DUMMYFUNCTION("""COMPUTED_VALUE"""),44474.66666666667)</f>
        <v>44474.66667</v>
      </c>
      <c r="B256" s="1">
        <f>IFERROR(__xludf.DUMMYFUNCTION("""COMPUTED_VALUE"""),141.11)</f>
        <v>141.11</v>
      </c>
    </row>
    <row r="257">
      <c r="A257" s="2">
        <f>IFERROR(__xludf.DUMMYFUNCTION("""COMPUTED_VALUE"""),44475.66666666667)</f>
        <v>44475.66667</v>
      </c>
      <c r="B257" s="1">
        <f>IFERROR(__xludf.DUMMYFUNCTION("""COMPUTED_VALUE"""),142.0)</f>
        <v>142</v>
      </c>
    </row>
    <row r="258">
      <c r="A258" s="2">
        <f>IFERROR(__xludf.DUMMYFUNCTION("""COMPUTED_VALUE"""),44476.66666666667)</f>
        <v>44476.66667</v>
      </c>
      <c r="B258" s="1">
        <f>IFERROR(__xludf.DUMMYFUNCTION("""COMPUTED_VALUE"""),143.29)</f>
        <v>143.29</v>
      </c>
    </row>
    <row r="259">
      <c r="A259" s="2">
        <f>IFERROR(__xludf.DUMMYFUNCTION("""COMPUTED_VALUE"""),44477.66666666667)</f>
        <v>44477.66667</v>
      </c>
      <c r="B259" s="1">
        <f>IFERROR(__xludf.DUMMYFUNCTION("""COMPUTED_VALUE"""),142.9)</f>
        <v>142.9</v>
      </c>
    </row>
    <row r="260">
      <c r="A260" s="2">
        <f>IFERROR(__xludf.DUMMYFUNCTION("""COMPUTED_VALUE"""),44480.66666666667)</f>
        <v>44480.66667</v>
      </c>
      <c r="B260" s="1">
        <f>IFERROR(__xludf.DUMMYFUNCTION("""COMPUTED_VALUE"""),142.81)</f>
        <v>142.81</v>
      </c>
    </row>
    <row r="261">
      <c r="A261" s="2">
        <f>IFERROR(__xludf.DUMMYFUNCTION("""COMPUTED_VALUE"""),44481.66666666667)</f>
        <v>44481.66667</v>
      </c>
      <c r="B261" s="1">
        <f>IFERROR(__xludf.DUMMYFUNCTION("""COMPUTED_VALUE"""),141.51)</f>
        <v>141.51</v>
      </c>
    </row>
    <row r="262">
      <c r="A262" s="2">
        <f>IFERROR(__xludf.DUMMYFUNCTION("""COMPUTED_VALUE"""),44482.66666666667)</f>
        <v>44482.66667</v>
      </c>
      <c r="B262" s="1">
        <f>IFERROR(__xludf.DUMMYFUNCTION("""COMPUTED_VALUE"""),140.91)</f>
        <v>140.91</v>
      </c>
    </row>
    <row r="263">
      <c r="A263" s="2">
        <f>IFERROR(__xludf.DUMMYFUNCTION("""COMPUTED_VALUE"""),44483.66666666667)</f>
        <v>44483.66667</v>
      </c>
      <c r="B263" s="1">
        <f>IFERROR(__xludf.DUMMYFUNCTION("""COMPUTED_VALUE"""),143.76)</f>
        <v>143.76</v>
      </c>
    </row>
    <row r="264">
      <c r="A264" s="2">
        <f>IFERROR(__xludf.DUMMYFUNCTION("""COMPUTED_VALUE"""),44484.66666666667)</f>
        <v>44484.66667</v>
      </c>
      <c r="B264" s="1">
        <f>IFERROR(__xludf.DUMMYFUNCTION("""COMPUTED_VALUE"""),144.84)</f>
        <v>144.84</v>
      </c>
    </row>
    <row r="265">
      <c r="A265" s="2">
        <f>IFERROR(__xludf.DUMMYFUNCTION("""COMPUTED_VALUE"""),44487.66666666667)</f>
        <v>44487.66667</v>
      </c>
      <c r="B265" s="1">
        <f>IFERROR(__xludf.DUMMYFUNCTION("""COMPUTED_VALUE"""),146.55)</f>
        <v>146.55</v>
      </c>
    </row>
    <row r="266">
      <c r="A266" s="2">
        <f>IFERROR(__xludf.DUMMYFUNCTION("""COMPUTED_VALUE"""),44488.66666666667)</f>
        <v>44488.66667</v>
      </c>
      <c r="B266" s="1">
        <f>IFERROR(__xludf.DUMMYFUNCTION("""COMPUTED_VALUE"""),148.76)</f>
        <v>148.76</v>
      </c>
    </row>
    <row r="267">
      <c r="A267" s="2">
        <f>IFERROR(__xludf.DUMMYFUNCTION("""COMPUTED_VALUE"""),44489.66666666667)</f>
        <v>44489.66667</v>
      </c>
      <c r="B267" s="1">
        <f>IFERROR(__xludf.DUMMYFUNCTION("""COMPUTED_VALUE"""),149.26)</f>
        <v>149.26</v>
      </c>
    </row>
    <row r="268">
      <c r="A268" s="2">
        <f>IFERROR(__xludf.DUMMYFUNCTION("""COMPUTED_VALUE"""),44490.66666666667)</f>
        <v>44490.66667</v>
      </c>
      <c r="B268" s="1">
        <f>IFERROR(__xludf.DUMMYFUNCTION("""COMPUTED_VALUE"""),149.48)</f>
        <v>149.48</v>
      </c>
    </row>
    <row r="269">
      <c r="A269" s="2">
        <f>IFERROR(__xludf.DUMMYFUNCTION("""COMPUTED_VALUE"""),44491.66666666667)</f>
        <v>44491.66667</v>
      </c>
      <c r="B269" s="1">
        <f>IFERROR(__xludf.DUMMYFUNCTION("""COMPUTED_VALUE"""),148.69)</f>
        <v>148.69</v>
      </c>
    </row>
    <row r="270">
      <c r="A270" s="2">
        <f>IFERROR(__xludf.DUMMYFUNCTION("""COMPUTED_VALUE"""),44494.66666666667)</f>
        <v>44494.66667</v>
      </c>
      <c r="B270" s="1">
        <f>IFERROR(__xludf.DUMMYFUNCTION("""COMPUTED_VALUE"""),148.64)</f>
        <v>148.64</v>
      </c>
    </row>
    <row r="271">
      <c r="A271" s="2">
        <f>IFERROR(__xludf.DUMMYFUNCTION("""COMPUTED_VALUE"""),44495.66666666667)</f>
        <v>44495.66667</v>
      </c>
      <c r="B271" s="1">
        <f>IFERROR(__xludf.DUMMYFUNCTION("""COMPUTED_VALUE"""),149.32)</f>
        <v>149.32</v>
      </c>
    </row>
    <row r="272">
      <c r="A272" s="2">
        <f>IFERROR(__xludf.DUMMYFUNCTION("""COMPUTED_VALUE"""),44496.66666666667)</f>
        <v>44496.66667</v>
      </c>
      <c r="B272" s="1">
        <f>IFERROR(__xludf.DUMMYFUNCTION("""COMPUTED_VALUE"""),148.85)</f>
        <v>148.85</v>
      </c>
    </row>
    <row r="273">
      <c r="A273" s="2">
        <f>IFERROR(__xludf.DUMMYFUNCTION("""COMPUTED_VALUE"""),44497.66666666667)</f>
        <v>44497.66667</v>
      </c>
      <c r="B273" s="1">
        <f>IFERROR(__xludf.DUMMYFUNCTION("""COMPUTED_VALUE"""),152.57)</f>
        <v>152.57</v>
      </c>
    </row>
    <row r="274">
      <c r="A274" s="2">
        <f>IFERROR(__xludf.DUMMYFUNCTION("""COMPUTED_VALUE"""),44498.66666666667)</f>
        <v>44498.66667</v>
      </c>
      <c r="B274" s="1">
        <f>IFERROR(__xludf.DUMMYFUNCTION("""COMPUTED_VALUE"""),149.8)</f>
        <v>149.8</v>
      </c>
    </row>
    <row r="275">
      <c r="A275" s="2">
        <f>IFERROR(__xludf.DUMMYFUNCTION("""COMPUTED_VALUE"""),44501.66666666667)</f>
        <v>44501.66667</v>
      </c>
      <c r="B275" s="1">
        <f>IFERROR(__xludf.DUMMYFUNCTION("""COMPUTED_VALUE"""),148.96)</f>
        <v>148.96</v>
      </c>
    </row>
    <row r="276">
      <c r="A276" s="2">
        <f>IFERROR(__xludf.DUMMYFUNCTION("""COMPUTED_VALUE"""),44502.66666666667)</f>
        <v>44502.66667</v>
      </c>
      <c r="B276" s="1">
        <f>IFERROR(__xludf.DUMMYFUNCTION("""COMPUTED_VALUE"""),150.02)</f>
        <v>150.02</v>
      </c>
    </row>
    <row r="277">
      <c r="A277" s="2">
        <f>IFERROR(__xludf.DUMMYFUNCTION("""COMPUTED_VALUE"""),44503.66666666667)</f>
        <v>44503.66667</v>
      </c>
      <c r="B277" s="1">
        <f>IFERROR(__xludf.DUMMYFUNCTION("""COMPUTED_VALUE"""),151.49)</f>
        <v>151.49</v>
      </c>
    </row>
    <row r="278">
      <c r="A278" s="2">
        <f>IFERROR(__xludf.DUMMYFUNCTION("""COMPUTED_VALUE"""),44504.66666666667)</f>
        <v>44504.66667</v>
      </c>
      <c r="B278" s="1">
        <f>IFERROR(__xludf.DUMMYFUNCTION("""COMPUTED_VALUE"""),150.96)</f>
        <v>150.96</v>
      </c>
    </row>
    <row r="279">
      <c r="A279" s="2">
        <f>IFERROR(__xludf.DUMMYFUNCTION("""COMPUTED_VALUE"""),44505.66666666667)</f>
        <v>44505.66667</v>
      </c>
      <c r="B279" s="1">
        <f>IFERROR(__xludf.DUMMYFUNCTION("""COMPUTED_VALUE"""),151.28)</f>
        <v>151.28</v>
      </c>
    </row>
    <row r="280">
      <c r="A280" s="2">
        <f>IFERROR(__xludf.DUMMYFUNCTION("""COMPUTED_VALUE"""),44508.66666666667)</f>
        <v>44508.66667</v>
      </c>
      <c r="B280" s="1">
        <f>IFERROR(__xludf.DUMMYFUNCTION("""COMPUTED_VALUE"""),150.44)</f>
        <v>150.44</v>
      </c>
    </row>
    <row r="281">
      <c r="A281" s="2">
        <f>IFERROR(__xludf.DUMMYFUNCTION("""COMPUTED_VALUE"""),44509.66666666667)</f>
        <v>44509.66667</v>
      </c>
      <c r="B281" s="1">
        <f>IFERROR(__xludf.DUMMYFUNCTION("""COMPUTED_VALUE"""),150.81)</f>
        <v>150.81</v>
      </c>
    </row>
    <row r="282">
      <c r="A282" s="2">
        <f>IFERROR(__xludf.DUMMYFUNCTION("""COMPUTED_VALUE"""),44510.66666666667)</f>
        <v>44510.66667</v>
      </c>
      <c r="B282" s="1">
        <f>IFERROR(__xludf.DUMMYFUNCTION("""COMPUTED_VALUE"""),147.92)</f>
        <v>147.92</v>
      </c>
    </row>
    <row r="283">
      <c r="A283" s="2">
        <f>IFERROR(__xludf.DUMMYFUNCTION("""COMPUTED_VALUE"""),44511.66666666667)</f>
        <v>44511.66667</v>
      </c>
      <c r="B283" s="1">
        <f>IFERROR(__xludf.DUMMYFUNCTION("""COMPUTED_VALUE"""),147.87)</f>
        <v>147.87</v>
      </c>
    </row>
    <row r="284">
      <c r="A284" s="2">
        <f>IFERROR(__xludf.DUMMYFUNCTION("""COMPUTED_VALUE"""),44512.66666666667)</f>
        <v>44512.66667</v>
      </c>
      <c r="B284" s="1">
        <f>IFERROR(__xludf.DUMMYFUNCTION("""COMPUTED_VALUE"""),149.99)</f>
        <v>149.99</v>
      </c>
    </row>
    <row r="285">
      <c r="A285" s="2">
        <f>IFERROR(__xludf.DUMMYFUNCTION("""COMPUTED_VALUE"""),44515.66666666667)</f>
        <v>44515.66667</v>
      </c>
      <c r="B285" s="1">
        <f>IFERROR(__xludf.DUMMYFUNCTION("""COMPUTED_VALUE"""),150.0)</f>
        <v>150</v>
      </c>
    </row>
    <row r="286">
      <c r="A286" s="2">
        <f>IFERROR(__xludf.DUMMYFUNCTION("""COMPUTED_VALUE"""),44516.66666666667)</f>
        <v>44516.66667</v>
      </c>
      <c r="B286" s="1">
        <f>IFERROR(__xludf.DUMMYFUNCTION("""COMPUTED_VALUE"""),151.0)</f>
        <v>151</v>
      </c>
    </row>
    <row r="287">
      <c r="A287" s="2">
        <f>IFERROR(__xludf.DUMMYFUNCTION("""COMPUTED_VALUE"""),44517.66666666667)</f>
        <v>44517.66667</v>
      </c>
      <c r="B287" s="1">
        <f>IFERROR(__xludf.DUMMYFUNCTION("""COMPUTED_VALUE"""),153.49)</f>
        <v>153.49</v>
      </c>
    </row>
    <row r="288">
      <c r="A288" s="2">
        <f>IFERROR(__xludf.DUMMYFUNCTION("""COMPUTED_VALUE"""),44518.66666666667)</f>
        <v>44518.66667</v>
      </c>
      <c r="B288" s="1">
        <f>IFERROR(__xludf.DUMMYFUNCTION("""COMPUTED_VALUE"""),157.87)</f>
        <v>157.87</v>
      </c>
    </row>
    <row r="289">
      <c r="A289" s="2">
        <f>IFERROR(__xludf.DUMMYFUNCTION("""COMPUTED_VALUE"""),44519.66666666667)</f>
        <v>44519.66667</v>
      </c>
      <c r="B289" s="1">
        <f>IFERROR(__xludf.DUMMYFUNCTION("""COMPUTED_VALUE"""),160.55)</f>
        <v>160.55</v>
      </c>
    </row>
    <row r="290">
      <c r="A290" s="2">
        <f>IFERROR(__xludf.DUMMYFUNCTION("""COMPUTED_VALUE"""),44522.66666666667)</f>
        <v>44522.66667</v>
      </c>
      <c r="B290" s="1">
        <f>IFERROR(__xludf.DUMMYFUNCTION("""COMPUTED_VALUE"""),161.02)</f>
        <v>161.02</v>
      </c>
    </row>
    <row r="291">
      <c r="A291" s="2">
        <f>IFERROR(__xludf.DUMMYFUNCTION("""COMPUTED_VALUE"""),44523.66666666667)</f>
        <v>44523.66667</v>
      </c>
      <c r="B291" s="1">
        <f>IFERROR(__xludf.DUMMYFUNCTION("""COMPUTED_VALUE"""),161.41)</f>
        <v>161.41</v>
      </c>
    </row>
    <row r="292">
      <c r="A292" s="2">
        <f>IFERROR(__xludf.DUMMYFUNCTION("""COMPUTED_VALUE"""),44524.66666666667)</f>
        <v>44524.66667</v>
      </c>
      <c r="B292" s="1">
        <f>IFERROR(__xludf.DUMMYFUNCTION("""COMPUTED_VALUE"""),161.94)</f>
        <v>161.94</v>
      </c>
    </row>
    <row r="293">
      <c r="A293" s="2">
        <f>IFERROR(__xludf.DUMMYFUNCTION("""COMPUTED_VALUE"""),44526.54166666667)</f>
        <v>44526.54167</v>
      </c>
      <c r="B293" s="1">
        <f>IFERROR(__xludf.DUMMYFUNCTION("""COMPUTED_VALUE"""),156.81)</f>
        <v>156.81</v>
      </c>
    </row>
    <row r="294">
      <c r="A294" s="2">
        <f>IFERROR(__xludf.DUMMYFUNCTION("""COMPUTED_VALUE"""),44529.66666666667)</f>
        <v>44529.66667</v>
      </c>
      <c r="B294" s="1">
        <f>IFERROR(__xludf.DUMMYFUNCTION("""COMPUTED_VALUE"""),160.24)</f>
        <v>160.24</v>
      </c>
    </row>
    <row r="295">
      <c r="A295" s="2">
        <f>IFERROR(__xludf.DUMMYFUNCTION("""COMPUTED_VALUE"""),44530.66666666667)</f>
        <v>44530.66667</v>
      </c>
      <c r="B295" s="1">
        <f>IFERROR(__xludf.DUMMYFUNCTION("""COMPUTED_VALUE"""),165.3)</f>
        <v>165.3</v>
      </c>
    </row>
    <row r="296">
      <c r="A296" s="2">
        <f>IFERROR(__xludf.DUMMYFUNCTION("""COMPUTED_VALUE"""),44531.66666666667)</f>
        <v>44531.66667</v>
      </c>
      <c r="B296" s="1">
        <f>IFERROR(__xludf.DUMMYFUNCTION("""COMPUTED_VALUE"""),164.77)</f>
        <v>164.77</v>
      </c>
    </row>
    <row r="297">
      <c r="A297" s="2">
        <f>IFERROR(__xludf.DUMMYFUNCTION("""COMPUTED_VALUE"""),44532.66666666667)</f>
        <v>44532.66667</v>
      </c>
      <c r="B297" s="1">
        <f>IFERROR(__xludf.DUMMYFUNCTION("""COMPUTED_VALUE"""),163.76)</f>
        <v>163.76</v>
      </c>
    </row>
    <row r="298">
      <c r="A298" s="2">
        <f>IFERROR(__xludf.DUMMYFUNCTION("""COMPUTED_VALUE"""),44533.66666666667)</f>
        <v>44533.66667</v>
      </c>
      <c r="B298" s="1">
        <f>IFERROR(__xludf.DUMMYFUNCTION("""COMPUTED_VALUE"""),161.84)</f>
        <v>161.84</v>
      </c>
    </row>
    <row r="299">
      <c r="A299" s="2">
        <f>IFERROR(__xludf.DUMMYFUNCTION("""COMPUTED_VALUE"""),44536.66666666667)</f>
        <v>44536.66667</v>
      </c>
      <c r="B299" s="1">
        <f>IFERROR(__xludf.DUMMYFUNCTION("""COMPUTED_VALUE"""),165.32)</f>
        <v>165.32</v>
      </c>
    </row>
    <row r="300">
      <c r="A300" s="2">
        <f>IFERROR(__xludf.DUMMYFUNCTION("""COMPUTED_VALUE"""),44537.66666666667)</f>
        <v>44537.66667</v>
      </c>
      <c r="B300" s="1">
        <f>IFERROR(__xludf.DUMMYFUNCTION("""COMPUTED_VALUE"""),171.18)</f>
        <v>171.18</v>
      </c>
    </row>
    <row r="301">
      <c r="A301" s="2">
        <f>IFERROR(__xludf.DUMMYFUNCTION("""COMPUTED_VALUE"""),44538.66666666667)</f>
        <v>44538.66667</v>
      </c>
      <c r="B301" s="1">
        <f>IFERROR(__xludf.DUMMYFUNCTION("""COMPUTED_VALUE"""),175.08)</f>
        <v>175.08</v>
      </c>
    </row>
    <row r="302">
      <c r="A302" s="2">
        <f>IFERROR(__xludf.DUMMYFUNCTION("""COMPUTED_VALUE"""),44539.66666666667)</f>
        <v>44539.66667</v>
      </c>
      <c r="B302" s="1">
        <f>IFERROR(__xludf.DUMMYFUNCTION("""COMPUTED_VALUE"""),174.56)</f>
        <v>174.56</v>
      </c>
    </row>
    <row r="303">
      <c r="A303" s="2">
        <f>IFERROR(__xludf.DUMMYFUNCTION("""COMPUTED_VALUE"""),44540.66666666667)</f>
        <v>44540.66667</v>
      </c>
      <c r="B303" s="1">
        <f>IFERROR(__xludf.DUMMYFUNCTION("""COMPUTED_VALUE"""),179.45)</f>
        <v>179.45</v>
      </c>
    </row>
    <row r="304">
      <c r="A304" s="2">
        <f>IFERROR(__xludf.DUMMYFUNCTION("""COMPUTED_VALUE"""),44543.66666666667)</f>
        <v>44543.66667</v>
      </c>
      <c r="B304" s="1">
        <f>IFERROR(__xludf.DUMMYFUNCTION("""COMPUTED_VALUE"""),175.74)</f>
        <v>175.74</v>
      </c>
    </row>
    <row r="305">
      <c r="A305" s="2">
        <f>IFERROR(__xludf.DUMMYFUNCTION("""COMPUTED_VALUE"""),44544.66666666667)</f>
        <v>44544.66667</v>
      </c>
      <c r="B305" s="1">
        <f>IFERROR(__xludf.DUMMYFUNCTION("""COMPUTED_VALUE"""),174.33)</f>
        <v>174.33</v>
      </c>
    </row>
    <row r="306">
      <c r="A306" s="2">
        <f>IFERROR(__xludf.DUMMYFUNCTION("""COMPUTED_VALUE"""),44545.66666666667)</f>
        <v>44545.66667</v>
      </c>
      <c r="B306" s="1">
        <f>IFERROR(__xludf.DUMMYFUNCTION("""COMPUTED_VALUE"""),179.3)</f>
        <v>179.3</v>
      </c>
    </row>
    <row r="307">
      <c r="A307" s="2">
        <f>IFERROR(__xludf.DUMMYFUNCTION("""COMPUTED_VALUE"""),44546.66666666667)</f>
        <v>44546.66667</v>
      </c>
      <c r="B307" s="1">
        <f>IFERROR(__xludf.DUMMYFUNCTION("""COMPUTED_VALUE"""),172.26)</f>
        <v>172.26</v>
      </c>
    </row>
    <row r="308">
      <c r="A308" s="2">
        <f>IFERROR(__xludf.DUMMYFUNCTION("""COMPUTED_VALUE"""),44547.66666666667)</f>
        <v>44547.66667</v>
      </c>
      <c r="B308" s="1">
        <f>IFERROR(__xludf.DUMMYFUNCTION("""COMPUTED_VALUE"""),171.14)</f>
        <v>171.14</v>
      </c>
    </row>
    <row r="309">
      <c r="A309" s="2">
        <f>IFERROR(__xludf.DUMMYFUNCTION("""COMPUTED_VALUE"""),44550.66666666667)</f>
        <v>44550.66667</v>
      </c>
      <c r="B309" s="1">
        <f>IFERROR(__xludf.DUMMYFUNCTION("""COMPUTED_VALUE"""),169.75)</f>
        <v>169.75</v>
      </c>
    </row>
    <row r="310">
      <c r="A310" s="2">
        <f>IFERROR(__xludf.DUMMYFUNCTION("""COMPUTED_VALUE"""),44551.66666666667)</f>
        <v>44551.66667</v>
      </c>
      <c r="B310" s="1">
        <f>IFERROR(__xludf.DUMMYFUNCTION("""COMPUTED_VALUE"""),172.99)</f>
        <v>172.99</v>
      </c>
    </row>
    <row r="311">
      <c r="A311" s="2">
        <f>IFERROR(__xludf.DUMMYFUNCTION("""COMPUTED_VALUE"""),44552.66666666667)</f>
        <v>44552.66667</v>
      </c>
      <c r="B311" s="1">
        <f>IFERROR(__xludf.DUMMYFUNCTION("""COMPUTED_VALUE"""),175.64)</f>
        <v>175.64</v>
      </c>
    </row>
    <row r="312">
      <c r="A312" s="2">
        <f>IFERROR(__xludf.DUMMYFUNCTION("""COMPUTED_VALUE"""),44553.66666666667)</f>
        <v>44553.66667</v>
      </c>
      <c r="B312" s="1">
        <f>IFERROR(__xludf.DUMMYFUNCTION("""COMPUTED_VALUE"""),176.28)</f>
        <v>176.28</v>
      </c>
    </row>
    <row r="313">
      <c r="A313" s="2">
        <f>IFERROR(__xludf.DUMMYFUNCTION("""COMPUTED_VALUE"""),44557.66666666667)</f>
        <v>44557.66667</v>
      </c>
      <c r="B313" s="1">
        <f>IFERROR(__xludf.DUMMYFUNCTION("""COMPUTED_VALUE"""),180.33)</f>
        <v>180.33</v>
      </c>
    </row>
    <row r="314">
      <c r="A314" s="2">
        <f>IFERROR(__xludf.DUMMYFUNCTION("""COMPUTED_VALUE"""),44558.66666666667)</f>
        <v>44558.66667</v>
      </c>
      <c r="B314" s="1">
        <f>IFERROR(__xludf.DUMMYFUNCTION("""COMPUTED_VALUE"""),179.29)</f>
        <v>179.29</v>
      </c>
    </row>
    <row r="315">
      <c r="A315" s="2">
        <f>IFERROR(__xludf.DUMMYFUNCTION("""COMPUTED_VALUE"""),44559.66666666667)</f>
        <v>44559.66667</v>
      </c>
      <c r="B315" s="1">
        <f>IFERROR(__xludf.DUMMYFUNCTION("""COMPUTED_VALUE"""),179.38)</f>
        <v>179.38</v>
      </c>
    </row>
    <row r="316">
      <c r="A316" s="2">
        <f>IFERROR(__xludf.DUMMYFUNCTION("""COMPUTED_VALUE"""),44560.66666666667)</f>
        <v>44560.66667</v>
      </c>
      <c r="B316" s="1">
        <f>IFERROR(__xludf.DUMMYFUNCTION("""COMPUTED_VALUE"""),178.2)</f>
        <v>178.2</v>
      </c>
    </row>
    <row r="317">
      <c r="A317" s="2">
        <f>IFERROR(__xludf.DUMMYFUNCTION("""COMPUTED_VALUE"""),44561.66666666667)</f>
        <v>44561.66667</v>
      </c>
      <c r="B317" s="1">
        <f>IFERROR(__xludf.DUMMYFUNCTION("""COMPUTED_VALUE"""),177.57)</f>
        <v>177.57</v>
      </c>
    </row>
    <row r="318">
      <c r="A318" s="2">
        <f>IFERROR(__xludf.DUMMYFUNCTION("""COMPUTED_VALUE"""),44564.66666666667)</f>
        <v>44564.66667</v>
      </c>
      <c r="B318" s="1">
        <f>IFERROR(__xludf.DUMMYFUNCTION("""COMPUTED_VALUE"""),182.01)</f>
        <v>182.01</v>
      </c>
    </row>
    <row r="319">
      <c r="A319" s="2">
        <f>IFERROR(__xludf.DUMMYFUNCTION("""COMPUTED_VALUE"""),44565.66666666667)</f>
        <v>44565.66667</v>
      </c>
      <c r="B319" s="1">
        <f>IFERROR(__xludf.DUMMYFUNCTION("""COMPUTED_VALUE"""),179.7)</f>
        <v>179.7</v>
      </c>
    </row>
    <row r="320">
      <c r="A320" s="2">
        <f>IFERROR(__xludf.DUMMYFUNCTION("""COMPUTED_VALUE"""),44566.66666666667)</f>
        <v>44566.66667</v>
      </c>
      <c r="B320" s="1">
        <f>IFERROR(__xludf.DUMMYFUNCTION("""COMPUTED_VALUE"""),174.92)</f>
        <v>174.92</v>
      </c>
    </row>
    <row r="321">
      <c r="A321" s="2">
        <f>IFERROR(__xludf.DUMMYFUNCTION("""COMPUTED_VALUE"""),44567.66666666667)</f>
        <v>44567.66667</v>
      </c>
      <c r="B321" s="1">
        <f>IFERROR(__xludf.DUMMYFUNCTION("""COMPUTED_VALUE"""),172.0)</f>
        <v>172</v>
      </c>
    </row>
    <row r="322">
      <c r="A322" s="2">
        <f>IFERROR(__xludf.DUMMYFUNCTION("""COMPUTED_VALUE"""),44568.66666666667)</f>
        <v>44568.66667</v>
      </c>
      <c r="B322" s="1">
        <f>IFERROR(__xludf.DUMMYFUNCTION("""COMPUTED_VALUE"""),172.17)</f>
        <v>172.17</v>
      </c>
    </row>
    <row r="323">
      <c r="A323" s="2">
        <f>IFERROR(__xludf.DUMMYFUNCTION("""COMPUTED_VALUE"""),44571.66666666667)</f>
        <v>44571.66667</v>
      </c>
      <c r="B323" s="1">
        <f>IFERROR(__xludf.DUMMYFUNCTION("""COMPUTED_VALUE"""),172.19)</f>
        <v>172.19</v>
      </c>
    </row>
    <row r="324">
      <c r="A324" s="2">
        <f>IFERROR(__xludf.DUMMYFUNCTION("""COMPUTED_VALUE"""),44572.66666666667)</f>
        <v>44572.66667</v>
      </c>
      <c r="B324" s="1">
        <f>IFERROR(__xludf.DUMMYFUNCTION("""COMPUTED_VALUE"""),175.08)</f>
        <v>175.08</v>
      </c>
    </row>
    <row r="325">
      <c r="A325" s="2">
        <f>IFERROR(__xludf.DUMMYFUNCTION("""COMPUTED_VALUE"""),44573.66666666667)</f>
        <v>44573.66667</v>
      </c>
      <c r="B325" s="1">
        <f>IFERROR(__xludf.DUMMYFUNCTION("""COMPUTED_VALUE"""),175.53)</f>
        <v>175.53</v>
      </c>
    </row>
    <row r="326">
      <c r="A326" s="2">
        <f>IFERROR(__xludf.DUMMYFUNCTION("""COMPUTED_VALUE"""),44574.66666666667)</f>
        <v>44574.66667</v>
      </c>
      <c r="B326" s="1">
        <f>IFERROR(__xludf.DUMMYFUNCTION("""COMPUTED_VALUE"""),172.19)</f>
        <v>172.19</v>
      </c>
    </row>
    <row r="327">
      <c r="A327" s="2">
        <f>IFERROR(__xludf.DUMMYFUNCTION("""COMPUTED_VALUE"""),44575.66666666667)</f>
        <v>44575.66667</v>
      </c>
      <c r="B327" s="1">
        <f>IFERROR(__xludf.DUMMYFUNCTION("""COMPUTED_VALUE"""),173.07)</f>
        <v>173.07</v>
      </c>
    </row>
    <row r="328">
      <c r="A328" s="2">
        <f>IFERROR(__xludf.DUMMYFUNCTION("""COMPUTED_VALUE"""),44579.66666666667)</f>
        <v>44579.66667</v>
      </c>
      <c r="B328" s="1">
        <f>IFERROR(__xludf.DUMMYFUNCTION("""COMPUTED_VALUE"""),169.8)</f>
        <v>169.8</v>
      </c>
    </row>
    <row r="329">
      <c r="A329" s="2">
        <f>IFERROR(__xludf.DUMMYFUNCTION("""COMPUTED_VALUE"""),44580.66666666667)</f>
        <v>44580.66667</v>
      </c>
      <c r="B329" s="1">
        <f>IFERROR(__xludf.DUMMYFUNCTION("""COMPUTED_VALUE"""),166.23)</f>
        <v>166.23</v>
      </c>
    </row>
    <row r="330">
      <c r="A330" s="2">
        <f>IFERROR(__xludf.DUMMYFUNCTION("""COMPUTED_VALUE"""),44581.66666666667)</f>
        <v>44581.66667</v>
      </c>
      <c r="B330" s="1">
        <f>IFERROR(__xludf.DUMMYFUNCTION("""COMPUTED_VALUE"""),164.51)</f>
        <v>164.51</v>
      </c>
    </row>
    <row r="331">
      <c r="A331" s="2">
        <f>IFERROR(__xludf.DUMMYFUNCTION("""COMPUTED_VALUE"""),44582.66666666667)</f>
        <v>44582.66667</v>
      </c>
      <c r="B331" s="1">
        <f>IFERROR(__xludf.DUMMYFUNCTION("""COMPUTED_VALUE"""),162.41)</f>
        <v>162.41</v>
      </c>
    </row>
    <row r="332">
      <c r="A332" s="2">
        <f>IFERROR(__xludf.DUMMYFUNCTION("""COMPUTED_VALUE"""),44585.66666666667)</f>
        <v>44585.66667</v>
      </c>
      <c r="B332" s="1">
        <f>IFERROR(__xludf.DUMMYFUNCTION("""COMPUTED_VALUE"""),161.62)</f>
        <v>161.62</v>
      </c>
    </row>
    <row r="333">
      <c r="A333" s="2">
        <f>IFERROR(__xludf.DUMMYFUNCTION("""COMPUTED_VALUE"""),44586.66666666667)</f>
        <v>44586.66667</v>
      </c>
      <c r="B333" s="1">
        <f>IFERROR(__xludf.DUMMYFUNCTION("""COMPUTED_VALUE"""),159.78)</f>
        <v>159.78</v>
      </c>
    </row>
    <row r="334">
      <c r="A334" s="2">
        <f>IFERROR(__xludf.DUMMYFUNCTION("""COMPUTED_VALUE"""),44587.66666666667)</f>
        <v>44587.66667</v>
      </c>
      <c r="B334" s="1">
        <f>IFERROR(__xludf.DUMMYFUNCTION("""COMPUTED_VALUE"""),159.69)</f>
        <v>159.69</v>
      </c>
    </row>
    <row r="335">
      <c r="A335" s="2">
        <f>IFERROR(__xludf.DUMMYFUNCTION("""COMPUTED_VALUE"""),44588.66666666667)</f>
        <v>44588.66667</v>
      </c>
      <c r="B335" s="1">
        <f>IFERROR(__xludf.DUMMYFUNCTION("""COMPUTED_VALUE"""),159.22)</f>
        <v>159.22</v>
      </c>
    </row>
    <row r="336">
      <c r="A336" s="2">
        <f>IFERROR(__xludf.DUMMYFUNCTION("""COMPUTED_VALUE"""),44589.66666666667)</f>
        <v>44589.66667</v>
      </c>
      <c r="B336" s="1">
        <f>IFERROR(__xludf.DUMMYFUNCTION("""COMPUTED_VALUE"""),170.33)</f>
        <v>170.33</v>
      </c>
    </row>
    <row r="337">
      <c r="A337" s="2">
        <f>IFERROR(__xludf.DUMMYFUNCTION("""COMPUTED_VALUE"""),44592.66666666667)</f>
        <v>44592.66667</v>
      </c>
      <c r="B337" s="1">
        <f>IFERROR(__xludf.DUMMYFUNCTION("""COMPUTED_VALUE"""),174.78)</f>
        <v>174.78</v>
      </c>
    </row>
    <row r="338">
      <c r="A338" s="2">
        <f>IFERROR(__xludf.DUMMYFUNCTION("""COMPUTED_VALUE"""),44593.66666666667)</f>
        <v>44593.66667</v>
      </c>
      <c r="B338" s="1">
        <f>IFERROR(__xludf.DUMMYFUNCTION("""COMPUTED_VALUE"""),174.61)</f>
        <v>174.61</v>
      </c>
    </row>
    <row r="339">
      <c r="A339" s="2">
        <f>IFERROR(__xludf.DUMMYFUNCTION("""COMPUTED_VALUE"""),44594.66666666667)</f>
        <v>44594.66667</v>
      </c>
      <c r="B339" s="1">
        <f>IFERROR(__xludf.DUMMYFUNCTION("""COMPUTED_VALUE"""),175.84)</f>
        <v>175.84</v>
      </c>
    </row>
    <row r="340">
      <c r="A340" s="2">
        <f>IFERROR(__xludf.DUMMYFUNCTION("""COMPUTED_VALUE"""),44595.66666666667)</f>
        <v>44595.66667</v>
      </c>
      <c r="B340" s="1">
        <f>IFERROR(__xludf.DUMMYFUNCTION("""COMPUTED_VALUE"""),172.9)</f>
        <v>172.9</v>
      </c>
    </row>
    <row r="341">
      <c r="A341" s="2">
        <f>IFERROR(__xludf.DUMMYFUNCTION("""COMPUTED_VALUE"""),44596.66666666667)</f>
        <v>44596.66667</v>
      </c>
      <c r="B341" s="1">
        <f>IFERROR(__xludf.DUMMYFUNCTION("""COMPUTED_VALUE"""),172.39)</f>
        <v>172.39</v>
      </c>
    </row>
    <row r="342">
      <c r="A342" s="2">
        <f>IFERROR(__xludf.DUMMYFUNCTION("""COMPUTED_VALUE"""),44599.66666666667)</f>
        <v>44599.66667</v>
      </c>
      <c r="B342" s="1">
        <f>IFERROR(__xludf.DUMMYFUNCTION("""COMPUTED_VALUE"""),171.66)</f>
        <v>171.66</v>
      </c>
    </row>
    <row r="343">
      <c r="A343" s="2">
        <f>IFERROR(__xludf.DUMMYFUNCTION("""COMPUTED_VALUE"""),44600.66666666667)</f>
        <v>44600.66667</v>
      </c>
      <c r="B343" s="1">
        <f>IFERROR(__xludf.DUMMYFUNCTION("""COMPUTED_VALUE"""),174.83)</f>
        <v>174.83</v>
      </c>
    </row>
    <row r="344">
      <c r="A344" s="2">
        <f>IFERROR(__xludf.DUMMYFUNCTION("""COMPUTED_VALUE"""),44601.66666666667)</f>
        <v>44601.66667</v>
      </c>
      <c r="B344" s="1">
        <f>IFERROR(__xludf.DUMMYFUNCTION("""COMPUTED_VALUE"""),176.28)</f>
        <v>176.28</v>
      </c>
    </row>
    <row r="345">
      <c r="A345" s="2">
        <f>IFERROR(__xludf.DUMMYFUNCTION("""COMPUTED_VALUE"""),44602.66666666667)</f>
        <v>44602.66667</v>
      </c>
      <c r="B345" s="1">
        <f>IFERROR(__xludf.DUMMYFUNCTION("""COMPUTED_VALUE"""),172.12)</f>
        <v>172.12</v>
      </c>
    </row>
    <row r="346">
      <c r="A346" s="2">
        <f>IFERROR(__xludf.DUMMYFUNCTION("""COMPUTED_VALUE"""),44603.66666666667)</f>
        <v>44603.66667</v>
      </c>
      <c r="B346" s="1">
        <f>IFERROR(__xludf.DUMMYFUNCTION("""COMPUTED_VALUE"""),168.64)</f>
        <v>168.64</v>
      </c>
    </row>
    <row r="347">
      <c r="A347" s="2">
        <f>IFERROR(__xludf.DUMMYFUNCTION("""COMPUTED_VALUE"""),44606.66666666667)</f>
        <v>44606.66667</v>
      </c>
      <c r="B347" s="1">
        <f>IFERROR(__xludf.DUMMYFUNCTION("""COMPUTED_VALUE"""),168.88)</f>
        <v>168.88</v>
      </c>
    </row>
    <row r="348">
      <c r="A348" s="2">
        <f>IFERROR(__xludf.DUMMYFUNCTION("""COMPUTED_VALUE"""),44607.66666666667)</f>
        <v>44607.66667</v>
      </c>
      <c r="B348" s="1">
        <f>IFERROR(__xludf.DUMMYFUNCTION("""COMPUTED_VALUE"""),172.79)</f>
        <v>172.79</v>
      </c>
    </row>
    <row r="349">
      <c r="A349" s="2">
        <f>IFERROR(__xludf.DUMMYFUNCTION("""COMPUTED_VALUE"""),44608.66666666667)</f>
        <v>44608.66667</v>
      </c>
      <c r="B349" s="1">
        <f>IFERROR(__xludf.DUMMYFUNCTION("""COMPUTED_VALUE"""),172.55)</f>
        <v>172.55</v>
      </c>
    </row>
    <row r="350">
      <c r="A350" s="2">
        <f>IFERROR(__xludf.DUMMYFUNCTION("""COMPUTED_VALUE"""),44609.66666666667)</f>
        <v>44609.66667</v>
      </c>
      <c r="B350" s="1">
        <f>IFERROR(__xludf.DUMMYFUNCTION("""COMPUTED_VALUE"""),168.88)</f>
        <v>168.88</v>
      </c>
    </row>
    <row r="351">
      <c r="A351" s="2">
        <f>IFERROR(__xludf.DUMMYFUNCTION("""COMPUTED_VALUE"""),44610.66666666667)</f>
        <v>44610.66667</v>
      </c>
      <c r="B351" s="1">
        <f>IFERROR(__xludf.DUMMYFUNCTION("""COMPUTED_VALUE"""),167.3)</f>
        <v>167.3</v>
      </c>
    </row>
    <row r="352">
      <c r="A352" s="2">
        <f>IFERROR(__xludf.DUMMYFUNCTION("""COMPUTED_VALUE"""),44614.66666666667)</f>
        <v>44614.66667</v>
      </c>
      <c r="B352" s="1">
        <f>IFERROR(__xludf.DUMMYFUNCTION("""COMPUTED_VALUE"""),164.32)</f>
        <v>164.32</v>
      </c>
    </row>
    <row r="353">
      <c r="A353" s="2">
        <f>IFERROR(__xludf.DUMMYFUNCTION("""COMPUTED_VALUE"""),44615.66666666667)</f>
        <v>44615.66667</v>
      </c>
      <c r="B353" s="1">
        <f>IFERROR(__xludf.DUMMYFUNCTION("""COMPUTED_VALUE"""),160.07)</f>
        <v>160.07</v>
      </c>
    </row>
    <row r="354">
      <c r="A354" s="2">
        <f>IFERROR(__xludf.DUMMYFUNCTION("""COMPUTED_VALUE"""),44616.66666666667)</f>
        <v>44616.66667</v>
      </c>
      <c r="B354" s="1">
        <f>IFERROR(__xludf.DUMMYFUNCTION("""COMPUTED_VALUE"""),162.74)</f>
        <v>162.74</v>
      </c>
    </row>
    <row r="355">
      <c r="A355" s="2">
        <f>IFERROR(__xludf.DUMMYFUNCTION("""COMPUTED_VALUE"""),44617.66666666667)</f>
        <v>44617.66667</v>
      </c>
      <c r="B355" s="1">
        <f>IFERROR(__xludf.DUMMYFUNCTION("""COMPUTED_VALUE"""),164.85)</f>
        <v>164.85</v>
      </c>
    </row>
    <row r="356">
      <c r="A356" s="2">
        <f>IFERROR(__xludf.DUMMYFUNCTION("""COMPUTED_VALUE"""),44620.66666666667)</f>
        <v>44620.66667</v>
      </c>
      <c r="B356" s="1">
        <f>IFERROR(__xludf.DUMMYFUNCTION("""COMPUTED_VALUE"""),165.12)</f>
        <v>165.12</v>
      </c>
    </row>
    <row r="357">
      <c r="A357" s="2">
        <f>IFERROR(__xludf.DUMMYFUNCTION("""COMPUTED_VALUE"""),44621.66666666667)</f>
        <v>44621.66667</v>
      </c>
      <c r="B357" s="1">
        <f>IFERROR(__xludf.DUMMYFUNCTION("""COMPUTED_VALUE"""),163.2)</f>
        <v>163.2</v>
      </c>
    </row>
    <row r="358">
      <c r="A358" s="2">
        <f>IFERROR(__xludf.DUMMYFUNCTION("""COMPUTED_VALUE"""),44622.66666666667)</f>
        <v>44622.66667</v>
      </c>
      <c r="B358" s="1">
        <f>IFERROR(__xludf.DUMMYFUNCTION("""COMPUTED_VALUE"""),166.56)</f>
        <v>166.56</v>
      </c>
    </row>
    <row r="359">
      <c r="A359" s="2">
        <f>IFERROR(__xludf.DUMMYFUNCTION("""COMPUTED_VALUE"""),44623.66666666667)</f>
        <v>44623.66667</v>
      </c>
      <c r="B359" s="1">
        <f>IFERROR(__xludf.DUMMYFUNCTION("""COMPUTED_VALUE"""),166.23)</f>
        <v>166.23</v>
      </c>
    </row>
    <row r="360">
      <c r="A360" s="2">
        <f>IFERROR(__xludf.DUMMYFUNCTION("""COMPUTED_VALUE"""),44624.66666666667)</f>
        <v>44624.66667</v>
      </c>
      <c r="B360" s="1">
        <f>IFERROR(__xludf.DUMMYFUNCTION("""COMPUTED_VALUE"""),163.17)</f>
        <v>163.17</v>
      </c>
    </row>
    <row r="361">
      <c r="A361" s="2">
        <f>IFERROR(__xludf.DUMMYFUNCTION("""COMPUTED_VALUE"""),44627.66666666667)</f>
        <v>44627.66667</v>
      </c>
      <c r="B361" s="1">
        <f>IFERROR(__xludf.DUMMYFUNCTION("""COMPUTED_VALUE"""),159.3)</f>
        <v>159.3</v>
      </c>
    </row>
    <row r="362">
      <c r="A362" s="2">
        <f>IFERROR(__xludf.DUMMYFUNCTION("""COMPUTED_VALUE"""),44628.66666666667)</f>
        <v>44628.66667</v>
      </c>
      <c r="B362" s="1">
        <f>IFERROR(__xludf.DUMMYFUNCTION("""COMPUTED_VALUE"""),157.44)</f>
        <v>157.44</v>
      </c>
    </row>
    <row r="363">
      <c r="A363" s="2">
        <f>IFERROR(__xludf.DUMMYFUNCTION("""COMPUTED_VALUE"""),44629.66666666667)</f>
        <v>44629.66667</v>
      </c>
      <c r="B363" s="1">
        <f>IFERROR(__xludf.DUMMYFUNCTION("""COMPUTED_VALUE"""),162.95)</f>
        <v>162.95</v>
      </c>
    </row>
    <row r="364">
      <c r="A364" s="2">
        <f>IFERROR(__xludf.DUMMYFUNCTION("""COMPUTED_VALUE"""),44630.66666666667)</f>
        <v>44630.66667</v>
      </c>
      <c r="B364" s="1">
        <f>IFERROR(__xludf.DUMMYFUNCTION("""COMPUTED_VALUE"""),158.52)</f>
        <v>158.52</v>
      </c>
    </row>
    <row r="365">
      <c r="A365" s="2">
        <f>IFERROR(__xludf.DUMMYFUNCTION("""COMPUTED_VALUE"""),44631.66666666667)</f>
        <v>44631.66667</v>
      </c>
      <c r="B365" s="1">
        <f>IFERROR(__xludf.DUMMYFUNCTION("""COMPUTED_VALUE"""),154.73)</f>
        <v>154.73</v>
      </c>
    </row>
    <row r="366">
      <c r="A366" s="2">
        <f>IFERROR(__xludf.DUMMYFUNCTION("""COMPUTED_VALUE"""),44634.66666666667)</f>
        <v>44634.66667</v>
      </c>
      <c r="B366" s="1">
        <f>IFERROR(__xludf.DUMMYFUNCTION("""COMPUTED_VALUE"""),150.62)</f>
        <v>150.62</v>
      </c>
    </row>
    <row r="367">
      <c r="A367" s="2">
        <f>IFERROR(__xludf.DUMMYFUNCTION("""COMPUTED_VALUE"""),44635.66666666667)</f>
        <v>44635.66667</v>
      </c>
      <c r="B367" s="1">
        <f>IFERROR(__xludf.DUMMYFUNCTION("""COMPUTED_VALUE"""),155.09)</f>
        <v>155.09</v>
      </c>
    </row>
    <row r="368">
      <c r="A368" s="2">
        <f>IFERROR(__xludf.DUMMYFUNCTION("""COMPUTED_VALUE"""),44636.66666666667)</f>
        <v>44636.66667</v>
      </c>
      <c r="B368" s="1">
        <f>IFERROR(__xludf.DUMMYFUNCTION("""COMPUTED_VALUE"""),159.59)</f>
        <v>159.59</v>
      </c>
    </row>
    <row r="369">
      <c r="A369" s="2">
        <f>IFERROR(__xludf.DUMMYFUNCTION("""COMPUTED_VALUE"""),44637.66666666667)</f>
        <v>44637.66667</v>
      </c>
      <c r="B369" s="1">
        <f>IFERROR(__xludf.DUMMYFUNCTION("""COMPUTED_VALUE"""),160.62)</f>
        <v>160.62</v>
      </c>
    </row>
    <row r="370">
      <c r="A370" s="2">
        <f>IFERROR(__xludf.DUMMYFUNCTION("""COMPUTED_VALUE"""),44638.66666666667)</f>
        <v>44638.66667</v>
      </c>
      <c r="B370" s="1">
        <f>IFERROR(__xludf.DUMMYFUNCTION("""COMPUTED_VALUE"""),163.98)</f>
        <v>163.98</v>
      </c>
    </row>
    <row r="371">
      <c r="A371" s="2">
        <f>IFERROR(__xludf.DUMMYFUNCTION("""COMPUTED_VALUE"""),44641.66666666667)</f>
        <v>44641.66667</v>
      </c>
      <c r="B371" s="1">
        <f>IFERROR(__xludf.DUMMYFUNCTION("""COMPUTED_VALUE"""),165.38)</f>
        <v>165.38</v>
      </c>
    </row>
    <row r="372">
      <c r="A372" s="2">
        <f>IFERROR(__xludf.DUMMYFUNCTION("""COMPUTED_VALUE"""),44642.66666666667)</f>
        <v>44642.66667</v>
      </c>
      <c r="B372" s="1">
        <f>IFERROR(__xludf.DUMMYFUNCTION("""COMPUTED_VALUE"""),168.82)</f>
        <v>168.82</v>
      </c>
    </row>
    <row r="373">
      <c r="A373" s="2">
        <f>IFERROR(__xludf.DUMMYFUNCTION("""COMPUTED_VALUE"""),44643.66666666667)</f>
        <v>44643.66667</v>
      </c>
      <c r="B373" s="1">
        <f>IFERROR(__xludf.DUMMYFUNCTION("""COMPUTED_VALUE"""),170.21)</f>
        <v>170.21</v>
      </c>
    </row>
    <row r="374">
      <c r="A374" s="2">
        <f>IFERROR(__xludf.DUMMYFUNCTION("""COMPUTED_VALUE"""),44644.66666666667)</f>
        <v>44644.66667</v>
      </c>
      <c r="B374" s="1">
        <f>IFERROR(__xludf.DUMMYFUNCTION("""COMPUTED_VALUE"""),174.07)</f>
        <v>174.07</v>
      </c>
    </row>
    <row r="375">
      <c r="A375" s="2">
        <f>IFERROR(__xludf.DUMMYFUNCTION("""COMPUTED_VALUE"""),44645.66666666667)</f>
        <v>44645.66667</v>
      </c>
      <c r="B375" s="1">
        <f>IFERROR(__xludf.DUMMYFUNCTION("""COMPUTED_VALUE"""),174.72)</f>
        <v>174.72</v>
      </c>
    </row>
    <row r="376">
      <c r="A376" s="2">
        <f>IFERROR(__xludf.DUMMYFUNCTION("""COMPUTED_VALUE"""),44648.66666666667)</f>
        <v>44648.66667</v>
      </c>
      <c r="B376" s="1">
        <f>IFERROR(__xludf.DUMMYFUNCTION("""COMPUTED_VALUE"""),175.6)</f>
        <v>175.6</v>
      </c>
    </row>
    <row r="377">
      <c r="A377" s="2">
        <f>IFERROR(__xludf.DUMMYFUNCTION("""COMPUTED_VALUE"""),44649.66666666667)</f>
        <v>44649.66667</v>
      </c>
      <c r="B377" s="1">
        <f>IFERROR(__xludf.DUMMYFUNCTION("""COMPUTED_VALUE"""),178.96)</f>
        <v>178.96</v>
      </c>
    </row>
    <row r="378">
      <c r="A378" s="2">
        <f>IFERROR(__xludf.DUMMYFUNCTION("""COMPUTED_VALUE"""),44650.66666666667)</f>
        <v>44650.66667</v>
      </c>
      <c r="B378" s="1">
        <f>IFERROR(__xludf.DUMMYFUNCTION("""COMPUTED_VALUE"""),177.77)</f>
        <v>177.77</v>
      </c>
    </row>
    <row r="379">
      <c r="A379" s="2">
        <f>IFERROR(__xludf.DUMMYFUNCTION("""COMPUTED_VALUE"""),44651.66666666667)</f>
        <v>44651.66667</v>
      </c>
      <c r="B379" s="1">
        <f>IFERROR(__xludf.DUMMYFUNCTION("""COMPUTED_VALUE"""),174.61)</f>
        <v>174.61</v>
      </c>
    </row>
    <row r="380">
      <c r="A380" s="2">
        <f>IFERROR(__xludf.DUMMYFUNCTION("""COMPUTED_VALUE"""),44652.66666666667)</f>
        <v>44652.66667</v>
      </c>
      <c r="B380" s="1">
        <f>IFERROR(__xludf.DUMMYFUNCTION("""COMPUTED_VALUE"""),174.31)</f>
        <v>174.31</v>
      </c>
    </row>
    <row r="381">
      <c r="A381" s="2">
        <f>IFERROR(__xludf.DUMMYFUNCTION("""COMPUTED_VALUE"""),44655.66666666667)</f>
        <v>44655.66667</v>
      </c>
      <c r="B381" s="1">
        <f>IFERROR(__xludf.DUMMYFUNCTION("""COMPUTED_VALUE"""),178.44)</f>
        <v>178.44</v>
      </c>
    </row>
    <row r="382">
      <c r="A382" s="2">
        <f>IFERROR(__xludf.DUMMYFUNCTION("""COMPUTED_VALUE"""),44656.66666666667)</f>
        <v>44656.66667</v>
      </c>
      <c r="B382" s="1">
        <f>IFERROR(__xludf.DUMMYFUNCTION("""COMPUTED_VALUE"""),175.06)</f>
        <v>175.06</v>
      </c>
    </row>
    <row r="383">
      <c r="A383" s="2">
        <f>IFERROR(__xludf.DUMMYFUNCTION("""COMPUTED_VALUE"""),44657.66666666667)</f>
        <v>44657.66667</v>
      </c>
      <c r="B383" s="1">
        <f>IFERROR(__xludf.DUMMYFUNCTION("""COMPUTED_VALUE"""),171.83)</f>
        <v>171.83</v>
      </c>
    </row>
    <row r="384">
      <c r="A384" s="2">
        <f>IFERROR(__xludf.DUMMYFUNCTION("""COMPUTED_VALUE"""),44658.66666666667)</f>
        <v>44658.66667</v>
      </c>
      <c r="B384" s="1">
        <f>IFERROR(__xludf.DUMMYFUNCTION("""COMPUTED_VALUE"""),172.14)</f>
        <v>172.14</v>
      </c>
    </row>
    <row r="385">
      <c r="A385" s="2">
        <f>IFERROR(__xludf.DUMMYFUNCTION("""COMPUTED_VALUE"""),44659.66666666667)</f>
        <v>44659.66667</v>
      </c>
      <c r="B385" s="1">
        <f>IFERROR(__xludf.DUMMYFUNCTION("""COMPUTED_VALUE"""),170.09)</f>
        <v>170.09</v>
      </c>
    </row>
    <row r="386">
      <c r="A386" s="2">
        <f>IFERROR(__xludf.DUMMYFUNCTION("""COMPUTED_VALUE"""),44662.66666666667)</f>
        <v>44662.66667</v>
      </c>
      <c r="B386" s="1">
        <f>IFERROR(__xludf.DUMMYFUNCTION("""COMPUTED_VALUE"""),165.75)</f>
        <v>165.75</v>
      </c>
    </row>
    <row r="387">
      <c r="A387" s="2">
        <f>IFERROR(__xludf.DUMMYFUNCTION("""COMPUTED_VALUE"""),44663.66666666667)</f>
        <v>44663.66667</v>
      </c>
      <c r="B387" s="1">
        <f>IFERROR(__xludf.DUMMYFUNCTION("""COMPUTED_VALUE"""),167.66)</f>
        <v>167.66</v>
      </c>
    </row>
    <row r="388">
      <c r="A388" s="2">
        <f>IFERROR(__xludf.DUMMYFUNCTION("""COMPUTED_VALUE"""),44664.66666666667)</f>
        <v>44664.66667</v>
      </c>
      <c r="B388" s="1">
        <f>IFERROR(__xludf.DUMMYFUNCTION("""COMPUTED_VALUE"""),170.4)</f>
        <v>170.4</v>
      </c>
    </row>
    <row r="389">
      <c r="A389" s="2">
        <f>IFERROR(__xludf.DUMMYFUNCTION("""COMPUTED_VALUE"""),44665.66666666667)</f>
        <v>44665.66667</v>
      </c>
      <c r="B389" s="1">
        <f>IFERROR(__xludf.DUMMYFUNCTION("""COMPUTED_VALUE"""),165.29)</f>
        <v>165.29</v>
      </c>
    </row>
    <row r="390">
      <c r="A390" s="2">
        <f>IFERROR(__xludf.DUMMYFUNCTION("""COMPUTED_VALUE"""),44669.66666666667)</f>
        <v>44669.66667</v>
      </c>
      <c r="B390" s="1">
        <f>IFERROR(__xludf.DUMMYFUNCTION("""COMPUTED_VALUE"""),165.07)</f>
        <v>165.07</v>
      </c>
    </row>
    <row r="391">
      <c r="A391" s="2">
        <f>IFERROR(__xludf.DUMMYFUNCTION("""COMPUTED_VALUE"""),44670.66666666667)</f>
        <v>44670.66667</v>
      </c>
      <c r="B391" s="1">
        <f>IFERROR(__xludf.DUMMYFUNCTION("""COMPUTED_VALUE"""),167.4)</f>
        <v>167.4</v>
      </c>
    </row>
    <row r="392">
      <c r="A392" s="2">
        <f>IFERROR(__xludf.DUMMYFUNCTION("""COMPUTED_VALUE"""),44671.66666666667)</f>
        <v>44671.66667</v>
      </c>
      <c r="B392" s="1">
        <f>IFERROR(__xludf.DUMMYFUNCTION("""COMPUTED_VALUE"""),167.23)</f>
        <v>167.23</v>
      </c>
    </row>
    <row r="393">
      <c r="A393" s="2">
        <f>IFERROR(__xludf.DUMMYFUNCTION("""COMPUTED_VALUE"""),44672.66666666667)</f>
        <v>44672.66667</v>
      </c>
      <c r="B393" s="1">
        <f>IFERROR(__xludf.DUMMYFUNCTION("""COMPUTED_VALUE"""),166.42)</f>
        <v>166.42</v>
      </c>
    </row>
    <row r="394">
      <c r="A394" s="2">
        <f>IFERROR(__xludf.DUMMYFUNCTION("""COMPUTED_VALUE"""),44673.66666666667)</f>
        <v>44673.66667</v>
      </c>
      <c r="B394" s="1">
        <f>IFERROR(__xludf.DUMMYFUNCTION("""COMPUTED_VALUE"""),161.79)</f>
        <v>161.79</v>
      </c>
    </row>
    <row r="395">
      <c r="A395" s="2">
        <f>IFERROR(__xludf.DUMMYFUNCTION("""COMPUTED_VALUE"""),44676.66666666667)</f>
        <v>44676.66667</v>
      </c>
      <c r="B395" s="1">
        <f>IFERROR(__xludf.DUMMYFUNCTION("""COMPUTED_VALUE"""),162.88)</f>
        <v>162.88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IFERROR(__xludf.DUMMYFUNCTION("""COMPUTED_VALUE"""),156.8)</f>
        <v>156.8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IFERROR(__xludf.DUMMYFUNCTION("""COMPUTED_VALUE"""),156.57)</f>
        <v>156.57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IFERROR(__xludf.DUMMYFUNCTION("""COMPUTED_VALUE"""),163.64)</f>
        <v>163.64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IFERROR(__xludf.DUMMYFUNCTION("""COMPUTED_VALUE"""),157.65)</f>
        <v>157.65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IFERROR(__xludf.DUMMYFUNCTION("""COMPUTED_VALUE"""),157.96)</f>
        <v>157.96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IFERROR(__xludf.DUMMYFUNCTION("""COMPUTED_VALUE"""),159.48)</f>
        <v>159.48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IFERROR(__xludf.DUMMYFUNCTION("""COMPUTED_VALUE"""),166.02)</f>
        <v>166.02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IFERROR(__xludf.DUMMYFUNCTION("""COMPUTED_VALUE"""),156.77)</f>
        <v>156.77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IFERROR(__xludf.DUMMYFUNCTION("""COMPUTED_VALUE"""),157.28)</f>
        <v>157.28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IFERROR(__xludf.DUMMYFUNCTION("""COMPUTED_VALUE"""),152.06)</f>
        <v>152.06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IFERROR(__xludf.DUMMYFUNCTION("""COMPUTED_VALUE"""),154.51)</f>
        <v>154.51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IFERROR(__xludf.DUMMYFUNCTION("""COMPUTED_VALUE"""),146.5)</f>
        <v>146.5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IFERROR(__xludf.DUMMYFUNCTION("""COMPUTED_VALUE"""),142.56)</f>
        <v>142.56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IFERROR(__xludf.DUMMYFUNCTION("""COMPUTED_VALUE"""),147.11)</f>
        <v>147.11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IFERROR(__xludf.DUMMYFUNCTION("""COMPUTED_VALUE"""),145.54)</f>
        <v>145.54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IFERROR(__xludf.DUMMYFUNCTION("""COMPUTED_VALUE"""),149.24)</f>
        <v>149.24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IFERROR(__xludf.DUMMYFUNCTION("""COMPUTED_VALUE"""),140.82)</f>
        <v>140.82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IFERROR(__xludf.DUMMYFUNCTION("""COMPUTED_VALUE"""),137.35)</f>
        <v>137.35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IFERROR(__xludf.DUMMYFUNCTION("""COMPUTED_VALUE"""),137.59)</f>
        <v>137.59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IFERROR(__xludf.DUMMYFUNCTION("""COMPUTED_VALUE"""),143.11)</f>
        <v>143.11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IFERROR(__xludf.DUMMYFUNCTION("""COMPUTED_VALUE"""),140.36)</f>
        <v>140.36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IFERROR(__xludf.DUMMYFUNCTION("""COMPUTED_VALUE"""),140.52)</f>
        <v>140.52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IFERROR(__xludf.DUMMYFUNCTION("""COMPUTED_VALUE"""),143.78)</f>
        <v>143.78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IFERROR(__xludf.DUMMYFUNCTION("""COMPUTED_VALUE"""),149.64)</f>
        <v>149.64</v>
      </c>
    </row>
    <row r="420">
      <c r="A420" s="2">
        <f>IFERROR(__xludf.DUMMYFUNCTION("""COMPUTED_VALUE"""),44712.66666666667)</f>
        <v>44712.66667</v>
      </c>
      <c r="B420" s="1">
        <f>IFERROR(__xludf.DUMMYFUNCTION("""COMPUTED_VALUE"""),148.84)</f>
        <v>148.84</v>
      </c>
    </row>
    <row r="421">
      <c r="A421" s="2">
        <f>IFERROR(__xludf.DUMMYFUNCTION("""COMPUTED_VALUE"""),44713.66666666667)</f>
        <v>44713.66667</v>
      </c>
      <c r="B421" s="1">
        <f>IFERROR(__xludf.DUMMYFUNCTION("""COMPUTED_VALUE"""),148.71)</f>
        <v>148.71</v>
      </c>
    </row>
    <row r="422">
      <c r="A422" s="2">
        <f>IFERROR(__xludf.DUMMYFUNCTION("""COMPUTED_VALUE"""),44714.66666666667)</f>
        <v>44714.66667</v>
      </c>
      <c r="B422" s="1">
        <f>IFERROR(__xludf.DUMMYFUNCTION("""COMPUTED_VALUE"""),151.21)</f>
        <v>151.21</v>
      </c>
    </row>
    <row r="423">
      <c r="A423" s="2">
        <f>IFERROR(__xludf.DUMMYFUNCTION("""COMPUTED_VALUE"""),44715.66666666667)</f>
        <v>44715.66667</v>
      </c>
      <c r="B423" s="1">
        <f>IFERROR(__xludf.DUMMYFUNCTION("""COMPUTED_VALUE"""),145.38)</f>
        <v>145.38</v>
      </c>
    </row>
    <row r="424">
      <c r="A424" s="2">
        <f>IFERROR(__xludf.DUMMYFUNCTION("""COMPUTED_VALUE"""),44718.66666666667)</f>
        <v>44718.66667</v>
      </c>
      <c r="B424" s="1">
        <f>IFERROR(__xludf.DUMMYFUNCTION("""COMPUTED_VALUE"""),146.14)</f>
        <v>146.14</v>
      </c>
    </row>
    <row r="425">
      <c r="A425" s="2">
        <f>IFERROR(__xludf.DUMMYFUNCTION("""COMPUTED_VALUE"""),44719.66666666667)</f>
        <v>44719.66667</v>
      </c>
      <c r="B425" s="1">
        <f>IFERROR(__xludf.DUMMYFUNCTION("""COMPUTED_VALUE"""),148.71)</f>
        <v>148.71</v>
      </c>
    </row>
    <row r="426">
      <c r="A426" s="2">
        <f>IFERROR(__xludf.DUMMYFUNCTION("""COMPUTED_VALUE"""),44720.66666666667)</f>
        <v>44720.66667</v>
      </c>
      <c r="B426" s="1">
        <f>IFERROR(__xludf.DUMMYFUNCTION("""COMPUTED_VALUE"""),147.96)</f>
        <v>147.96</v>
      </c>
    </row>
    <row r="427">
      <c r="A427" s="2">
        <f>IFERROR(__xludf.DUMMYFUNCTION("""COMPUTED_VALUE"""),44721.66666666667)</f>
        <v>44721.66667</v>
      </c>
      <c r="B427" s="1">
        <f>IFERROR(__xludf.DUMMYFUNCTION("""COMPUTED_VALUE"""),142.64)</f>
        <v>142.64</v>
      </c>
    </row>
    <row r="428">
      <c r="A428" s="2">
        <f>IFERROR(__xludf.DUMMYFUNCTION("""COMPUTED_VALUE"""),44722.66666666667)</f>
        <v>44722.66667</v>
      </c>
      <c r="B428" s="1">
        <f>IFERROR(__xludf.DUMMYFUNCTION("""COMPUTED_VALUE"""),137.13)</f>
        <v>137.13</v>
      </c>
    </row>
    <row r="429">
      <c r="A429" s="2">
        <f>IFERROR(__xludf.DUMMYFUNCTION("""COMPUTED_VALUE"""),44725.66666666667)</f>
        <v>44725.66667</v>
      </c>
      <c r="B429" s="1">
        <f>IFERROR(__xludf.DUMMYFUNCTION("""COMPUTED_VALUE"""),131.88)</f>
        <v>131.88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IFERROR(__xludf.DUMMYFUNCTION("""COMPUTED_VALUE"""),132.76)</f>
        <v>132.76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IFERROR(__xludf.DUMMYFUNCTION("""COMPUTED_VALUE"""),135.43)</f>
        <v>135.43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IFERROR(__xludf.DUMMYFUNCTION("""COMPUTED_VALUE"""),130.06)</f>
        <v>130.06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IFERROR(__xludf.DUMMYFUNCTION("""COMPUTED_VALUE"""),131.56)</f>
        <v>131.56</v>
      </c>
    </row>
    <row r="434">
      <c r="A434" s="2">
        <f>IFERROR(__xludf.DUMMYFUNCTION("""COMPUTED_VALUE"""),44733.66666666667)</f>
        <v>44733.66667</v>
      </c>
      <c r="B434" s="1">
        <f>IFERROR(__xludf.DUMMYFUNCTION("""COMPUTED_VALUE"""),135.87)</f>
        <v>135.87</v>
      </c>
    </row>
    <row r="435">
      <c r="A435" s="2">
        <f>IFERROR(__xludf.DUMMYFUNCTION("""COMPUTED_VALUE"""),44734.66666666667)</f>
        <v>44734.66667</v>
      </c>
      <c r="B435" s="1">
        <f>IFERROR(__xludf.DUMMYFUNCTION("""COMPUTED_VALUE"""),135.35)</f>
        <v>135.35</v>
      </c>
    </row>
    <row r="436">
      <c r="A436" s="2">
        <f>IFERROR(__xludf.DUMMYFUNCTION("""COMPUTED_VALUE"""),44735.66666666667)</f>
        <v>44735.66667</v>
      </c>
      <c r="B436" s="1">
        <f>IFERROR(__xludf.DUMMYFUNCTION("""COMPUTED_VALUE"""),138.27)</f>
        <v>138.27</v>
      </c>
    </row>
    <row r="437">
      <c r="A437" s="2">
        <f>IFERROR(__xludf.DUMMYFUNCTION("""COMPUTED_VALUE"""),44736.66666666667)</f>
        <v>44736.66667</v>
      </c>
      <c r="B437" s="1">
        <f>IFERROR(__xludf.DUMMYFUNCTION("""COMPUTED_VALUE"""),141.66)</f>
        <v>141.66</v>
      </c>
    </row>
    <row r="438">
      <c r="A438" s="2">
        <f>IFERROR(__xludf.DUMMYFUNCTION("""COMPUTED_VALUE"""),44739.66666666667)</f>
        <v>44739.66667</v>
      </c>
      <c r="B438" s="1">
        <f>IFERROR(__xludf.DUMMYFUNCTION("""COMPUTED_VALUE"""),141.66)</f>
        <v>141.66</v>
      </c>
    </row>
    <row r="439">
      <c r="A439" s="2">
        <f>IFERROR(__xludf.DUMMYFUNCTION("""COMPUTED_VALUE"""),44740.66666666667)</f>
        <v>44740.66667</v>
      </c>
      <c r="B439" s="1">
        <f>IFERROR(__xludf.DUMMYFUNCTION("""COMPUTED_VALUE"""),137.44)</f>
        <v>137.44</v>
      </c>
    </row>
    <row r="440">
      <c r="A440" s="2">
        <f>IFERROR(__xludf.DUMMYFUNCTION("""COMPUTED_VALUE"""),44741.66666666667)</f>
        <v>44741.66667</v>
      </c>
      <c r="B440" s="1">
        <f>IFERROR(__xludf.DUMMYFUNCTION("""COMPUTED_VALUE"""),139.23)</f>
        <v>139.23</v>
      </c>
    </row>
    <row r="441">
      <c r="A441" s="2">
        <f>IFERROR(__xludf.DUMMYFUNCTION("""COMPUTED_VALUE"""),44742.66666666667)</f>
        <v>44742.66667</v>
      </c>
      <c r="B441" s="1">
        <f>IFERROR(__xludf.DUMMYFUNCTION("""COMPUTED_VALUE"""),136.72)</f>
        <v>136.72</v>
      </c>
    </row>
    <row r="442">
      <c r="A442" s="2">
        <f>IFERROR(__xludf.DUMMYFUNCTION("""COMPUTED_VALUE"""),44743.66666666667)</f>
        <v>44743.66667</v>
      </c>
      <c r="B442" s="1">
        <f>IFERROR(__xludf.DUMMYFUNCTION("""COMPUTED_VALUE"""),138.93)</f>
        <v>138.93</v>
      </c>
    </row>
    <row r="443">
      <c r="A443" s="2">
        <f>IFERROR(__xludf.DUMMYFUNCTION("""COMPUTED_VALUE"""),44747.66666666667)</f>
        <v>44747.66667</v>
      </c>
      <c r="B443" s="1">
        <f>IFERROR(__xludf.DUMMYFUNCTION("""COMPUTED_VALUE"""),141.56)</f>
        <v>141.56</v>
      </c>
    </row>
    <row r="444">
      <c r="A444" s="2">
        <f>IFERROR(__xludf.DUMMYFUNCTION("""COMPUTED_VALUE"""),44748.66666666667)</f>
        <v>44748.66667</v>
      </c>
      <c r="B444" s="1">
        <f>IFERROR(__xludf.DUMMYFUNCTION("""COMPUTED_VALUE"""),142.92)</f>
        <v>142.92</v>
      </c>
    </row>
    <row r="445">
      <c r="A445" s="2">
        <f>IFERROR(__xludf.DUMMYFUNCTION("""COMPUTED_VALUE"""),44749.66666666667)</f>
        <v>44749.66667</v>
      </c>
      <c r="B445" s="1">
        <f>IFERROR(__xludf.DUMMYFUNCTION("""COMPUTED_VALUE"""),146.35)</f>
        <v>146.35</v>
      </c>
    </row>
    <row r="446">
      <c r="A446" s="2">
        <f>IFERROR(__xludf.DUMMYFUNCTION("""COMPUTED_VALUE"""),44750.66666666667)</f>
        <v>44750.66667</v>
      </c>
      <c r="B446" s="1">
        <f>IFERROR(__xludf.DUMMYFUNCTION("""COMPUTED_VALUE"""),147.04)</f>
        <v>147.04</v>
      </c>
    </row>
    <row r="447">
      <c r="A447" s="2">
        <f>IFERROR(__xludf.DUMMYFUNCTION("""COMPUTED_VALUE"""),44753.66666666667)</f>
        <v>44753.66667</v>
      </c>
      <c r="B447" s="1">
        <f>IFERROR(__xludf.DUMMYFUNCTION("""COMPUTED_VALUE"""),144.87)</f>
        <v>144.87</v>
      </c>
    </row>
    <row r="448">
      <c r="A448" s="2">
        <f>IFERROR(__xludf.DUMMYFUNCTION("""COMPUTED_VALUE"""),44754.66666666667)</f>
        <v>44754.66667</v>
      </c>
      <c r="B448" s="1">
        <f>IFERROR(__xludf.DUMMYFUNCTION("""COMPUTED_VALUE"""),145.86)</f>
        <v>145.86</v>
      </c>
    </row>
    <row r="449">
      <c r="A449" s="2">
        <f>IFERROR(__xludf.DUMMYFUNCTION("""COMPUTED_VALUE"""),44755.66666666667)</f>
        <v>44755.66667</v>
      </c>
      <c r="B449" s="1">
        <f>IFERROR(__xludf.DUMMYFUNCTION("""COMPUTED_VALUE"""),145.49)</f>
        <v>145.49</v>
      </c>
    </row>
    <row r="450">
      <c r="A450" s="2">
        <f>IFERROR(__xludf.DUMMYFUNCTION("""COMPUTED_VALUE"""),44756.66666666667)</f>
        <v>44756.66667</v>
      </c>
      <c r="B450" s="1">
        <f>IFERROR(__xludf.DUMMYFUNCTION("""COMPUTED_VALUE"""),148.47)</f>
        <v>148.47</v>
      </c>
    </row>
    <row r="451">
      <c r="A451" s="2">
        <f>IFERROR(__xludf.DUMMYFUNCTION("""COMPUTED_VALUE"""),44757.66666666667)</f>
        <v>44757.66667</v>
      </c>
      <c r="B451" s="1">
        <f>IFERROR(__xludf.DUMMYFUNCTION("""COMPUTED_VALUE"""),150.17)</f>
        <v>150.17</v>
      </c>
    </row>
    <row r="452">
      <c r="A452" s="2">
        <f>IFERROR(__xludf.DUMMYFUNCTION("""COMPUTED_VALUE"""),44760.66666666667)</f>
        <v>44760.66667</v>
      </c>
      <c r="B452" s="1">
        <f>IFERROR(__xludf.DUMMYFUNCTION("""COMPUTED_VALUE"""),147.07)</f>
        <v>147.07</v>
      </c>
    </row>
    <row r="453">
      <c r="A453" s="2">
        <f>IFERROR(__xludf.DUMMYFUNCTION("""COMPUTED_VALUE"""),44761.66666666667)</f>
        <v>44761.66667</v>
      </c>
      <c r="B453" s="1">
        <f>IFERROR(__xludf.DUMMYFUNCTION("""COMPUTED_VALUE"""),151.0)</f>
        <v>151</v>
      </c>
    </row>
    <row r="454">
      <c r="A454" s="2">
        <f>IFERROR(__xludf.DUMMYFUNCTION("""COMPUTED_VALUE"""),44762.66666666667)</f>
        <v>44762.66667</v>
      </c>
      <c r="B454" s="1">
        <f>IFERROR(__xludf.DUMMYFUNCTION("""COMPUTED_VALUE"""),153.04)</f>
        <v>153.04</v>
      </c>
    </row>
    <row r="455">
      <c r="A455" s="2">
        <f>IFERROR(__xludf.DUMMYFUNCTION("""COMPUTED_VALUE"""),44763.66666666667)</f>
        <v>44763.66667</v>
      </c>
      <c r="B455" s="1">
        <f>IFERROR(__xludf.DUMMYFUNCTION("""COMPUTED_VALUE"""),155.35)</f>
        <v>155.35</v>
      </c>
    </row>
    <row r="456">
      <c r="A456" s="2">
        <f>IFERROR(__xludf.DUMMYFUNCTION("""COMPUTED_VALUE"""),44764.66666666667)</f>
        <v>44764.66667</v>
      </c>
      <c r="B456" s="1">
        <f>IFERROR(__xludf.DUMMYFUNCTION("""COMPUTED_VALUE"""),154.09)</f>
        <v>154.09</v>
      </c>
    </row>
    <row r="457">
      <c r="A457" s="2">
        <f>IFERROR(__xludf.DUMMYFUNCTION("""COMPUTED_VALUE"""),44767.66666666667)</f>
        <v>44767.66667</v>
      </c>
      <c r="B457" s="1">
        <f>IFERROR(__xludf.DUMMYFUNCTION("""COMPUTED_VALUE"""),152.95)</f>
        <v>152.95</v>
      </c>
    </row>
    <row r="458">
      <c r="A458" s="2">
        <f>IFERROR(__xludf.DUMMYFUNCTION("""COMPUTED_VALUE"""),44768.66666666667)</f>
        <v>44768.66667</v>
      </c>
      <c r="B458" s="1">
        <f>IFERROR(__xludf.DUMMYFUNCTION("""COMPUTED_VALUE"""),151.6)</f>
        <v>151.6</v>
      </c>
    </row>
    <row r="459">
      <c r="A459" s="2">
        <f>IFERROR(__xludf.DUMMYFUNCTION("""COMPUTED_VALUE"""),44769.66666666667)</f>
        <v>44769.66667</v>
      </c>
      <c r="B459" s="1">
        <f>IFERROR(__xludf.DUMMYFUNCTION("""COMPUTED_VALUE"""),156.79)</f>
        <v>156.79</v>
      </c>
    </row>
    <row r="460">
      <c r="A460" s="2">
        <f>IFERROR(__xludf.DUMMYFUNCTION("""COMPUTED_VALUE"""),44770.66666666667)</f>
        <v>44770.66667</v>
      </c>
      <c r="B460" s="1">
        <f>IFERROR(__xludf.DUMMYFUNCTION("""COMPUTED_VALUE"""),157.35)</f>
        <v>157.35</v>
      </c>
    </row>
    <row r="461">
      <c r="A461" s="2">
        <f>IFERROR(__xludf.DUMMYFUNCTION("""COMPUTED_VALUE"""),44771.66666666667)</f>
        <v>44771.66667</v>
      </c>
      <c r="B461" s="1">
        <f>IFERROR(__xludf.DUMMYFUNCTION("""COMPUTED_VALUE"""),162.51)</f>
        <v>162.51</v>
      </c>
    </row>
    <row r="462">
      <c r="A462" s="2">
        <f>IFERROR(__xludf.DUMMYFUNCTION("""COMPUTED_VALUE"""),44774.66666666667)</f>
        <v>44774.66667</v>
      </c>
      <c r="B462" s="1">
        <f>IFERROR(__xludf.DUMMYFUNCTION("""COMPUTED_VALUE"""),161.51)</f>
        <v>161.51</v>
      </c>
    </row>
    <row r="463">
      <c r="A463" s="2">
        <f>IFERROR(__xludf.DUMMYFUNCTION("""COMPUTED_VALUE"""),44775.66666666667)</f>
        <v>44775.66667</v>
      </c>
      <c r="B463" s="1">
        <f>IFERROR(__xludf.DUMMYFUNCTION("""COMPUTED_VALUE"""),160.01)</f>
        <v>160.01</v>
      </c>
    </row>
    <row r="464">
      <c r="A464" s="2">
        <f>IFERROR(__xludf.DUMMYFUNCTION("""COMPUTED_VALUE"""),44776.66666666667)</f>
        <v>44776.66667</v>
      </c>
      <c r="B464" s="1">
        <f>IFERROR(__xludf.DUMMYFUNCTION("""COMPUTED_VALUE"""),166.13)</f>
        <v>166.13</v>
      </c>
    </row>
    <row r="465">
      <c r="A465" s="2">
        <f>IFERROR(__xludf.DUMMYFUNCTION("""COMPUTED_VALUE"""),44777.66666666667)</f>
        <v>44777.66667</v>
      </c>
      <c r="B465" s="1">
        <f>IFERROR(__xludf.DUMMYFUNCTION("""COMPUTED_VALUE"""),165.81)</f>
        <v>165.81</v>
      </c>
    </row>
    <row r="466">
      <c r="A466" s="2">
        <f>IFERROR(__xludf.DUMMYFUNCTION("""COMPUTED_VALUE"""),44778.66666666667)</f>
        <v>44778.66667</v>
      </c>
      <c r="B466" s="1">
        <f>IFERROR(__xludf.DUMMYFUNCTION("""COMPUTED_VALUE"""),165.35)</f>
        <v>165.35</v>
      </c>
    </row>
    <row r="467">
      <c r="A467" s="2">
        <f>IFERROR(__xludf.DUMMYFUNCTION("""COMPUTED_VALUE"""),44781.66666666667)</f>
        <v>44781.66667</v>
      </c>
      <c r="B467" s="1">
        <f>IFERROR(__xludf.DUMMYFUNCTION("""COMPUTED_VALUE"""),164.87)</f>
        <v>164.87</v>
      </c>
    </row>
    <row r="468">
      <c r="A468" s="2">
        <f>IFERROR(__xludf.DUMMYFUNCTION("""COMPUTED_VALUE"""),44782.66666666667)</f>
        <v>44782.66667</v>
      </c>
      <c r="B468" s="1">
        <f>IFERROR(__xludf.DUMMYFUNCTION("""COMPUTED_VALUE"""),164.92)</f>
        <v>164.92</v>
      </c>
    </row>
    <row r="469">
      <c r="A469" s="2">
        <f>IFERROR(__xludf.DUMMYFUNCTION("""COMPUTED_VALUE"""),44783.66666666667)</f>
        <v>44783.66667</v>
      </c>
      <c r="B469" s="1">
        <f>IFERROR(__xludf.DUMMYFUNCTION("""COMPUTED_VALUE"""),169.24)</f>
        <v>169.24</v>
      </c>
    </row>
    <row r="470">
      <c r="A470" s="2">
        <f>IFERROR(__xludf.DUMMYFUNCTION("""COMPUTED_VALUE"""),44784.66666666667)</f>
        <v>44784.66667</v>
      </c>
      <c r="B470" s="1">
        <f>IFERROR(__xludf.DUMMYFUNCTION("""COMPUTED_VALUE"""),168.49)</f>
        <v>168.49</v>
      </c>
    </row>
    <row r="471">
      <c r="A471" s="2">
        <f>IFERROR(__xludf.DUMMYFUNCTION("""COMPUTED_VALUE"""),44785.66666666667)</f>
        <v>44785.66667</v>
      </c>
      <c r="B471" s="1">
        <f>IFERROR(__xludf.DUMMYFUNCTION("""COMPUTED_VALUE"""),172.1)</f>
        <v>172.1</v>
      </c>
    </row>
    <row r="472">
      <c r="A472" s="2">
        <f>IFERROR(__xludf.DUMMYFUNCTION("""COMPUTED_VALUE"""),44788.66666666667)</f>
        <v>44788.66667</v>
      </c>
      <c r="B472" s="1">
        <f>IFERROR(__xludf.DUMMYFUNCTION("""COMPUTED_VALUE"""),173.19)</f>
        <v>173.19</v>
      </c>
    </row>
    <row r="473">
      <c r="A473" s="2">
        <f>IFERROR(__xludf.DUMMYFUNCTION("""COMPUTED_VALUE"""),44789.66666666667)</f>
        <v>44789.66667</v>
      </c>
      <c r="B473" s="1">
        <f>IFERROR(__xludf.DUMMYFUNCTION("""COMPUTED_VALUE"""),173.03)</f>
        <v>173.03</v>
      </c>
    </row>
    <row r="474">
      <c r="A474" s="2">
        <f>IFERROR(__xludf.DUMMYFUNCTION("""COMPUTED_VALUE"""),44790.66666666667)</f>
        <v>44790.66667</v>
      </c>
      <c r="B474" s="1">
        <f>IFERROR(__xludf.DUMMYFUNCTION("""COMPUTED_VALUE"""),174.55)</f>
        <v>174.55</v>
      </c>
    </row>
    <row r="475">
      <c r="A475" s="2">
        <f>IFERROR(__xludf.DUMMYFUNCTION("""COMPUTED_VALUE"""),44791.66666666667)</f>
        <v>44791.66667</v>
      </c>
      <c r="B475" s="1">
        <f>IFERROR(__xludf.DUMMYFUNCTION("""COMPUTED_VALUE"""),174.15)</f>
        <v>174.15</v>
      </c>
    </row>
    <row r="476">
      <c r="A476" s="2">
        <f>IFERROR(__xludf.DUMMYFUNCTION("""COMPUTED_VALUE"""),44792.66666666667)</f>
        <v>44792.66667</v>
      </c>
      <c r="B476" s="1">
        <f>IFERROR(__xludf.DUMMYFUNCTION("""COMPUTED_VALUE"""),171.52)</f>
        <v>171.52</v>
      </c>
    </row>
    <row r="477">
      <c r="A477" s="2">
        <f>IFERROR(__xludf.DUMMYFUNCTION("""COMPUTED_VALUE"""),44795.66666666667)</f>
        <v>44795.66667</v>
      </c>
      <c r="B477" s="1">
        <f>IFERROR(__xludf.DUMMYFUNCTION("""COMPUTED_VALUE"""),167.57)</f>
        <v>167.57</v>
      </c>
    </row>
    <row r="478">
      <c r="A478" s="2">
        <f>IFERROR(__xludf.DUMMYFUNCTION("""COMPUTED_VALUE"""),44796.66666666667)</f>
        <v>44796.66667</v>
      </c>
      <c r="B478" s="1">
        <f>IFERROR(__xludf.DUMMYFUNCTION("""COMPUTED_VALUE"""),167.23)</f>
        <v>167.23</v>
      </c>
    </row>
    <row r="479">
      <c r="A479" s="2">
        <f>IFERROR(__xludf.DUMMYFUNCTION("""COMPUTED_VALUE"""),44797.66666666667)</f>
        <v>44797.66667</v>
      </c>
      <c r="B479" s="1">
        <f>IFERROR(__xludf.DUMMYFUNCTION("""COMPUTED_VALUE"""),167.53)</f>
        <v>167.53</v>
      </c>
    </row>
    <row r="480">
      <c r="A480" s="2">
        <f>IFERROR(__xludf.DUMMYFUNCTION("""COMPUTED_VALUE"""),44798.66666666667)</f>
        <v>44798.66667</v>
      </c>
      <c r="B480" s="1">
        <f>IFERROR(__xludf.DUMMYFUNCTION("""COMPUTED_VALUE"""),170.03)</f>
        <v>170.03</v>
      </c>
    </row>
    <row r="481">
      <c r="A481" s="2">
        <f>IFERROR(__xludf.DUMMYFUNCTION("""COMPUTED_VALUE"""),44799.66666666667)</f>
        <v>44799.66667</v>
      </c>
      <c r="B481" s="1">
        <f>IFERROR(__xludf.DUMMYFUNCTION("""COMPUTED_VALUE"""),163.62)</f>
        <v>163.62</v>
      </c>
    </row>
    <row r="482">
      <c r="A482" s="2">
        <f>IFERROR(__xludf.DUMMYFUNCTION("""COMPUTED_VALUE"""),44802.66666666667)</f>
        <v>44802.66667</v>
      </c>
      <c r="B482" s="1">
        <f>IFERROR(__xludf.DUMMYFUNCTION("""COMPUTED_VALUE"""),161.38)</f>
        <v>161.38</v>
      </c>
    </row>
    <row r="483">
      <c r="A483" s="2">
        <f>IFERROR(__xludf.DUMMYFUNCTION("""COMPUTED_VALUE"""),44803.66666666667)</f>
        <v>44803.66667</v>
      </c>
      <c r="B483" s="1">
        <f>IFERROR(__xludf.DUMMYFUNCTION("""COMPUTED_VALUE"""),158.91)</f>
        <v>158.91</v>
      </c>
    </row>
    <row r="484">
      <c r="A484" s="2">
        <f>IFERROR(__xludf.DUMMYFUNCTION("""COMPUTED_VALUE"""),44804.66666666667)</f>
        <v>44804.66667</v>
      </c>
      <c r="B484" s="1">
        <f>IFERROR(__xludf.DUMMYFUNCTION("""COMPUTED_VALUE"""),157.22)</f>
        <v>157.22</v>
      </c>
    </row>
    <row r="485">
      <c r="A485" s="2">
        <f>IFERROR(__xludf.DUMMYFUNCTION("""COMPUTED_VALUE"""),44805.66666666667)</f>
        <v>44805.66667</v>
      </c>
      <c r="B485" s="1">
        <f>IFERROR(__xludf.DUMMYFUNCTION("""COMPUTED_VALUE"""),157.96)</f>
        <v>157.96</v>
      </c>
    </row>
    <row r="486">
      <c r="A486" s="2">
        <f>IFERROR(__xludf.DUMMYFUNCTION("""COMPUTED_VALUE"""),44806.66666666667)</f>
        <v>44806.66667</v>
      </c>
      <c r="B486" s="1">
        <f>IFERROR(__xludf.DUMMYFUNCTION("""COMPUTED_VALUE"""),155.81)</f>
        <v>155.81</v>
      </c>
    </row>
    <row r="487">
      <c r="A487" s="2">
        <f>IFERROR(__xludf.DUMMYFUNCTION("""COMPUTED_VALUE"""),44810.66666666667)</f>
        <v>44810.66667</v>
      </c>
      <c r="B487" s="1">
        <f>IFERROR(__xludf.DUMMYFUNCTION("""COMPUTED_VALUE"""),154.53)</f>
        <v>154.53</v>
      </c>
    </row>
    <row r="488">
      <c r="A488" s="2">
        <f>IFERROR(__xludf.DUMMYFUNCTION("""COMPUTED_VALUE"""),44811.66666666667)</f>
        <v>44811.66667</v>
      </c>
      <c r="B488" s="1">
        <f>IFERROR(__xludf.DUMMYFUNCTION("""COMPUTED_VALUE"""),155.96)</f>
        <v>155.96</v>
      </c>
    </row>
    <row r="489">
      <c r="A489" s="2">
        <f>IFERROR(__xludf.DUMMYFUNCTION("""COMPUTED_VALUE"""),44812.66666666667)</f>
        <v>44812.66667</v>
      </c>
      <c r="B489" s="1">
        <f>IFERROR(__xludf.DUMMYFUNCTION("""COMPUTED_VALUE"""),154.46)</f>
        <v>154.46</v>
      </c>
    </row>
    <row r="490">
      <c r="A490" s="2">
        <f>IFERROR(__xludf.DUMMYFUNCTION("""COMPUTED_VALUE"""),44813.66666666667)</f>
        <v>44813.66667</v>
      </c>
      <c r="B490" s="1">
        <f>IFERROR(__xludf.DUMMYFUNCTION("""COMPUTED_VALUE"""),157.37)</f>
        <v>157.37</v>
      </c>
    </row>
    <row r="491">
      <c r="A491" s="2">
        <f>IFERROR(__xludf.DUMMYFUNCTION("""COMPUTED_VALUE"""),44816.66666666667)</f>
        <v>44816.66667</v>
      </c>
      <c r="B491" s="1">
        <f>IFERROR(__xludf.DUMMYFUNCTION("""COMPUTED_VALUE"""),163.43)</f>
        <v>163.43</v>
      </c>
    </row>
    <row r="492">
      <c r="A492" s="2">
        <f>IFERROR(__xludf.DUMMYFUNCTION("""COMPUTED_VALUE"""),44817.66666666667)</f>
        <v>44817.66667</v>
      </c>
      <c r="B492" s="1">
        <f>IFERROR(__xludf.DUMMYFUNCTION("""COMPUTED_VALUE"""),153.84)</f>
        <v>153.84</v>
      </c>
    </row>
    <row r="493">
      <c r="A493" s="2">
        <f>IFERROR(__xludf.DUMMYFUNCTION("""COMPUTED_VALUE"""),44818.66666666667)</f>
        <v>44818.66667</v>
      </c>
      <c r="B493" s="1">
        <f>IFERROR(__xludf.DUMMYFUNCTION("""COMPUTED_VALUE"""),155.31)</f>
        <v>155.31</v>
      </c>
    </row>
    <row r="494">
      <c r="A494" s="2">
        <f>IFERROR(__xludf.DUMMYFUNCTION("""COMPUTED_VALUE"""),44819.66666666667)</f>
        <v>44819.66667</v>
      </c>
      <c r="B494" s="1">
        <f>IFERROR(__xludf.DUMMYFUNCTION("""COMPUTED_VALUE"""),152.37)</f>
        <v>152.37</v>
      </c>
    </row>
    <row r="495">
      <c r="A495" s="2">
        <f>IFERROR(__xludf.DUMMYFUNCTION("""COMPUTED_VALUE"""),44820.66666666667)</f>
        <v>44820.66667</v>
      </c>
      <c r="B495" s="1">
        <f>IFERROR(__xludf.DUMMYFUNCTION("""COMPUTED_VALUE"""),150.7)</f>
        <v>150.7</v>
      </c>
    </row>
    <row r="496">
      <c r="A496" s="2">
        <f>IFERROR(__xludf.DUMMYFUNCTION("""COMPUTED_VALUE"""),44823.66666666667)</f>
        <v>44823.66667</v>
      </c>
      <c r="B496" s="1">
        <f>IFERROR(__xludf.DUMMYFUNCTION("""COMPUTED_VALUE"""),154.48)</f>
        <v>154.48</v>
      </c>
    </row>
    <row r="497">
      <c r="A497" s="2">
        <f>IFERROR(__xludf.DUMMYFUNCTION("""COMPUTED_VALUE"""),44824.66666666667)</f>
        <v>44824.66667</v>
      </c>
      <c r="B497" s="1">
        <f>IFERROR(__xludf.DUMMYFUNCTION("""COMPUTED_VALUE"""),156.9)</f>
        <v>156.9</v>
      </c>
    </row>
    <row r="498">
      <c r="A498" s="2">
        <f>IFERROR(__xludf.DUMMYFUNCTION("""COMPUTED_VALUE"""),44825.66666666667)</f>
        <v>44825.66667</v>
      </c>
      <c r="B498" s="1">
        <f>IFERROR(__xludf.DUMMYFUNCTION("""COMPUTED_VALUE"""),153.72)</f>
        <v>153.72</v>
      </c>
    </row>
    <row r="499">
      <c r="A499" s="2">
        <f>IFERROR(__xludf.DUMMYFUNCTION("""COMPUTED_VALUE"""),44826.66666666667)</f>
        <v>44826.66667</v>
      </c>
      <c r="B499" s="1">
        <f>IFERROR(__xludf.DUMMYFUNCTION("""COMPUTED_VALUE"""),152.74)</f>
        <v>152.74</v>
      </c>
    </row>
    <row r="500">
      <c r="A500" s="2">
        <f>IFERROR(__xludf.DUMMYFUNCTION("""COMPUTED_VALUE"""),44827.66666666667)</f>
        <v>44827.66667</v>
      </c>
      <c r="B500" s="1">
        <f>IFERROR(__xludf.DUMMYFUNCTION("""COMPUTED_VALUE"""),150.43)</f>
        <v>150.43</v>
      </c>
    </row>
    <row r="501">
      <c r="A501" s="2">
        <f>IFERROR(__xludf.DUMMYFUNCTION("""COMPUTED_VALUE"""),44830.66666666667)</f>
        <v>44830.66667</v>
      </c>
      <c r="B501" s="1">
        <f>IFERROR(__xludf.DUMMYFUNCTION("""COMPUTED_VALUE"""),150.77)</f>
        <v>150.77</v>
      </c>
    </row>
    <row r="502">
      <c r="A502" s="2">
        <f>IFERROR(__xludf.DUMMYFUNCTION("""COMPUTED_VALUE"""),44831.66666666667)</f>
        <v>44831.66667</v>
      </c>
      <c r="B502" s="1">
        <f>IFERROR(__xludf.DUMMYFUNCTION("""COMPUTED_VALUE"""),151.76)</f>
        <v>151.76</v>
      </c>
    </row>
    <row r="503">
      <c r="A503" s="2">
        <f>IFERROR(__xludf.DUMMYFUNCTION("""COMPUTED_VALUE"""),44832.66666666667)</f>
        <v>44832.66667</v>
      </c>
      <c r="B503" s="1">
        <f>IFERROR(__xludf.DUMMYFUNCTION("""COMPUTED_VALUE"""),149.84)</f>
        <v>149.84</v>
      </c>
    </row>
    <row r="504">
      <c r="A504" s="2">
        <f>IFERROR(__xludf.DUMMYFUNCTION("""COMPUTED_VALUE"""),44833.66666666667)</f>
        <v>44833.66667</v>
      </c>
      <c r="B504" s="1">
        <f>IFERROR(__xludf.DUMMYFUNCTION("""COMPUTED_VALUE"""),142.48)</f>
        <v>142.48</v>
      </c>
    </row>
    <row r="505">
      <c r="A505" s="2">
        <f>IFERROR(__xludf.DUMMYFUNCTION("""COMPUTED_VALUE"""),44834.66666666667)</f>
        <v>44834.66667</v>
      </c>
      <c r="B505" s="1">
        <f>IFERROR(__xludf.DUMMYFUNCTION("""COMPUTED_VALUE"""),138.2)</f>
        <v>138.2</v>
      </c>
    </row>
    <row r="506">
      <c r="A506" s="2">
        <f>IFERROR(__xludf.DUMMYFUNCTION("""COMPUTED_VALUE"""),44837.66666666667)</f>
        <v>44837.66667</v>
      </c>
      <c r="B506" s="1">
        <f>IFERROR(__xludf.DUMMYFUNCTION("""COMPUTED_VALUE"""),142.45)</f>
        <v>142.45</v>
      </c>
    </row>
    <row r="507">
      <c r="A507" s="2">
        <f>IFERROR(__xludf.DUMMYFUNCTION("""COMPUTED_VALUE"""),44838.66666666667)</f>
        <v>44838.66667</v>
      </c>
      <c r="B507" s="1">
        <f>IFERROR(__xludf.DUMMYFUNCTION("""COMPUTED_VALUE"""),146.1)</f>
        <v>146.1</v>
      </c>
    </row>
    <row r="508">
      <c r="A508" s="2">
        <f>IFERROR(__xludf.DUMMYFUNCTION("""COMPUTED_VALUE"""),44839.66666666667)</f>
        <v>44839.66667</v>
      </c>
      <c r="B508" s="1">
        <f>IFERROR(__xludf.DUMMYFUNCTION("""COMPUTED_VALUE"""),146.4)</f>
        <v>146.4</v>
      </c>
    </row>
    <row r="509">
      <c r="A509" s="2">
        <f>IFERROR(__xludf.DUMMYFUNCTION("""COMPUTED_VALUE"""),44840.66666666667)</f>
        <v>44840.66667</v>
      </c>
      <c r="B509" s="1">
        <f>IFERROR(__xludf.DUMMYFUNCTION("""COMPUTED_VALUE"""),145.43)</f>
        <v>145.43</v>
      </c>
    </row>
    <row r="510">
      <c r="A510" s="2">
        <f>IFERROR(__xludf.DUMMYFUNCTION("""COMPUTED_VALUE"""),44841.66666666667)</f>
        <v>44841.66667</v>
      </c>
      <c r="B510" s="1">
        <f>IFERROR(__xludf.DUMMYFUNCTION("""COMPUTED_VALUE"""),140.09)</f>
        <v>140.09</v>
      </c>
    </row>
    <row r="511">
      <c r="A511" s="2">
        <f>IFERROR(__xludf.DUMMYFUNCTION("""COMPUTED_VALUE"""),44844.66666666667)</f>
        <v>44844.66667</v>
      </c>
      <c r="B511" s="1">
        <f>IFERROR(__xludf.DUMMYFUNCTION("""COMPUTED_VALUE"""),140.42)</f>
        <v>140.42</v>
      </c>
    </row>
    <row r="512">
      <c r="A512" s="2">
        <f>IFERROR(__xludf.DUMMYFUNCTION("""COMPUTED_VALUE"""),44845.66666666667)</f>
        <v>44845.66667</v>
      </c>
      <c r="B512" s="1">
        <f>IFERROR(__xludf.DUMMYFUNCTION("""COMPUTED_VALUE"""),138.98)</f>
        <v>138.98</v>
      </c>
    </row>
    <row r="513">
      <c r="A513" s="2">
        <f>IFERROR(__xludf.DUMMYFUNCTION("""COMPUTED_VALUE"""),44846.66666666667)</f>
        <v>44846.66667</v>
      </c>
      <c r="B513" s="1">
        <f>IFERROR(__xludf.DUMMYFUNCTION("""COMPUTED_VALUE"""),138.34)</f>
        <v>138.34</v>
      </c>
    </row>
    <row r="514">
      <c r="A514" s="2">
        <f>IFERROR(__xludf.DUMMYFUNCTION("""COMPUTED_VALUE"""),44847.66666666667)</f>
        <v>44847.66667</v>
      </c>
      <c r="B514" s="1">
        <f>IFERROR(__xludf.DUMMYFUNCTION("""COMPUTED_VALUE"""),142.99)</f>
        <v>142.99</v>
      </c>
    </row>
    <row r="515">
      <c r="A515" s="2">
        <f>IFERROR(__xludf.DUMMYFUNCTION("""COMPUTED_VALUE"""),44848.66666666667)</f>
        <v>44848.66667</v>
      </c>
      <c r="B515" s="1">
        <f>IFERROR(__xludf.DUMMYFUNCTION("""COMPUTED_VALUE"""),138.38)</f>
        <v>138.38</v>
      </c>
    </row>
    <row r="516">
      <c r="A516" s="2">
        <f>IFERROR(__xludf.DUMMYFUNCTION("""COMPUTED_VALUE"""),44851.66666666667)</f>
        <v>44851.66667</v>
      </c>
      <c r="B516" s="1">
        <f>IFERROR(__xludf.DUMMYFUNCTION("""COMPUTED_VALUE"""),142.41)</f>
        <v>142.41</v>
      </c>
    </row>
    <row r="517">
      <c r="A517" s="2">
        <f>IFERROR(__xludf.DUMMYFUNCTION("""COMPUTED_VALUE"""),44852.66666666667)</f>
        <v>44852.66667</v>
      </c>
      <c r="B517" s="1">
        <f>IFERROR(__xludf.DUMMYFUNCTION("""COMPUTED_VALUE"""),143.75)</f>
        <v>143.75</v>
      </c>
    </row>
    <row r="518">
      <c r="A518" s="2">
        <f>IFERROR(__xludf.DUMMYFUNCTION("""COMPUTED_VALUE"""),44853.66666666667)</f>
        <v>44853.66667</v>
      </c>
      <c r="B518" s="1">
        <f>IFERROR(__xludf.DUMMYFUNCTION("""COMPUTED_VALUE"""),143.86)</f>
        <v>143.86</v>
      </c>
    </row>
    <row r="519">
      <c r="A519" s="2">
        <f>IFERROR(__xludf.DUMMYFUNCTION("""COMPUTED_VALUE"""),44854.66666666667)</f>
        <v>44854.66667</v>
      </c>
      <c r="B519" s="1">
        <f>IFERROR(__xludf.DUMMYFUNCTION("""COMPUTED_VALUE"""),143.39)</f>
        <v>143.39</v>
      </c>
    </row>
    <row r="520">
      <c r="A520" s="2">
        <f>IFERROR(__xludf.DUMMYFUNCTION("""COMPUTED_VALUE"""),44855.66666666667)</f>
        <v>44855.66667</v>
      </c>
      <c r="B520" s="1">
        <f>IFERROR(__xludf.DUMMYFUNCTION("""COMPUTED_VALUE"""),147.27)</f>
        <v>147.27</v>
      </c>
    </row>
    <row r="521">
      <c r="A521" s="2">
        <f>IFERROR(__xludf.DUMMYFUNCTION("""COMPUTED_VALUE"""),44858.66666666667)</f>
        <v>44858.66667</v>
      </c>
      <c r="B521" s="1">
        <f>IFERROR(__xludf.DUMMYFUNCTION("""COMPUTED_VALUE"""),149.45)</f>
        <v>149.45</v>
      </c>
    </row>
    <row r="522">
      <c r="A522" s="2">
        <f>IFERROR(__xludf.DUMMYFUNCTION("""COMPUTED_VALUE"""),44859.66666666667)</f>
        <v>44859.66667</v>
      </c>
      <c r="B522" s="1">
        <f>IFERROR(__xludf.DUMMYFUNCTION("""COMPUTED_VALUE"""),152.34)</f>
        <v>152.34</v>
      </c>
    </row>
    <row r="523">
      <c r="A523" s="2">
        <f>IFERROR(__xludf.DUMMYFUNCTION("""COMPUTED_VALUE"""),44860.66666666667)</f>
        <v>44860.66667</v>
      </c>
      <c r="B523" s="1">
        <f>IFERROR(__xludf.DUMMYFUNCTION("""COMPUTED_VALUE"""),149.35)</f>
        <v>149.35</v>
      </c>
    </row>
    <row r="524">
      <c r="A524" s="2">
        <f>IFERROR(__xludf.DUMMYFUNCTION("""COMPUTED_VALUE"""),44861.66666666667)</f>
        <v>44861.66667</v>
      </c>
      <c r="B524" s="1">
        <f>IFERROR(__xludf.DUMMYFUNCTION("""COMPUTED_VALUE"""),144.8)</f>
        <v>144.8</v>
      </c>
    </row>
    <row r="525">
      <c r="A525" s="2">
        <f>IFERROR(__xludf.DUMMYFUNCTION("""COMPUTED_VALUE"""),44862.66666666667)</f>
        <v>44862.66667</v>
      </c>
      <c r="B525" s="1">
        <f>IFERROR(__xludf.DUMMYFUNCTION("""COMPUTED_VALUE"""),155.74)</f>
        <v>155.74</v>
      </c>
    </row>
    <row r="526">
      <c r="A526" s="2">
        <f>IFERROR(__xludf.DUMMYFUNCTION("""COMPUTED_VALUE"""),44865.66666666667)</f>
        <v>44865.66667</v>
      </c>
      <c r="B526" s="1">
        <f>IFERROR(__xludf.DUMMYFUNCTION("""COMPUTED_VALUE"""),153.34)</f>
        <v>153.34</v>
      </c>
    </row>
    <row r="527">
      <c r="A527" s="2">
        <f>IFERROR(__xludf.DUMMYFUNCTION("""COMPUTED_VALUE"""),44866.66666666667)</f>
        <v>44866.66667</v>
      </c>
      <c r="B527" s="1">
        <f>IFERROR(__xludf.DUMMYFUNCTION("""COMPUTED_VALUE"""),150.65)</f>
        <v>150.65</v>
      </c>
    </row>
    <row r="528">
      <c r="A528" s="2">
        <f>IFERROR(__xludf.DUMMYFUNCTION("""COMPUTED_VALUE"""),44867.66666666667)</f>
        <v>44867.66667</v>
      </c>
      <c r="B528" s="1">
        <f>IFERROR(__xludf.DUMMYFUNCTION("""COMPUTED_VALUE"""),145.03)</f>
        <v>145.03</v>
      </c>
    </row>
    <row r="529">
      <c r="A529" s="2">
        <f>IFERROR(__xludf.DUMMYFUNCTION("""COMPUTED_VALUE"""),44868.66666666667)</f>
        <v>44868.66667</v>
      </c>
      <c r="B529" s="1">
        <f>IFERROR(__xludf.DUMMYFUNCTION("""COMPUTED_VALUE"""),138.88)</f>
        <v>138.88</v>
      </c>
    </row>
    <row r="530">
      <c r="A530" s="2">
        <f>IFERROR(__xludf.DUMMYFUNCTION("""COMPUTED_VALUE"""),44869.66666666667)</f>
        <v>44869.66667</v>
      </c>
      <c r="B530" s="1">
        <f>IFERROR(__xludf.DUMMYFUNCTION("""COMPUTED_VALUE"""),138.38)</f>
        <v>138.38</v>
      </c>
    </row>
    <row r="531">
      <c r="A531" s="2">
        <f>IFERROR(__xludf.DUMMYFUNCTION("""COMPUTED_VALUE"""),44872.66666666667)</f>
        <v>44872.66667</v>
      </c>
      <c r="B531" s="1">
        <f>IFERROR(__xludf.DUMMYFUNCTION("""COMPUTED_VALUE"""),138.92)</f>
        <v>138.92</v>
      </c>
    </row>
    <row r="532">
      <c r="A532" s="2">
        <f>IFERROR(__xludf.DUMMYFUNCTION("""COMPUTED_VALUE"""),44873.66666666667)</f>
        <v>44873.66667</v>
      </c>
      <c r="B532" s="1">
        <f>IFERROR(__xludf.DUMMYFUNCTION("""COMPUTED_VALUE"""),139.5)</f>
        <v>139.5</v>
      </c>
    </row>
    <row r="533">
      <c r="A533" s="2">
        <f>IFERROR(__xludf.DUMMYFUNCTION("""COMPUTED_VALUE"""),44874.66666666667)</f>
        <v>44874.66667</v>
      </c>
      <c r="B533" s="1">
        <f>IFERROR(__xludf.DUMMYFUNCTION("""COMPUTED_VALUE"""),134.87)</f>
        <v>134.87</v>
      </c>
    </row>
    <row r="534">
      <c r="A534" s="2">
        <f>IFERROR(__xludf.DUMMYFUNCTION("""COMPUTED_VALUE"""),44875.66666666667)</f>
        <v>44875.66667</v>
      </c>
      <c r="B534" s="1">
        <f>IFERROR(__xludf.DUMMYFUNCTION("""COMPUTED_VALUE"""),146.87)</f>
        <v>146.87</v>
      </c>
    </row>
    <row r="535">
      <c r="A535" s="2">
        <f>IFERROR(__xludf.DUMMYFUNCTION("""COMPUTED_VALUE"""),44876.66666666667)</f>
        <v>44876.66667</v>
      </c>
      <c r="B535" s="1">
        <f>IFERROR(__xludf.DUMMYFUNCTION("""COMPUTED_VALUE"""),149.7)</f>
        <v>149.7</v>
      </c>
    </row>
    <row r="536">
      <c r="A536" s="2">
        <f>IFERROR(__xludf.DUMMYFUNCTION("""COMPUTED_VALUE"""),44879.66666666667)</f>
        <v>44879.66667</v>
      </c>
      <c r="B536" s="1">
        <f>IFERROR(__xludf.DUMMYFUNCTION("""COMPUTED_VALUE"""),148.28)</f>
        <v>148.28</v>
      </c>
    </row>
    <row r="537">
      <c r="A537" s="2">
        <f>IFERROR(__xludf.DUMMYFUNCTION("""COMPUTED_VALUE"""),44880.66666666667)</f>
        <v>44880.66667</v>
      </c>
      <c r="B537" s="1">
        <f>IFERROR(__xludf.DUMMYFUNCTION("""COMPUTED_VALUE"""),150.04)</f>
        <v>150.04</v>
      </c>
    </row>
    <row r="538">
      <c r="A538" s="2">
        <f>IFERROR(__xludf.DUMMYFUNCTION("""COMPUTED_VALUE"""),44881.66666666667)</f>
        <v>44881.66667</v>
      </c>
      <c r="B538" s="1">
        <f>IFERROR(__xludf.DUMMYFUNCTION("""COMPUTED_VALUE"""),148.79)</f>
        <v>148.79</v>
      </c>
    </row>
    <row r="539">
      <c r="A539" s="2">
        <f>IFERROR(__xludf.DUMMYFUNCTION("""COMPUTED_VALUE"""),44882.66666666667)</f>
        <v>44882.66667</v>
      </c>
      <c r="B539" s="1">
        <f>IFERROR(__xludf.DUMMYFUNCTION("""COMPUTED_VALUE"""),150.72)</f>
        <v>150.72</v>
      </c>
    </row>
    <row r="540">
      <c r="A540" s="2">
        <f>IFERROR(__xludf.DUMMYFUNCTION("""COMPUTED_VALUE"""),44883.66666666667)</f>
        <v>44883.66667</v>
      </c>
      <c r="B540" s="1">
        <f>IFERROR(__xludf.DUMMYFUNCTION("""COMPUTED_VALUE"""),151.29)</f>
        <v>151.29</v>
      </c>
    </row>
    <row r="541">
      <c r="A541" s="2">
        <f>IFERROR(__xludf.DUMMYFUNCTION("""COMPUTED_VALUE"""),44886.66666666667)</f>
        <v>44886.66667</v>
      </c>
      <c r="B541" s="1">
        <f>IFERROR(__xludf.DUMMYFUNCTION("""COMPUTED_VALUE"""),148.01)</f>
        <v>148.01</v>
      </c>
    </row>
    <row r="542">
      <c r="A542" s="2">
        <f>IFERROR(__xludf.DUMMYFUNCTION("""COMPUTED_VALUE"""),44887.66666666667)</f>
        <v>44887.66667</v>
      </c>
      <c r="B542" s="1">
        <f>IFERROR(__xludf.DUMMYFUNCTION("""COMPUTED_VALUE"""),150.18)</f>
        <v>150.18</v>
      </c>
    </row>
    <row r="543">
      <c r="A543" s="2">
        <f>IFERROR(__xludf.DUMMYFUNCTION("""COMPUTED_VALUE"""),44888.66666666667)</f>
        <v>44888.66667</v>
      </c>
      <c r="B543" s="1">
        <f>IFERROR(__xludf.DUMMYFUNCTION("""COMPUTED_VALUE"""),151.07)</f>
        <v>151.07</v>
      </c>
    </row>
    <row r="544">
      <c r="A544" s="2">
        <f>IFERROR(__xludf.DUMMYFUNCTION("""COMPUTED_VALUE"""),44890.54513888889)</f>
        <v>44890.54514</v>
      </c>
      <c r="B544" s="1">
        <f>IFERROR(__xludf.DUMMYFUNCTION("""COMPUTED_VALUE"""),148.11)</f>
        <v>148.11</v>
      </c>
    </row>
    <row r="545">
      <c r="A545" s="2">
        <f>IFERROR(__xludf.DUMMYFUNCTION("""COMPUTED_VALUE"""),44893.66666666667)</f>
        <v>44893.66667</v>
      </c>
      <c r="B545" s="1">
        <f>IFERROR(__xludf.DUMMYFUNCTION("""COMPUTED_VALUE"""),144.22)</f>
        <v>144.22</v>
      </c>
    </row>
    <row r="546">
      <c r="A546" s="2">
        <f>IFERROR(__xludf.DUMMYFUNCTION("""COMPUTED_VALUE"""),44894.66666666667)</f>
        <v>44894.66667</v>
      </c>
      <c r="B546" s="1">
        <f>IFERROR(__xludf.DUMMYFUNCTION("""COMPUTED_VALUE"""),141.17)</f>
        <v>141.17</v>
      </c>
    </row>
    <row r="547">
      <c r="A547" s="2">
        <f>IFERROR(__xludf.DUMMYFUNCTION("""COMPUTED_VALUE"""),44895.66666666667)</f>
        <v>44895.66667</v>
      </c>
      <c r="B547" s="1">
        <f>IFERROR(__xludf.DUMMYFUNCTION("""COMPUTED_VALUE"""),148.03)</f>
        <v>148.03</v>
      </c>
    </row>
    <row r="548">
      <c r="A548" s="2">
        <f>IFERROR(__xludf.DUMMYFUNCTION("""COMPUTED_VALUE"""),44896.66666666667)</f>
        <v>44896.66667</v>
      </c>
      <c r="B548" s="1">
        <f>IFERROR(__xludf.DUMMYFUNCTION("""COMPUTED_VALUE"""),148.31)</f>
        <v>148.31</v>
      </c>
    </row>
    <row r="549">
      <c r="A549" s="2">
        <f>IFERROR(__xludf.DUMMYFUNCTION("""COMPUTED_VALUE"""),44897.66666666667)</f>
        <v>44897.66667</v>
      </c>
      <c r="B549" s="1">
        <f>IFERROR(__xludf.DUMMYFUNCTION("""COMPUTED_VALUE"""),147.81)</f>
        <v>147.81</v>
      </c>
    </row>
    <row r="550">
      <c r="A550" s="2">
        <f>IFERROR(__xludf.DUMMYFUNCTION("""COMPUTED_VALUE"""),44900.66666666667)</f>
        <v>44900.66667</v>
      </c>
      <c r="B550" s="1">
        <f>IFERROR(__xludf.DUMMYFUNCTION("""COMPUTED_VALUE"""),146.63)</f>
        <v>146.63</v>
      </c>
    </row>
    <row r="551">
      <c r="A551" s="2">
        <f>IFERROR(__xludf.DUMMYFUNCTION("""COMPUTED_VALUE"""),44901.66666666667)</f>
        <v>44901.66667</v>
      </c>
      <c r="B551" s="1">
        <f>IFERROR(__xludf.DUMMYFUNCTION("""COMPUTED_VALUE"""),142.91)</f>
        <v>142.91</v>
      </c>
    </row>
    <row r="552">
      <c r="A552" s="2">
        <f>IFERROR(__xludf.DUMMYFUNCTION("""COMPUTED_VALUE"""),44902.66666666667)</f>
        <v>44902.66667</v>
      </c>
      <c r="B552" s="1">
        <f>IFERROR(__xludf.DUMMYFUNCTION("""COMPUTED_VALUE"""),140.94)</f>
        <v>140.94</v>
      </c>
    </row>
    <row r="553">
      <c r="A553" s="2">
        <f>IFERROR(__xludf.DUMMYFUNCTION("""COMPUTED_VALUE"""),44903.66666666667)</f>
        <v>44903.66667</v>
      </c>
      <c r="B553" s="1">
        <f>IFERROR(__xludf.DUMMYFUNCTION("""COMPUTED_VALUE"""),142.65)</f>
        <v>142.65</v>
      </c>
    </row>
    <row r="554">
      <c r="A554" s="2">
        <f>IFERROR(__xludf.DUMMYFUNCTION("""COMPUTED_VALUE"""),44904.66666666667)</f>
        <v>44904.66667</v>
      </c>
      <c r="B554" s="1">
        <f>IFERROR(__xludf.DUMMYFUNCTION("""COMPUTED_VALUE"""),142.16)</f>
        <v>142.16</v>
      </c>
    </row>
    <row r="555">
      <c r="A555" s="2">
        <f>IFERROR(__xludf.DUMMYFUNCTION("""COMPUTED_VALUE"""),44907.66666666667)</f>
        <v>44907.66667</v>
      </c>
      <c r="B555" s="1">
        <f>IFERROR(__xludf.DUMMYFUNCTION("""COMPUTED_VALUE"""),144.49)</f>
        <v>144.49</v>
      </c>
    </row>
    <row r="556">
      <c r="A556" s="2">
        <f>IFERROR(__xludf.DUMMYFUNCTION("""COMPUTED_VALUE"""),44908.66666666667)</f>
        <v>44908.66667</v>
      </c>
      <c r="B556" s="1">
        <f>IFERROR(__xludf.DUMMYFUNCTION("""COMPUTED_VALUE"""),145.47)</f>
        <v>145.47</v>
      </c>
    </row>
    <row r="557">
      <c r="A557" s="2">
        <f>IFERROR(__xludf.DUMMYFUNCTION("""COMPUTED_VALUE"""),44909.66666666667)</f>
        <v>44909.66667</v>
      </c>
      <c r="B557" s="1">
        <f>IFERROR(__xludf.DUMMYFUNCTION("""COMPUTED_VALUE"""),143.21)</f>
        <v>143.21</v>
      </c>
    </row>
    <row r="558">
      <c r="A558" s="2">
        <f>IFERROR(__xludf.DUMMYFUNCTION("""COMPUTED_VALUE"""),44910.66666666667)</f>
        <v>44910.66667</v>
      </c>
      <c r="B558" s="1">
        <f>IFERROR(__xludf.DUMMYFUNCTION("""COMPUTED_VALUE"""),136.5)</f>
        <v>136.5</v>
      </c>
    </row>
    <row r="559">
      <c r="A559" s="2">
        <f>IFERROR(__xludf.DUMMYFUNCTION("""COMPUTED_VALUE"""),44911.66666666667)</f>
        <v>44911.66667</v>
      </c>
      <c r="B559" s="1">
        <f>IFERROR(__xludf.DUMMYFUNCTION("""COMPUTED_VALUE"""),134.51)</f>
        <v>134.51</v>
      </c>
    </row>
    <row r="560">
      <c r="A560" s="2">
        <f>IFERROR(__xludf.DUMMYFUNCTION("""COMPUTED_VALUE"""),44914.66666666667)</f>
        <v>44914.66667</v>
      </c>
      <c r="B560" s="1">
        <f>IFERROR(__xludf.DUMMYFUNCTION("""COMPUTED_VALUE"""),132.37)</f>
        <v>132.37</v>
      </c>
    </row>
    <row r="561">
      <c r="A561" s="2">
        <f>IFERROR(__xludf.DUMMYFUNCTION("""COMPUTED_VALUE"""),44915.66666666667)</f>
        <v>44915.66667</v>
      </c>
      <c r="B561" s="1">
        <f>IFERROR(__xludf.DUMMYFUNCTION("""COMPUTED_VALUE"""),132.3)</f>
        <v>132.3</v>
      </c>
    </row>
    <row r="562">
      <c r="A562" s="2">
        <f>IFERROR(__xludf.DUMMYFUNCTION("""COMPUTED_VALUE"""),44916.66666666667)</f>
        <v>44916.66667</v>
      </c>
      <c r="B562" s="1">
        <f>IFERROR(__xludf.DUMMYFUNCTION("""COMPUTED_VALUE"""),135.45)</f>
        <v>135.45</v>
      </c>
    </row>
    <row r="563">
      <c r="A563" s="2">
        <f>IFERROR(__xludf.DUMMYFUNCTION("""COMPUTED_VALUE"""),44917.66666666667)</f>
        <v>44917.66667</v>
      </c>
      <c r="B563" s="1">
        <f>IFERROR(__xludf.DUMMYFUNCTION("""COMPUTED_VALUE"""),132.23)</f>
        <v>132.23</v>
      </c>
    </row>
    <row r="564">
      <c r="A564" s="2">
        <f>IFERROR(__xludf.DUMMYFUNCTION("""COMPUTED_VALUE"""),44918.66666666667)</f>
        <v>44918.66667</v>
      </c>
      <c r="B564" s="1">
        <f>IFERROR(__xludf.DUMMYFUNCTION("""COMPUTED_VALUE"""),131.86)</f>
        <v>131.86</v>
      </c>
    </row>
    <row r="565">
      <c r="A565" s="2">
        <f>IFERROR(__xludf.DUMMYFUNCTION("""COMPUTED_VALUE"""),44922.66666666667)</f>
        <v>44922.66667</v>
      </c>
      <c r="B565" s="1">
        <f>IFERROR(__xludf.DUMMYFUNCTION("""COMPUTED_VALUE"""),130.03)</f>
        <v>130.03</v>
      </c>
    </row>
    <row r="566">
      <c r="A566" s="2">
        <f>IFERROR(__xludf.DUMMYFUNCTION("""COMPUTED_VALUE"""),44923.66666666667)</f>
        <v>44923.66667</v>
      </c>
      <c r="B566" s="1">
        <f>IFERROR(__xludf.DUMMYFUNCTION("""COMPUTED_VALUE"""),126.04)</f>
        <v>126.04</v>
      </c>
    </row>
    <row r="567">
      <c r="A567" s="2">
        <f>IFERROR(__xludf.DUMMYFUNCTION("""COMPUTED_VALUE"""),44924.66666666667)</f>
        <v>44924.66667</v>
      </c>
      <c r="B567" s="1">
        <f>IFERROR(__xludf.DUMMYFUNCTION("""COMPUTED_VALUE"""),129.61)</f>
        <v>129.61</v>
      </c>
    </row>
    <row r="568">
      <c r="A568" s="2">
        <f>IFERROR(__xludf.DUMMYFUNCTION("""COMPUTED_VALUE"""),44925.66666666667)</f>
        <v>44925.66667</v>
      </c>
      <c r="B568" s="1">
        <f>IFERROR(__xludf.DUMMYFUNCTION("""COMPUTED_VALUE"""),129.93)</f>
        <v>129.93</v>
      </c>
    </row>
    <row r="569">
      <c r="A569" s="2">
        <f>IFERROR(__xludf.DUMMYFUNCTION("""COMPUTED_VALUE"""),44929.66666666667)</f>
        <v>44929.66667</v>
      </c>
      <c r="B569" s="1">
        <f>IFERROR(__xludf.DUMMYFUNCTION("""COMPUTED_VALUE"""),125.07)</f>
        <v>125.07</v>
      </c>
    </row>
    <row r="570">
      <c r="A570" s="2">
        <f>IFERROR(__xludf.DUMMYFUNCTION("""COMPUTED_VALUE"""),44930.66666666667)</f>
        <v>44930.66667</v>
      </c>
      <c r="B570" s="1">
        <f>IFERROR(__xludf.DUMMYFUNCTION("""COMPUTED_VALUE"""),126.36)</f>
        <v>126.36</v>
      </c>
    </row>
    <row r="571">
      <c r="A571" s="2">
        <f>IFERROR(__xludf.DUMMYFUNCTION("""COMPUTED_VALUE"""),44931.66666666667)</f>
        <v>44931.66667</v>
      </c>
      <c r="B571" s="1">
        <f>IFERROR(__xludf.DUMMYFUNCTION("""COMPUTED_VALUE"""),125.02)</f>
        <v>125.02</v>
      </c>
    </row>
    <row r="572">
      <c r="A572" s="2">
        <f>IFERROR(__xludf.DUMMYFUNCTION("""COMPUTED_VALUE"""),44932.66666666667)</f>
        <v>44932.66667</v>
      </c>
      <c r="B572" s="1">
        <f>IFERROR(__xludf.DUMMYFUNCTION("""COMPUTED_VALUE"""),129.62)</f>
        <v>129.62</v>
      </c>
    </row>
    <row r="573">
      <c r="A573" s="2">
        <f>IFERROR(__xludf.DUMMYFUNCTION("""COMPUTED_VALUE"""),44935.66666666667)</f>
        <v>44935.66667</v>
      </c>
      <c r="B573" s="1">
        <f>IFERROR(__xludf.DUMMYFUNCTION("""COMPUTED_VALUE"""),130.15)</f>
        <v>130.15</v>
      </c>
    </row>
    <row r="574">
      <c r="A574" s="2">
        <f>IFERROR(__xludf.DUMMYFUNCTION("""COMPUTED_VALUE"""),44936.66666666667)</f>
        <v>44936.66667</v>
      </c>
      <c r="B574" s="1">
        <f>IFERROR(__xludf.DUMMYFUNCTION("""COMPUTED_VALUE"""),130.73)</f>
        <v>130.73</v>
      </c>
    </row>
    <row r="575">
      <c r="A575" s="2">
        <f>IFERROR(__xludf.DUMMYFUNCTION("""COMPUTED_VALUE"""),44937.66666666667)</f>
        <v>44937.66667</v>
      </c>
      <c r="B575" s="1">
        <f>IFERROR(__xludf.DUMMYFUNCTION("""COMPUTED_VALUE"""),133.49)</f>
        <v>133.49</v>
      </c>
    </row>
    <row r="576">
      <c r="A576" s="2">
        <f>IFERROR(__xludf.DUMMYFUNCTION("""COMPUTED_VALUE"""),44938.66666666667)</f>
        <v>44938.66667</v>
      </c>
      <c r="B576" s="1">
        <f>IFERROR(__xludf.DUMMYFUNCTION("""COMPUTED_VALUE"""),133.41)</f>
        <v>133.41</v>
      </c>
    </row>
    <row r="577">
      <c r="A577" s="2">
        <f>IFERROR(__xludf.DUMMYFUNCTION("""COMPUTED_VALUE"""),44939.66666666667)</f>
        <v>44939.66667</v>
      </c>
      <c r="B577" s="1">
        <f>IFERROR(__xludf.DUMMYFUNCTION("""COMPUTED_VALUE"""),134.76)</f>
        <v>134.76</v>
      </c>
    </row>
    <row r="578">
      <c r="A578" s="2">
        <f>IFERROR(__xludf.DUMMYFUNCTION("""COMPUTED_VALUE"""),44943.66666666667)</f>
        <v>44943.66667</v>
      </c>
      <c r="B578" s="1">
        <f>IFERROR(__xludf.DUMMYFUNCTION("""COMPUTED_VALUE"""),135.94)</f>
        <v>135.94</v>
      </c>
    </row>
    <row r="579">
      <c r="A579" s="2">
        <f>IFERROR(__xludf.DUMMYFUNCTION("""COMPUTED_VALUE"""),44944.66666666667)</f>
        <v>44944.66667</v>
      </c>
      <c r="B579" s="1">
        <f>IFERROR(__xludf.DUMMYFUNCTION("""COMPUTED_VALUE"""),135.21)</f>
        <v>135.21</v>
      </c>
    </row>
    <row r="580">
      <c r="A580" s="2">
        <f>IFERROR(__xludf.DUMMYFUNCTION("""COMPUTED_VALUE"""),44945.66666666667)</f>
        <v>44945.66667</v>
      </c>
      <c r="B580" s="1">
        <f>IFERROR(__xludf.DUMMYFUNCTION("""COMPUTED_VALUE"""),135.27)</f>
        <v>135.27</v>
      </c>
    </row>
    <row r="581">
      <c r="A581" s="2">
        <f>IFERROR(__xludf.DUMMYFUNCTION("""COMPUTED_VALUE"""),44946.66666666667)</f>
        <v>44946.66667</v>
      </c>
      <c r="B581" s="1">
        <f>IFERROR(__xludf.DUMMYFUNCTION("""COMPUTED_VALUE"""),137.87)</f>
        <v>137.87</v>
      </c>
    </row>
    <row r="582">
      <c r="A582" s="2">
        <f>IFERROR(__xludf.DUMMYFUNCTION("""COMPUTED_VALUE"""),44949.66666666667)</f>
        <v>44949.66667</v>
      </c>
      <c r="B582" s="1">
        <f>IFERROR(__xludf.DUMMYFUNCTION("""COMPUTED_VALUE"""),141.11)</f>
        <v>141.11</v>
      </c>
    </row>
    <row r="583">
      <c r="A583" s="2">
        <f>IFERROR(__xludf.DUMMYFUNCTION("""COMPUTED_VALUE"""),44950.66666666667)</f>
        <v>44950.66667</v>
      </c>
      <c r="B583" s="1">
        <f>IFERROR(__xludf.DUMMYFUNCTION("""COMPUTED_VALUE"""),142.53)</f>
        <v>142.53</v>
      </c>
    </row>
    <row r="584">
      <c r="A584" s="2">
        <f>IFERROR(__xludf.DUMMYFUNCTION("""COMPUTED_VALUE"""),44951.66666666667)</f>
        <v>44951.66667</v>
      </c>
      <c r="B584" s="1">
        <f>IFERROR(__xludf.DUMMYFUNCTION("""COMPUTED_VALUE"""),141.86)</f>
        <v>141.86</v>
      </c>
    </row>
    <row r="585">
      <c r="A585" s="2">
        <f>IFERROR(__xludf.DUMMYFUNCTION("""COMPUTED_VALUE"""),44952.66666666667)</f>
        <v>44952.66667</v>
      </c>
      <c r="B585" s="1">
        <f>IFERROR(__xludf.DUMMYFUNCTION("""COMPUTED_VALUE"""),143.96)</f>
        <v>143.96</v>
      </c>
    </row>
    <row r="586">
      <c r="A586" s="2">
        <f>IFERROR(__xludf.DUMMYFUNCTION("""COMPUTED_VALUE"""),44953.66666666667)</f>
        <v>44953.66667</v>
      </c>
      <c r="B586" s="1">
        <f>IFERROR(__xludf.DUMMYFUNCTION("""COMPUTED_VALUE"""),145.93)</f>
        <v>145.93</v>
      </c>
    </row>
    <row r="587">
      <c r="A587" s="2">
        <f>IFERROR(__xludf.DUMMYFUNCTION("""COMPUTED_VALUE"""),44956.66666666667)</f>
        <v>44956.66667</v>
      </c>
      <c r="B587" s="1">
        <f>IFERROR(__xludf.DUMMYFUNCTION("""COMPUTED_VALUE"""),143.0)</f>
        <v>143</v>
      </c>
    </row>
    <row r="588">
      <c r="A588" s="2">
        <f>IFERROR(__xludf.DUMMYFUNCTION("""COMPUTED_VALUE"""),44957.66666666667)</f>
        <v>44957.66667</v>
      </c>
      <c r="B588" s="1">
        <f>IFERROR(__xludf.DUMMYFUNCTION("""COMPUTED_VALUE"""),144.29)</f>
        <v>144.29</v>
      </c>
    </row>
    <row r="589">
      <c r="A589" s="2">
        <f>IFERROR(__xludf.DUMMYFUNCTION("""COMPUTED_VALUE"""),44958.66666666667)</f>
        <v>44958.66667</v>
      </c>
      <c r="B589" s="1">
        <f>IFERROR(__xludf.DUMMYFUNCTION("""COMPUTED_VALUE"""),145.43)</f>
        <v>145.43</v>
      </c>
    </row>
    <row r="590">
      <c r="A590" s="2">
        <f>IFERROR(__xludf.DUMMYFUNCTION("""COMPUTED_VALUE"""),44959.66666666667)</f>
        <v>44959.66667</v>
      </c>
      <c r="B590" s="1">
        <f>IFERROR(__xludf.DUMMYFUNCTION("""COMPUTED_VALUE"""),150.82)</f>
        <v>150.82</v>
      </c>
    </row>
    <row r="591">
      <c r="A591" s="2">
        <f>IFERROR(__xludf.DUMMYFUNCTION("""COMPUTED_VALUE"""),44960.66666666667)</f>
        <v>44960.66667</v>
      </c>
      <c r="B591" s="1">
        <f>IFERROR(__xludf.DUMMYFUNCTION("""COMPUTED_VALUE"""),154.5)</f>
        <v>154.5</v>
      </c>
    </row>
    <row r="592">
      <c r="A592" s="2">
        <f>IFERROR(__xludf.DUMMYFUNCTION("""COMPUTED_VALUE"""),44963.66666666667)</f>
        <v>44963.66667</v>
      </c>
      <c r="B592" s="1">
        <f>IFERROR(__xludf.DUMMYFUNCTION("""COMPUTED_VALUE"""),151.73)</f>
        <v>151.73</v>
      </c>
    </row>
    <row r="593">
      <c r="A593" s="2">
        <f>IFERROR(__xludf.DUMMYFUNCTION("""COMPUTED_VALUE"""),44964.66666666667)</f>
        <v>44964.66667</v>
      </c>
      <c r="B593" s="1">
        <f>IFERROR(__xludf.DUMMYFUNCTION("""COMPUTED_VALUE"""),154.65)</f>
        <v>154.65</v>
      </c>
    </row>
    <row r="594">
      <c r="A594" s="2">
        <f>IFERROR(__xludf.DUMMYFUNCTION("""COMPUTED_VALUE"""),44965.66666666667)</f>
        <v>44965.66667</v>
      </c>
      <c r="B594" s="1">
        <f>IFERROR(__xludf.DUMMYFUNCTION("""COMPUTED_VALUE"""),151.92)</f>
        <v>151.92</v>
      </c>
    </row>
    <row r="595">
      <c r="A595" s="2">
        <f>IFERROR(__xludf.DUMMYFUNCTION("""COMPUTED_VALUE"""),44966.66666666667)</f>
        <v>44966.66667</v>
      </c>
      <c r="B595" s="1">
        <f>IFERROR(__xludf.DUMMYFUNCTION("""COMPUTED_VALUE"""),150.87)</f>
        <v>150.87</v>
      </c>
    </row>
    <row r="596">
      <c r="A596" s="2">
        <f>IFERROR(__xludf.DUMMYFUNCTION("""COMPUTED_VALUE"""),44967.66666666667)</f>
        <v>44967.66667</v>
      </c>
      <c r="B596" s="1">
        <f>IFERROR(__xludf.DUMMYFUNCTION("""COMPUTED_VALUE"""),151.01)</f>
        <v>151.01</v>
      </c>
    </row>
    <row r="597">
      <c r="A597" s="2">
        <f>IFERROR(__xludf.DUMMYFUNCTION("""COMPUTED_VALUE"""),44970.66666666667)</f>
        <v>44970.66667</v>
      </c>
      <c r="B597" s="1">
        <f>IFERROR(__xludf.DUMMYFUNCTION("""COMPUTED_VALUE"""),153.85)</f>
        <v>153.85</v>
      </c>
    </row>
    <row r="598">
      <c r="A598" s="2">
        <f>IFERROR(__xludf.DUMMYFUNCTION("""COMPUTED_VALUE"""),44971.66666666667)</f>
        <v>44971.66667</v>
      </c>
      <c r="B598" s="1">
        <f>IFERROR(__xludf.DUMMYFUNCTION("""COMPUTED_VALUE"""),153.2)</f>
        <v>153.2</v>
      </c>
    </row>
    <row r="599">
      <c r="A599" s="2">
        <f>IFERROR(__xludf.DUMMYFUNCTION("""COMPUTED_VALUE"""),44972.66666666667)</f>
        <v>44972.66667</v>
      </c>
      <c r="B599" s="1">
        <f>IFERROR(__xludf.DUMMYFUNCTION("""COMPUTED_VALUE"""),155.33)</f>
        <v>155.33</v>
      </c>
    </row>
    <row r="600">
      <c r="A600" s="2">
        <f>IFERROR(__xludf.DUMMYFUNCTION("""COMPUTED_VALUE"""),44973.66666666667)</f>
        <v>44973.66667</v>
      </c>
      <c r="B600" s="1">
        <f>IFERROR(__xludf.DUMMYFUNCTION("""COMPUTED_VALUE"""),153.71)</f>
        <v>153.71</v>
      </c>
    </row>
    <row r="601">
      <c r="A601" s="2">
        <f>IFERROR(__xludf.DUMMYFUNCTION("""COMPUTED_VALUE"""),44974.66666666667)</f>
        <v>44974.66667</v>
      </c>
      <c r="B601" s="1">
        <f>IFERROR(__xludf.DUMMYFUNCTION("""COMPUTED_VALUE"""),152.55)</f>
        <v>152.55</v>
      </c>
    </row>
    <row r="602">
      <c r="A602" s="2">
        <f>IFERROR(__xludf.DUMMYFUNCTION("""COMPUTED_VALUE"""),44978.66666666667)</f>
        <v>44978.66667</v>
      </c>
      <c r="B602" s="1">
        <f>IFERROR(__xludf.DUMMYFUNCTION("""COMPUTED_VALUE"""),148.48)</f>
        <v>148.48</v>
      </c>
    </row>
    <row r="603">
      <c r="A603" s="2">
        <f>IFERROR(__xludf.DUMMYFUNCTION("""COMPUTED_VALUE"""),44979.66666666667)</f>
        <v>44979.66667</v>
      </c>
      <c r="B603" s="1">
        <f>IFERROR(__xludf.DUMMYFUNCTION("""COMPUTED_VALUE"""),148.91)</f>
        <v>148.91</v>
      </c>
    </row>
    <row r="604">
      <c r="A604" s="2">
        <f>IFERROR(__xludf.DUMMYFUNCTION("""COMPUTED_VALUE"""),44980.66666666667)</f>
        <v>44980.66667</v>
      </c>
      <c r="B604" s="1">
        <f>IFERROR(__xludf.DUMMYFUNCTION("""COMPUTED_VALUE"""),149.4)</f>
        <v>149.4</v>
      </c>
    </row>
    <row r="605">
      <c r="A605" s="2">
        <f>IFERROR(__xludf.DUMMYFUNCTION("""COMPUTED_VALUE"""),44981.66666666667)</f>
        <v>44981.66667</v>
      </c>
      <c r="B605" s="1">
        <f>IFERROR(__xludf.DUMMYFUNCTION("""COMPUTED_VALUE"""),146.71)</f>
        <v>146.71</v>
      </c>
    </row>
    <row r="606">
      <c r="A606" s="2">
        <f>IFERROR(__xludf.DUMMYFUNCTION("""COMPUTED_VALUE"""),44984.66666666667)</f>
        <v>44984.66667</v>
      </c>
      <c r="B606" s="1">
        <f>IFERROR(__xludf.DUMMYFUNCTION("""COMPUTED_VALUE"""),147.92)</f>
        <v>147.92</v>
      </c>
    </row>
    <row r="607">
      <c r="A607" s="2">
        <f>IFERROR(__xludf.DUMMYFUNCTION("""COMPUTED_VALUE"""),44985.66666666667)</f>
        <v>44985.66667</v>
      </c>
      <c r="B607" s="1">
        <f>IFERROR(__xludf.DUMMYFUNCTION("""COMPUTED_VALUE"""),147.41)</f>
        <v>147.41</v>
      </c>
    </row>
    <row r="608">
      <c r="A608" s="2">
        <f>IFERROR(__xludf.DUMMYFUNCTION("""COMPUTED_VALUE"""),44986.66666666667)</f>
        <v>44986.66667</v>
      </c>
      <c r="B608" s="1">
        <f>IFERROR(__xludf.DUMMYFUNCTION("""COMPUTED_VALUE"""),145.31)</f>
        <v>145.31</v>
      </c>
    </row>
    <row r="609">
      <c r="A609" s="2">
        <f>IFERROR(__xludf.DUMMYFUNCTION("""COMPUTED_VALUE"""),44987.66666666667)</f>
        <v>44987.66667</v>
      </c>
      <c r="B609" s="1">
        <f>IFERROR(__xludf.DUMMYFUNCTION("""COMPUTED_VALUE"""),145.91)</f>
        <v>145.91</v>
      </c>
    </row>
    <row r="610">
      <c r="A610" s="2">
        <f>IFERROR(__xludf.DUMMYFUNCTION("""COMPUTED_VALUE"""),44988.66666666667)</f>
        <v>44988.66667</v>
      </c>
      <c r="B610" s="1">
        <f>IFERROR(__xludf.DUMMYFUNCTION("""COMPUTED_VALUE"""),151.03)</f>
        <v>151.03</v>
      </c>
    </row>
    <row r="611">
      <c r="A611" s="2">
        <f>IFERROR(__xludf.DUMMYFUNCTION("""COMPUTED_VALUE"""),44991.66666666667)</f>
        <v>44991.66667</v>
      </c>
      <c r="B611" s="1">
        <f>IFERROR(__xludf.DUMMYFUNCTION("""COMPUTED_VALUE"""),153.83)</f>
        <v>153.83</v>
      </c>
    </row>
    <row r="612">
      <c r="A612" s="2">
        <f>IFERROR(__xludf.DUMMYFUNCTION("""COMPUTED_VALUE"""),44992.66666666667)</f>
        <v>44992.66667</v>
      </c>
      <c r="B612" s="1">
        <f>IFERROR(__xludf.DUMMYFUNCTION("""COMPUTED_VALUE"""),151.6)</f>
        <v>151.6</v>
      </c>
    </row>
    <row r="613">
      <c r="A613" s="2">
        <f>IFERROR(__xludf.DUMMYFUNCTION("""COMPUTED_VALUE"""),44993.66666666667)</f>
        <v>44993.66667</v>
      </c>
      <c r="B613" s="1">
        <f>IFERROR(__xludf.DUMMYFUNCTION("""COMPUTED_VALUE"""),152.87)</f>
        <v>152.87</v>
      </c>
    </row>
    <row r="614">
      <c r="A614" s="2">
        <f>IFERROR(__xludf.DUMMYFUNCTION("""COMPUTED_VALUE"""),44994.66666666667)</f>
        <v>44994.66667</v>
      </c>
      <c r="B614" s="1">
        <f>IFERROR(__xludf.DUMMYFUNCTION("""COMPUTED_VALUE"""),150.59)</f>
        <v>150.59</v>
      </c>
    </row>
    <row r="615">
      <c r="A615" s="2">
        <f>IFERROR(__xludf.DUMMYFUNCTION("""COMPUTED_VALUE"""),44995.66666666667)</f>
        <v>44995.66667</v>
      </c>
      <c r="B615" s="1">
        <f>IFERROR(__xludf.DUMMYFUNCTION("""COMPUTED_VALUE"""),148.5)</f>
        <v>148.5</v>
      </c>
    </row>
    <row r="616">
      <c r="A616" s="2">
        <f>IFERROR(__xludf.DUMMYFUNCTION("""COMPUTED_VALUE"""),44998.66666666667)</f>
        <v>44998.66667</v>
      </c>
      <c r="B616" s="1">
        <f>IFERROR(__xludf.DUMMYFUNCTION("""COMPUTED_VALUE"""),150.47)</f>
        <v>150.47</v>
      </c>
    </row>
    <row r="617">
      <c r="A617" s="2">
        <f>IFERROR(__xludf.DUMMYFUNCTION("""COMPUTED_VALUE"""),44999.66666666667)</f>
        <v>44999.66667</v>
      </c>
      <c r="B617" s="1">
        <f>IFERROR(__xludf.DUMMYFUNCTION("""COMPUTED_VALUE"""),152.59)</f>
        <v>152.59</v>
      </c>
    </row>
    <row r="618">
      <c r="A618" s="2">
        <f>IFERROR(__xludf.DUMMYFUNCTION("""COMPUTED_VALUE"""),45000.66666666667)</f>
        <v>45000.66667</v>
      </c>
      <c r="B618" s="1">
        <f>IFERROR(__xludf.DUMMYFUNCTION("""COMPUTED_VALUE"""),152.99)</f>
        <v>152.99</v>
      </c>
    </row>
    <row r="619">
      <c r="A619" s="2">
        <f>IFERROR(__xludf.DUMMYFUNCTION("""COMPUTED_VALUE"""),45001.66666666667)</f>
        <v>45001.66667</v>
      </c>
      <c r="B619" s="1">
        <f>IFERROR(__xludf.DUMMYFUNCTION("""COMPUTED_VALUE"""),155.85)</f>
        <v>155.85</v>
      </c>
    </row>
    <row r="620">
      <c r="A620" s="2">
        <f>IFERROR(__xludf.DUMMYFUNCTION("""COMPUTED_VALUE"""),45002.66666666667)</f>
        <v>45002.66667</v>
      </c>
      <c r="B620" s="1">
        <f>IFERROR(__xludf.DUMMYFUNCTION("""COMPUTED_VALUE"""),155.0)</f>
        <v>155</v>
      </c>
    </row>
    <row r="621">
      <c r="A621" s="2">
        <f>IFERROR(__xludf.DUMMYFUNCTION("""COMPUTED_VALUE"""),45005.66666666667)</f>
        <v>45005.66667</v>
      </c>
      <c r="B621" s="1">
        <f>IFERROR(__xludf.DUMMYFUNCTION("""COMPUTED_VALUE"""),157.4)</f>
        <v>157.4</v>
      </c>
    </row>
    <row r="622">
      <c r="A622" s="2">
        <f>IFERROR(__xludf.DUMMYFUNCTION("""COMPUTED_VALUE"""),45006.66666666667)</f>
        <v>45006.66667</v>
      </c>
      <c r="B622" s="1">
        <f>IFERROR(__xludf.DUMMYFUNCTION("""COMPUTED_VALUE"""),159.28)</f>
        <v>159.28</v>
      </c>
    </row>
    <row r="623">
      <c r="A623" s="2">
        <f>IFERROR(__xludf.DUMMYFUNCTION("""COMPUTED_VALUE"""),45007.66666666667)</f>
        <v>45007.66667</v>
      </c>
      <c r="B623" s="1">
        <f>IFERROR(__xludf.DUMMYFUNCTION("""COMPUTED_VALUE"""),157.83)</f>
        <v>157.83</v>
      </c>
    </row>
    <row r="624">
      <c r="A624" s="2">
        <f>IFERROR(__xludf.DUMMYFUNCTION("""COMPUTED_VALUE"""),45008.66666666667)</f>
        <v>45008.66667</v>
      </c>
      <c r="B624" s="1">
        <f>IFERROR(__xludf.DUMMYFUNCTION("""COMPUTED_VALUE"""),158.93)</f>
        <v>158.93</v>
      </c>
    </row>
    <row r="625">
      <c r="A625" s="2">
        <f>IFERROR(__xludf.DUMMYFUNCTION("""COMPUTED_VALUE"""),45009.66666666667)</f>
        <v>45009.66667</v>
      </c>
      <c r="B625" s="1">
        <f>IFERROR(__xludf.DUMMYFUNCTION("""COMPUTED_VALUE"""),160.25)</f>
        <v>160.25</v>
      </c>
    </row>
    <row r="626">
      <c r="A626" s="2">
        <f>IFERROR(__xludf.DUMMYFUNCTION("""COMPUTED_VALUE"""),45012.66666666667)</f>
        <v>45012.66667</v>
      </c>
      <c r="B626" s="1">
        <f>IFERROR(__xludf.DUMMYFUNCTION("""COMPUTED_VALUE"""),158.28)</f>
        <v>158.28</v>
      </c>
    </row>
    <row r="627">
      <c r="A627" s="2">
        <f>IFERROR(__xludf.DUMMYFUNCTION("""COMPUTED_VALUE"""),45013.66666666667)</f>
        <v>45013.66667</v>
      </c>
      <c r="B627" s="1">
        <f>IFERROR(__xludf.DUMMYFUNCTION("""COMPUTED_VALUE"""),157.65)</f>
        <v>157.65</v>
      </c>
    </row>
    <row r="628">
      <c r="A628" s="2">
        <f>IFERROR(__xludf.DUMMYFUNCTION("""COMPUTED_VALUE"""),45014.66666666667)</f>
        <v>45014.66667</v>
      </c>
      <c r="B628" s="1">
        <f>IFERROR(__xludf.DUMMYFUNCTION("""COMPUTED_VALUE"""),160.77)</f>
        <v>160.77</v>
      </c>
    </row>
    <row r="629">
      <c r="A629" s="2">
        <f>IFERROR(__xludf.DUMMYFUNCTION("""COMPUTED_VALUE"""),45015.66666666667)</f>
        <v>45015.66667</v>
      </c>
      <c r="B629" s="1">
        <f>IFERROR(__xludf.DUMMYFUNCTION("""COMPUTED_VALUE"""),162.36)</f>
        <v>162.36</v>
      </c>
    </row>
    <row r="630">
      <c r="A630" s="2">
        <f>IFERROR(__xludf.DUMMYFUNCTION("""COMPUTED_VALUE"""),45016.66666666667)</f>
        <v>45016.66667</v>
      </c>
      <c r="B630" s="1">
        <f>IFERROR(__xludf.DUMMYFUNCTION("""COMPUTED_VALUE"""),164.9)</f>
        <v>164.9</v>
      </c>
    </row>
    <row r="631">
      <c r="A631" s="2">
        <f>IFERROR(__xludf.DUMMYFUNCTION("""COMPUTED_VALUE"""),45019.66666666667)</f>
        <v>45019.66667</v>
      </c>
      <c r="B631" s="1">
        <f>IFERROR(__xludf.DUMMYFUNCTION("""COMPUTED_VALUE"""),166.17)</f>
        <v>166.17</v>
      </c>
    </row>
    <row r="632">
      <c r="A632" s="2">
        <f>IFERROR(__xludf.DUMMYFUNCTION("""COMPUTED_VALUE"""),45020.66666666667)</f>
        <v>45020.66667</v>
      </c>
      <c r="B632" s="1">
        <f>IFERROR(__xludf.DUMMYFUNCTION("""COMPUTED_VALUE"""),165.63)</f>
        <v>165.63</v>
      </c>
    </row>
    <row r="633">
      <c r="A633" s="2">
        <f>IFERROR(__xludf.DUMMYFUNCTION("""COMPUTED_VALUE"""),45021.66666666667)</f>
        <v>45021.66667</v>
      </c>
      <c r="B633" s="1">
        <f>IFERROR(__xludf.DUMMYFUNCTION("""COMPUTED_VALUE"""),163.76)</f>
        <v>163.76</v>
      </c>
    </row>
    <row r="634">
      <c r="A634" s="2">
        <f>IFERROR(__xludf.DUMMYFUNCTION("""COMPUTED_VALUE"""),45022.66666666667)</f>
        <v>45022.66667</v>
      </c>
      <c r="B634" s="1">
        <f>IFERROR(__xludf.DUMMYFUNCTION("""COMPUTED_VALUE"""),164.66)</f>
        <v>164.66</v>
      </c>
    </row>
    <row r="635">
      <c r="A635" s="2">
        <f>IFERROR(__xludf.DUMMYFUNCTION("""COMPUTED_VALUE"""),45026.66666666667)</f>
        <v>45026.66667</v>
      </c>
      <c r="B635" s="1">
        <f>IFERROR(__xludf.DUMMYFUNCTION("""COMPUTED_VALUE"""),162.03)</f>
        <v>162.03</v>
      </c>
    </row>
    <row r="636">
      <c r="A636" s="2">
        <f>IFERROR(__xludf.DUMMYFUNCTION("""COMPUTED_VALUE"""),45027.66666666667)</f>
        <v>45027.66667</v>
      </c>
      <c r="B636" s="1">
        <f>IFERROR(__xludf.DUMMYFUNCTION("""COMPUTED_VALUE"""),160.8)</f>
        <v>160.8</v>
      </c>
    </row>
    <row r="637">
      <c r="A637" s="2">
        <f>IFERROR(__xludf.DUMMYFUNCTION("""COMPUTED_VALUE"""),45028.66666666667)</f>
        <v>45028.66667</v>
      </c>
      <c r="B637" s="1">
        <f>IFERROR(__xludf.DUMMYFUNCTION("""COMPUTED_VALUE"""),160.1)</f>
        <v>160.1</v>
      </c>
    </row>
    <row r="638">
      <c r="A638" s="2">
        <f>IFERROR(__xludf.DUMMYFUNCTION("""COMPUTED_VALUE"""),45029.66666666667)</f>
        <v>45029.66667</v>
      </c>
      <c r="B638" s="1">
        <f>IFERROR(__xludf.DUMMYFUNCTION("""COMPUTED_VALUE"""),165.56)</f>
        <v>165.56</v>
      </c>
    </row>
    <row r="639">
      <c r="A639" s="2">
        <f>IFERROR(__xludf.DUMMYFUNCTION("""COMPUTED_VALUE"""),45030.66666666667)</f>
        <v>45030.66667</v>
      </c>
      <c r="B639" s="1">
        <f>IFERROR(__xludf.DUMMYFUNCTION("""COMPUTED_VALUE"""),165.21)</f>
        <v>165.21</v>
      </c>
    </row>
    <row r="640">
      <c r="A640" s="2">
        <f>IFERROR(__xludf.DUMMYFUNCTION("""COMPUTED_VALUE"""),45033.66666666667)</f>
        <v>45033.66667</v>
      </c>
      <c r="B640" s="1">
        <f>IFERROR(__xludf.DUMMYFUNCTION("""COMPUTED_VALUE"""),165.23)</f>
        <v>165.23</v>
      </c>
    </row>
    <row r="641">
      <c r="A641" s="2">
        <f>IFERROR(__xludf.DUMMYFUNCTION("""COMPUTED_VALUE"""),45034.66666666667)</f>
        <v>45034.66667</v>
      </c>
      <c r="B641" s="1">
        <f>IFERROR(__xludf.DUMMYFUNCTION("""COMPUTED_VALUE"""),166.47)</f>
        <v>166.47</v>
      </c>
    </row>
    <row r="642">
      <c r="A642" s="2">
        <f>IFERROR(__xludf.DUMMYFUNCTION("""COMPUTED_VALUE"""),45035.66666666667)</f>
        <v>45035.66667</v>
      </c>
      <c r="B642" s="1">
        <f>IFERROR(__xludf.DUMMYFUNCTION("""COMPUTED_VALUE"""),167.63)</f>
        <v>167.63</v>
      </c>
    </row>
    <row r="643">
      <c r="A643" s="2">
        <f>IFERROR(__xludf.DUMMYFUNCTION("""COMPUTED_VALUE"""),45036.66666666667)</f>
        <v>45036.66667</v>
      </c>
      <c r="B643" s="1">
        <f>IFERROR(__xludf.DUMMYFUNCTION("""COMPUTED_VALUE"""),166.65)</f>
        <v>166.65</v>
      </c>
    </row>
    <row r="644">
      <c r="A644" s="2">
        <f>IFERROR(__xludf.DUMMYFUNCTION("""COMPUTED_VALUE"""),45037.66666666667)</f>
        <v>45037.66667</v>
      </c>
      <c r="B644" s="1">
        <f>IFERROR(__xludf.DUMMYFUNCTION("""COMPUTED_VALUE"""),165.02)</f>
        <v>165.02</v>
      </c>
    </row>
    <row r="645">
      <c r="A645" s="2">
        <f>IFERROR(__xludf.DUMMYFUNCTION("""COMPUTED_VALUE"""),45040.66666666667)</f>
        <v>45040.66667</v>
      </c>
      <c r="B645" s="1">
        <f>IFERROR(__xludf.DUMMYFUNCTION("""COMPUTED_VALUE"""),165.33)</f>
        <v>165.33</v>
      </c>
    </row>
    <row r="646">
      <c r="A646" s="2">
        <f>IFERROR(__xludf.DUMMYFUNCTION("""COMPUTED_VALUE"""),45041.66666666667)</f>
        <v>45041.66667</v>
      </c>
      <c r="B646" s="1">
        <f>IFERROR(__xludf.DUMMYFUNCTION("""COMPUTED_VALUE"""),163.77)</f>
        <v>163.77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IFERROR(__xludf.DUMMYFUNCTION("""COMPUTED_VALUE"""),163.76)</f>
        <v>163.76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IFERROR(__xludf.DUMMYFUNCTION("""COMPUTED_VALUE"""),168.41)</f>
        <v>168.41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IFERROR(__xludf.DUMMYFUNCTION("""COMPUTED_VALUE"""),169.68)</f>
        <v>169.68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IFERROR(__xludf.DUMMYFUNCTION("""COMPUTED_VALUE"""),169.59)</f>
        <v>169.59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IFERROR(__xludf.DUMMYFUNCTION("""COMPUTED_VALUE"""),168.54)</f>
        <v>168.54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IFERROR(__xludf.DUMMYFUNCTION("""COMPUTED_VALUE"""),167.45)</f>
        <v>167.45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IFERROR(__xludf.DUMMYFUNCTION("""COMPUTED_VALUE"""),165.79)</f>
        <v>165.79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IFERROR(__xludf.DUMMYFUNCTION("""COMPUTED_VALUE"""),173.57)</f>
        <v>173.57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IFERROR(__xludf.DUMMYFUNCTION("""COMPUTED_VALUE"""),173.5)</f>
        <v>173.5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IFERROR(__xludf.DUMMYFUNCTION("""COMPUTED_VALUE"""),171.77)</f>
        <v>171.77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IFERROR(__xludf.DUMMYFUNCTION("""COMPUTED_VALUE"""),173.56)</f>
        <v>173.56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IFERROR(__xludf.DUMMYFUNCTION("""COMPUTED_VALUE"""),173.75)</f>
        <v>173.75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IFERROR(__xludf.DUMMYFUNCTION("""COMPUTED_VALUE"""),172.57)</f>
        <v>172.57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IFERROR(__xludf.DUMMYFUNCTION("""COMPUTED_VALUE"""),172.07)</f>
        <v>172.07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IFERROR(__xludf.DUMMYFUNCTION("""COMPUTED_VALUE"""),172.07)</f>
        <v>172.07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IFERROR(__xludf.DUMMYFUNCTION("""COMPUTED_VALUE"""),172.69)</f>
        <v>172.69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IFERROR(__xludf.DUMMYFUNCTION("""COMPUTED_VALUE"""),175.05)</f>
        <v>175.05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IFERROR(__xludf.DUMMYFUNCTION("""COMPUTED_VALUE"""),175.16)</f>
        <v>175.16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IFERROR(__xludf.DUMMYFUNCTION("""COMPUTED_VALUE"""),174.2)</f>
        <v>174.2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IFERROR(__xludf.DUMMYFUNCTION("""COMPUTED_VALUE"""),171.56)</f>
        <v>171.56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IFERROR(__xludf.DUMMYFUNCTION("""COMPUTED_VALUE"""),171.84)</f>
        <v>171.84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IFERROR(__xludf.DUMMYFUNCTION("""COMPUTED_VALUE"""),172.99)</f>
        <v>172.99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IFERROR(__xludf.DUMMYFUNCTION("""COMPUTED_VALUE"""),175.43)</f>
        <v>175.43</v>
      </c>
    </row>
    <row r="670">
      <c r="A670" s="2">
        <f>IFERROR(__xludf.DUMMYFUNCTION("""COMPUTED_VALUE"""),45076.66666666667)</f>
        <v>45076.66667</v>
      </c>
      <c r="B670" s="1">
        <f>IFERROR(__xludf.DUMMYFUNCTION("""COMPUTED_VALUE"""),177.3)</f>
        <v>177.3</v>
      </c>
    </row>
    <row r="671">
      <c r="A671" s="2">
        <f>IFERROR(__xludf.DUMMYFUNCTION("""COMPUTED_VALUE"""),45077.66666666667)</f>
        <v>45077.66667</v>
      </c>
      <c r="B671" s="1">
        <f>IFERROR(__xludf.DUMMYFUNCTION("""COMPUTED_VALUE"""),177.25)</f>
        <v>177.25</v>
      </c>
    </row>
    <row r="672">
      <c r="A672" s="2">
        <f>IFERROR(__xludf.DUMMYFUNCTION("""COMPUTED_VALUE"""),45078.66666666667)</f>
        <v>45078.66667</v>
      </c>
      <c r="B672" s="1">
        <f>IFERROR(__xludf.DUMMYFUNCTION("""COMPUTED_VALUE"""),180.09)</f>
        <v>180.09</v>
      </c>
    </row>
    <row r="673">
      <c r="A673" s="2">
        <f>IFERROR(__xludf.DUMMYFUNCTION("""COMPUTED_VALUE"""),45079.66666666667)</f>
        <v>45079.66667</v>
      </c>
      <c r="B673" s="1">
        <f>IFERROR(__xludf.DUMMYFUNCTION("""COMPUTED_VALUE"""),180.95)</f>
        <v>180.95</v>
      </c>
    </row>
    <row r="674">
      <c r="A674" s="2">
        <f>IFERROR(__xludf.DUMMYFUNCTION("""COMPUTED_VALUE"""),45082.66666666667)</f>
        <v>45082.66667</v>
      </c>
      <c r="B674" s="1">
        <f>IFERROR(__xludf.DUMMYFUNCTION("""COMPUTED_VALUE"""),179.58)</f>
        <v>179.58</v>
      </c>
    </row>
    <row r="675">
      <c r="A675" s="2">
        <f>IFERROR(__xludf.DUMMYFUNCTION("""COMPUTED_VALUE"""),45083.66666666667)</f>
        <v>45083.66667</v>
      </c>
      <c r="B675" s="1">
        <f>IFERROR(__xludf.DUMMYFUNCTION("""COMPUTED_VALUE"""),179.21)</f>
        <v>179.21</v>
      </c>
    </row>
    <row r="676">
      <c r="A676" s="2">
        <f>IFERROR(__xludf.DUMMYFUNCTION("""COMPUTED_VALUE"""),45084.66666666667)</f>
        <v>45084.66667</v>
      </c>
      <c r="B676" s="1">
        <f>IFERROR(__xludf.DUMMYFUNCTION("""COMPUTED_VALUE"""),177.82)</f>
        <v>177.82</v>
      </c>
    </row>
    <row r="677">
      <c r="A677" s="2">
        <f>IFERROR(__xludf.DUMMYFUNCTION("""COMPUTED_VALUE"""),45085.66666666667)</f>
        <v>45085.66667</v>
      </c>
      <c r="B677" s="1">
        <f>IFERROR(__xludf.DUMMYFUNCTION("""COMPUTED_VALUE"""),180.57)</f>
        <v>180.57</v>
      </c>
    </row>
    <row r="678">
      <c r="A678" s="2">
        <f>IFERROR(__xludf.DUMMYFUNCTION("""COMPUTED_VALUE"""),45086.66666666667)</f>
        <v>45086.66667</v>
      </c>
      <c r="B678" s="1">
        <f>IFERROR(__xludf.DUMMYFUNCTION("""COMPUTED_VALUE"""),180.96)</f>
        <v>180.96</v>
      </c>
    </row>
    <row r="679">
      <c r="A679" s="2">
        <f>IFERROR(__xludf.DUMMYFUNCTION("""COMPUTED_VALUE"""),45089.66666666667)</f>
        <v>45089.66667</v>
      </c>
      <c r="B679" s="1">
        <f>IFERROR(__xludf.DUMMYFUNCTION("""COMPUTED_VALUE"""),183.79)</f>
        <v>183.79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IFERROR(__xludf.DUMMYFUNCTION("""COMPUTED_VALUE"""),183.31)</f>
        <v>183.31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IFERROR(__xludf.DUMMYFUNCTION("""COMPUTED_VALUE"""),183.95)</f>
        <v>183.95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IFERROR(__xludf.DUMMYFUNCTION("""COMPUTED_VALUE"""),186.01)</f>
        <v>186.01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IFERROR(__xludf.DUMMYFUNCTION("""COMPUTED_VALUE"""),184.92)</f>
        <v>184.92</v>
      </c>
    </row>
    <row r="684">
      <c r="A684" s="2">
        <f>IFERROR(__xludf.DUMMYFUNCTION("""COMPUTED_VALUE"""),45097.66666666667)</f>
        <v>45097.66667</v>
      </c>
      <c r="B684" s="1">
        <f>IFERROR(__xludf.DUMMYFUNCTION("""COMPUTED_VALUE"""),185.01)</f>
        <v>185.01</v>
      </c>
    </row>
    <row r="685">
      <c r="A685" s="2">
        <f>IFERROR(__xludf.DUMMYFUNCTION("""COMPUTED_VALUE"""),45098.66666666667)</f>
        <v>45098.66667</v>
      </c>
      <c r="B685" s="1">
        <f>IFERROR(__xludf.DUMMYFUNCTION("""COMPUTED_VALUE"""),183.96)</f>
        <v>183.96</v>
      </c>
    </row>
    <row r="686">
      <c r="A686" s="2">
        <f>IFERROR(__xludf.DUMMYFUNCTION("""COMPUTED_VALUE"""),45099.66666666667)</f>
        <v>45099.66667</v>
      </c>
      <c r="B686" s="1">
        <f>IFERROR(__xludf.DUMMYFUNCTION("""COMPUTED_VALUE"""),187.0)</f>
        <v>187</v>
      </c>
    </row>
    <row r="687">
      <c r="A687" s="2">
        <f>IFERROR(__xludf.DUMMYFUNCTION("""COMPUTED_VALUE"""),45100.66666666667)</f>
        <v>45100.66667</v>
      </c>
      <c r="B687" s="1">
        <f>IFERROR(__xludf.DUMMYFUNCTION("""COMPUTED_VALUE"""),186.68)</f>
        <v>186.68</v>
      </c>
    </row>
    <row r="688">
      <c r="A688" s="2">
        <f>IFERROR(__xludf.DUMMYFUNCTION("""COMPUTED_VALUE"""),45103.66666666667)</f>
        <v>45103.66667</v>
      </c>
      <c r="B688" s="1">
        <f>IFERROR(__xludf.DUMMYFUNCTION("""COMPUTED_VALUE"""),185.27)</f>
        <v>185.27</v>
      </c>
    </row>
    <row r="689">
      <c r="A689" s="2">
        <f>IFERROR(__xludf.DUMMYFUNCTION("""COMPUTED_VALUE"""),45104.66666666667)</f>
        <v>45104.66667</v>
      </c>
      <c r="B689" s="1">
        <f>IFERROR(__xludf.DUMMYFUNCTION("""COMPUTED_VALUE"""),188.06)</f>
        <v>188.06</v>
      </c>
    </row>
    <row r="690">
      <c r="A690" s="2">
        <f>IFERROR(__xludf.DUMMYFUNCTION("""COMPUTED_VALUE"""),45105.66666666667)</f>
        <v>45105.66667</v>
      </c>
      <c r="B690" s="1">
        <f>IFERROR(__xludf.DUMMYFUNCTION("""COMPUTED_VALUE"""),189.25)</f>
        <v>189.25</v>
      </c>
    </row>
    <row r="691">
      <c r="A691" s="2">
        <f>IFERROR(__xludf.DUMMYFUNCTION("""COMPUTED_VALUE"""),45106.66666666667)</f>
        <v>45106.66667</v>
      </c>
      <c r="B691" s="1">
        <f>IFERROR(__xludf.DUMMYFUNCTION("""COMPUTED_VALUE"""),189.59)</f>
        <v>189.59</v>
      </c>
    </row>
    <row r="692">
      <c r="A692" s="2">
        <f>IFERROR(__xludf.DUMMYFUNCTION("""COMPUTED_VALUE"""),45107.66666666667)</f>
        <v>45107.66667</v>
      </c>
      <c r="B692" s="1">
        <f>IFERROR(__xludf.DUMMYFUNCTION("""COMPUTED_VALUE"""),193.97)</f>
        <v>193.97</v>
      </c>
    </row>
    <row r="693">
      <c r="A693" s="2">
        <f>IFERROR(__xludf.DUMMYFUNCTION("""COMPUTED_VALUE"""),45110.54513888889)</f>
        <v>45110.54514</v>
      </c>
      <c r="B693" s="1">
        <f>IFERROR(__xludf.DUMMYFUNCTION("""COMPUTED_VALUE"""),192.46)</f>
        <v>192.46</v>
      </c>
    </row>
    <row r="694">
      <c r="A694" s="2">
        <f>IFERROR(__xludf.DUMMYFUNCTION("""COMPUTED_VALUE"""),45112.66666666667)</f>
        <v>45112.66667</v>
      </c>
      <c r="B694" s="1">
        <f>IFERROR(__xludf.DUMMYFUNCTION("""COMPUTED_VALUE"""),191.33)</f>
        <v>191.33</v>
      </c>
    </row>
    <row r="695">
      <c r="A695" s="2">
        <f>IFERROR(__xludf.DUMMYFUNCTION("""COMPUTED_VALUE"""),45113.66666666667)</f>
        <v>45113.66667</v>
      </c>
      <c r="B695" s="1">
        <f>IFERROR(__xludf.DUMMYFUNCTION("""COMPUTED_VALUE"""),191.81)</f>
        <v>191.81</v>
      </c>
    </row>
    <row r="696">
      <c r="A696" s="2">
        <f>IFERROR(__xludf.DUMMYFUNCTION("""COMPUTED_VALUE"""),45114.66666666667)</f>
        <v>45114.66667</v>
      </c>
      <c r="B696" s="1">
        <f>IFERROR(__xludf.DUMMYFUNCTION("""COMPUTED_VALUE"""),190.68)</f>
        <v>190.68</v>
      </c>
    </row>
    <row r="697">
      <c r="A697" s="2">
        <f>IFERROR(__xludf.DUMMYFUNCTION("""COMPUTED_VALUE"""),45117.66666666667)</f>
        <v>45117.66667</v>
      </c>
      <c r="B697" s="1">
        <f>IFERROR(__xludf.DUMMYFUNCTION("""COMPUTED_VALUE"""),188.61)</f>
        <v>188.61</v>
      </c>
    </row>
    <row r="698">
      <c r="A698" s="2">
        <f>IFERROR(__xludf.DUMMYFUNCTION("""COMPUTED_VALUE"""),45118.66666666667)</f>
        <v>45118.66667</v>
      </c>
      <c r="B698" s="1">
        <f>IFERROR(__xludf.DUMMYFUNCTION("""COMPUTED_VALUE"""),188.08)</f>
        <v>188.08</v>
      </c>
    </row>
    <row r="699">
      <c r="A699" s="2">
        <f>IFERROR(__xludf.DUMMYFUNCTION("""COMPUTED_VALUE"""),45119.66666666667)</f>
        <v>45119.66667</v>
      </c>
      <c r="B699" s="1">
        <f>IFERROR(__xludf.DUMMYFUNCTION("""COMPUTED_VALUE"""),189.77)</f>
        <v>189.77</v>
      </c>
    </row>
    <row r="700">
      <c r="A700" s="2">
        <f>IFERROR(__xludf.DUMMYFUNCTION("""COMPUTED_VALUE"""),45120.66666666667)</f>
        <v>45120.66667</v>
      </c>
      <c r="B700" s="1">
        <f>IFERROR(__xludf.DUMMYFUNCTION("""COMPUTED_VALUE"""),190.54)</f>
        <v>190.54</v>
      </c>
    </row>
    <row r="701">
      <c r="A701" s="2">
        <f>IFERROR(__xludf.DUMMYFUNCTION("""COMPUTED_VALUE"""),45121.66666666667)</f>
        <v>45121.66667</v>
      </c>
      <c r="B701" s="1">
        <f>IFERROR(__xludf.DUMMYFUNCTION("""COMPUTED_VALUE"""),190.69)</f>
        <v>190.69</v>
      </c>
    </row>
    <row r="702">
      <c r="A702" s="2">
        <f>IFERROR(__xludf.DUMMYFUNCTION("""COMPUTED_VALUE"""),45124.66666666667)</f>
        <v>45124.66667</v>
      </c>
      <c r="B702" s="1">
        <f>IFERROR(__xludf.DUMMYFUNCTION("""COMPUTED_VALUE"""),193.99)</f>
        <v>193.99</v>
      </c>
    </row>
    <row r="703">
      <c r="A703" s="2">
        <f>IFERROR(__xludf.DUMMYFUNCTION("""COMPUTED_VALUE"""),45125.66666666667)</f>
        <v>45125.66667</v>
      </c>
      <c r="B703" s="1">
        <f>IFERROR(__xludf.DUMMYFUNCTION("""COMPUTED_VALUE"""),193.73)</f>
        <v>193.73</v>
      </c>
    </row>
    <row r="704">
      <c r="A704" s="2">
        <f>IFERROR(__xludf.DUMMYFUNCTION("""COMPUTED_VALUE"""),45126.66666666667)</f>
        <v>45126.66667</v>
      </c>
      <c r="B704" s="1">
        <f>IFERROR(__xludf.DUMMYFUNCTION("""COMPUTED_VALUE"""),195.1)</f>
        <v>195.1</v>
      </c>
    </row>
    <row r="705">
      <c r="A705" s="2">
        <f>IFERROR(__xludf.DUMMYFUNCTION("""COMPUTED_VALUE"""),45127.66666666667)</f>
        <v>45127.66667</v>
      </c>
      <c r="B705" s="1">
        <f>IFERROR(__xludf.DUMMYFUNCTION("""COMPUTED_VALUE"""),193.13)</f>
        <v>193.13</v>
      </c>
    </row>
    <row r="706">
      <c r="A706" s="2">
        <f>IFERROR(__xludf.DUMMYFUNCTION("""COMPUTED_VALUE"""),45128.66666666667)</f>
        <v>45128.66667</v>
      </c>
      <c r="B706" s="1">
        <f>IFERROR(__xludf.DUMMYFUNCTION("""COMPUTED_VALUE"""),191.94)</f>
        <v>191.94</v>
      </c>
    </row>
    <row r="707">
      <c r="A707" s="2">
        <f>IFERROR(__xludf.DUMMYFUNCTION("""COMPUTED_VALUE"""),45131.66666666667)</f>
        <v>45131.66667</v>
      </c>
      <c r="B707" s="1">
        <f>IFERROR(__xludf.DUMMYFUNCTION("""COMPUTED_VALUE"""),192.75)</f>
        <v>192.75</v>
      </c>
    </row>
    <row r="708">
      <c r="A708" s="2">
        <f>IFERROR(__xludf.DUMMYFUNCTION("""COMPUTED_VALUE"""),45132.66666666667)</f>
        <v>45132.66667</v>
      </c>
      <c r="B708" s="1">
        <f>IFERROR(__xludf.DUMMYFUNCTION("""COMPUTED_VALUE"""),193.62)</f>
        <v>193.62</v>
      </c>
    </row>
    <row r="709">
      <c r="A709" s="2">
        <f>IFERROR(__xludf.DUMMYFUNCTION("""COMPUTED_VALUE"""),45133.66666666667)</f>
        <v>45133.66667</v>
      </c>
      <c r="B709" s="1">
        <f>IFERROR(__xludf.DUMMYFUNCTION("""COMPUTED_VALUE"""),194.5)</f>
        <v>194.5</v>
      </c>
    </row>
    <row r="710">
      <c r="A710" s="2">
        <f>IFERROR(__xludf.DUMMYFUNCTION("""COMPUTED_VALUE"""),45134.66666666667)</f>
        <v>45134.66667</v>
      </c>
      <c r="B710" s="1">
        <f>IFERROR(__xludf.DUMMYFUNCTION("""COMPUTED_VALUE"""),193.22)</f>
        <v>193.22</v>
      </c>
    </row>
    <row r="711">
      <c r="A711" s="2">
        <f>IFERROR(__xludf.DUMMYFUNCTION("""COMPUTED_VALUE"""),45135.66666666667)</f>
        <v>45135.66667</v>
      </c>
      <c r="B711" s="1">
        <f>IFERROR(__xludf.DUMMYFUNCTION("""COMPUTED_VALUE"""),195.83)</f>
        <v>195.83</v>
      </c>
    </row>
    <row r="712">
      <c r="A712" s="2">
        <f>IFERROR(__xludf.DUMMYFUNCTION("""COMPUTED_VALUE"""),45138.66666666667)</f>
        <v>45138.66667</v>
      </c>
      <c r="B712" s="1">
        <f>IFERROR(__xludf.DUMMYFUNCTION("""COMPUTED_VALUE"""),196.45)</f>
        <v>196.45</v>
      </c>
    </row>
    <row r="713">
      <c r="A713" s="2">
        <f>IFERROR(__xludf.DUMMYFUNCTION("""COMPUTED_VALUE"""),45139.66666666667)</f>
        <v>45139.66667</v>
      </c>
      <c r="B713" s="1">
        <f>IFERROR(__xludf.DUMMYFUNCTION("""COMPUTED_VALUE"""),195.61)</f>
        <v>195.61</v>
      </c>
    </row>
    <row r="714">
      <c r="A714" s="2">
        <f>IFERROR(__xludf.DUMMYFUNCTION("""COMPUTED_VALUE"""),45140.66666666667)</f>
        <v>45140.66667</v>
      </c>
      <c r="B714" s="1">
        <f>IFERROR(__xludf.DUMMYFUNCTION("""COMPUTED_VALUE"""),192.58)</f>
        <v>192.58</v>
      </c>
    </row>
    <row r="715">
      <c r="A715" s="2">
        <f>IFERROR(__xludf.DUMMYFUNCTION("""COMPUTED_VALUE"""),45141.66666666667)</f>
        <v>45141.66667</v>
      </c>
      <c r="B715" s="1">
        <f>IFERROR(__xludf.DUMMYFUNCTION("""COMPUTED_VALUE"""),191.17)</f>
        <v>191.17</v>
      </c>
    </row>
    <row r="716">
      <c r="A716" s="2">
        <f>IFERROR(__xludf.DUMMYFUNCTION("""COMPUTED_VALUE"""),45142.66666666667)</f>
        <v>45142.66667</v>
      </c>
      <c r="B716" s="1">
        <f>IFERROR(__xludf.DUMMYFUNCTION("""COMPUTED_VALUE"""),181.99)</f>
        <v>181.99</v>
      </c>
    </row>
    <row r="717">
      <c r="A717" s="2">
        <f>IFERROR(__xludf.DUMMYFUNCTION("""COMPUTED_VALUE"""),45145.66666666667)</f>
        <v>45145.66667</v>
      </c>
      <c r="B717" s="1">
        <f>IFERROR(__xludf.DUMMYFUNCTION("""COMPUTED_VALUE"""),178.85)</f>
        <v>178.85</v>
      </c>
    </row>
    <row r="718">
      <c r="A718" s="2">
        <f>IFERROR(__xludf.DUMMYFUNCTION("""COMPUTED_VALUE"""),45146.66666666667)</f>
        <v>45146.66667</v>
      </c>
      <c r="B718" s="1">
        <f>IFERROR(__xludf.DUMMYFUNCTION("""COMPUTED_VALUE"""),179.8)</f>
        <v>179.8</v>
      </c>
    </row>
    <row r="719">
      <c r="A719" s="2">
        <f>IFERROR(__xludf.DUMMYFUNCTION("""COMPUTED_VALUE"""),45147.66666666667)</f>
        <v>45147.66667</v>
      </c>
      <c r="B719" s="1">
        <f>IFERROR(__xludf.DUMMYFUNCTION("""COMPUTED_VALUE"""),178.19)</f>
        <v>178.19</v>
      </c>
    </row>
    <row r="720">
      <c r="A720" s="2">
        <f>IFERROR(__xludf.DUMMYFUNCTION("""COMPUTED_VALUE"""),45148.66666666667)</f>
        <v>45148.66667</v>
      </c>
      <c r="B720" s="1">
        <f>IFERROR(__xludf.DUMMYFUNCTION("""COMPUTED_VALUE"""),177.97)</f>
        <v>177.97</v>
      </c>
    </row>
    <row r="721">
      <c r="A721" s="2">
        <f>IFERROR(__xludf.DUMMYFUNCTION("""COMPUTED_VALUE"""),45149.66666666667)</f>
        <v>45149.66667</v>
      </c>
      <c r="B721" s="1">
        <f>IFERROR(__xludf.DUMMYFUNCTION("""COMPUTED_VALUE"""),177.79)</f>
        <v>177.79</v>
      </c>
    </row>
    <row r="722">
      <c r="A722" s="2">
        <f>IFERROR(__xludf.DUMMYFUNCTION("""COMPUTED_VALUE"""),45152.66666666667)</f>
        <v>45152.66667</v>
      </c>
      <c r="B722" s="1">
        <f>IFERROR(__xludf.DUMMYFUNCTION("""COMPUTED_VALUE"""),179.46)</f>
        <v>179.46</v>
      </c>
    </row>
    <row r="723">
      <c r="A723" s="2">
        <f>IFERROR(__xludf.DUMMYFUNCTION("""COMPUTED_VALUE"""),45153.66666666667)</f>
        <v>45153.66667</v>
      </c>
      <c r="B723" s="1">
        <f>IFERROR(__xludf.DUMMYFUNCTION("""COMPUTED_VALUE"""),177.45)</f>
        <v>177.45</v>
      </c>
    </row>
    <row r="724">
      <c r="A724" s="2">
        <f>IFERROR(__xludf.DUMMYFUNCTION("""COMPUTED_VALUE"""),45154.66666666667)</f>
        <v>45154.66667</v>
      </c>
      <c r="B724" s="1">
        <f>IFERROR(__xludf.DUMMYFUNCTION("""COMPUTED_VALUE"""),176.57)</f>
        <v>176.57</v>
      </c>
    </row>
    <row r="725">
      <c r="A725" s="2">
        <f>IFERROR(__xludf.DUMMYFUNCTION("""COMPUTED_VALUE"""),45155.66666666667)</f>
        <v>45155.66667</v>
      </c>
      <c r="B725" s="1">
        <f>IFERROR(__xludf.DUMMYFUNCTION("""COMPUTED_VALUE"""),174.0)</f>
        <v>174</v>
      </c>
    </row>
    <row r="726">
      <c r="A726" s="2">
        <f>IFERROR(__xludf.DUMMYFUNCTION("""COMPUTED_VALUE"""),45156.66666666667)</f>
        <v>45156.66667</v>
      </c>
      <c r="B726" s="1">
        <f>IFERROR(__xludf.DUMMYFUNCTION("""COMPUTED_VALUE"""),174.49)</f>
        <v>174.49</v>
      </c>
    </row>
    <row r="727">
      <c r="A727" s="2">
        <f>IFERROR(__xludf.DUMMYFUNCTION("""COMPUTED_VALUE"""),45159.66666666667)</f>
        <v>45159.66667</v>
      </c>
      <c r="B727" s="1">
        <f>IFERROR(__xludf.DUMMYFUNCTION("""COMPUTED_VALUE"""),175.84)</f>
        <v>175.84</v>
      </c>
    </row>
    <row r="728">
      <c r="A728" s="2">
        <f>IFERROR(__xludf.DUMMYFUNCTION("""COMPUTED_VALUE"""),45160.66666666667)</f>
        <v>45160.66667</v>
      </c>
      <c r="B728" s="1">
        <f>IFERROR(__xludf.DUMMYFUNCTION("""COMPUTED_VALUE"""),177.23)</f>
        <v>177.23</v>
      </c>
    </row>
    <row r="729">
      <c r="A729" s="2">
        <f>IFERROR(__xludf.DUMMYFUNCTION("""COMPUTED_VALUE"""),45161.66666666667)</f>
        <v>45161.66667</v>
      </c>
      <c r="B729" s="1">
        <f>IFERROR(__xludf.DUMMYFUNCTION("""COMPUTED_VALUE"""),181.12)</f>
        <v>181.12</v>
      </c>
    </row>
    <row r="730">
      <c r="A730" s="2">
        <f>IFERROR(__xludf.DUMMYFUNCTION("""COMPUTED_VALUE"""),45162.66666666667)</f>
        <v>45162.66667</v>
      </c>
      <c r="B730" s="1">
        <f>IFERROR(__xludf.DUMMYFUNCTION("""COMPUTED_VALUE"""),176.38)</f>
        <v>176.38</v>
      </c>
    </row>
    <row r="731">
      <c r="A731" s="2">
        <f>IFERROR(__xludf.DUMMYFUNCTION("""COMPUTED_VALUE"""),45163.66666666667)</f>
        <v>45163.66667</v>
      </c>
      <c r="B731" s="1">
        <f>IFERROR(__xludf.DUMMYFUNCTION("""COMPUTED_VALUE"""),178.61)</f>
        <v>178.61</v>
      </c>
    </row>
    <row r="732">
      <c r="A732" s="2">
        <f>IFERROR(__xludf.DUMMYFUNCTION("""COMPUTED_VALUE"""),45166.66666666667)</f>
        <v>45166.66667</v>
      </c>
      <c r="B732" s="1">
        <f>IFERROR(__xludf.DUMMYFUNCTION("""COMPUTED_VALUE"""),180.19)</f>
        <v>180.19</v>
      </c>
    </row>
    <row r="733">
      <c r="A733" s="2">
        <f>IFERROR(__xludf.DUMMYFUNCTION("""COMPUTED_VALUE"""),45167.66666666667)</f>
        <v>45167.66667</v>
      </c>
      <c r="B733" s="1">
        <f>IFERROR(__xludf.DUMMYFUNCTION("""COMPUTED_VALUE"""),184.12)</f>
        <v>184.12</v>
      </c>
    </row>
    <row r="734">
      <c r="A734" s="2">
        <f>IFERROR(__xludf.DUMMYFUNCTION("""COMPUTED_VALUE"""),45168.66666666667)</f>
        <v>45168.66667</v>
      </c>
      <c r="B734" s="1">
        <f>IFERROR(__xludf.DUMMYFUNCTION("""COMPUTED_VALUE"""),187.65)</f>
        <v>187.65</v>
      </c>
    </row>
    <row r="735">
      <c r="A735" s="2">
        <f>IFERROR(__xludf.DUMMYFUNCTION("""COMPUTED_VALUE"""),45169.66666666667)</f>
        <v>45169.66667</v>
      </c>
      <c r="B735" s="1">
        <f>IFERROR(__xludf.DUMMYFUNCTION("""COMPUTED_VALUE"""),187.87)</f>
        <v>187.87</v>
      </c>
    </row>
    <row r="736">
      <c r="A736" s="2">
        <f>IFERROR(__xludf.DUMMYFUNCTION("""COMPUTED_VALUE"""),45170.66666666667)</f>
        <v>45170.66667</v>
      </c>
      <c r="B736" s="1">
        <f>IFERROR(__xludf.DUMMYFUNCTION("""COMPUTED_VALUE"""),189.46)</f>
        <v>189.46</v>
      </c>
    </row>
    <row r="737">
      <c r="A737" s="2">
        <f>IFERROR(__xludf.DUMMYFUNCTION("""COMPUTED_VALUE"""),45174.66666666667)</f>
        <v>45174.66667</v>
      </c>
      <c r="B737" s="1">
        <f>IFERROR(__xludf.DUMMYFUNCTION("""COMPUTED_VALUE"""),189.7)</f>
        <v>189.7</v>
      </c>
    </row>
    <row r="738">
      <c r="A738" s="2">
        <f>IFERROR(__xludf.DUMMYFUNCTION("""COMPUTED_VALUE"""),45175.66666666667)</f>
        <v>45175.66667</v>
      </c>
      <c r="B738" s="1">
        <f>IFERROR(__xludf.DUMMYFUNCTION("""COMPUTED_VALUE"""),182.91)</f>
        <v>182.91</v>
      </c>
    </row>
    <row r="739">
      <c r="A739" s="2">
        <f>IFERROR(__xludf.DUMMYFUNCTION("""COMPUTED_VALUE"""),45176.66666666667)</f>
        <v>45176.66667</v>
      </c>
      <c r="B739" s="1">
        <f>IFERROR(__xludf.DUMMYFUNCTION("""COMPUTED_VALUE"""),177.56)</f>
        <v>177.56</v>
      </c>
    </row>
    <row r="740">
      <c r="A740" s="2">
        <f>IFERROR(__xludf.DUMMYFUNCTION("""COMPUTED_VALUE"""),45177.66666666667)</f>
        <v>45177.66667</v>
      </c>
      <c r="B740" s="1">
        <f>IFERROR(__xludf.DUMMYFUNCTION("""COMPUTED_VALUE"""),178.18)</f>
        <v>178.18</v>
      </c>
    </row>
    <row r="741">
      <c r="A741" s="2">
        <f>IFERROR(__xludf.DUMMYFUNCTION("""COMPUTED_VALUE"""),45180.66666666667)</f>
        <v>45180.66667</v>
      </c>
      <c r="B741" s="1">
        <f>IFERROR(__xludf.DUMMYFUNCTION("""COMPUTED_VALUE"""),179.36)</f>
        <v>179.36</v>
      </c>
    </row>
    <row r="742">
      <c r="A742" s="2">
        <f>IFERROR(__xludf.DUMMYFUNCTION("""COMPUTED_VALUE"""),45181.66666666667)</f>
        <v>45181.66667</v>
      </c>
      <c r="B742" s="1">
        <f>IFERROR(__xludf.DUMMYFUNCTION("""COMPUTED_VALUE"""),176.3)</f>
        <v>176.3</v>
      </c>
    </row>
    <row r="743">
      <c r="A743" s="2">
        <f>IFERROR(__xludf.DUMMYFUNCTION("""COMPUTED_VALUE"""),45182.66666666667)</f>
        <v>45182.66667</v>
      </c>
      <c r="B743" s="1">
        <f>IFERROR(__xludf.DUMMYFUNCTION("""COMPUTED_VALUE"""),174.21)</f>
        <v>174.21</v>
      </c>
    </row>
    <row r="744">
      <c r="A744" s="2">
        <f>IFERROR(__xludf.DUMMYFUNCTION("""COMPUTED_VALUE"""),45183.66666666667)</f>
        <v>45183.66667</v>
      </c>
      <c r="B744" s="1">
        <f>IFERROR(__xludf.DUMMYFUNCTION("""COMPUTED_VALUE"""),175.74)</f>
        <v>175.74</v>
      </c>
    </row>
    <row r="745">
      <c r="A745" s="2">
        <f>IFERROR(__xludf.DUMMYFUNCTION("""COMPUTED_VALUE"""),45184.66666666667)</f>
        <v>45184.66667</v>
      </c>
      <c r="B745" s="1">
        <f>IFERROR(__xludf.DUMMYFUNCTION("""COMPUTED_VALUE"""),175.01)</f>
        <v>175.01</v>
      </c>
    </row>
    <row r="746">
      <c r="A746" s="2">
        <f>IFERROR(__xludf.DUMMYFUNCTION("""COMPUTED_VALUE"""),45187.66666666667)</f>
        <v>45187.66667</v>
      </c>
      <c r="B746" s="1">
        <f>IFERROR(__xludf.DUMMYFUNCTION("""COMPUTED_VALUE"""),177.97)</f>
        <v>177.97</v>
      </c>
    </row>
    <row r="747">
      <c r="A747" s="2">
        <f>IFERROR(__xludf.DUMMYFUNCTION("""COMPUTED_VALUE"""),45188.66666666667)</f>
        <v>45188.66667</v>
      </c>
      <c r="B747" s="1">
        <f>IFERROR(__xludf.DUMMYFUNCTION("""COMPUTED_VALUE"""),179.07)</f>
        <v>179.07</v>
      </c>
    </row>
    <row r="748">
      <c r="A748" s="2">
        <f>IFERROR(__xludf.DUMMYFUNCTION("""COMPUTED_VALUE"""),45189.66666666667)</f>
        <v>45189.66667</v>
      </c>
      <c r="B748" s="1">
        <f>IFERROR(__xludf.DUMMYFUNCTION("""COMPUTED_VALUE"""),175.49)</f>
        <v>175.49</v>
      </c>
    </row>
    <row r="749">
      <c r="A749" s="2">
        <f>IFERROR(__xludf.DUMMYFUNCTION("""COMPUTED_VALUE"""),45190.66666666667)</f>
        <v>45190.66667</v>
      </c>
      <c r="B749" s="1">
        <f>IFERROR(__xludf.DUMMYFUNCTION("""COMPUTED_VALUE"""),173.93)</f>
        <v>173.93</v>
      </c>
    </row>
    <row r="750">
      <c r="A750" s="2">
        <f>IFERROR(__xludf.DUMMYFUNCTION("""COMPUTED_VALUE"""),45191.66666666667)</f>
        <v>45191.66667</v>
      </c>
      <c r="B750" s="1">
        <f>IFERROR(__xludf.DUMMYFUNCTION("""COMPUTED_VALUE"""),174.79)</f>
        <v>174.79</v>
      </c>
    </row>
    <row r="751">
      <c r="A751" s="2">
        <f>IFERROR(__xludf.DUMMYFUNCTION("""COMPUTED_VALUE"""),45194.66666666667)</f>
        <v>45194.66667</v>
      </c>
      <c r="B751" s="1">
        <f>IFERROR(__xludf.DUMMYFUNCTION("""COMPUTED_VALUE"""),176.08)</f>
        <v>176.08</v>
      </c>
    </row>
    <row r="752">
      <c r="A752" s="2">
        <f>IFERROR(__xludf.DUMMYFUNCTION("""COMPUTED_VALUE"""),45195.66666666667)</f>
        <v>45195.66667</v>
      </c>
      <c r="B752" s="1">
        <f>IFERROR(__xludf.DUMMYFUNCTION("""COMPUTED_VALUE"""),171.96)</f>
        <v>171.96</v>
      </c>
    </row>
    <row r="753">
      <c r="A753" s="2">
        <f>IFERROR(__xludf.DUMMYFUNCTION("""COMPUTED_VALUE"""),45196.66666666667)</f>
        <v>45196.66667</v>
      </c>
      <c r="B753" s="1">
        <f>IFERROR(__xludf.DUMMYFUNCTION("""COMPUTED_VALUE"""),170.43)</f>
        <v>170.43</v>
      </c>
    </row>
    <row r="754">
      <c r="A754" s="2">
        <f>IFERROR(__xludf.DUMMYFUNCTION("""COMPUTED_VALUE"""),45197.66666666667)</f>
        <v>45197.66667</v>
      </c>
      <c r="B754" s="1">
        <f>IFERROR(__xludf.DUMMYFUNCTION("""COMPUTED_VALUE"""),170.69)</f>
        <v>170.69</v>
      </c>
    </row>
    <row r="755">
      <c r="A755" s="2">
        <f>IFERROR(__xludf.DUMMYFUNCTION("""COMPUTED_VALUE"""),45198.66666666667)</f>
        <v>45198.66667</v>
      </c>
      <c r="B755" s="1">
        <f>IFERROR(__xludf.DUMMYFUNCTION("""COMPUTED_VALUE"""),171.21)</f>
        <v>171.21</v>
      </c>
    </row>
    <row r="756">
      <c r="A756" s="2">
        <f>IFERROR(__xludf.DUMMYFUNCTION("""COMPUTED_VALUE"""),45201.66666666667)</f>
        <v>45201.66667</v>
      </c>
      <c r="B756" s="1">
        <f>IFERROR(__xludf.DUMMYFUNCTION("""COMPUTED_VALUE"""),173.75)</f>
        <v>173.75</v>
      </c>
    </row>
    <row r="757">
      <c r="A757" s="2">
        <f>IFERROR(__xludf.DUMMYFUNCTION("""COMPUTED_VALUE"""),45202.66666666667)</f>
        <v>45202.66667</v>
      </c>
      <c r="B757" s="1">
        <f>IFERROR(__xludf.DUMMYFUNCTION("""COMPUTED_VALUE"""),172.4)</f>
        <v>172.4</v>
      </c>
    </row>
    <row r="758">
      <c r="A758" s="2">
        <f>IFERROR(__xludf.DUMMYFUNCTION("""COMPUTED_VALUE"""),45203.66666666667)</f>
        <v>45203.66667</v>
      </c>
      <c r="B758" s="1">
        <f>IFERROR(__xludf.DUMMYFUNCTION("""COMPUTED_VALUE"""),173.66)</f>
        <v>173.66</v>
      </c>
    </row>
    <row r="759">
      <c r="A759" s="2">
        <f>IFERROR(__xludf.DUMMYFUNCTION("""COMPUTED_VALUE"""),45204.66666666667)</f>
        <v>45204.66667</v>
      </c>
      <c r="B759" s="1">
        <f>IFERROR(__xludf.DUMMYFUNCTION("""COMPUTED_VALUE"""),174.91)</f>
        <v>174.91</v>
      </c>
    </row>
    <row r="760">
      <c r="A760" s="2">
        <f>IFERROR(__xludf.DUMMYFUNCTION("""COMPUTED_VALUE"""),45205.66666666667)</f>
        <v>45205.66667</v>
      </c>
      <c r="B760" s="1">
        <f>IFERROR(__xludf.DUMMYFUNCTION("""COMPUTED_VALUE"""),177.49)</f>
        <v>177.49</v>
      </c>
    </row>
    <row r="761">
      <c r="A761" s="2">
        <f>IFERROR(__xludf.DUMMYFUNCTION("""COMPUTED_VALUE"""),45208.66666666667)</f>
        <v>45208.66667</v>
      </c>
      <c r="B761" s="1">
        <f>IFERROR(__xludf.DUMMYFUNCTION("""COMPUTED_VALUE"""),178.99)</f>
        <v>178.99</v>
      </c>
    </row>
    <row r="762">
      <c r="A762" s="2">
        <f>IFERROR(__xludf.DUMMYFUNCTION("""COMPUTED_VALUE"""),45209.66666666667)</f>
        <v>45209.66667</v>
      </c>
      <c r="B762" s="1">
        <f>IFERROR(__xludf.DUMMYFUNCTION("""COMPUTED_VALUE"""),178.39)</f>
        <v>178.39</v>
      </c>
    </row>
    <row r="763">
      <c r="A763" s="2">
        <f>IFERROR(__xludf.DUMMYFUNCTION("""COMPUTED_VALUE"""),45210.66666666667)</f>
        <v>45210.66667</v>
      </c>
      <c r="B763" s="1">
        <f>IFERROR(__xludf.DUMMYFUNCTION("""COMPUTED_VALUE"""),179.8)</f>
        <v>179.8</v>
      </c>
    </row>
    <row r="764">
      <c r="A764" s="2">
        <f>IFERROR(__xludf.DUMMYFUNCTION("""COMPUTED_VALUE"""),45211.66666666667)</f>
        <v>45211.66667</v>
      </c>
      <c r="B764" s="1">
        <f>IFERROR(__xludf.DUMMYFUNCTION("""COMPUTED_VALUE"""),180.71)</f>
        <v>180.71</v>
      </c>
    </row>
    <row r="765">
      <c r="A765" s="2">
        <f>IFERROR(__xludf.DUMMYFUNCTION("""COMPUTED_VALUE"""),45212.66666666667)</f>
        <v>45212.66667</v>
      </c>
      <c r="B765" s="1">
        <f>IFERROR(__xludf.DUMMYFUNCTION("""COMPUTED_VALUE"""),178.85)</f>
        <v>178.85</v>
      </c>
    </row>
    <row r="766">
      <c r="A766" s="2">
        <f>IFERROR(__xludf.DUMMYFUNCTION("""COMPUTED_VALUE"""),45215.66666666667)</f>
        <v>45215.66667</v>
      </c>
      <c r="B766" s="1">
        <f>IFERROR(__xludf.DUMMYFUNCTION("""COMPUTED_VALUE"""),178.72)</f>
        <v>178.72</v>
      </c>
    </row>
    <row r="767">
      <c r="A767" s="2">
        <f>IFERROR(__xludf.DUMMYFUNCTION("""COMPUTED_VALUE"""),45216.66666666667)</f>
        <v>45216.66667</v>
      </c>
      <c r="B767" s="1">
        <f>IFERROR(__xludf.DUMMYFUNCTION("""COMPUTED_VALUE"""),177.15)</f>
        <v>177.15</v>
      </c>
    </row>
    <row r="768">
      <c r="A768" s="2">
        <f>IFERROR(__xludf.DUMMYFUNCTION("""COMPUTED_VALUE"""),45217.66666666667)</f>
        <v>45217.66667</v>
      </c>
      <c r="B768" s="1">
        <f>IFERROR(__xludf.DUMMYFUNCTION("""COMPUTED_VALUE"""),175.84)</f>
        <v>175.84</v>
      </c>
    </row>
    <row r="769">
      <c r="A769" s="2">
        <f>IFERROR(__xludf.DUMMYFUNCTION("""COMPUTED_VALUE"""),45218.66666666667)</f>
        <v>45218.66667</v>
      </c>
      <c r="B769" s="1">
        <f>IFERROR(__xludf.DUMMYFUNCTION("""COMPUTED_VALUE"""),175.46)</f>
        <v>175.46</v>
      </c>
    </row>
    <row r="770">
      <c r="A770" s="2">
        <f>IFERROR(__xludf.DUMMYFUNCTION("""COMPUTED_VALUE"""),45219.66666666667)</f>
        <v>45219.66667</v>
      </c>
      <c r="B770" s="1">
        <f>IFERROR(__xludf.DUMMYFUNCTION("""COMPUTED_VALUE"""),172.88)</f>
        <v>172.88</v>
      </c>
    </row>
    <row r="771">
      <c r="A771" s="2">
        <f>IFERROR(__xludf.DUMMYFUNCTION("""COMPUTED_VALUE"""),45222.66666666667)</f>
        <v>45222.66667</v>
      </c>
      <c r="B771" s="1">
        <f>IFERROR(__xludf.DUMMYFUNCTION("""COMPUTED_VALUE"""),173.0)</f>
        <v>173</v>
      </c>
    </row>
    <row r="772">
      <c r="A772" s="2">
        <f>IFERROR(__xludf.DUMMYFUNCTION("""COMPUTED_VALUE"""),45223.66666666667)</f>
        <v>45223.66667</v>
      </c>
      <c r="B772" s="1">
        <f>IFERROR(__xludf.DUMMYFUNCTION("""COMPUTED_VALUE"""),173.44)</f>
        <v>173.44</v>
      </c>
    </row>
    <row r="773">
      <c r="A773" s="2">
        <f>IFERROR(__xludf.DUMMYFUNCTION("""COMPUTED_VALUE"""),45224.66666666667)</f>
        <v>45224.66667</v>
      </c>
      <c r="B773" s="1">
        <f>IFERROR(__xludf.DUMMYFUNCTION("""COMPUTED_VALUE"""),171.1)</f>
        <v>171.1</v>
      </c>
    </row>
    <row r="774">
      <c r="A774" s="2">
        <f>IFERROR(__xludf.DUMMYFUNCTION("""COMPUTED_VALUE"""),45225.66666666667)</f>
        <v>45225.66667</v>
      </c>
      <c r="B774" s="1">
        <f>IFERROR(__xludf.DUMMYFUNCTION("""COMPUTED_VALUE"""),166.89)</f>
        <v>166.89</v>
      </c>
    </row>
    <row r="775">
      <c r="A775" s="2">
        <f>IFERROR(__xludf.DUMMYFUNCTION("""COMPUTED_VALUE"""),45226.66666666667)</f>
        <v>45226.66667</v>
      </c>
      <c r="B775" s="1">
        <f>IFERROR(__xludf.DUMMYFUNCTION("""COMPUTED_VALUE"""),168.22)</f>
        <v>168.22</v>
      </c>
    </row>
    <row r="776">
      <c r="A776" s="2">
        <f>IFERROR(__xludf.DUMMYFUNCTION("""COMPUTED_VALUE"""),45229.66666666667)</f>
        <v>45229.66667</v>
      </c>
      <c r="B776" s="1">
        <f>IFERROR(__xludf.DUMMYFUNCTION("""COMPUTED_VALUE"""),170.29)</f>
        <v>170.29</v>
      </c>
    </row>
    <row r="777">
      <c r="A777" s="2">
        <f>IFERROR(__xludf.DUMMYFUNCTION("""COMPUTED_VALUE"""),45230.66666666667)</f>
        <v>45230.66667</v>
      </c>
      <c r="B777" s="1">
        <f>IFERROR(__xludf.DUMMYFUNCTION("""COMPUTED_VALUE"""),170.77)</f>
        <v>170.77</v>
      </c>
    </row>
    <row r="778">
      <c r="A778" s="2">
        <f>IFERROR(__xludf.DUMMYFUNCTION("""COMPUTED_VALUE"""),45231.66666666667)</f>
        <v>45231.66667</v>
      </c>
      <c r="B778" s="1">
        <f>IFERROR(__xludf.DUMMYFUNCTION("""COMPUTED_VALUE"""),173.97)</f>
        <v>173.97</v>
      </c>
    </row>
    <row r="779">
      <c r="A779" s="2">
        <f>IFERROR(__xludf.DUMMYFUNCTION("""COMPUTED_VALUE"""),45232.66666666667)</f>
        <v>45232.66667</v>
      </c>
      <c r="B779" s="1">
        <f>IFERROR(__xludf.DUMMYFUNCTION("""COMPUTED_VALUE"""),177.57)</f>
        <v>177.57</v>
      </c>
    </row>
    <row r="780">
      <c r="A780" s="2">
        <f>IFERROR(__xludf.DUMMYFUNCTION("""COMPUTED_VALUE"""),45233.66666666667)</f>
        <v>45233.66667</v>
      </c>
      <c r="B780" s="1">
        <f>IFERROR(__xludf.DUMMYFUNCTION("""COMPUTED_VALUE"""),176.65)</f>
        <v>176.65</v>
      </c>
    </row>
    <row r="781">
      <c r="A781" s="2">
        <f>IFERROR(__xludf.DUMMYFUNCTION("""COMPUTED_VALUE"""),45236.66666666667)</f>
        <v>45236.66667</v>
      </c>
      <c r="B781" s="1">
        <f>IFERROR(__xludf.DUMMYFUNCTION("""COMPUTED_VALUE"""),179.23)</f>
        <v>179.23</v>
      </c>
    </row>
    <row r="782">
      <c r="A782" s="2">
        <f>IFERROR(__xludf.DUMMYFUNCTION("""COMPUTED_VALUE"""),45237.66666666667)</f>
        <v>45237.66667</v>
      </c>
      <c r="B782" s="1">
        <f>IFERROR(__xludf.DUMMYFUNCTION("""COMPUTED_VALUE"""),181.82)</f>
        <v>181.82</v>
      </c>
    </row>
    <row r="783">
      <c r="A783" s="2">
        <f>IFERROR(__xludf.DUMMYFUNCTION("""COMPUTED_VALUE"""),45238.66666666667)</f>
        <v>45238.66667</v>
      </c>
      <c r="B783" s="1">
        <f>IFERROR(__xludf.DUMMYFUNCTION("""COMPUTED_VALUE"""),182.89)</f>
        <v>182.89</v>
      </c>
    </row>
    <row r="784">
      <c r="A784" s="2">
        <f>IFERROR(__xludf.DUMMYFUNCTION("""COMPUTED_VALUE"""),45239.66666666667)</f>
        <v>45239.66667</v>
      </c>
      <c r="B784" s="1">
        <f>IFERROR(__xludf.DUMMYFUNCTION("""COMPUTED_VALUE"""),182.41)</f>
        <v>182.41</v>
      </c>
    </row>
    <row r="785">
      <c r="A785" s="2">
        <f>IFERROR(__xludf.DUMMYFUNCTION("""COMPUTED_VALUE"""),45240.66666666667)</f>
        <v>45240.66667</v>
      </c>
      <c r="B785" s="1">
        <f>IFERROR(__xludf.DUMMYFUNCTION("""COMPUTED_VALUE"""),186.4)</f>
        <v>186.4</v>
      </c>
    </row>
    <row r="786">
      <c r="A786" s="2">
        <f>IFERROR(__xludf.DUMMYFUNCTION("""COMPUTED_VALUE"""),45243.66666666667)</f>
        <v>45243.66667</v>
      </c>
      <c r="B786" s="1">
        <f>IFERROR(__xludf.DUMMYFUNCTION("""COMPUTED_VALUE"""),184.8)</f>
        <v>184.8</v>
      </c>
    </row>
    <row r="787">
      <c r="A787" s="2">
        <f>IFERROR(__xludf.DUMMYFUNCTION("""COMPUTED_VALUE"""),45244.66666666667)</f>
        <v>45244.66667</v>
      </c>
      <c r="B787" s="1">
        <f>IFERROR(__xludf.DUMMYFUNCTION("""COMPUTED_VALUE"""),187.44)</f>
        <v>187.44</v>
      </c>
    </row>
    <row r="788">
      <c r="A788" s="2">
        <f>IFERROR(__xludf.DUMMYFUNCTION("""COMPUTED_VALUE"""),45245.66666666667)</f>
        <v>45245.66667</v>
      </c>
      <c r="B788" s="1">
        <f>IFERROR(__xludf.DUMMYFUNCTION("""COMPUTED_VALUE"""),188.01)</f>
        <v>188.01</v>
      </c>
    </row>
    <row r="789">
      <c r="A789" s="2">
        <f>IFERROR(__xludf.DUMMYFUNCTION("""COMPUTED_VALUE"""),45246.66666666667)</f>
        <v>45246.66667</v>
      </c>
      <c r="B789" s="1">
        <f>IFERROR(__xludf.DUMMYFUNCTION("""COMPUTED_VALUE"""),189.71)</f>
        <v>189.71</v>
      </c>
    </row>
    <row r="790">
      <c r="A790" s="2">
        <f>IFERROR(__xludf.DUMMYFUNCTION("""COMPUTED_VALUE"""),45247.66666666667)</f>
        <v>45247.66667</v>
      </c>
      <c r="B790" s="1">
        <f>IFERROR(__xludf.DUMMYFUNCTION("""COMPUTED_VALUE"""),189.69)</f>
        <v>189.69</v>
      </c>
    </row>
    <row r="791">
      <c r="A791" s="2">
        <f>IFERROR(__xludf.DUMMYFUNCTION("""COMPUTED_VALUE"""),45250.66666666667)</f>
        <v>45250.66667</v>
      </c>
      <c r="B791" s="1">
        <f>IFERROR(__xludf.DUMMYFUNCTION("""COMPUTED_VALUE"""),191.45)</f>
        <v>191.45</v>
      </c>
    </row>
    <row r="792">
      <c r="A792" s="2">
        <f>IFERROR(__xludf.DUMMYFUNCTION("""COMPUTED_VALUE"""),45251.66666666667)</f>
        <v>45251.66667</v>
      </c>
      <c r="B792" s="1">
        <f>IFERROR(__xludf.DUMMYFUNCTION("""COMPUTED_VALUE"""),190.64)</f>
        <v>190.64</v>
      </c>
    </row>
    <row r="793">
      <c r="A793" s="2">
        <f>IFERROR(__xludf.DUMMYFUNCTION("""COMPUTED_VALUE"""),45252.66666666667)</f>
        <v>45252.66667</v>
      </c>
      <c r="B793" s="1">
        <f>IFERROR(__xludf.DUMMYFUNCTION("""COMPUTED_VALUE"""),191.31)</f>
        <v>191.31</v>
      </c>
    </row>
    <row r="794">
      <c r="A794" s="2">
        <f>IFERROR(__xludf.DUMMYFUNCTION("""COMPUTED_VALUE"""),45254.54513888889)</f>
        <v>45254.54514</v>
      </c>
      <c r="B794" s="1">
        <f>IFERROR(__xludf.DUMMYFUNCTION("""COMPUTED_VALUE"""),189.97)</f>
        <v>189.97</v>
      </c>
    </row>
    <row r="795">
      <c r="A795" s="2">
        <f>IFERROR(__xludf.DUMMYFUNCTION("""COMPUTED_VALUE"""),45257.66666666667)</f>
        <v>45257.66667</v>
      </c>
      <c r="B795" s="1">
        <f>IFERROR(__xludf.DUMMYFUNCTION("""COMPUTED_VALUE"""),189.79)</f>
        <v>189.79</v>
      </c>
    </row>
    <row r="796">
      <c r="A796" s="2">
        <f>IFERROR(__xludf.DUMMYFUNCTION("""COMPUTED_VALUE"""),45258.66666666667)</f>
        <v>45258.66667</v>
      </c>
      <c r="B796" s="1">
        <f>IFERROR(__xludf.DUMMYFUNCTION("""COMPUTED_VALUE"""),190.4)</f>
        <v>190.4</v>
      </c>
    </row>
    <row r="797">
      <c r="A797" s="2">
        <f>IFERROR(__xludf.DUMMYFUNCTION("""COMPUTED_VALUE"""),45259.66666666667)</f>
        <v>45259.66667</v>
      </c>
      <c r="B797" s="1">
        <f>IFERROR(__xludf.DUMMYFUNCTION("""COMPUTED_VALUE"""),189.37)</f>
        <v>189.37</v>
      </c>
    </row>
    <row r="798">
      <c r="A798" s="2">
        <f>IFERROR(__xludf.DUMMYFUNCTION("""COMPUTED_VALUE"""),45260.66666666667)</f>
        <v>45260.66667</v>
      </c>
      <c r="B798" s="1">
        <f>IFERROR(__xludf.DUMMYFUNCTION("""COMPUTED_VALUE"""),189.95)</f>
        <v>189.95</v>
      </c>
    </row>
    <row r="799">
      <c r="A799" s="2">
        <f>IFERROR(__xludf.DUMMYFUNCTION("""COMPUTED_VALUE"""),45261.66666666667)</f>
        <v>45261.66667</v>
      </c>
      <c r="B799" s="1">
        <f>IFERROR(__xludf.DUMMYFUNCTION("""COMPUTED_VALUE"""),191.24)</f>
        <v>191.24</v>
      </c>
    </row>
    <row r="800">
      <c r="A800" s="2">
        <f>IFERROR(__xludf.DUMMYFUNCTION("""COMPUTED_VALUE"""),45264.66666666667)</f>
        <v>45264.66667</v>
      </c>
      <c r="B800" s="1">
        <f>IFERROR(__xludf.DUMMYFUNCTION("""COMPUTED_VALUE"""),189.43)</f>
        <v>189.43</v>
      </c>
    </row>
    <row r="801">
      <c r="A801" s="2">
        <f>IFERROR(__xludf.DUMMYFUNCTION("""COMPUTED_VALUE"""),45265.66666666667)</f>
        <v>45265.66667</v>
      </c>
      <c r="B801" s="1">
        <f>IFERROR(__xludf.DUMMYFUNCTION("""COMPUTED_VALUE"""),193.42)</f>
        <v>193.42</v>
      </c>
    </row>
    <row r="802">
      <c r="A802" s="2">
        <f>IFERROR(__xludf.DUMMYFUNCTION("""COMPUTED_VALUE"""),45266.66666666667)</f>
        <v>45266.66667</v>
      </c>
      <c r="B802" s="1">
        <f>IFERROR(__xludf.DUMMYFUNCTION("""COMPUTED_VALUE"""),192.32)</f>
        <v>192.32</v>
      </c>
    </row>
    <row r="803">
      <c r="A803" s="2">
        <f>IFERROR(__xludf.DUMMYFUNCTION("""COMPUTED_VALUE"""),45267.66666666667)</f>
        <v>45267.66667</v>
      </c>
      <c r="B803" s="1">
        <f>IFERROR(__xludf.DUMMYFUNCTION("""COMPUTED_VALUE"""),194.27)</f>
        <v>194.27</v>
      </c>
    </row>
    <row r="804">
      <c r="A804" s="2">
        <f>IFERROR(__xludf.DUMMYFUNCTION("""COMPUTED_VALUE"""),45268.66666666667)</f>
        <v>45268.66667</v>
      </c>
      <c r="B804" s="1">
        <f>IFERROR(__xludf.DUMMYFUNCTION("""COMPUTED_VALUE"""),195.71)</f>
        <v>195.71</v>
      </c>
    </row>
    <row r="805">
      <c r="A805" s="2">
        <f>IFERROR(__xludf.DUMMYFUNCTION("""COMPUTED_VALUE"""),45271.66666666667)</f>
        <v>45271.66667</v>
      </c>
      <c r="B805" s="1">
        <f>IFERROR(__xludf.DUMMYFUNCTION("""COMPUTED_VALUE"""),193.18)</f>
        <v>193.18</v>
      </c>
    </row>
    <row r="806">
      <c r="A806" s="2">
        <f>IFERROR(__xludf.DUMMYFUNCTION("""COMPUTED_VALUE"""),45272.66666666667)</f>
        <v>45272.66667</v>
      </c>
      <c r="B806" s="1">
        <f>IFERROR(__xludf.DUMMYFUNCTION("""COMPUTED_VALUE"""),194.71)</f>
        <v>194.71</v>
      </c>
    </row>
    <row r="807">
      <c r="A807" s="2">
        <f>IFERROR(__xludf.DUMMYFUNCTION("""COMPUTED_VALUE"""),45273.66666666667)</f>
        <v>45273.66667</v>
      </c>
      <c r="B807" s="1">
        <f>IFERROR(__xludf.DUMMYFUNCTION("""COMPUTED_VALUE"""),197.96)</f>
        <v>197.96</v>
      </c>
    </row>
    <row r="808">
      <c r="A808" s="2">
        <f>IFERROR(__xludf.DUMMYFUNCTION("""COMPUTED_VALUE"""),45274.66666666667)</f>
        <v>45274.66667</v>
      </c>
      <c r="B808" s="1">
        <f>IFERROR(__xludf.DUMMYFUNCTION("""COMPUTED_VALUE"""),198.11)</f>
        <v>198.11</v>
      </c>
    </row>
    <row r="809">
      <c r="A809" s="2">
        <f>IFERROR(__xludf.DUMMYFUNCTION("""COMPUTED_VALUE"""),45275.66666666667)</f>
        <v>45275.66667</v>
      </c>
      <c r="B809" s="1">
        <f>IFERROR(__xludf.DUMMYFUNCTION("""COMPUTED_VALUE"""),197.57)</f>
        <v>197.57</v>
      </c>
    </row>
    <row r="810">
      <c r="A810" s="2">
        <f>IFERROR(__xludf.DUMMYFUNCTION("""COMPUTED_VALUE"""),45278.66666666667)</f>
        <v>45278.66667</v>
      </c>
      <c r="B810" s="1">
        <f>IFERROR(__xludf.DUMMYFUNCTION("""COMPUTED_VALUE"""),195.89)</f>
        <v>195.89</v>
      </c>
    </row>
    <row r="811">
      <c r="A811" s="2">
        <f>IFERROR(__xludf.DUMMYFUNCTION("""COMPUTED_VALUE"""),45279.66666666667)</f>
        <v>45279.66667</v>
      </c>
      <c r="B811" s="1">
        <f>IFERROR(__xludf.DUMMYFUNCTION("""COMPUTED_VALUE"""),196.94)</f>
        <v>196.94</v>
      </c>
    </row>
    <row r="812">
      <c r="A812" s="2">
        <f>IFERROR(__xludf.DUMMYFUNCTION("""COMPUTED_VALUE"""),45280.66666666667)</f>
        <v>45280.66667</v>
      </c>
      <c r="B812" s="1">
        <f>IFERROR(__xludf.DUMMYFUNCTION("""COMPUTED_VALUE"""),194.83)</f>
        <v>194.83</v>
      </c>
    </row>
    <row r="813">
      <c r="A813" s="2">
        <f>IFERROR(__xludf.DUMMYFUNCTION("""COMPUTED_VALUE"""),45281.66666666667)</f>
        <v>45281.66667</v>
      </c>
      <c r="B813" s="1">
        <f>IFERROR(__xludf.DUMMYFUNCTION("""COMPUTED_VALUE"""),194.68)</f>
        <v>194.68</v>
      </c>
    </row>
    <row r="814">
      <c r="A814" s="2">
        <f>IFERROR(__xludf.DUMMYFUNCTION("""COMPUTED_VALUE"""),45282.66666666667)</f>
        <v>45282.66667</v>
      </c>
      <c r="B814" s="1">
        <f>IFERROR(__xludf.DUMMYFUNCTION("""COMPUTED_VALUE"""),193.6)</f>
        <v>193.6</v>
      </c>
    </row>
    <row r="815">
      <c r="A815" s="2">
        <f>IFERROR(__xludf.DUMMYFUNCTION("""COMPUTED_VALUE"""),45286.66666666667)</f>
        <v>45286.66667</v>
      </c>
      <c r="B815" s="1">
        <f>IFERROR(__xludf.DUMMYFUNCTION("""COMPUTED_VALUE"""),193.05)</f>
        <v>193.05</v>
      </c>
    </row>
    <row r="816">
      <c r="A816" s="2">
        <f>IFERROR(__xludf.DUMMYFUNCTION("""COMPUTED_VALUE"""),45287.66666666667)</f>
        <v>45287.66667</v>
      </c>
      <c r="B816" s="1">
        <f>IFERROR(__xludf.DUMMYFUNCTION("""COMPUTED_VALUE"""),193.15)</f>
        <v>193.15</v>
      </c>
    </row>
    <row r="817">
      <c r="A817" s="2">
        <f>IFERROR(__xludf.DUMMYFUNCTION("""COMPUTED_VALUE"""),45288.66666666667)</f>
        <v>45288.66667</v>
      </c>
      <c r="B817" s="1">
        <f>IFERROR(__xludf.DUMMYFUNCTION("""COMPUTED_VALUE"""),193.58)</f>
        <v>193.58</v>
      </c>
    </row>
    <row r="818">
      <c r="A818" s="2">
        <f>IFERROR(__xludf.DUMMYFUNCTION("""COMPUTED_VALUE"""),45289.66666666667)</f>
        <v>45289.66667</v>
      </c>
      <c r="B818" s="1">
        <f>IFERROR(__xludf.DUMMYFUNCTION("""COMPUTED_VALUE"""),192.53)</f>
        <v>192.53</v>
      </c>
    </row>
    <row r="819">
      <c r="A819" s="2">
        <f>IFERROR(__xludf.DUMMYFUNCTION("""COMPUTED_VALUE"""),45293.66666666667)</f>
        <v>45293.66667</v>
      </c>
      <c r="B819" s="1">
        <f>IFERROR(__xludf.DUMMYFUNCTION("""COMPUTED_VALUE"""),185.64)</f>
        <v>185.64</v>
      </c>
    </row>
    <row r="820">
      <c r="A820" s="2">
        <f>IFERROR(__xludf.DUMMYFUNCTION("""COMPUTED_VALUE"""),45294.66666666667)</f>
        <v>45294.66667</v>
      </c>
      <c r="B820" s="1">
        <f>IFERROR(__xludf.DUMMYFUNCTION("""COMPUTED_VALUE"""),184.25)</f>
        <v>184.25</v>
      </c>
    </row>
    <row r="821">
      <c r="A821" s="2">
        <f>IFERROR(__xludf.DUMMYFUNCTION("""COMPUTED_VALUE"""),45295.66666666667)</f>
        <v>45295.66667</v>
      </c>
      <c r="B821" s="1">
        <f>IFERROR(__xludf.DUMMYFUNCTION("""COMPUTED_VALUE"""),181.91)</f>
        <v>181.91</v>
      </c>
    </row>
    <row r="822">
      <c r="A822" s="2">
        <f>IFERROR(__xludf.DUMMYFUNCTION("""COMPUTED_VALUE"""),45296.66666666667)</f>
        <v>45296.66667</v>
      </c>
      <c r="B822" s="1">
        <f>IFERROR(__xludf.DUMMYFUNCTION("""COMPUTED_VALUE"""),181.18)</f>
        <v>181.18</v>
      </c>
    </row>
    <row r="823">
      <c r="A823" s="2">
        <f>IFERROR(__xludf.DUMMYFUNCTION("""COMPUTED_VALUE"""),45299.66666666667)</f>
        <v>45299.66667</v>
      </c>
      <c r="B823" s="1">
        <f>IFERROR(__xludf.DUMMYFUNCTION("""COMPUTED_VALUE"""),185.56)</f>
        <v>185.56</v>
      </c>
    </row>
    <row r="824">
      <c r="A824" s="2">
        <f>IFERROR(__xludf.DUMMYFUNCTION("""COMPUTED_VALUE"""),45300.66666666667)</f>
        <v>45300.66667</v>
      </c>
      <c r="B824" s="1">
        <f>IFERROR(__xludf.DUMMYFUNCTION("""COMPUTED_VALUE"""),185.14)</f>
        <v>185.14</v>
      </c>
    </row>
    <row r="825">
      <c r="A825" s="2">
        <f>IFERROR(__xludf.DUMMYFUNCTION("""COMPUTED_VALUE"""),45301.66666666667)</f>
        <v>45301.66667</v>
      </c>
      <c r="B825" s="1">
        <f>IFERROR(__xludf.DUMMYFUNCTION("""COMPUTED_VALUE"""),186.19)</f>
        <v>186.19</v>
      </c>
    </row>
    <row r="826">
      <c r="A826" s="2">
        <f>IFERROR(__xludf.DUMMYFUNCTION("""COMPUTED_VALUE"""),45302.66666666667)</f>
        <v>45302.66667</v>
      </c>
      <c r="B826" s="1">
        <f>IFERROR(__xludf.DUMMYFUNCTION("""COMPUTED_VALUE"""),185.59)</f>
        <v>185.59</v>
      </c>
    </row>
    <row r="827">
      <c r="A827" s="2">
        <f>IFERROR(__xludf.DUMMYFUNCTION("""COMPUTED_VALUE"""),45303.66666666667)</f>
        <v>45303.66667</v>
      </c>
      <c r="B827" s="1">
        <f>IFERROR(__xludf.DUMMYFUNCTION("""COMPUTED_VALUE"""),185.92)</f>
        <v>185.92</v>
      </c>
    </row>
    <row r="828">
      <c r="A828" s="2">
        <f>IFERROR(__xludf.DUMMYFUNCTION("""COMPUTED_VALUE"""),45307.66666666667)</f>
        <v>45307.66667</v>
      </c>
      <c r="B828" s="1">
        <f>IFERROR(__xludf.DUMMYFUNCTION("""COMPUTED_VALUE"""),183.63)</f>
        <v>183.63</v>
      </c>
    </row>
    <row r="829">
      <c r="A829" s="2">
        <f>IFERROR(__xludf.DUMMYFUNCTION("""COMPUTED_VALUE"""),45308.66666666667)</f>
        <v>45308.66667</v>
      </c>
      <c r="B829" s="1">
        <f>IFERROR(__xludf.DUMMYFUNCTION("""COMPUTED_VALUE"""),182.68)</f>
        <v>182.68</v>
      </c>
    </row>
    <row r="830">
      <c r="A830" s="2">
        <f>IFERROR(__xludf.DUMMYFUNCTION("""COMPUTED_VALUE"""),45309.66666666667)</f>
        <v>45309.66667</v>
      </c>
      <c r="B830" s="1">
        <f>IFERROR(__xludf.DUMMYFUNCTION("""COMPUTED_VALUE"""),188.63)</f>
        <v>188.63</v>
      </c>
    </row>
    <row r="831">
      <c r="A831" s="2">
        <f>IFERROR(__xludf.DUMMYFUNCTION("""COMPUTED_VALUE"""),45310.66666666667)</f>
        <v>45310.66667</v>
      </c>
      <c r="B831" s="1">
        <f>IFERROR(__xludf.DUMMYFUNCTION("""COMPUTED_VALUE"""),191.56)</f>
        <v>191.56</v>
      </c>
    </row>
    <row r="832">
      <c r="A832" s="2">
        <f>IFERROR(__xludf.DUMMYFUNCTION("""COMPUTED_VALUE"""),45313.66666666667)</f>
        <v>45313.66667</v>
      </c>
      <c r="B832" s="1">
        <f>IFERROR(__xludf.DUMMYFUNCTION("""COMPUTED_VALUE"""),193.89)</f>
        <v>193.89</v>
      </c>
    </row>
    <row r="833">
      <c r="A833" s="2">
        <f>IFERROR(__xludf.DUMMYFUNCTION("""COMPUTED_VALUE"""),45314.66666666667)</f>
        <v>45314.66667</v>
      </c>
      <c r="B833" s="1">
        <f>IFERROR(__xludf.DUMMYFUNCTION("""COMPUTED_VALUE"""),195.18)</f>
        <v>195.18</v>
      </c>
    </row>
    <row r="834">
      <c r="A834" s="2">
        <f>IFERROR(__xludf.DUMMYFUNCTION("""COMPUTED_VALUE"""),45315.66666666667)</f>
        <v>45315.66667</v>
      </c>
      <c r="B834" s="1">
        <f>IFERROR(__xludf.DUMMYFUNCTION("""COMPUTED_VALUE"""),194.5)</f>
        <v>194.5</v>
      </c>
    </row>
    <row r="835">
      <c r="A835" s="2">
        <f>IFERROR(__xludf.DUMMYFUNCTION("""COMPUTED_VALUE"""),45316.66666666667)</f>
        <v>45316.66667</v>
      </c>
      <c r="B835" s="1">
        <f>IFERROR(__xludf.DUMMYFUNCTION("""COMPUTED_VALUE"""),194.17)</f>
        <v>194.17</v>
      </c>
    </row>
    <row r="836">
      <c r="A836" s="2">
        <f>IFERROR(__xludf.DUMMYFUNCTION("""COMPUTED_VALUE"""),45317.66666666667)</f>
        <v>45317.66667</v>
      </c>
      <c r="B836" s="1">
        <f>IFERROR(__xludf.DUMMYFUNCTION("""COMPUTED_VALUE"""),192.42)</f>
        <v>192.42</v>
      </c>
    </row>
    <row r="837">
      <c r="A837" s="2">
        <f>IFERROR(__xludf.DUMMYFUNCTION("""COMPUTED_VALUE"""),45320.66666666667)</f>
        <v>45320.66667</v>
      </c>
      <c r="B837" s="1">
        <f>IFERROR(__xludf.DUMMYFUNCTION("""COMPUTED_VALUE"""),191.73)</f>
        <v>191.73</v>
      </c>
    </row>
    <row r="838">
      <c r="A838" s="2">
        <f>IFERROR(__xludf.DUMMYFUNCTION("""COMPUTED_VALUE"""),45321.66666666667)</f>
        <v>45321.66667</v>
      </c>
      <c r="B838" s="1">
        <f>IFERROR(__xludf.DUMMYFUNCTION("""COMPUTED_VALUE"""),188.04)</f>
        <v>188.04</v>
      </c>
    </row>
    <row r="839">
      <c r="A839" s="2">
        <f>IFERROR(__xludf.DUMMYFUNCTION("""COMPUTED_VALUE"""),45322.66666666667)</f>
        <v>45322.66667</v>
      </c>
      <c r="B839" s="1">
        <f>IFERROR(__xludf.DUMMYFUNCTION("""COMPUTED_VALUE"""),184.4)</f>
        <v>184.4</v>
      </c>
    </row>
    <row r="840">
      <c r="A840" s="2">
        <f>IFERROR(__xludf.DUMMYFUNCTION("""COMPUTED_VALUE"""),45323.66666666667)</f>
        <v>45323.66667</v>
      </c>
      <c r="B840" s="1">
        <f>IFERROR(__xludf.DUMMYFUNCTION("""COMPUTED_VALUE"""),186.86)</f>
        <v>186.86</v>
      </c>
    </row>
    <row r="841">
      <c r="A841" s="2">
        <f>IFERROR(__xludf.DUMMYFUNCTION("""COMPUTED_VALUE"""),45324.66666666667)</f>
        <v>45324.66667</v>
      </c>
      <c r="B841" s="1">
        <f>IFERROR(__xludf.DUMMYFUNCTION("""COMPUTED_VALUE"""),185.85)</f>
        <v>185.85</v>
      </c>
    </row>
    <row r="842">
      <c r="A842" s="2">
        <f>IFERROR(__xludf.DUMMYFUNCTION("""COMPUTED_VALUE"""),45327.66666666667)</f>
        <v>45327.66667</v>
      </c>
      <c r="B842" s="1">
        <f>IFERROR(__xludf.DUMMYFUNCTION("""COMPUTED_VALUE"""),187.68)</f>
        <v>187.68</v>
      </c>
    </row>
    <row r="843">
      <c r="A843" s="2">
        <f>IFERROR(__xludf.DUMMYFUNCTION("""COMPUTED_VALUE"""),45328.66666666667)</f>
        <v>45328.66667</v>
      </c>
      <c r="B843" s="1">
        <f>IFERROR(__xludf.DUMMYFUNCTION("""COMPUTED_VALUE"""),189.3)</f>
        <v>189.3</v>
      </c>
    </row>
    <row r="844">
      <c r="A844" s="2">
        <f>IFERROR(__xludf.DUMMYFUNCTION("""COMPUTED_VALUE"""),45329.66666666667)</f>
        <v>45329.66667</v>
      </c>
      <c r="B844" s="1">
        <f>IFERROR(__xludf.DUMMYFUNCTION("""COMPUTED_VALUE"""),189.41)</f>
        <v>189.41</v>
      </c>
    </row>
    <row r="845">
      <c r="A845" s="2">
        <f>IFERROR(__xludf.DUMMYFUNCTION("""COMPUTED_VALUE"""),45330.66666666667)</f>
        <v>45330.66667</v>
      </c>
      <c r="B845" s="1">
        <f>IFERROR(__xludf.DUMMYFUNCTION("""COMPUTED_VALUE"""),188.32)</f>
        <v>188.32</v>
      </c>
    </row>
    <row r="846">
      <c r="A846" s="2">
        <f>IFERROR(__xludf.DUMMYFUNCTION("""COMPUTED_VALUE"""),45331.66666666667)</f>
        <v>45331.66667</v>
      </c>
      <c r="B846" s="1">
        <f>IFERROR(__xludf.DUMMYFUNCTION("""COMPUTED_VALUE"""),188.85)</f>
        <v>188.85</v>
      </c>
    </row>
    <row r="847">
      <c r="A847" s="2">
        <f>IFERROR(__xludf.DUMMYFUNCTION("""COMPUTED_VALUE"""),45334.66666666667)</f>
        <v>45334.66667</v>
      </c>
      <c r="B847" s="1">
        <f>IFERROR(__xludf.DUMMYFUNCTION("""COMPUTED_VALUE"""),187.15)</f>
        <v>187.15</v>
      </c>
    </row>
    <row r="848">
      <c r="A848" s="2">
        <f>IFERROR(__xludf.DUMMYFUNCTION("""COMPUTED_VALUE"""),45335.66666666667)</f>
        <v>45335.66667</v>
      </c>
      <c r="B848" s="1">
        <f>IFERROR(__xludf.DUMMYFUNCTION("""COMPUTED_VALUE"""),185.04)</f>
        <v>185.04</v>
      </c>
    </row>
    <row r="849">
      <c r="A849" s="2">
        <f>IFERROR(__xludf.DUMMYFUNCTION("""COMPUTED_VALUE"""),45336.66666666667)</f>
        <v>45336.66667</v>
      </c>
      <c r="B849" s="1">
        <f>IFERROR(__xludf.DUMMYFUNCTION("""COMPUTED_VALUE"""),184.15)</f>
        <v>184.15</v>
      </c>
    </row>
    <row r="850">
      <c r="A850" s="2">
        <f>IFERROR(__xludf.DUMMYFUNCTION("""COMPUTED_VALUE"""),45337.66666666667)</f>
        <v>45337.66667</v>
      </c>
      <c r="B850" s="1">
        <f>IFERROR(__xludf.DUMMYFUNCTION("""COMPUTED_VALUE"""),183.86)</f>
        <v>183.86</v>
      </c>
    </row>
    <row r="851">
      <c r="A851" s="2">
        <f>IFERROR(__xludf.DUMMYFUNCTION("""COMPUTED_VALUE"""),45338.66666666667)</f>
        <v>45338.66667</v>
      </c>
      <c r="B851" s="1">
        <f>IFERROR(__xludf.DUMMYFUNCTION("""COMPUTED_VALUE"""),182.31)</f>
        <v>182.31</v>
      </c>
    </row>
    <row r="852">
      <c r="A852" s="2">
        <f>IFERROR(__xludf.DUMMYFUNCTION("""COMPUTED_VALUE"""),45342.66666666667)</f>
        <v>45342.66667</v>
      </c>
      <c r="B852" s="1">
        <f>IFERROR(__xludf.DUMMYFUNCTION("""COMPUTED_VALUE"""),181.56)</f>
        <v>181.56</v>
      </c>
    </row>
    <row r="853">
      <c r="A853" s="2">
        <f>IFERROR(__xludf.DUMMYFUNCTION("""COMPUTED_VALUE"""),45343.66666666667)</f>
        <v>45343.66667</v>
      </c>
      <c r="B853" s="1">
        <f>IFERROR(__xludf.DUMMYFUNCTION("""COMPUTED_VALUE"""),182.32)</f>
        <v>182.32</v>
      </c>
    </row>
    <row r="854">
      <c r="A854" s="2">
        <f>IFERROR(__xludf.DUMMYFUNCTION("""COMPUTED_VALUE"""),45344.66666666667)</f>
        <v>45344.66667</v>
      </c>
      <c r="B854" s="1">
        <f>IFERROR(__xludf.DUMMYFUNCTION("""COMPUTED_VALUE"""),184.37)</f>
        <v>184.37</v>
      </c>
    </row>
    <row r="855">
      <c r="A855" s="2">
        <f>IFERROR(__xludf.DUMMYFUNCTION("""COMPUTED_VALUE"""),45345.66666666667)</f>
        <v>45345.66667</v>
      </c>
      <c r="B855" s="1">
        <f>IFERROR(__xludf.DUMMYFUNCTION("""COMPUTED_VALUE"""),182.52)</f>
        <v>182.52</v>
      </c>
    </row>
    <row r="856">
      <c r="A856" s="2">
        <f>IFERROR(__xludf.DUMMYFUNCTION("""COMPUTED_VALUE"""),45348.66666666667)</f>
        <v>45348.66667</v>
      </c>
      <c r="B856" s="1">
        <f>IFERROR(__xludf.DUMMYFUNCTION("""COMPUTED_VALUE"""),181.16)</f>
        <v>181.16</v>
      </c>
    </row>
    <row r="857">
      <c r="A857" s="2">
        <f>IFERROR(__xludf.DUMMYFUNCTION("""COMPUTED_VALUE"""),45349.66666666667)</f>
        <v>45349.66667</v>
      </c>
      <c r="B857" s="1">
        <f>IFERROR(__xludf.DUMMYFUNCTION("""COMPUTED_VALUE"""),182.63)</f>
        <v>182.63</v>
      </c>
    </row>
    <row r="858">
      <c r="A858" s="2">
        <f>IFERROR(__xludf.DUMMYFUNCTION("""COMPUTED_VALUE"""),45350.66666666667)</f>
        <v>45350.66667</v>
      </c>
      <c r="B858" s="1">
        <f>IFERROR(__xludf.DUMMYFUNCTION("""COMPUTED_VALUE"""),181.42)</f>
        <v>181.42</v>
      </c>
    </row>
    <row r="859">
      <c r="A859" s="2">
        <f>IFERROR(__xludf.DUMMYFUNCTION("""COMPUTED_VALUE"""),45351.66666666667)</f>
        <v>45351.66667</v>
      </c>
      <c r="B859" s="1">
        <f>IFERROR(__xludf.DUMMYFUNCTION("""COMPUTED_VALUE"""),180.75)</f>
        <v>180.75</v>
      </c>
    </row>
    <row r="860">
      <c r="A860" s="2">
        <f>IFERROR(__xludf.DUMMYFUNCTION("""COMPUTED_VALUE"""),45352.66666666667)</f>
        <v>45352.66667</v>
      </c>
      <c r="B860" s="1">
        <f>IFERROR(__xludf.DUMMYFUNCTION("""COMPUTED_VALUE"""),179.66)</f>
        <v>179.66</v>
      </c>
    </row>
    <row r="861">
      <c r="A861" s="2">
        <f>IFERROR(__xludf.DUMMYFUNCTION("""COMPUTED_VALUE"""),45355.66666666667)</f>
        <v>45355.66667</v>
      </c>
      <c r="B861" s="1">
        <f>IFERROR(__xludf.DUMMYFUNCTION("""COMPUTED_VALUE"""),175.1)</f>
        <v>175.1</v>
      </c>
    </row>
    <row r="862">
      <c r="A862" s="2">
        <f>IFERROR(__xludf.DUMMYFUNCTION("""COMPUTED_VALUE"""),45356.66666666667)</f>
        <v>45356.66667</v>
      </c>
      <c r="B862" s="1">
        <f>IFERROR(__xludf.DUMMYFUNCTION("""COMPUTED_VALUE"""),170.12)</f>
        <v>170.12</v>
      </c>
    </row>
    <row r="863">
      <c r="A863" s="2">
        <f>IFERROR(__xludf.DUMMYFUNCTION("""COMPUTED_VALUE"""),45357.66666666667)</f>
        <v>45357.66667</v>
      </c>
      <c r="B863" s="1">
        <f>IFERROR(__xludf.DUMMYFUNCTION("""COMPUTED_VALUE"""),169.12)</f>
        <v>169.12</v>
      </c>
    </row>
    <row r="864">
      <c r="A864" s="2">
        <f>IFERROR(__xludf.DUMMYFUNCTION("""COMPUTED_VALUE"""),45358.66666666667)</f>
        <v>45358.66667</v>
      </c>
      <c r="B864" s="1">
        <f>IFERROR(__xludf.DUMMYFUNCTION("""COMPUTED_VALUE"""),169.0)</f>
        <v>169</v>
      </c>
    </row>
    <row r="865">
      <c r="A865" s="2">
        <f>IFERROR(__xludf.DUMMYFUNCTION("""COMPUTED_VALUE"""),45359.66666666667)</f>
        <v>45359.66667</v>
      </c>
      <c r="B865" s="1">
        <f>IFERROR(__xludf.DUMMYFUNCTION("""COMPUTED_VALUE"""),170.73)</f>
        <v>170.73</v>
      </c>
    </row>
    <row r="866">
      <c r="A866" s="2">
        <f>IFERROR(__xludf.DUMMYFUNCTION("""COMPUTED_VALUE"""),45362.66666666667)</f>
        <v>45362.66667</v>
      </c>
      <c r="B866" s="1">
        <f>IFERROR(__xludf.DUMMYFUNCTION("""COMPUTED_VALUE"""),172.75)</f>
        <v>172.75</v>
      </c>
    </row>
    <row r="867">
      <c r="A867" s="2">
        <f>IFERROR(__xludf.DUMMYFUNCTION("""COMPUTED_VALUE"""),45363.66666666667)</f>
        <v>45363.66667</v>
      </c>
      <c r="B867" s="1">
        <f>IFERROR(__xludf.DUMMYFUNCTION("""COMPUTED_VALUE"""),173.23)</f>
        <v>173.23</v>
      </c>
    </row>
    <row r="868">
      <c r="A868" s="2">
        <f>IFERROR(__xludf.DUMMYFUNCTION("""COMPUTED_VALUE"""),45364.66666666667)</f>
        <v>45364.66667</v>
      </c>
      <c r="B868" s="1">
        <f>IFERROR(__xludf.DUMMYFUNCTION("""COMPUTED_VALUE"""),171.13)</f>
        <v>171.13</v>
      </c>
    </row>
    <row r="869">
      <c r="A869" s="2">
        <f>IFERROR(__xludf.DUMMYFUNCTION("""COMPUTED_VALUE"""),45365.66666666667)</f>
        <v>45365.66667</v>
      </c>
      <c r="B869" s="1">
        <f>IFERROR(__xludf.DUMMYFUNCTION("""COMPUTED_VALUE"""),173.0)</f>
        <v>173</v>
      </c>
    </row>
    <row r="870">
      <c r="A870" s="2">
        <f>IFERROR(__xludf.DUMMYFUNCTION("""COMPUTED_VALUE"""),45366.66666666667)</f>
        <v>45366.66667</v>
      </c>
      <c r="B870" s="1">
        <f>IFERROR(__xludf.DUMMYFUNCTION("""COMPUTED_VALUE"""),172.62)</f>
        <v>172.62</v>
      </c>
    </row>
    <row r="871">
      <c r="A871" s="2">
        <f>IFERROR(__xludf.DUMMYFUNCTION("""COMPUTED_VALUE"""),45369.66666666667)</f>
        <v>45369.66667</v>
      </c>
      <c r="B871" s="1">
        <f>IFERROR(__xludf.DUMMYFUNCTION("""COMPUTED_VALUE"""),173.72)</f>
        <v>173.72</v>
      </c>
    </row>
    <row r="872">
      <c r="A872" s="2">
        <f>IFERROR(__xludf.DUMMYFUNCTION("""COMPUTED_VALUE"""),45370.66666666667)</f>
        <v>45370.66667</v>
      </c>
      <c r="B872" s="1">
        <f>IFERROR(__xludf.DUMMYFUNCTION("""COMPUTED_VALUE"""),176.08)</f>
        <v>176.08</v>
      </c>
    </row>
    <row r="873">
      <c r="A873" s="2">
        <f>IFERROR(__xludf.DUMMYFUNCTION("""COMPUTED_VALUE"""),45371.66666666667)</f>
        <v>45371.66667</v>
      </c>
      <c r="B873" s="1">
        <f>IFERROR(__xludf.DUMMYFUNCTION("""COMPUTED_VALUE"""),178.67)</f>
        <v>178.67</v>
      </c>
    </row>
    <row r="874">
      <c r="A874" s="2">
        <f>IFERROR(__xludf.DUMMYFUNCTION("""COMPUTED_VALUE"""),45372.66666666667)</f>
        <v>45372.66667</v>
      </c>
      <c r="B874" s="1">
        <f>IFERROR(__xludf.DUMMYFUNCTION("""COMPUTED_VALUE"""),171.37)</f>
        <v>171.37</v>
      </c>
    </row>
    <row r="875">
      <c r="A875" s="2">
        <f>IFERROR(__xludf.DUMMYFUNCTION("""COMPUTED_VALUE"""),45373.66666666667)</f>
        <v>45373.66667</v>
      </c>
      <c r="B875" s="1">
        <f>IFERROR(__xludf.DUMMYFUNCTION("""COMPUTED_VALUE"""),172.28)</f>
        <v>172.28</v>
      </c>
    </row>
    <row r="876">
      <c r="A876" s="2">
        <f>IFERROR(__xludf.DUMMYFUNCTION("""COMPUTED_VALUE"""),45376.66666666667)</f>
        <v>45376.66667</v>
      </c>
      <c r="B876" s="1">
        <f>IFERROR(__xludf.DUMMYFUNCTION("""COMPUTED_VALUE"""),170.85)</f>
        <v>170.85</v>
      </c>
    </row>
    <row r="877">
      <c r="A877" s="2">
        <f>IFERROR(__xludf.DUMMYFUNCTION("""COMPUTED_VALUE"""),45377.66666666667)</f>
        <v>45377.66667</v>
      </c>
      <c r="B877" s="1">
        <f>IFERROR(__xludf.DUMMYFUNCTION("""COMPUTED_VALUE"""),169.71)</f>
        <v>169.71</v>
      </c>
    </row>
    <row r="878">
      <c r="A878" s="2">
        <f>IFERROR(__xludf.DUMMYFUNCTION("""COMPUTED_VALUE"""),45378.66666666667)</f>
        <v>45378.66667</v>
      </c>
      <c r="B878" s="1">
        <f>IFERROR(__xludf.DUMMYFUNCTION("""COMPUTED_VALUE"""),173.31)</f>
        <v>173.31</v>
      </c>
    </row>
    <row r="879">
      <c r="A879" s="2">
        <f>IFERROR(__xludf.DUMMYFUNCTION("""COMPUTED_VALUE"""),45379.66666666667)</f>
        <v>45379.66667</v>
      </c>
      <c r="B879" s="1">
        <f>IFERROR(__xludf.DUMMYFUNCTION("""COMPUTED_VALUE"""),171.48)</f>
        <v>171.48</v>
      </c>
    </row>
    <row r="880">
      <c r="A880" s="2">
        <f>IFERROR(__xludf.DUMMYFUNCTION("""COMPUTED_VALUE"""),45383.66666666667)</f>
        <v>45383.66667</v>
      </c>
      <c r="B880" s="1">
        <f>IFERROR(__xludf.DUMMYFUNCTION("""COMPUTED_VALUE"""),170.03)</f>
        <v>170.03</v>
      </c>
    </row>
    <row r="881">
      <c r="A881" s="2">
        <f>IFERROR(__xludf.DUMMYFUNCTION("""COMPUTED_VALUE"""),45384.66666666667)</f>
        <v>45384.66667</v>
      </c>
      <c r="B881" s="1">
        <f>IFERROR(__xludf.DUMMYFUNCTION("""COMPUTED_VALUE"""),168.84)</f>
        <v>168.84</v>
      </c>
    </row>
    <row r="882">
      <c r="A882" s="2">
        <f>IFERROR(__xludf.DUMMYFUNCTION("""COMPUTED_VALUE"""),45385.66666666667)</f>
        <v>45385.66667</v>
      </c>
      <c r="B882" s="1">
        <f>IFERROR(__xludf.DUMMYFUNCTION("""COMPUTED_VALUE"""),169.65)</f>
        <v>169.65</v>
      </c>
    </row>
    <row r="883">
      <c r="A883" s="2">
        <f>IFERROR(__xludf.DUMMYFUNCTION("""COMPUTED_VALUE"""),45386.66666666667)</f>
        <v>45386.66667</v>
      </c>
      <c r="B883" s="1">
        <f>IFERROR(__xludf.DUMMYFUNCTION("""COMPUTED_VALUE"""),168.82)</f>
        <v>168.82</v>
      </c>
    </row>
    <row r="884">
      <c r="A884" s="2">
        <f>IFERROR(__xludf.DUMMYFUNCTION("""COMPUTED_VALUE"""),45387.66666666667)</f>
        <v>45387.66667</v>
      </c>
      <c r="B884" s="1">
        <f>IFERROR(__xludf.DUMMYFUNCTION("""COMPUTED_VALUE"""),169.58)</f>
        <v>169.58</v>
      </c>
    </row>
    <row r="885">
      <c r="A885" s="2">
        <f>IFERROR(__xludf.DUMMYFUNCTION("""COMPUTED_VALUE"""),45390.66666666667)</f>
        <v>45390.66667</v>
      </c>
      <c r="B885" s="1">
        <f>IFERROR(__xludf.DUMMYFUNCTION("""COMPUTED_VALUE"""),168.45)</f>
        <v>168.45</v>
      </c>
    </row>
    <row r="886">
      <c r="A886" s="2">
        <f>IFERROR(__xludf.DUMMYFUNCTION("""COMPUTED_VALUE"""),45391.66666666667)</f>
        <v>45391.66667</v>
      </c>
      <c r="B886" s="1">
        <f>IFERROR(__xludf.DUMMYFUNCTION("""COMPUTED_VALUE"""),169.67)</f>
        <v>169.67</v>
      </c>
    </row>
    <row r="887">
      <c r="A887" s="2">
        <f>IFERROR(__xludf.DUMMYFUNCTION("""COMPUTED_VALUE"""),45392.66666666667)</f>
        <v>45392.66667</v>
      </c>
      <c r="B887" s="1">
        <f>IFERROR(__xludf.DUMMYFUNCTION("""COMPUTED_VALUE"""),167.78)</f>
        <v>167.78</v>
      </c>
    </row>
    <row r="888">
      <c r="A888" s="2">
        <f>IFERROR(__xludf.DUMMYFUNCTION("""COMPUTED_VALUE"""),45393.66666666667)</f>
        <v>45393.66667</v>
      </c>
      <c r="B888" s="1">
        <f>IFERROR(__xludf.DUMMYFUNCTION("""COMPUTED_VALUE"""),175.04)</f>
        <v>175.04</v>
      </c>
    </row>
    <row r="889">
      <c r="A889" s="2">
        <f>IFERROR(__xludf.DUMMYFUNCTION("""COMPUTED_VALUE"""),45394.66666666667)</f>
        <v>45394.66667</v>
      </c>
      <c r="B889" s="1">
        <f>IFERROR(__xludf.DUMMYFUNCTION("""COMPUTED_VALUE"""),176.55)</f>
        <v>176.55</v>
      </c>
    </row>
    <row r="890">
      <c r="A890" s="2">
        <f>IFERROR(__xludf.DUMMYFUNCTION("""COMPUTED_VALUE"""),45397.66666666667)</f>
        <v>45397.66667</v>
      </c>
      <c r="B890" s="1">
        <f>IFERROR(__xludf.DUMMYFUNCTION("""COMPUTED_VALUE"""),172.69)</f>
        <v>172.69</v>
      </c>
    </row>
    <row r="891">
      <c r="A891" s="2">
        <f>IFERROR(__xludf.DUMMYFUNCTION("""COMPUTED_VALUE"""),45398.66666666667)</f>
        <v>45398.66667</v>
      </c>
      <c r="B891" s="1">
        <f>IFERROR(__xludf.DUMMYFUNCTION("""COMPUTED_VALUE"""),169.38)</f>
        <v>169.38</v>
      </c>
    </row>
    <row r="892">
      <c r="A892" s="2">
        <f>IFERROR(__xludf.DUMMYFUNCTION("""COMPUTED_VALUE"""),45399.66666666667)</f>
        <v>45399.66667</v>
      </c>
      <c r="B892" s="1">
        <f>IFERROR(__xludf.DUMMYFUNCTION("""COMPUTED_VALUE"""),168.0)</f>
        <v>168</v>
      </c>
    </row>
    <row r="893">
      <c r="A893" s="2">
        <f>IFERROR(__xludf.DUMMYFUNCTION("""COMPUTED_VALUE"""),45400.66666666667)</f>
        <v>45400.66667</v>
      </c>
      <c r="B893" s="1">
        <f>IFERROR(__xludf.DUMMYFUNCTION("""COMPUTED_VALUE"""),167.04)</f>
        <v>167.04</v>
      </c>
    </row>
    <row r="894">
      <c r="A894" s="2">
        <f>IFERROR(__xludf.DUMMYFUNCTION("""COMPUTED_VALUE"""),45401.66666666667)</f>
        <v>45401.66667</v>
      </c>
      <c r="B894" s="1">
        <f>IFERROR(__xludf.DUMMYFUNCTION("""COMPUTED_VALUE"""),165.0)</f>
        <v>165</v>
      </c>
    </row>
    <row r="895">
      <c r="A895" s="2">
        <f>IFERROR(__xludf.DUMMYFUNCTION("""COMPUTED_VALUE"""),45404.66666666667)</f>
        <v>45404.66667</v>
      </c>
      <c r="B895" s="1">
        <f>IFERROR(__xludf.DUMMYFUNCTION("""COMPUTED_VALUE"""),165.84)</f>
        <v>165.84</v>
      </c>
    </row>
    <row r="896">
      <c r="A896" s="2">
        <f>IFERROR(__xludf.DUMMYFUNCTION("""COMPUTED_VALUE"""),45405.66666666667)</f>
        <v>45405.66667</v>
      </c>
      <c r="B896" s="1">
        <f>IFERROR(__xludf.DUMMYFUNCTION("""COMPUTED_VALUE"""),166.9)</f>
        <v>166.9</v>
      </c>
    </row>
    <row r="897">
      <c r="A897" s="2">
        <f>IFERROR(__xludf.DUMMYFUNCTION("""COMPUTED_VALUE"""),45406.66666666667)</f>
        <v>45406.66667</v>
      </c>
      <c r="B897" s="1">
        <f>IFERROR(__xludf.DUMMYFUNCTION("""COMPUTED_VALUE"""),169.02)</f>
        <v>169.02</v>
      </c>
    </row>
    <row r="898">
      <c r="A898" s="2">
        <f>IFERROR(__xludf.DUMMYFUNCTION("""COMPUTED_VALUE"""),45407.66666666667)</f>
        <v>45407.66667</v>
      </c>
      <c r="B898" s="1">
        <f>IFERROR(__xludf.DUMMYFUNCTION("""COMPUTED_VALUE"""),169.89)</f>
        <v>169.89</v>
      </c>
    </row>
    <row r="899">
      <c r="A899" s="2">
        <f>IFERROR(__xludf.DUMMYFUNCTION("""COMPUTED_VALUE"""),45408.66666666667)</f>
        <v>45408.66667</v>
      </c>
      <c r="B899" s="1">
        <f>IFERROR(__xludf.DUMMYFUNCTION("""COMPUTED_VALUE"""),169.3)</f>
        <v>169.3</v>
      </c>
    </row>
    <row r="900">
      <c r="A900" s="2">
        <f>IFERROR(__xludf.DUMMYFUNCTION("""COMPUTED_VALUE"""),45411.66666666667)</f>
        <v>45411.66667</v>
      </c>
      <c r="B900" s="1">
        <f>IFERROR(__xludf.DUMMYFUNCTION("""COMPUTED_VALUE"""),173.5)</f>
        <v>173.5</v>
      </c>
    </row>
    <row r="901">
      <c r="A901" s="2">
        <f>IFERROR(__xludf.DUMMYFUNCTION("""COMPUTED_VALUE"""),45412.66666666667)</f>
        <v>45412.66667</v>
      </c>
      <c r="B901" s="1">
        <f>IFERROR(__xludf.DUMMYFUNCTION("""COMPUTED_VALUE"""),170.33)</f>
        <v>170.33</v>
      </c>
    </row>
    <row r="902">
      <c r="A902" s="2">
        <f>IFERROR(__xludf.DUMMYFUNCTION("""COMPUTED_VALUE"""),45413.66666666667)</f>
        <v>45413.66667</v>
      </c>
      <c r="B902" s="1">
        <f>IFERROR(__xludf.DUMMYFUNCTION("""COMPUTED_VALUE"""),169.3)</f>
        <v>169.3</v>
      </c>
    </row>
    <row r="903">
      <c r="A903" s="2">
        <f>IFERROR(__xludf.DUMMYFUNCTION("""COMPUTED_VALUE"""),45414.66666666667)</f>
        <v>45414.66667</v>
      </c>
      <c r="B903" s="1">
        <f>IFERROR(__xludf.DUMMYFUNCTION("""COMPUTED_VALUE"""),173.03)</f>
        <v>173.03</v>
      </c>
    </row>
    <row r="904">
      <c r="A904" s="2">
        <f>IFERROR(__xludf.DUMMYFUNCTION("""COMPUTED_VALUE"""),45415.66666666667)</f>
        <v>45415.66667</v>
      </c>
      <c r="B904" s="1">
        <f>IFERROR(__xludf.DUMMYFUNCTION("""COMPUTED_VALUE"""),183.38)</f>
        <v>183.38</v>
      </c>
    </row>
    <row r="905">
      <c r="A905" s="2">
        <f>IFERROR(__xludf.DUMMYFUNCTION("""COMPUTED_VALUE"""),45418.66666666667)</f>
        <v>45418.66667</v>
      </c>
      <c r="B905" s="1">
        <f>IFERROR(__xludf.DUMMYFUNCTION("""COMPUTED_VALUE"""),181.71)</f>
        <v>181.71</v>
      </c>
    </row>
    <row r="906">
      <c r="A906" s="2">
        <f>IFERROR(__xludf.DUMMYFUNCTION("""COMPUTED_VALUE"""),45419.66666666667)</f>
        <v>45419.66667</v>
      </c>
      <c r="B906" s="1">
        <f>IFERROR(__xludf.DUMMYFUNCTION("""COMPUTED_VALUE"""),182.4)</f>
        <v>182.4</v>
      </c>
    </row>
    <row r="907">
      <c r="A907" s="2">
        <f>IFERROR(__xludf.DUMMYFUNCTION("""COMPUTED_VALUE"""),45420.66666666667)</f>
        <v>45420.66667</v>
      </c>
      <c r="B907" s="1">
        <f>IFERROR(__xludf.DUMMYFUNCTION("""COMPUTED_VALUE"""),182.74)</f>
        <v>182.74</v>
      </c>
    </row>
    <row r="908">
      <c r="A908" s="2">
        <f>IFERROR(__xludf.DUMMYFUNCTION("""COMPUTED_VALUE"""),45421.66666666667)</f>
        <v>45421.66667</v>
      </c>
      <c r="B908" s="1">
        <f>IFERROR(__xludf.DUMMYFUNCTION("""COMPUTED_VALUE"""),184.57)</f>
        <v>184.57</v>
      </c>
    </row>
    <row r="909">
      <c r="A909" s="2">
        <f>IFERROR(__xludf.DUMMYFUNCTION("""COMPUTED_VALUE"""),45422.66666666667)</f>
        <v>45422.66667</v>
      </c>
      <c r="B909" s="1">
        <f>IFERROR(__xludf.DUMMYFUNCTION("""COMPUTED_VALUE"""),183.05)</f>
        <v>183.05</v>
      </c>
    </row>
    <row r="910">
      <c r="A910" s="2">
        <f>IFERROR(__xludf.DUMMYFUNCTION("""COMPUTED_VALUE"""),45425.66666666667)</f>
        <v>45425.66667</v>
      </c>
      <c r="B910" s="1">
        <f>IFERROR(__xludf.DUMMYFUNCTION("""COMPUTED_VALUE"""),186.28)</f>
        <v>186.28</v>
      </c>
    </row>
    <row r="911">
      <c r="A911" s="2">
        <f>IFERROR(__xludf.DUMMYFUNCTION("""COMPUTED_VALUE"""),45426.66666666667)</f>
        <v>45426.66667</v>
      </c>
      <c r="B911" s="1">
        <f>IFERROR(__xludf.DUMMYFUNCTION("""COMPUTED_VALUE"""),187.43)</f>
        <v>187.43</v>
      </c>
    </row>
    <row r="912">
      <c r="A912" s="2">
        <f>IFERROR(__xludf.DUMMYFUNCTION("""COMPUTED_VALUE"""),45427.66666666667)</f>
        <v>45427.66667</v>
      </c>
      <c r="B912" s="1">
        <f>IFERROR(__xludf.DUMMYFUNCTION("""COMPUTED_VALUE"""),189.72)</f>
        <v>189.72</v>
      </c>
    </row>
    <row r="913">
      <c r="A913" s="2">
        <f>IFERROR(__xludf.DUMMYFUNCTION("""COMPUTED_VALUE"""),45428.66666666667)</f>
        <v>45428.66667</v>
      </c>
      <c r="B913" s="1">
        <f>IFERROR(__xludf.DUMMYFUNCTION("""COMPUTED_VALUE"""),189.84)</f>
        <v>189.84</v>
      </c>
    </row>
    <row r="914">
      <c r="A914" s="2">
        <f>IFERROR(__xludf.DUMMYFUNCTION("""COMPUTED_VALUE"""),45429.66666666667)</f>
        <v>45429.66667</v>
      </c>
      <c r="B914" s="1">
        <f>IFERROR(__xludf.DUMMYFUNCTION("""COMPUTED_VALUE"""),189.87)</f>
        <v>189.87</v>
      </c>
    </row>
    <row r="915">
      <c r="A915" s="2">
        <f>IFERROR(__xludf.DUMMYFUNCTION("""COMPUTED_VALUE"""),45432.66666666667)</f>
        <v>45432.66667</v>
      </c>
      <c r="B915" s="1">
        <f>IFERROR(__xludf.DUMMYFUNCTION("""COMPUTED_VALUE"""),191.04)</f>
        <v>191.04</v>
      </c>
    </row>
    <row r="916">
      <c r="A916" s="2">
        <f>IFERROR(__xludf.DUMMYFUNCTION("""COMPUTED_VALUE"""),45433.66666666667)</f>
        <v>45433.66667</v>
      </c>
      <c r="B916" s="1">
        <f>IFERROR(__xludf.DUMMYFUNCTION("""COMPUTED_VALUE"""),192.35)</f>
        <v>192.35</v>
      </c>
    </row>
    <row r="917">
      <c r="A917" s="2">
        <f>IFERROR(__xludf.DUMMYFUNCTION("""COMPUTED_VALUE"""),45434.66666666667)</f>
        <v>45434.66667</v>
      </c>
      <c r="B917" s="1">
        <f>IFERROR(__xludf.DUMMYFUNCTION("""COMPUTED_VALUE"""),190.9)</f>
        <v>190.9</v>
      </c>
    </row>
    <row r="918">
      <c r="A918" s="2">
        <f>IFERROR(__xludf.DUMMYFUNCTION("""COMPUTED_VALUE"""),45435.66666666667)</f>
        <v>45435.66667</v>
      </c>
      <c r="B918" s="1">
        <f>IFERROR(__xludf.DUMMYFUNCTION("""COMPUTED_VALUE"""),186.88)</f>
        <v>186.88</v>
      </c>
    </row>
    <row r="919">
      <c r="A919" s="2">
        <f>IFERROR(__xludf.DUMMYFUNCTION("""COMPUTED_VALUE"""),45436.66666666667)</f>
        <v>45436.66667</v>
      </c>
      <c r="B919" s="1">
        <f>IFERROR(__xludf.DUMMYFUNCTION("""COMPUTED_VALUE"""),189.98)</f>
        <v>189.98</v>
      </c>
    </row>
    <row r="920">
      <c r="A920" s="2">
        <f>IFERROR(__xludf.DUMMYFUNCTION("""COMPUTED_VALUE"""),45440.66666666667)</f>
        <v>45440.66667</v>
      </c>
      <c r="B920" s="1">
        <f>IFERROR(__xludf.DUMMYFUNCTION("""COMPUTED_VALUE"""),189.99)</f>
        <v>189.99</v>
      </c>
    </row>
    <row r="921">
      <c r="A921" s="2">
        <f>IFERROR(__xludf.DUMMYFUNCTION("""COMPUTED_VALUE"""),45441.66666666667)</f>
        <v>45441.66667</v>
      </c>
      <c r="B921" s="1">
        <f>IFERROR(__xludf.DUMMYFUNCTION("""COMPUTED_VALUE"""),190.29)</f>
        <v>190.29</v>
      </c>
    </row>
    <row r="922">
      <c r="A922" s="2">
        <f>IFERROR(__xludf.DUMMYFUNCTION("""COMPUTED_VALUE"""),45442.66666666667)</f>
        <v>45442.66667</v>
      </c>
      <c r="B922" s="1">
        <f>IFERROR(__xludf.DUMMYFUNCTION("""COMPUTED_VALUE"""),191.29)</f>
        <v>191.29</v>
      </c>
    </row>
    <row r="923">
      <c r="A923" s="2">
        <f>IFERROR(__xludf.DUMMYFUNCTION("""COMPUTED_VALUE"""),45443.66666666667)</f>
        <v>45443.66667</v>
      </c>
      <c r="B923" s="1">
        <f>IFERROR(__xludf.DUMMYFUNCTION("""COMPUTED_VALUE"""),192.25)</f>
        <v>192.25</v>
      </c>
    </row>
    <row r="924">
      <c r="A924" s="2">
        <f>IFERROR(__xludf.DUMMYFUNCTION("""COMPUTED_VALUE"""),45446.66666666667)</f>
        <v>45446.66667</v>
      </c>
      <c r="B924" s="1">
        <f>IFERROR(__xludf.DUMMYFUNCTION("""COMPUTED_VALUE"""),194.03)</f>
        <v>194.03</v>
      </c>
    </row>
    <row r="925">
      <c r="A925" s="2">
        <f>IFERROR(__xludf.DUMMYFUNCTION("""COMPUTED_VALUE"""),45447.66666666667)</f>
        <v>45447.66667</v>
      </c>
      <c r="B925" s="1">
        <f>IFERROR(__xludf.DUMMYFUNCTION("""COMPUTED_VALUE"""),194.35)</f>
        <v>194.35</v>
      </c>
    </row>
    <row r="926">
      <c r="A926" s="2">
        <f>IFERROR(__xludf.DUMMYFUNCTION("""COMPUTED_VALUE"""),45448.66666666667)</f>
        <v>45448.66667</v>
      </c>
      <c r="B926" s="1">
        <f>IFERROR(__xludf.DUMMYFUNCTION("""COMPUTED_VALUE"""),195.87)</f>
        <v>195.87</v>
      </c>
    </row>
    <row r="927">
      <c r="A927" s="2">
        <f>IFERROR(__xludf.DUMMYFUNCTION("""COMPUTED_VALUE"""),45449.66666666667)</f>
        <v>45449.66667</v>
      </c>
      <c r="B927" s="1">
        <f>IFERROR(__xludf.DUMMYFUNCTION("""COMPUTED_VALUE"""),194.48)</f>
        <v>194.48</v>
      </c>
    </row>
    <row r="928">
      <c r="A928" s="2">
        <f>IFERROR(__xludf.DUMMYFUNCTION("""COMPUTED_VALUE"""),45450.66666666667)</f>
        <v>45450.66667</v>
      </c>
      <c r="B928" s="1">
        <f>IFERROR(__xludf.DUMMYFUNCTION("""COMPUTED_VALUE"""),196.89)</f>
        <v>196.89</v>
      </c>
    </row>
    <row r="929">
      <c r="A929" s="2">
        <f>IFERROR(__xludf.DUMMYFUNCTION("""COMPUTED_VALUE"""),45453.66666666667)</f>
        <v>45453.66667</v>
      </c>
      <c r="B929" s="1">
        <f>IFERROR(__xludf.DUMMYFUNCTION("""COMPUTED_VALUE"""),193.12)</f>
        <v>193.12</v>
      </c>
    </row>
    <row r="930">
      <c r="A930" s="2">
        <f>IFERROR(__xludf.DUMMYFUNCTION("""COMPUTED_VALUE"""),45454.66666666667)</f>
        <v>45454.66667</v>
      </c>
      <c r="B930" s="1">
        <f>IFERROR(__xludf.DUMMYFUNCTION("""COMPUTED_VALUE"""),207.15)</f>
        <v>207.15</v>
      </c>
    </row>
    <row r="931">
      <c r="A931" s="2">
        <f>IFERROR(__xludf.DUMMYFUNCTION("""COMPUTED_VALUE"""),45455.66666666667)</f>
        <v>45455.66667</v>
      </c>
      <c r="B931" s="1">
        <f>IFERROR(__xludf.DUMMYFUNCTION("""COMPUTED_VALUE"""),213.07)</f>
        <v>213.07</v>
      </c>
    </row>
    <row r="932">
      <c r="A932" s="2">
        <f>IFERROR(__xludf.DUMMYFUNCTION("""COMPUTED_VALUE"""),45456.66666666667)</f>
        <v>45456.66667</v>
      </c>
      <c r="B932" s="1">
        <f>IFERROR(__xludf.DUMMYFUNCTION("""COMPUTED_VALUE"""),214.24)</f>
        <v>214.24</v>
      </c>
    </row>
    <row r="933">
      <c r="A933" s="2">
        <f>IFERROR(__xludf.DUMMYFUNCTION("""COMPUTED_VALUE"""),45457.66666666667)</f>
        <v>45457.66667</v>
      </c>
      <c r="B933" s="1">
        <f>IFERROR(__xludf.DUMMYFUNCTION("""COMPUTED_VALUE"""),212.49)</f>
        <v>212.49</v>
      </c>
    </row>
    <row r="934">
      <c r="A934" s="2">
        <f>IFERROR(__xludf.DUMMYFUNCTION("""COMPUTED_VALUE"""),45460.66666666667)</f>
        <v>45460.66667</v>
      </c>
      <c r="B934" s="1">
        <f>IFERROR(__xludf.DUMMYFUNCTION("""COMPUTED_VALUE"""),216.67)</f>
        <v>216.67</v>
      </c>
    </row>
    <row r="935">
      <c r="A935" s="2">
        <f>IFERROR(__xludf.DUMMYFUNCTION("""COMPUTED_VALUE"""),45461.66666666667)</f>
        <v>45461.66667</v>
      </c>
      <c r="B935" s="1">
        <f>IFERROR(__xludf.DUMMYFUNCTION("""COMPUTED_VALUE"""),214.29)</f>
        <v>214.29</v>
      </c>
    </row>
    <row r="936">
      <c r="A936" s="2">
        <f>IFERROR(__xludf.DUMMYFUNCTION("""COMPUTED_VALUE"""),45463.66666666667)</f>
        <v>45463.66667</v>
      </c>
      <c r="B936" s="1">
        <f>IFERROR(__xludf.DUMMYFUNCTION("""COMPUTED_VALUE"""),209.68)</f>
        <v>209.68</v>
      </c>
    </row>
    <row r="937">
      <c r="A937" s="2">
        <f>IFERROR(__xludf.DUMMYFUNCTION("""COMPUTED_VALUE"""),45464.66666666667)</f>
        <v>45464.66667</v>
      </c>
      <c r="B937" s="1">
        <f>IFERROR(__xludf.DUMMYFUNCTION("""COMPUTED_VALUE"""),207.49)</f>
        <v>207.49</v>
      </c>
    </row>
    <row r="938">
      <c r="A938" s="2">
        <f>IFERROR(__xludf.DUMMYFUNCTION("""COMPUTED_VALUE"""),45467.66666666667)</f>
        <v>45467.66667</v>
      </c>
      <c r="B938" s="1">
        <f>IFERROR(__xludf.DUMMYFUNCTION("""COMPUTED_VALUE"""),208.14)</f>
        <v>208.14</v>
      </c>
    </row>
    <row r="939">
      <c r="A939" s="2">
        <f>IFERROR(__xludf.DUMMYFUNCTION("""COMPUTED_VALUE"""),45468.66666666667)</f>
        <v>45468.66667</v>
      </c>
      <c r="B939" s="1">
        <f>IFERROR(__xludf.DUMMYFUNCTION("""COMPUTED_VALUE"""),209.07)</f>
        <v>209.07</v>
      </c>
    </row>
    <row r="940">
      <c r="A940" s="2">
        <f>IFERROR(__xludf.DUMMYFUNCTION("""COMPUTED_VALUE"""),45469.66666666667)</f>
        <v>45469.66667</v>
      </c>
      <c r="B940" s="1">
        <f>IFERROR(__xludf.DUMMYFUNCTION("""COMPUTED_VALUE"""),213.25)</f>
        <v>213.25</v>
      </c>
    </row>
    <row r="941">
      <c r="A941" s="2">
        <f>IFERROR(__xludf.DUMMYFUNCTION("""COMPUTED_VALUE"""),45470.66666666667)</f>
        <v>45470.66667</v>
      </c>
      <c r="B941" s="1">
        <f>IFERROR(__xludf.DUMMYFUNCTION("""COMPUTED_VALUE"""),214.1)</f>
        <v>214.1</v>
      </c>
    </row>
    <row r="942">
      <c r="A942" s="2">
        <f>IFERROR(__xludf.DUMMYFUNCTION("""COMPUTED_VALUE"""),45471.66666666667)</f>
        <v>45471.66667</v>
      </c>
      <c r="B942" s="1">
        <f>IFERROR(__xludf.DUMMYFUNCTION("""COMPUTED_VALUE"""),210.62)</f>
        <v>210.62</v>
      </c>
    </row>
    <row r="943">
      <c r="A943" s="2">
        <f>IFERROR(__xludf.DUMMYFUNCTION("""COMPUTED_VALUE"""),45474.66666666667)</f>
        <v>45474.66667</v>
      </c>
      <c r="B943" s="1">
        <f>IFERROR(__xludf.DUMMYFUNCTION("""COMPUTED_VALUE"""),216.75)</f>
        <v>216.75</v>
      </c>
    </row>
    <row r="944">
      <c r="A944" s="2">
        <f>IFERROR(__xludf.DUMMYFUNCTION("""COMPUTED_VALUE"""),45475.66666666667)</f>
        <v>45475.66667</v>
      </c>
      <c r="B944" s="1">
        <f>IFERROR(__xludf.DUMMYFUNCTION("""COMPUTED_VALUE"""),220.27)</f>
        <v>220.27</v>
      </c>
    </row>
    <row r="945">
      <c r="A945" s="2">
        <f>IFERROR(__xludf.DUMMYFUNCTION("""COMPUTED_VALUE"""),45476.54513888889)</f>
        <v>45476.54514</v>
      </c>
      <c r="B945" s="1">
        <f>IFERROR(__xludf.DUMMYFUNCTION("""COMPUTED_VALUE"""),221.55)</f>
        <v>221.55</v>
      </c>
    </row>
    <row r="946">
      <c r="A946" s="2">
        <f>IFERROR(__xludf.DUMMYFUNCTION("""COMPUTED_VALUE"""),45478.66666666667)</f>
        <v>45478.66667</v>
      </c>
      <c r="B946" s="1">
        <f>IFERROR(__xludf.DUMMYFUNCTION("""COMPUTED_VALUE"""),226.34)</f>
        <v>226.34</v>
      </c>
    </row>
    <row r="947">
      <c r="A947" s="2">
        <f>IFERROR(__xludf.DUMMYFUNCTION("""COMPUTED_VALUE"""),45481.66666666667)</f>
        <v>45481.66667</v>
      </c>
      <c r="B947" s="1">
        <f>IFERROR(__xludf.DUMMYFUNCTION("""COMPUTED_VALUE"""),227.82)</f>
        <v>227.82</v>
      </c>
    </row>
    <row r="948">
      <c r="A948" s="2">
        <f>IFERROR(__xludf.DUMMYFUNCTION("""COMPUTED_VALUE"""),45482.66666666667)</f>
        <v>45482.66667</v>
      </c>
      <c r="B948" s="1">
        <f>IFERROR(__xludf.DUMMYFUNCTION("""COMPUTED_VALUE"""),228.68)</f>
        <v>228.68</v>
      </c>
    </row>
    <row r="949">
      <c r="A949" s="2">
        <f>IFERROR(__xludf.DUMMYFUNCTION("""COMPUTED_VALUE"""),45483.66666666667)</f>
        <v>45483.66667</v>
      </c>
      <c r="B949" s="1">
        <f>IFERROR(__xludf.DUMMYFUNCTION("""COMPUTED_VALUE"""),232.98)</f>
        <v>232.98</v>
      </c>
    </row>
    <row r="950">
      <c r="A950" s="2">
        <f>IFERROR(__xludf.DUMMYFUNCTION("""COMPUTED_VALUE"""),45484.66666666667)</f>
        <v>45484.66667</v>
      </c>
      <c r="B950" s="1">
        <f>IFERROR(__xludf.DUMMYFUNCTION("""COMPUTED_VALUE"""),227.57)</f>
        <v>227.57</v>
      </c>
    </row>
    <row r="951">
      <c r="A951" s="2">
        <f>IFERROR(__xludf.DUMMYFUNCTION("""COMPUTED_VALUE"""),45485.66666666667)</f>
        <v>45485.66667</v>
      </c>
      <c r="B951" s="1">
        <f>IFERROR(__xludf.DUMMYFUNCTION("""COMPUTED_VALUE"""),230.54)</f>
        <v>230.54</v>
      </c>
    </row>
    <row r="952">
      <c r="A952" s="2">
        <f>IFERROR(__xludf.DUMMYFUNCTION("""COMPUTED_VALUE"""),45488.66666666667)</f>
        <v>45488.66667</v>
      </c>
      <c r="B952" s="1">
        <f>IFERROR(__xludf.DUMMYFUNCTION("""COMPUTED_VALUE"""),234.4)</f>
        <v>234.4</v>
      </c>
    </row>
    <row r="953">
      <c r="A953" s="2">
        <f>IFERROR(__xludf.DUMMYFUNCTION("""COMPUTED_VALUE"""),45489.66666666667)</f>
        <v>45489.66667</v>
      </c>
      <c r="B953" s="1">
        <f>IFERROR(__xludf.DUMMYFUNCTION("""COMPUTED_VALUE"""),234.82)</f>
        <v>234.82</v>
      </c>
    </row>
    <row r="954">
      <c r="A954" s="2">
        <f>IFERROR(__xludf.DUMMYFUNCTION("""COMPUTED_VALUE"""),45490.66666666667)</f>
        <v>45490.66667</v>
      </c>
      <c r="B954" s="1">
        <f>IFERROR(__xludf.DUMMYFUNCTION("""COMPUTED_VALUE"""),228.88)</f>
        <v>228.88</v>
      </c>
    </row>
    <row r="955">
      <c r="A955" s="2">
        <f>IFERROR(__xludf.DUMMYFUNCTION("""COMPUTED_VALUE"""),45491.66666666667)</f>
        <v>45491.66667</v>
      </c>
      <c r="B955" s="1">
        <f>IFERROR(__xludf.DUMMYFUNCTION("""COMPUTED_VALUE"""),224.18)</f>
        <v>224.18</v>
      </c>
    </row>
    <row r="956">
      <c r="A956" s="2">
        <f>IFERROR(__xludf.DUMMYFUNCTION("""COMPUTED_VALUE"""),45492.66666666667)</f>
        <v>45492.66667</v>
      </c>
      <c r="B956" s="1">
        <f>IFERROR(__xludf.DUMMYFUNCTION("""COMPUTED_VALUE"""),224.31)</f>
        <v>224.31</v>
      </c>
    </row>
    <row r="957">
      <c r="A957" s="2">
        <f>IFERROR(__xludf.DUMMYFUNCTION("""COMPUTED_VALUE"""),45495.66666666667)</f>
        <v>45495.66667</v>
      </c>
      <c r="B957" s="1">
        <f>IFERROR(__xludf.DUMMYFUNCTION("""COMPUTED_VALUE"""),223.96)</f>
        <v>223.96</v>
      </c>
    </row>
    <row r="958">
      <c r="A958" s="2">
        <f>IFERROR(__xludf.DUMMYFUNCTION("""COMPUTED_VALUE"""),45496.66666666667)</f>
        <v>45496.66667</v>
      </c>
      <c r="B958" s="1">
        <f>IFERROR(__xludf.DUMMYFUNCTION("""COMPUTED_VALUE"""),225.01)</f>
        <v>225.01</v>
      </c>
    </row>
    <row r="959">
      <c r="A959" s="2">
        <f>IFERROR(__xludf.DUMMYFUNCTION("""COMPUTED_VALUE"""),45497.66666666667)</f>
        <v>45497.66667</v>
      </c>
      <c r="B959" s="1">
        <f>IFERROR(__xludf.DUMMYFUNCTION("""COMPUTED_VALUE"""),218.54)</f>
        <v>218.54</v>
      </c>
    </row>
    <row r="960">
      <c r="A960" s="2">
        <f>IFERROR(__xludf.DUMMYFUNCTION("""COMPUTED_VALUE"""),45498.66666666667)</f>
        <v>45498.66667</v>
      </c>
      <c r="B960" s="1">
        <f>IFERROR(__xludf.DUMMYFUNCTION("""COMPUTED_VALUE"""),217.49)</f>
        <v>217.49</v>
      </c>
    </row>
    <row r="961">
      <c r="A961" s="2">
        <f>IFERROR(__xludf.DUMMYFUNCTION("""COMPUTED_VALUE"""),45499.66666666667)</f>
        <v>45499.66667</v>
      </c>
      <c r="B961" s="1">
        <f>IFERROR(__xludf.DUMMYFUNCTION("""COMPUTED_VALUE"""),217.96)</f>
        <v>217.96</v>
      </c>
    </row>
    <row r="962">
      <c r="A962" s="2">
        <f>IFERROR(__xludf.DUMMYFUNCTION("""COMPUTED_VALUE"""),45502.66666666667)</f>
        <v>45502.66667</v>
      </c>
      <c r="B962" s="1">
        <f>IFERROR(__xludf.DUMMYFUNCTION("""COMPUTED_VALUE"""),218.24)</f>
        <v>218.24</v>
      </c>
    </row>
    <row r="963">
      <c r="A963" s="2">
        <f>IFERROR(__xludf.DUMMYFUNCTION("""COMPUTED_VALUE"""),45503.66666666667)</f>
        <v>45503.66667</v>
      </c>
      <c r="B963" s="1">
        <f>IFERROR(__xludf.DUMMYFUNCTION("""COMPUTED_VALUE"""),218.8)</f>
        <v>218.8</v>
      </c>
    </row>
    <row r="964">
      <c r="A964" s="2">
        <f>IFERROR(__xludf.DUMMYFUNCTION("""COMPUTED_VALUE"""),45504.66666666667)</f>
        <v>45504.66667</v>
      </c>
      <c r="B964" s="1">
        <f>IFERROR(__xludf.DUMMYFUNCTION("""COMPUTED_VALUE"""),222.08)</f>
        <v>222.08</v>
      </c>
    </row>
    <row r="965">
      <c r="A965" s="2">
        <f>IFERROR(__xludf.DUMMYFUNCTION("""COMPUTED_VALUE"""),45505.66666666667)</f>
        <v>45505.66667</v>
      </c>
      <c r="B965" s="1">
        <f>IFERROR(__xludf.DUMMYFUNCTION("""COMPUTED_VALUE"""),218.36)</f>
        <v>218.36</v>
      </c>
    </row>
    <row r="966">
      <c r="A966" s="2">
        <f>IFERROR(__xludf.DUMMYFUNCTION("""COMPUTED_VALUE"""),45506.66666666667)</f>
        <v>45506.66667</v>
      </c>
      <c r="B966" s="1">
        <f>IFERROR(__xludf.DUMMYFUNCTION("""COMPUTED_VALUE"""),219.86)</f>
        <v>219.86</v>
      </c>
    </row>
    <row r="967">
      <c r="A967" s="2">
        <f>IFERROR(__xludf.DUMMYFUNCTION("""COMPUTED_VALUE"""),45509.66666666667)</f>
        <v>45509.66667</v>
      </c>
      <c r="B967" s="1">
        <f>IFERROR(__xludf.DUMMYFUNCTION("""COMPUTED_VALUE"""),209.27)</f>
        <v>209.27</v>
      </c>
    </row>
    <row r="968">
      <c r="A968" s="2">
        <f>IFERROR(__xludf.DUMMYFUNCTION("""COMPUTED_VALUE"""),45510.66666666667)</f>
        <v>45510.66667</v>
      </c>
      <c r="B968" s="1">
        <f>IFERROR(__xludf.DUMMYFUNCTION("""COMPUTED_VALUE"""),207.23)</f>
        <v>207.23</v>
      </c>
    </row>
    <row r="969">
      <c r="A969" s="2">
        <f>IFERROR(__xludf.DUMMYFUNCTION("""COMPUTED_VALUE"""),45511.66666666667)</f>
        <v>45511.66667</v>
      </c>
      <c r="B969" s="1">
        <f>IFERROR(__xludf.DUMMYFUNCTION("""COMPUTED_VALUE"""),209.82)</f>
        <v>209.82</v>
      </c>
    </row>
    <row r="970">
      <c r="A970" s="2">
        <f>IFERROR(__xludf.DUMMYFUNCTION("""COMPUTED_VALUE"""),45512.66666666667)</f>
        <v>45512.66667</v>
      </c>
      <c r="B970" s="1">
        <f>IFERROR(__xludf.DUMMYFUNCTION("""COMPUTED_VALUE"""),213.31)</f>
        <v>213.31</v>
      </c>
    </row>
    <row r="971">
      <c r="A971" s="2">
        <f>IFERROR(__xludf.DUMMYFUNCTION("""COMPUTED_VALUE"""),45513.66666666667)</f>
        <v>45513.66667</v>
      </c>
      <c r="B971" s="1">
        <f>IFERROR(__xludf.DUMMYFUNCTION("""COMPUTED_VALUE"""),216.24)</f>
        <v>216.24</v>
      </c>
    </row>
    <row r="972">
      <c r="A972" s="2">
        <f>IFERROR(__xludf.DUMMYFUNCTION("""COMPUTED_VALUE"""),45516.66666666667)</f>
        <v>45516.66667</v>
      </c>
      <c r="B972" s="1">
        <f>IFERROR(__xludf.DUMMYFUNCTION("""COMPUTED_VALUE"""),217.53)</f>
        <v>217.53</v>
      </c>
    </row>
    <row r="973">
      <c r="A973" s="2">
        <f>IFERROR(__xludf.DUMMYFUNCTION("""COMPUTED_VALUE"""),45517.66666666667)</f>
        <v>45517.66667</v>
      </c>
      <c r="B973" s="1">
        <f>IFERROR(__xludf.DUMMYFUNCTION("""COMPUTED_VALUE"""),221.27)</f>
        <v>221.27</v>
      </c>
    </row>
    <row r="974">
      <c r="A974" s="2">
        <f>IFERROR(__xludf.DUMMYFUNCTION("""COMPUTED_VALUE"""),45518.66666666667)</f>
        <v>45518.66667</v>
      </c>
      <c r="B974" s="1">
        <f>IFERROR(__xludf.DUMMYFUNCTION("""COMPUTED_VALUE"""),221.72)</f>
        <v>221.72</v>
      </c>
    </row>
    <row r="975">
      <c r="A975" s="2">
        <f>IFERROR(__xludf.DUMMYFUNCTION("""COMPUTED_VALUE"""),45519.66666666667)</f>
        <v>45519.66667</v>
      </c>
      <c r="B975" s="1">
        <f>IFERROR(__xludf.DUMMYFUNCTION("""COMPUTED_VALUE"""),224.72)</f>
        <v>224.72</v>
      </c>
    </row>
    <row r="976">
      <c r="A976" s="2">
        <f>IFERROR(__xludf.DUMMYFUNCTION("""COMPUTED_VALUE"""),45520.66666666667)</f>
        <v>45520.66667</v>
      </c>
      <c r="B976" s="1">
        <f>IFERROR(__xludf.DUMMYFUNCTION("""COMPUTED_VALUE"""),226.05)</f>
        <v>226.05</v>
      </c>
    </row>
    <row r="977">
      <c r="A977" s="2">
        <f>IFERROR(__xludf.DUMMYFUNCTION("""COMPUTED_VALUE"""),45523.66666666667)</f>
        <v>45523.66667</v>
      </c>
      <c r="B977" s="1">
        <f>IFERROR(__xludf.DUMMYFUNCTION("""COMPUTED_VALUE"""),225.89)</f>
        <v>225.89</v>
      </c>
    </row>
    <row r="978">
      <c r="A978" s="2">
        <f>IFERROR(__xludf.DUMMYFUNCTION("""COMPUTED_VALUE"""),45524.66666666667)</f>
        <v>45524.66667</v>
      </c>
      <c r="B978" s="1">
        <f>IFERROR(__xludf.DUMMYFUNCTION("""COMPUTED_VALUE"""),226.51)</f>
        <v>226.51</v>
      </c>
    </row>
    <row r="979">
      <c r="A979" s="2">
        <f>IFERROR(__xludf.DUMMYFUNCTION("""COMPUTED_VALUE"""),45525.66666666667)</f>
        <v>45525.66667</v>
      </c>
      <c r="B979" s="1">
        <f>IFERROR(__xludf.DUMMYFUNCTION("""COMPUTED_VALUE"""),226.4)</f>
        <v>226.4</v>
      </c>
    </row>
    <row r="980">
      <c r="A980" s="2">
        <f>IFERROR(__xludf.DUMMYFUNCTION("""COMPUTED_VALUE"""),45526.66666666667)</f>
        <v>45526.66667</v>
      </c>
      <c r="B980" s="1">
        <f>IFERROR(__xludf.DUMMYFUNCTION("""COMPUTED_VALUE"""),224.53)</f>
        <v>224.53</v>
      </c>
    </row>
    <row r="981">
      <c r="A981" s="2">
        <f>IFERROR(__xludf.DUMMYFUNCTION("""COMPUTED_VALUE"""),45527.66666666667)</f>
        <v>45527.66667</v>
      </c>
      <c r="B981" s="1">
        <f>IFERROR(__xludf.DUMMYFUNCTION("""COMPUTED_VALUE"""),226.84)</f>
        <v>226.84</v>
      </c>
    </row>
    <row r="982">
      <c r="A982" s="2">
        <f>IFERROR(__xludf.DUMMYFUNCTION("""COMPUTED_VALUE"""),45530.66666666667)</f>
        <v>45530.66667</v>
      </c>
      <c r="B982" s="1">
        <f>IFERROR(__xludf.DUMMYFUNCTION("""COMPUTED_VALUE"""),227.18)</f>
        <v>227.18</v>
      </c>
    </row>
    <row r="983">
      <c r="A983" s="2">
        <f>IFERROR(__xludf.DUMMYFUNCTION("""COMPUTED_VALUE"""),45531.66666666667)</f>
        <v>45531.66667</v>
      </c>
      <c r="B983" s="1">
        <f>IFERROR(__xludf.DUMMYFUNCTION("""COMPUTED_VALUE"""),228.03)</f>
        <v>228.03</v>
      </c>
    </row>
    <row r="984">
      <c r="A984" s="2">
        <f>IFERROR(__xludf.DUMMYFUNCTION("""COMPUTED_VALUE"""),45532.66666666667)</f>
        <v>45532.66667</v>
      </c>
      <c r="B984" s="1">
        <f>IFERROR(__xludf.DUMMYFUNCTION("""COMPUTED_VALUE"""),226.49)</f>
        <v>226.49</v>
      </c>
    </row>
    <row r="985">
      <c r="A985" s="2">
        <f>IFERROR(__xludf.DUMMYFUNCTION("""COMPUTED_VALUE"""),45533.66666666667)</f>
        <v>45533.66667</v>
      </c>
      <c r="B985" s="1">
        <f>IFERROR(__xludf.DUMMYFUNCTION("""COMPUTED_VALUE"""),229.79)</f>
        <v>229.79</v>
      </c>
    </row>
    <row r="986">
      <c r="A986" s="2">
        <f>IFERROR(__xludf.DUMMYFUNCTION("""COMPUTED_VALUE"""),45534.66666666667)</f>
        <v>45534.66667</v>
      </c>
      <c r="B986" s="1">
        <f>IFERROR(__xludf.DUMMYFUNCTION("""COMPUTED_VALUE"""),229.0)</f>
        <v>229</v>
      </c>
    </row>
    <row r="987">
      <c r="A987" s="2">
        <f>IFERROR(__xludf.DUMMYFUNCTION("""COMPUTED_VALUE"""),45538.66666666667)</f>
        <v>45538.66667</v>
      </c>
      <c r="B987" s="1">
        <f>IFERROR(__xludf.DUMMYFUNCTION("""COMPUTED_VALUE"""),222.77)</f>
        <v>222.77</v>
      </c>
    </row>
    <row r="988">
      <c r="A988" s="2">
        <f>IFERROR(__xludf.DUMMYFUNCTION("""COMPUTED_VALUE"""),45539.66666666667)</f>
        <v>45539.66667</v>
      </c>
      <c r="B988" s="1">
        <f>IFERROR(__xludf.DUMMYFUNCTION("""COMPUTED_VALUE"""),220.85)</f>
        <v>220.85</v>
      </c>
    </row>
    <row r="989">
      <c r="A989" s="2">
        <f>IFERROR(__xludf.DUMMYFUNCTION("""COMPUTED_VALUE"""),45540.66666666667)</f>
        <v>45540.66667</v>
      </c>
      <c r="B989" s="1">
        <f>IFERROR(__xludf.DUMMYFUNCTION("""COMPUTED_VALUE"""),222.38)</f>
        <v>222.38</v>
      </c>
    </row>
    <row r="990">
      <c r="A990" s="2">
        <f>IFERROR(__xludf.DUMMYFUNCTION("""COMPUTED_VALUE"""),45541.66666666667)</f>
        <v>45541.66667</v>
      </c>
      <c r="B990" s="1">
        <f>IFERROR(__xludf.DUMMYFUNCTION("""COMPUTED_VALUE"""),220.82)</f>
        <v>220.82</v>
      </c>
    </row>
    <row r="991">
      <c r="A991" s="2">
        <f>IFERROR(__xludf.DUMMYFUNCTION("""COMPUTED_VALUE"""),45544.66666666667)</f>
        <v>45544.66667</v>
      </c>
      <c r="B991" s="1">
        <f>IFERROR(__xludf.DUMMYFUNCTION("""COMPUTED_VALUE"""),220.91)</f>
        <v>220.91</v>
      </c>
    </row>
    <row r="992">
      <c r="A992" s="2">
        <f>IFERROR(__xludf.DUMMYFUNCTION("""COMPUTED_VALUE"""),45545.66666666667)</f>
        <v>45545.66667</v>
      </c>
      <c r="B992" s="1">
        <f>IFERROR(__xludf.DUMMYFUNCTION("""COMPUTED_VALUE"""),220.11)</f>
        <v>220.11</v>
      </c>
    </row>
    <row r="993">
      <c r="A993" s="2">
        <f>IFERROR(__xludf.DUMMYFUNCTION("""COMPUTED_VALUE"""),45546.66666666667)</f>
        <v>45546.66667</v>
      </c>
      <c r="B993" s="1">
        <f>IFERROR(__xludf.DUMMYFUNCTION("""COMPUTED_VALUE"""),222.66)</f>
        <v>222.66</v>
      </c>
    </row>
    <row r="994">
      <c r="A994" s="2">
        <f>IFERROR(__xludf.DUMMYFUNCTION("""COMPUTED_VALUE"""),45547.66666666667)</f>
        <v>45547.66667</v>
      </c>
      <c r="B994" s="1">
        <f>IFERROR(__xludf.DUMMYFUNCTION("""COMPUTED_VALUE"""),222.77)</f>
        <v>222.77</v>
      </c>
    </row>
    <row r="995">
      <c r="A995" s="2">
        <f>IFERROR(__xludf.DUMMYFUNCTION("""COMPUTED_VALUE"""),45548.66666666667)</f>
        <v>45548.66667</v>
      </c>
      <c r="B995" s="1">
        <f>IFERROR(__xludf.DUMMYFUNCTION("""COMPUTED_VALUE"""),222.5)</f>
        <v>222.5</v>
      </c>
    </row>
    <row r="996">
      <c r="A996" s="2">
        <f>IFERROR(__xludf.DUMMYFUNCTION("""COMPUTED_VALUE"""),45551.66666666667)</f>
        <v>45551.66667</v>
      </c>
      <c r="B996" s="1">
        <f>IFERROR(__xludf.DUMMYFUNCTION("""COMPUTED_VALUE"""),216.32)</f>
        <v>216.32</v>
      </c>
    </row>
    <row r="997">
      <c r="A997" s="2">
        <f>IFERROR(__xludf.DUMMYFUNCTION("""COMPUTED_VALUE"""),45552.66666666667)</f>
        <v>45552.66667</v>
      </c>
      <c r="B997" s="1">
        <f>IFERROR(__xludf.DUMMYFUNCTION("""COMPUTED_VALUE"""),216.79)</f>
        <v>216.79</v>
      </c>
    </row>
    <row r="998">
      <c r="A998" s="2">
        <f>IFERROR(__xludf.DUMMYFUNCTION("""COMPUTED_VALUE"""),45553.66666666667)</f>
        <v>45553.66667</v>
      </c>
      <c r="B998" s="1">
        <f>IFERROR(__xludf.DUMMYFUNCTION("""COMPUTED_VALUE"""),220.69)</f>
        <v>220.69</v>
      </c>
    </row>
    <row r="999">
      <c r="A999" s="2">
        <f>IFERROR(__xludf.DUMMYFUNCTION("""COMPUTED_VALUE"""),45554.66666666667)</f>
        <v>45554.66667</v>
      </c>
      <c r="B999" s="1">
        <f>IFERROR(__xludf.DUMMYFUNCTION("""COMPUTED_VALUE"""),228.87)</f>
        <v>228.87</v>
      </c>
    </row>
    <row r="1000">
      <c r="A1000" s="2">
        <f>IFERROR(__xludf.DUMMYFUNCTION("""COMPUTED_VALUE"""),45555.66666666667)</f>
        <v>45555.66667</v>
      </c>
      <c r="B1000" s="1">
        <f>IFERROR(__xludf.DUMMYFUNCTION("""COMPUTED_VALUE"""),228.2)</f>
        <v>228.2</v>
      </c>
    </row>
    <row r="1001">
      <c r="A1001" s="2">
        <f>IFERROR(__xludf.DUMMYFUNCTION("""COMPUTED_VALUE"""),45558.66666666667)</f>
        <v>45558.66667</v>
      </c>
      <c r="B1001" s="1">
        <f>IFERROR(__xludf.DUMMYFUNCTION("""COMPUTED_VALUE"""),226.47)</f>
        <v>226.47</v>
      </c>
    </row>
    <row r="1002">
      <c r="A1002" s="2">
        <f>IFERROR(__xludf.DUMMYFUNCTION("""COMPUTED_VALUE"""),45559.66666666667)</f>
        <v>45559.66667</v>
      </c>
      <c r="B1002" s="1">
        <f>IFERROR(__xludf.DUMMYFUNCTION("""COMPUTED_VALUE"""),227.37)</f>
        <v>227.37</v>
      </c>
    </row>
    <row r="1003">
      <c r="A1003" s="2">
        <f>IFERROR(__xludf.DUMMYFUNCTION("""COMPUTED_VALUE"""),45560.66666666667)</f>
        <v>45560.66667</v>
      </c>
      <c r="B1003" s="1">
        <f>IFERROR(__xludf.DUMMYFUNCTION("""COMPUTED_VALUE"""),226.37)</f>
        <v>226.37</v>
      </c>
    </row>
    <row r="1004">
      <c r="A1004" s="2">
        <f>IFERROR(__xludf.DUMMYFUNCTION("""COMPUTED_VALUE"""),45561.66666666667)</f>
        <v>45561.66667</v>
      </c>
      <c r="B1004" s="1">
        <f>IFERROR(__xludf.DUMMYFUNCTION("""COMPUTED_VALUE"""),227.52)</f>
        <v>227.52</v>
      </c>
    </row>
    <row r="1005">
      <c r="A1005" s="2">
        <f>IFERROR(__xludf.DUMMYFUNCTION("""COMPUTED_VALUE"""),45562.66666666667)</f>
        <v>45562.66667</v>
      </c>
      <c r="B1005" s="1">
        <f>IFERROR(__xludf.DUMMYFUNCTION("""COMPUTED_VALUE"""),227.79)</f>
        <v>227.79</v>
      </c>
    </row>
    <row r="1006">
      <c r="A1006" s="2">
        <f>IFERROR(__xludf.DUMMYFUNCTION("""COMPUTED_VALUE"""),45565.66666666667)</f>
        <v>45565.66667</v>
      </c>
      <c r="B1006" s="1">
        <f>IFERROR(__xludf.DUMMYFUNCTION("""COMPUTED_VALUE"""),233.0)</f>
        <v>233</v>
      </c>
    </row>
    <row r="1007">
      <c r="A1007" s="2">
        <f>IFERROR(__xludf.DUMMYFUNCTION("""COMPUTED_VALUE"""),45566.66666666667)</f>
        <v>45566.66667</v>
      </c>
      <c r="B1007" s="1">
        <f>IFERROR(__xludf.DUMMYFUNCTION("""COMPUTED_VALUE"""),226.21)</f>
        <v>226.21</v>
      </c>
    </row>
    <row r="1008">
      <c r="A1008" s="2">
        <f>IFERROR(__xludf.DUMMYFUNCTION("""COMPUTED_VALUE"""),45567.66666666667)</f>
        <v>45567.66667</v>
      </c>
      <c r="B1008" s="1">
        <f>IFERROR(__xludf.DUMMYFUNCTION("""COMPUTED_VALUE"""),226.78)</f>
        <v>226.78</v>
      </c>
    </row>
    <row r="1009">
      <c r="A1009" s="2">
        <f>IFERROR(__xludf.DUMMYFUNCTION("""COMPUTED_VALUE"""),45568.66666666667)</f>
        <v>45568.66667</v>
      </c>
      <c r="B1009" s="1">
        <f>IFERROR(__xludf.DUMMYFUNCTION("""COMPUTED_VALUE"""),225.67)</f>
        <v>225.67</v>
      </c>
    </row>
    <row r="1010">
      <c r="A1010" s="2">
        <f>IFERROR(__xludf.DUMMYFUNCTION("""COMPUTED_VALUE"""),45569.66666666667)</f>
        <v>45569.66667</v>
      </c>
      <c r="B1010" s="1">
        <f>IFERROR(__xludf.DUMMYFUNCTION("""COMPUTED_VALUE"""),226.8)</f>
        <v>226.8</v>
      </c>
    </row>
    <row r="1011">
      <c r="A1011" s="2">
        <f>IFERROR(__xludf.DUMMYFUNCTION("""COMPUTED_VALUE"""),45572.66666666667)</f>
        <v>45572.66667</v>
      </c>
      <c r="B1011" s="1">
        <f>IFERROR(__xludf.DUMMYFUNCTION("""COMPUTED_VALUE"""),221.69)</f>
        <v>221.69</v>
      </c>
    </row>
    <row r="1012">
      <c r="A1012" s="2">
        <f>IFERROR(__xludf.DUMMYFUNCTION("""COMPUTED_VALUE"""),45573.66666666667)</f>
        <v>45573.66667</v>
      </c>
      <c r="B1012" s="1">
        <f>IFERROR(__xludf.DUMMYFUNCTION("""COMPUTED_VALUE"""),225.77)</f>
        <v>225.77</v>
      </c>
    </row>
    <row r="1013">
      <c r="A1013" s="2">
        <f>IFERROR(__xludf.DUMMYFUNCTION("""COMPUTED_VALUE"""),45574.66666666667)</f>
        <v>45574.66667</v>
      </c>
      <c r="B1013" s="1">
        <f>IFERROR(__xludf.DUMMYFUNCTION("""COMPUTED_VALUE"""),229.54)</f>
        <v>229.54</v>
      </c>
    </row>
    <row r="1014">
      <c r="A1014" s="2">
        <f>IFERROR(__xludf.DUMMYFUNCTION("""COMPUTED_VALUE"""),45575.66666666667)</f>
        <v>45575.66667</v>
      </c>
      <c r="B1014" s="1">
        <f>IFERROR(__xludf.DUMMYFUNCTION("""COMPUTED_VALUE"""),229.04)</f>
        <v>229.04</v>
      </c>
    </row>
    <row r="1015">
      <c r="A1015" s="2">
        <f>IFERROR(__xludf.DUMMYFUNCTION("""COMPUTED_VALUE"""),45576.66666666667)</f>
        <v>45576.66667</v>
      </c>
      <c r="B1015" s="1">
        <f>IFERROR(__xludf.DUMMYFUNCTION("""COMPUTED_VALUE"""),227.55)</f>
        <v>227.55</v>
      </c>
    </row>
    <row r="1016">
      <c r="A1016" s="2">
        <f>IFERROR(__xludf.DUMMYFUNCTION("""COMPUTED_VALUE"""),45579.66666666667)</f>
        <v>45579.66667</v>
      </c>
      <c r="B1016" s="1">
        <f>IFERROR(__xludf.DUMMYFUNCTION("""COMPUTED_VALUE"""),231.3)</f>
        <v>231.3</v>
      </c>
    </row>
    <row r="1017">
      <c r="A1017" s="2">
        <f>IFERROR(__xludf.DUMMYFUNCTION("""COMPUTED_VALUE"""),45580.66666666667)</f>
        <v>45580.66667</v>
      </c>
      <c r="B1017" s="1">
        <f>IFERROR(__xludf.DUMMYFUNCTION("""COMPUTED_VALUE"""),233.85)</f>
        <v>233.85</v>
      </c>
    </row>
    <row r="1018">
      <c r="A1018" s="2">
        <f>IFERROR(__xludf.DUMMYFUNCTION("""COMPUTED_VALUE"""),45581.66666666667)</f>
        <v>45581.66667</v>
      </c>
      <c r="B1018" s="1">
        <f>IFERROR(__xludf.DUMMYFUNCTION("""COMPUTED_VALUE"""),231.78)</f>
        <v>231.78</v>
      </c>
    </row>
    <row r="1019">
      <c r="A1019" s="2">
        <f>IFERROR(__xludf.DUMMYFUNCTION("""COMPUTED_VALUE"""),45582.66666666667)</f>
        <v>45582.66667</v>
      </c>
      <c r="B1019" s="1">
        <f>IFERROR(__xludf.DUMMYFUNCTION("""COMPUTED_VALUE"""),232.15)</f>
        <v>232.15</v>
      </c>
    </row>
    <row r="1020">
      <c r="A1020" s="2">
        <f>IFERROR(__xludf.DUMMYFUNCTION("""COMPUTED_VALUE"""),45583.66666666667)</f>
        <v>45583.66667</v>
      </c>
      <c r="B1020" s="1">
        <f>IFERROR(__xludf.DUMMYFUNCTION("""COMPUTED_VALUE"""),235.0)</f>
        <v>235</v>
      </c>
    </row>
    <row r="1021">
      <c r="A1021" s="2">
        <f>IFERROR(__xludf.DUMMYFUNCTION("""COMPUTED_VALUE"""),45586.66666666667)</f>
        <v>45586.66667</v>
      </c>
      <c r="B1021" s="1">
        <f>IFERROR(__xludf.DUMMYFUNCTION("""COMPUTED_VALUE"""),236.48)</f>
        <v>236.48</v>
      </c>
    </row>
    <row r="1022">
      <c r="A1022" s="2">
        <f>IFERROR(__xludf.DUMMYFUNCTION("""COMPUTED_VALUE"""),45587.66666666667)</f>
        <v>45587.66667</v>
      </c>
      <c r="B1022" s="1">
        <f>IFERROR(__xludf.DUMMYFUNCTION("""COMPUTED_VALUE"""),235.86)</f>
        <v>235.86</v>
      </c>
    </row>
    <row r="1023">
      <c r="A1023" s="2">
        <f>IFERROR(__xludf.DUMMYFUNCTION("""COMPUTED_VALUE"""),45588.66666666667)</f>
        <v>45588.66667</v>
      </c>
      <c r="B1023" s="1">
        <f>IFERROR(__xludf.DUMMYFUNCTION("""COMPUTED_VALUE"""),230.76)</f>
        <v>230.76</v>
      </c>
    </row>
    <row r="1024">
      <c r="A1024" s="2">
        <f>IFERROR(__xludf.DUMMYFUNCTION("""COMPUTED_VALUE"""),45589.66666666667)</f>
        <v>45589.66667</v>
      </c>
      <c r="B1024" s="1">
        <f>IFERROR(__xludf.DUMMYFUNCTION("""COMPUTED_VALUE"""),230.57)</f>
        <v>230.57</v>
      </c>
    </row>
    <row r="1025">
      <c r="A1025" s="2">
        <f>IFERROR(__xludf.DUMMYFUNCTION("""COMPUTED_VALUE"""),45590.66666666667)</f>
        <v>45590.66667</v>
      </c>
      <c r="B1025" s="1">
        <f>IFERROR(__xludf.DUMMYFUNCTION("""COMPUTED_VALUE"""),231.41)</f>
        <v>231.41</v>
      </c>
    </row>
    <row r="1026">
      <c r="A1026" s="2">
        <f>IFERROR(__xludf.DUMMYFUNCTION("""COMPUTED_VALUE"""),45593.66666666667)</f>
        <v>45593.66667</v>
      </c>
      <c r="B1026" s="1">
        <f>IFERROR(__xludf.DUMMYFUNCTION("""COMPUTED_VALUE"""),233.4)</f>
        <v>233.4</v>
      </c>
    </row>
    <row r="1027">
      <c r="A1027" s="2">
        <f>IFERROR(__xludf.DUMMYFUNCTION("""COMPUTED_VALUE"""),45594.66666666667)</f>
        <v>45594.66667</v>
      </c>
      <c r="B1027" s="1">
        <f>IFERROR(__xludf.DUMMYFUNCTION("""COMPUTED_VALUE"""),233.67)</f>
        <v>233.67</v>
      </c>
    </row>
    <row r="1028">
      <c r="A1028" s="2">
        <f>IFERROR(__xludf.DUMMYFUNCTION("""COMPUTED_VALUE"""),45595.66666666667)</f>
        <v>45595.66667</v>
      </c>
      <c r="B1028" s="1">
        <f>IFERROR(__xludf.DUMMYFUNCTION("""COMPUTED_VALUE"""),230.1)</f>
        <v>230.1</v>
      </c>
    </row>
    <row r="1029">
      <c r="A1029" s="2">
        <f>IFERROR(__xludf.DUMMYFUNCTION("""COMPUTED_VALUE"""),45596.66666666667)</f>
        <v>45596.66667</v>
      </c>
      <c r="B1029" s="1">
        <f>IFERROR(__xludf.DUMMYFUNCTION("""COMPUTED_VALUE"""),225.91)</f>
        <v>225.91</v>
      </c>
    </row>
    <row r="1030">
      <c r="A1030" s="2">
        <f>IFERROR(__xludf.DUMMYFUNCTION("""COMPUTED_VALUE"""),45597.66666666667)</f>
        <v>45597.66667</v>
      </c>
      <c r="B1030" s="1">
        <f>IFERROR(__xludf.DUMMYFUNCTION("""COMPUTED_VALUE"""),222.91)</f>
        <v>222.91</v>
      </c>
    </row>
    <row r="1031">
      <c r="A1031" s="2">
        <f>IFERROR(__xludf.DUMMYFUNCTION("""COMPUTED_VALUE"""),45600.66666666667)</f>
        <v>45600.66667</v>
      </c>
      <c r="B1031" s="1">
        <f>IFERROR(__xludf.DUMMYFUNCTION("""COMPUTED_VALUE"""),222.01)</f>
        <v>222.01</v>
      </c>
    </row>
    <row r="1032">
      <c r="A1032" s="2">
        <f>IFERROR(__xludf.DUMMYFUNCTION("""COMPUTED_VALUE"""),45601.66666666667)</f>
        <v>45601.66667</v>
      </c>
      <c r="B1032" s="1">
        <f>IFERROR(__xludf.DUMMYFUNCTION("""COMPUTED_VALUE"""),223.45)</f>
        <v>223.45</v>
      </c>
    </row>
    <row r="1033">
      <c r="A1033" s="2">
        <f>IFERROR(__xludf.DUMMYFUNCTION("""COMPUTED_VALUE"""),45602.66666666667)</f>
        <v>45602.66667</v>
      </c>
      <c r="B1033" s="1">
        <f>IFERROR(__xludf.DUMMYFUNCTION("""COMPUTED_VALUE"""),222.72)</f>
        <v>222.72</v>
      </c>
    </row>
    <row r="1034">
      <c r="A1034" s="2">
        <f>IFERROR(__xludf.DUMMYFUNCTION("""COMPUTED_VALUE"""),45603.66666666667)</f>
        <v>45603.66667</v>
      </c>
      <c r="B1034" s="1">
        <f>IFERROR(__xludf.DUMMYFUNCTION("""COMPUTED_VALUE"""),227.48)</f>
        <v>227.48</v>
      </c>
    </row>
    <row r="1035">
      <c r="A1035" s="2">
        <f>IFERROR(__xludf.DUMMYFUNCTION("""COMPUTED_VALUE"""),45604.66666666667)</f>
        <v>45604.66667</v>
      </c>
      <c r="B1035" s="1">
        <f>IFERROR(__xludf.DUMMYFUNCTION("""COMPUTED_VALUE"""),226.96)</f>
        <v>226.96</v>
      </c>
    </row>
    <row r="1036">
      <c r="A1036" s="2">
        <f>IFERROR(__xludf.DUMMYFUNCTION("""COMPUTED_VALUE"""),45607.66666666667)</f>
        <v>45607.66667</v>
      </c>
      <c r="B1036" s="1">
        <f>IFERROR(__xludf.DUMMYFUNCTION("""COMPUTED_VALUE"""),224.23)</f>
        <v>224.23</v>
      </c>
    </row>
    <row r="1037">
      <c r="A1037" s="2">
        <f>IFERROR(__xludf.DUMMYFUNCTION("""COMPUTED_VALUE"""),45608.66666666667)</f>
        <v>45608.66667</v>
      </c>
      <c r="B1037" s="1">
        <f>IFERROR(__xludf.DUMMYFUNCTION("""COMPUTED_VALUE"""),224.23)</f>
        <v>224.23</v>
      </c>
    </row>
    <row r="1038">
      <c r="A1038" s="2">
        <f>IFERROR(__xludf.DUMMYFUNCTION("""COMPUTED_VALUE"""),45609.66666666667)</f>
        <v>45609.66667</v>
      </c>
      <c r="B1038" s="1">
        <f>IFERROR(__xludf.DUMMYFUNCTION("""COMPUTED_VALUE"""),225.12)</f>
        <v>225.12</v>
      </c>
    </row>
    <row r="1039">
      <c r="A1039" s="2">
        <f>IFERROR(__xludf.DUMMYFUNCTION("""COMPUTED_VALUE"""),45610.66666666667)</f>
        <v>45610.66667</v>
      </c>
      <c r="B1039" s="1">
        <f>IFERROR(__xludf.DUMMYFUNCTION("""COMPUTED_VALUE"""),228.22)</f>
        <v>228.22</v>
      </c>
    </row>
    <row r="1040">
      <c r="A1040" s="2">
        <f>IFERROR(__xludf.DUMMYFUNCTION("""COMPUTED_VALUE"""),45611.66666666667)</f>
        <v>45611.66667</v>
      </c>
      <c r="B1040" s="1">
        <f>IFERROR(__xludf.DUMMYFUNCTION("""COMPUTED_VALUE"""),225.0)</f>
        <v>225</v>
      </c>
    </row>
    <row r="1041">
      <c r="A1041" s="2">
        <f>IFERROR(__xludf.DUMMYFUNCTION("""COMPUTED_VALUE"""),45614.66666666667)</f>
        <v>45614.66667</v>
      </c>
      <c r="B1041" s="1">
        <f>IFERROR(__xludf.DUMMYFUNCTION("""COMPUTED_VALUE"""),228.02)</f>
        <v>228.02</v>
      </c>
    </row>
    <row r="1042">
      <c r="A1042" s="2">
        <f>IFERROR(__xludf.DUMMYFUNCTION("""COMPUTED_VALUE"""),45615.66666666667)</f>
        <v>45615.66667</v>
      </c>
      <c r="B1042" s="1">
        <f>IFERROR(__xludf.DUMMYFUNCTION("""COMPUTED_VALUE"""),228.28)</f>
        <v>228.28</v>
      </c>
    </row>
    <row r="1043">
      <c r="A1043" s="2">
        <f>IFERROR(__xludf.DUMMYFUNCTION("""COMPUTED_VALUE"""),45616.66666666667)</f>
        <v>45616.66667</v>
      </c>
      <c r="B1043" s="1">
        <f>IFERROR(__xludf.DUMMYFUNCTION("""COMPUTED_VALUE"""),229.0)</f>
        <v>229</v>
      </c>
    </row>
    <row r="1044">
      <c r="A1044" s="2">
        <f>IFERROR(__xludf.DUMMYFUNCTION("""COMPUTED_VALUE"""),45617.66666666667)</f>
        <v>45617.66667</v>
      </c>
      <c r="B1044" s="1">
        <f>IFERROR(__xludf.DUMMYFUNCTION("""COMPUTED_VALUE"""),228.52)</f>
        <v>228.52</v>
      </c>
    </row>
    <row r="1045">
      <c r="A1045" s="2">
        <f>IFERROR(__xludf.DUMMYFUNCTION("""COMPUTED_VALUE"""),45618.66666666667)</f>
        <v>45618.66667</v>
      </c>
      <c r="B1045" s="1">
        <f>IFERROR(__xludf.DUMMYFUNCTION("""COMPUTED_VALUE"""),229.87)</f>
        <v>229.87</v>
      </c>
    </row>
    <row r="1046">
      <c r="A1046" s="2">
        <f>IFERROR(__xludf.DUMMYFUNCTION("""COMPUTED_VALUE"""),45621.66666666667)</f>
        <v>45621.66667</v>
      </c>
      <c r="B1046" s="1">
        <f>IFERROR(__xludf.DUMMYFUNCTION("""COMPUTED_VALUE"""),232.87)</f>
        <v>232.87</v>
      </c>
    </row>
    <row r="1047">
      <c r="A1047" s="2">
        <f>IFERROR(__xludf.DUMMYFUNCTION("""COMPUTED_VALUE"""),45622.66666666667)</f>
        <v>45622.66667</v>
      </c>
      <c r="B1047" s="1">
        <f>IFERROR(__xludf.DUMMYFUNCTION("""COMPUTED_VALUE"""),235.06)</f>
        <v>235.06</v>
      </c>
    </row>
    <row r="1048">
      <c r="A1048" s="2">
        <f>IFERROR(__xludf.DUMMYFUNCTION("""COMPUTED_VALUE"""),45623.66666666667)</f>
        <v>45623.66667</v>
      </c>
      <c r="B1048" s="1">
        <f>IFERROR(__xludf.DUMMYFUNCTION("""COMPUTED_VALUE"""),234.93)</f>
        <v>234.93</v>
      </c>
    </row>
    <row r="1049">
      <c r="A1049" s="2">
        <f>IFERROR(__xludf.DUMMYFUNCTION("""COMPUTED_VALUE"""),45625.54513888889)</f>
        <v>45625.54514</v>
      </c>
      <c r="B1049" s="1">
        <f>IFERROR(__xludf.DUMMYFUNCTION("""COMPUTED_VALUE"""),237.33)</f>
        <v>237.33</v>
      </c>
    </row>
    <row r="1050">
      <c r="A1050" s="2">
        <f>IFERROR(__xludf.DUMMYFUNCTION("""COMPUTED_VALUE"""),45628.66666666667)</f>
        <v>45628.66667</v>
      </c>
      <c r="B1050" s="1">
        <f>IFERROR(__xludf.DUMMYFUNCTION("""COMPUTED_VALUE"""),239.59)</f>
        <v>239.59</v>
      </c>
    </row>
    <row r="1051">
      <c r="A1051" s="2">
        <f>IFERROR(__xludf.DUMMYFUNCTION("""COMPUTED_VALUE"""),45629.66666666667)</f>
        <v>45629.66667</v>
      </c>
      <c r="B1051" s="1">
        <f>IFERROR(__xludf.DUMMYFUNCTION("""COMPUTED_VALUE"""),242.65)</f>
        <v>242.65</v>
      </c>
    </row>
    <row r="1052">
      <c r="A1052" s="2">
        <f>IFERROR(__xludf.DUMMYFUNCTION("""COMPUTED_VALUE"""),45630.66666666667)</f>
        <v>45630.66667</v>
      </c>
      <c r="B1052" s="1">
        <f>IFERROR(__xludf.DUMMYFUNCTION("""COMPUTED_VALUE"""),243.01)</f>
        <v>243.01</v>
      </c>
    </row>
    <row r="1053">
      <c r="A1053" s="2">
        <f>IFERROR(__xludf.DUMMYFUNCTION("""COMPUTED_VALUE"""),45631.66666666667)</f>
        <v>45631.66667</v>
      </c>
      <c r="B1053" s="1">
        <f>IFERROR(__xludf.DUMMYFUNCTION("""COMPUTED_VALUE"""),243.04)</f>
        <v>243.04</v>
      </c>
    </row>
    <row r="1054">
      <c r="A1054" s="2">
        <f>IFERROR(__xludf.DUMMYFUNCTION("""COMPUTED_VALUE"""),45632.66666666667)</f>
        <v>45632.66667</v>
      </c>
      <c r="B1054" s="1">
        <f>IFERROR(__xludf.DUMMYFUNCTION("""COMPUTED_VALUE"""),242.84)</f>
        <v>242.84</v>
      </c>
    </row>
    <row r="1055">
      <c r="A1055" s="2">
        <f>IFERROR(__xludf.DUMMYFUNCTION("""COMPUTED_VALUE"""),45635.66666666667)</f>
        <v>45635.66667</v>
      </c>
      <c r="B1055" s="1">
        <f>IFERROR(__xludf.DUMMYFUNCTION("""COMPUTED_VALUE"""),246.75)</f>
        <v>246.75</v>
      </c>
    </row>
    <row r="1056">
      <c r="A1056" s="2">
        <f>IFERROR(__xludf.DUMMYFUNCTION("""COMPUTED_VALUE"""),45636.66666666667)</f>
        <v>45636.66667</v>
      </c>
      <c r="B1056" s="1">
        <f>IFERROR(__xludf.DUMMYFUNCTION("""COMPUTED_VALUE"""),247.77)</f>
        <v>247.77</v>
      </c>
    </row>
    <row r="1057">
      <c r="A1057" s="2">
        <f>IFERROR(__xludf.DUMMYFUNCTION("""COMPUTED_VALUE"""),45637.66666666667)</f>
        <v>45637.66667</v>
      </c>
      <c r="B1057" s="1">
        <f>IFERROR(__xludf.DUMMYFUNCTION("""COMPUTED_VALUE"""),246.49)</f>
        <v>246.49</v>
      </c>
    </row>
    <row r="1058">
      <c r="A1058" s="2">
        <f>IFERROR(__xludf.DUMMYFUNCTION("""COMPUTED_VALUE"""),45638.66666666667)</f>
        <v>45638.66667</v>
      </c>
      <c r="B1058" s="1">
        <f>IFERROR(__xludf.DUMMYFUNCTION("""COMPUTED_VALUE"""),247.96)</f>
        <v>247.96</v>
      </c>
    </row>
    <row r="1059">
      <c r="A1059" s="2">
        <f>IFERROR(__xludf.DUMMYFUNCTION("""COMPUTED_VALUE"""),45639.66666666667)</f>
        <v>45639.66667</v>
      </c>
      <c r="B1059" s="1">
        <f>IFERROR(__xludf.DUMMYFUNCTION("""COMPUTED_VALUE"""),248.13)</f>
        <v>248.13</v>
      </c>
    </row>
    <row r="1060">
      <c r="A1060" s="2">
        <f>IFERROR(__xludf.DUMMYFUNCTION("""COMPUTED_VALUE"""),45642.66666666667)</f>
        <v>45642.66667</v>
      </c>
      <c r="B1060" s="1">
        <f>IFERROR(__xludf.DUMMYFUNCTION("""COMPUTED_VALUE"""),251.04)</f>
        <v>251.04</v>
      </c>
    </row>
    <row r="1061">
      <c r="A1061" s="2">
        <f>IFERROR(__xludf.DUMMYFUNCTION("""COMPUTED_VALUE"""),45643.66666666667)</f>
        <v>45643.66667</v>
      </c>
      <c r="B1061" s="1">
        <f>IFERROR(__xludf.DUMMYFUNCTION("""COMPUTED_VALUE"""),253.48)</f>
        <v>253.48</v>
      </c>
    </row>
    <row r="1062">
      <c r="A1062" s="2">
        <f>IFERROR(__xludf.DUMMYFUNCTION("""COMPUTED_VALUE"""),45644.66666666667)</f>
        <v>45644.66667</v>
      </c>
      <c r="B1062" s="1">
        <f>IFERROR(__xludf.DUMMYFUNCTION("""COMPUTED_VALUE"""),248.05)</f>
        <v>248.05</v>
      </c>
    </row>
    <row r="1063">
      <c r="A1063" s="2">
        <f>IFERROR(__xludf.DUMMYFUNCTION("""COMPUTED_VALUE"""),45645.66666666667)</f>
        <v>45645.66667</v>
      </c>
      <c r="B1063" s="1">
        <f>IFERROR(__xludf.DUMMYFUNCTION("""COMPUTED_VALUE"""),249.79)</f>
        <v>249.79</v>
      </c>
    </row>
    <row r="1064">
      <c r="A1064" s="2">
        <f>IFERROR(__xludf.DUMMYFUNCTION("""COMPUTED_VALUE"""),45646.66666666667)</f>
        <v>45646.66667</v>
      </c>
      <c r="B1064" s="1">
        <f>IFERROR(__xludf.DUMMYFUNCTION("""COMPUTED_VALUE"""),254.49)</f>
        <v>254.49</v>
      </c>
    </row>
    <row r="1065">
      <c r="A1065" s="2">
        <f>IFERROR(__xludf.DUMMYFUNCTION("""COMPUTED_VALUE"""),45649.66666666667)</f>
        <v>45649.66667</v>
      </c>
      <c r="B1065" s="1">
        <f>IFERROR(__xludf.DUMMYFUNCTION("""COMPUTED_VALUE"""),255.27)</f>
        <v>255.27</v>
      </c>
    </row>
    <row r="1066">
      <c r="A1066" s="2">
        <f>IFERROR(__xludf.DUMMYFUNCTION("""COMPUTED_VALUE"""),45650.54513888889)</f>
        <v>45650.54514</v>
      </c>
      <c r="B1066" s="1">
        <f>IFERROR(__xludf.DUMMYFUNCTION("""COMPUTED_VALUE"""),258.2)</f>
        <v>258.2</v>
      </c>
    </row>
    <row r="1067">
      <c r="A1067" s="2">
        <f>IFERROR(__xludf.DUMMYFUNCTION("""COMPUTED_VALUE"""),45652.66666666667)</f>
        <v>45652.66667</v>
      </c>
      <c r="B1067" s="1">
        <f>IFERROR(__xludf.DUMMYFUNCTION("""COMPUTED_VALUE"""),259.02)</f>
        <v>259.02</v>
      </c>
    </row>
    <row r="1068">
      <c r="A1068" s="2">
        <f>IFERROR(__xludf.DUMMYFUNCTION("""COMPUTED_VALUE"""),45653.66666666667)</f>
        <v>45653.66667</v>
      </c>
      <c r="B1068" s="1">
        <f>IFERROR(__xludf.DUMMYFUNCTION("""COMPUTED_VALUE"""),255.59)</f>
        <v>255.59</v>
      </c>
    </row>
    <row r="1069">
      <c r="A1069" s="2">
        <f>IFERROR(__xludf.DUMMYFUNCTION("""COMPUTED_VALUE"""),45656.66666666667)</f>
        <v>45656.66667</v>
      </c>
      <c r="B1069" s="1">
        <f>IFERROR(__xludf.DUMMYFUNCTION("""COMPUTED_VALUE"""),252.2)</f>
        <v>252.2</v>
      </c>
    </row>
    <row r="1070">
      <c r="A1070" s="2">
        <f>IFERROR(__xludf.DUMMYFUNCTION("""COMPUTED_VALUE"""),45657.66666666667)</f>
        <v>45657.66667</v>
      </c>
      <c r="B1070" s="1">
        <f>IFERROR(__xludf.DUMMYFUNCTION("""COMPUTED_VALUE"""),250.42)</f>
        <v>250.42</v>
      </c>
    </row>
    <row r="1071">
      <c r="A1071" s="2">
        <f>IFERROR(__xludf.DUMMYFUNCTION("""COMPUTED_VALUE"""),45659.66666666667)</f>
        <v>45659.66667</v>
      </c>
      <c r="B1071" s="1">
        <f>IFERROR(__xludf.DUMMYFUNCTION("""COMPUTED_VALUE"""),243.85)</f>
        <v>243.85</v>
      </c>
    </row>
    <row r="1072">
      <c r="A1072" s="2">
        <f>IFERROR(__xludf.DUMMYFUNCTION("""COMPUTED_VALUE"""),45660.66666666667)</f>
        <v>45660.66667</v>
      </c>
      <c r="B1072" s="1">
        <f>IFERROR(__xludf.DUMMYFUNCTION("""COMPUTED_VALUE"""),243.36)</f>
        <v>243.36</v>
      </c>
    </row>
    <row r="1073">
      <c r="A1073" s="2">
        <f>IFERROR(__xludf.DUMMYFUNCTION("""COMPUTED_VALUE"""),45663.66666666667)</f>
        <v>45663.66667</v>
      </c>
      <c r="B1073" s="1">
        <f>IFERROR(__xludf.DUMMYFUNCTION("""COMPUTED_VALUE"""),245.0)</f>
        <v>245</v>
      </c>
    </row>
    <row r="1074">
      <c r="A1074" s="2">
        <f>IFERROR(__xludf.DUMMYFUNCTION("""COMPUTED_VALUE"""),45664.66666666667)</f>
        <v>45664.66667</v>
      </c>
      <c r="B1074" s="1">
        <f>IFERROR(__xludf.DUMMYFUNCTION("""COMPUTED_VALUE"""),242.21)</f>
        <v>242.21</v>
      </c>
    </row>
    <row r="1075">
      <c r="A1075" s="2">
        <f>IFERROR(__xludf.DUMMYFUNCTION("""COMPUTED_VALUE"""),45665.66666666667)</f>
        <v>45665.66667</v>
      </c>
      <c r="B1075" s="1">
        <f>IFERROR(__xludf.DUMMYFUNCTION("""COMPUTED_VALUE"""),242.7)</f>
        <v>242.7</v>
      </c>
    </row>
    <row r="1076">
      <c r="A1076" s="2">
        <f>IFERROR(__xludf.DUMMYFUNCTION("""COMPUTED_VALUE"""),45667.66666666667)</f>
        <v>45667.66667</v>
      </c>
      <c r="B1076" s="1">
        <f>IFERROR(__xludf.DUMMYFUNCTION("""COMPUTED_VALUE"""),236.85)</f>
        <v>236.85</v>
      </c>
    </row>
    <row r="1077">
      <c r="A1077" s="2">
        <f>IFERROR(__xludf.DUMMYFUNCTION("""COMPUTED_VALUE"""),45670.66666666667)</f>
        <v>45670.66667</v>
      </c>
      <c r="B1077" s="1">
        <f>IFERROR(__xludf.DUMMYFUNCTION("""COMPUTED_VALUE"""),234.4)</f>
        <v>234.4</v>
      </c>
    </row>
    <row r="1078">
      <c r="A1078" s="2">
        <f>IFERROR(__xludf.DUMMYFUNCTION("""COMPUTED_VALUE"""),45671.66666666667)</f>
        <v>45671.66667</v>
      </c>
      <c r="B1078" s="1">
        <f>IFERROR(__xludf.DUMMYFUNCTION("""COMPUTED_VALUE"""),233.28)</f>
        <v>233.28</v>
      </c>
    </row>
    <row r="1079">
      <c r="A1079" s="2">
        <f>IFERROR(__xludf.DUMMYFUNCTION("""COMPUTED_VALUE"""),45672.66666666667)</f>
        <v>45672.66667</v>
      </c>
      <c r="B1079" s="1">
        <f>IFERROR(__xludf.DUMMYFUNCTION("""COMPUTED_VALUE"""),237.87)</f>
        <v>237.87</v>
      </c>
    </row>
    <row r="1080">
      <c r="A1080" s="2">
        <f>IFERROR(__xludf.DUMMYFUNCTION("""COMPUTED_VALUE"""),45673.66666666667)</f>
        <v>45673.66667</v>
      </c>
      <c r="B1080" s="1">
        <f>IFERROR(__xludf.DUMMYFUNCTION("""COMPUTED_VALUE"""),228.26)</f>
        <v>228.26</v>
      </c>
    </row>
    <row r="1081">
      <c r="A1081" s="2">
        <f>IFERROR(__xludf.DUMMYFUNCTION("""COMPUTED_VALUE"""),45674.66666666667)</f>
        <v>45674.66667</v>
      </c>
      <c r="B1081" s="1">
        <f>IFERROR(__xludf.DUMMYFUNCTION("""COMPUTED_VALUE"""),229.98)</f>
        <v>229.98</v>
      </c>
    </row>
    <row r="1082">
      <c r="A1082" s="2">
        <f>IFERROR(__xludf.DUMMYFUNCTION("""COMPUTED_VALUE"""),45678.66666666667)</f>
        <v>45678.66667</v>
      </c>
      <c r="B1082" s="1">
        <f>IFERROR(__xludf.DUMMYFUNCTION("""COMPUTED_VALUE"""),222.64)</f>
        <v>222.64</v>
      </c>
    </row>
    <row r="1083">
      <c r="A1083" s="2">
        <f>IFERROR(__xludf.DUMMYFUNCTION("""COMPUTED_VALUE"""),45679.66666666667)</f>
        <v>45679.66667</v>
      </c>
      <c r="B1083" s="1">
        <f>IFERROR(__xludf.DUMMYFUNCTION("""COMPUTED_VALUE"""),223.83)</f>
        <v>223.83</v>
      </c>
    </row>
    <row r="1084">
      <c r="A1084" s="2">
        <f>IFERROR(__xludf.DUMMYFUNCTION("""COMPUTED_VALUE"""),45680.66666666667)</f>
        <v>45680.66667</v>
      </c>
      <c r="B1084" s="1">
        <f>IFERROR(__xludf.DUMMYFUNCTION("""COMPUTED_VALUE"""),223.66)</f>
        <v>223.66</v>
      </c>
    </row>
    <row r="1085">
      <c r="A1085" s="2">
        <f>IFERROR(__xludf.DUMMYFUNCTION("""COMPUTED_VALUE"""),45681.66666666667)</f>
        <v>45681.66667</v>
      </c>
      <c r="B1085" s="1">
        <f>IFERROR(__xludf.DUMMYFUNCTION("""COMPUTED_VALUE"""),222.78)</f>
        <v>222.78</v>
      </c>
    </row>
    <row r="1086">
      <c r="A1086" s="2">
        <f>IFERROR(__xludf.DUMMYFUNCTION("""COMPUTED_VALUE"""),45684.66666666667)</f>
        <v>45684.66667</v>
      </c>
      <c r="B1086" s="1">
        <f>IFERROR(__xludf.DUMMYFUNCTION("""COMPUTED_VALUE"""),229.86)</f>
        <v>229.86</v>
      </c>
    </row>
    <row r="1087">
      <c r="A1087" s="2">
        <f>IFERROR(__xludf.DUMMYFUNCTION("""COMPUTED_VALUE"""),45685.66666666667)</f>
        <v>45685.66667</v>
      </c>
      <c r="B1087" s="1">
        <f>IFERROR(__xludf.DUMMYFUNCTION("""COMPUTED_VALUE"""),238.26)</f>
        <v>238.26</v>
      </c>
    </row>
    <row r="1088">
      <c r="A1088" s="2">
        <f>IFERROR(__xludf.DUMMYFUNCTION("""COMPUTED_VALUE"""),45686.66666666667)</f>
        <v>45686.66667</v>
      </c>
      <c r="B1088" s="1">
        <f>IFERROR(__xludf.DUMMYFUNCTION("""COMPUTED_VALUE"""),239.36)</f>
        <v>239.36</v>
      </c>
    </row>
    <row r="1089">
      <c r="A1089" s="2">
        <f>IFERROR(__xludf.DUMMYFUNCTION("""COMPUTED_VALUE"""),45687.66666666667)</f>
        <v>45687.66667</v>
      </c>
      <c r="B1089" s="1">
        <f>IFERROR(__xludf.DUMMYFUNCTION("""COMPUTED_VALUE"""),237.59)</f>
        <v>237.59</v>
      </c>
    </row>
    <row r="1090">
      <c r="A1090" s="2">
        <f>IFERROR(__xludf.DUMMYFUNCTION("""COMPUTED_VALUE"""),45688.66666666667)</f>
        <v>45688.66667</v>
      </c>
      <c r="B1090" s="1">
        <f>IFERROR(__xludf.DUMMYFUNCTION("""COMPUTED_VALUE"""),236.0)</f>
        <v>236</v>
      </c>
    </row>
    <row r="1091">
      <c r="A1091" s="2">
        <f>IFERROR(__xludf.DUMMYFUNCTION("""COMPUTED_VALUE"""),45691.66666666667)</f>
        <v>45691.66667</v>
      </c>
      <c r="B1091" s="1">
        <f>IFERROR(__xludf.DUMMYFUNCTION("""COMPUTED_VALUE"""),228.01)</f>
        <v>228.01</v>
      </c>
    </row>
    <row r="1092">
      <c r="A1092" s="2">
        <f>IFERROR(__xludf.DUMMYFUNCTION("""COMPUTED_VALUE"""),45692.66666666667)</f>
        <v>45692.66667</v>
      </c>
      <c r="B1092" s="1">
        <f>IFERROR(__xludf.DUMMYFUNCTION("""COMPUTED_VALUE"""),232.8)</f>
        <v>232.8</v>
      </c>
    </row>
    <row r="1093">
      <c r="A1093" s="2">
        <f>IFERROR(__xludf.DUMMYFUNCTION("""COMPUTED_VALUE"""),45693.66666666667)</f>
        <v>45693.66667</v>
      </c>
      <c r="B1093" s="1">
        <f>IFERROR(__xludf.DUMMYFUNCTION("""COMPUTED_VALUE"""),232.47)</f>
        <v>232.47</v>
      </c>
    </row>
    <row r="1094">
      <c r="A1094" s="2">
        <f>IFERROR(__xludf.DUMMYFUNCTION("""COMPUTED_VALUE"""),45694.66666666667)</f>
        <v>45694.66667</v>
      </c>
      <c r="B1094" s="1">
        <f>IFERROR(__xludf.DUMMYFUNCTION("""COMPUTED_VALUE"""),233.22)</f>
        <v>233.22</v>
      </c>
    </row>
    <row r="1095">
      <c r="A1095" s="2">
        <f>IFERROR(__xludf.DUMMYFUNCTION("""COMPUTED_VALUE"""),45695.66666666667)</f>
        <v>45695.66667</v>
      </c>
      <c r="B1095" s="1">
        <f>IFERROR(__xludf.DUMMYFUNCTION("""COMPUTED_VALUE"""),227.63)</f>
        <v>227.63</v>
      </c>
    </row>
    <row r="1096">
      <c r="A1096" s="2">
        <f>IFERROR(__xludf.DUMMYFUNCTION("""COMPUTED_VALUE"""),45698.66666666667)</f>
        <v>45698.66667</v>
      </c>
      <c r="B1096" s="1">
        <f>IFERROR(__xludf.DUMMYFUNCTION("""COMPUTED_VALUE"""),227.65)</f>
        <v>227.65</v>
      </c>
    </row>
    <row r="1097">
      <c r="A1097" s="2">
        <f>IFERROR(__xludf.DUMMYFUNCTION("""COMPUTED_VALUE"""),45699.66666666667)</f>
        <v>45699.66667</v>
      </c>
      <c r="B1097" s="1">
        <f>IFERROR(__xludf.DUMMYFUNCTION("""COMPUTED_VALUE"""),232.62)</f>
        <v>232.62</v>
      </c>
    </row>
    <row r="1098">
      <c r="A1098" s="2">
        <f>IFERROR(__xludf.DUMMYFUNCTION("""COMPUTED_VALUE"""),45700.66666666667)</f>
        <v>45700.66667</v>
      </c>
      <c r="B1098" s="1">
        <f>IFERROR(__xludf.DUMMYFUNCTION("""COMPUTED_VALUE"""),236.87)</f>
        <v>236.87</v>
      </c>
    </row>
    <row r="1099">
      <c r="A1099" s="2">
        <f>IFERROR(__xludf.DUMMYFUNCTION("""COMPUTED_VALUE"""),45701.66666666667)</f>
        <v>45701.66667</v>
      </c>
      <c r="B1099" s="1">
        <f>IFERROR(__xludf.DUMMYFUNCTION("""COMPUTED_VALUE"""),241.53)</f>
        <v>241.53</v>
      </c>
    </row>
    <row r="1100">
      <c r="A1100" s="2">
        <f>IFERROR(__xludf.DUMMYFUNCTION("""COMPUTED_VALUE"""),45702.66666666667)</f>
        <v>45702.66667</v>
      </c>
      <c r="B1100" s="1">
        <f>IFERROR(__xludf.DUMMYFUNCTION("""COMPUTED_VALUE"""),244.6)</f>
        <v>244.6</v>
      </c>
    </row>
    <row r="1101">
      <c r="A1101" s="2">
        <f>IFERROR(__xludf.DUMMYFUNCTION("""COMPUTED_VALUE"""),45706.66666666667)</f>
        <v>45706.66667</v>
      </c>
      <c r="B1101" s="1">
        <f>IFERROR(__xludf.DUMMYFUNCTION("""COMPUTED_VALUE"""),244.47)</f>
        <v>244.47</v>
      </c>
    </row>
    <row r="1102">
      <c r="A1102" s="2">
        <f>IFERROR(__xludf.DUMMYFUNCTION("""COMPUTED_VALUE"""),45707.66666666667)</f>
        <v>45707.66667</v>
      </c>
      <c r="B1102" s="1">
        <f>IFERROR(__xludf.DUMMYFUNCTION("""COMPUTED_VALUE"""),244.87)</f>
        <v>244.87</v>
      </c>
    </row>
    <row r="1103">
      <c r="A1103" s="2">
        <f>IFERROR(__xludf.DUMMYFUNCTION("""COMPUTED_VALUE"""),45708.66666666667)</f>
        <v>45708.66667</v>
      </c>
      <c r="B1103" s="1">
        <f>IFERROR(__xludf.DUMMYFUNCTION("""COMPUTED_VALUE"""),245.83)</f>
        <v>245.83</v>
      </c>
    </row>
    <row r="1104">
      <c r="A1104" s="2">
        <f>IFERROR(__xludf.DUMMYFUNCTION("""COMPUTED_VALUE"""),45709.66666666667)</f>
        <v>45709.66667</v>
      </c>
      <c r="B1104" s="1">
        <f>IFERROR(__xludf.DUMMYFUNCTION("""COMPUTED_VALUE"""),245.55)</f>
        <v>245.55</v>
      </c>
    </row>
    <row r="1105">
      <c r="A1105" s="2">
        <f>IFERROR(__xludf.DUMMYFUNCTION("""COMPUTED_VALUE"""),45712.66666666667)</f>
        <v>45712.66667</v>
      </c>
      <c r="B1105" s="1">
        <f>IFERROR(__xludf.DUMMYFUNCTION("""COMPUTED_VALUE"""),247.1)</f>
        <v>247.1</v>
      </c>
    </row>
    <row r="1106">
      <c r="A1106" s="2">
        <f>IFERROR(__xludf.DUMMYFUNCTION("""COMPUTED_VALUE"""),45713.66666666667)</f>
        <v>45713.66667</v>
      </c>
      <c r="B1106" s="1">
        <f>IFERROR(__xludf.DUMMYFUNCTION("""COMPUTED_VALUE"""),247.04)</f>
        <v>247.04</v>
      </c>
    </row>
    <row r="1107">
      <c r="A1107" s="2">
        <f>IFERROR(__xludf.DUMMYFUNCTION("""COMPUTED_VALUE"""),45714.66666666667)</f>
        <v>45714.66667</v>
      </c>
      <c r="B1107" s="1">
        <f>IFERROR(__xludf.DUMMYFUNCTION("""COMPUTED_VALUE"""),240.36)</f>
        <v>240.36</v>
      </c>
    </row>
    <row r="1108">
      <c r="A1108" s="2">
        <f>IFERROR(__xludf.DUMMYFUNCTION("""COMPUTED_VALUE"""),45715.66666666667)</f>
        <v>45715.66667</v>
      </c>
      <c r="B1108" s="1">
        <f>IFERROR(__xludf.DUMMYFUNCTION("""COMPUTED_VALUE"""),237.3)</f>
        <v>237.3</v>
      </c>
    </row>
    <row r="1109">
      <c r="A1109" s="2">
        <f>IFERROR(__xludf.DUMMYFUNCTION("""COMPUTED_VALUE"""),45716.66666666667)</f>
        <v>45716.66667</v>
      </c>
      <c r="B1109" s="1">
        <f>IFERROR(__xludf.DUMMYFUNCTION("""COMPUTED_VALUE"""),241.84)</f>
        <v>241.84</v>
      </c>
    </row>
    <row r="1110">
      <c r="A1110" s="2">
        <f>IFERROR(__xludf.DUMMYFUNCTION("""COMPUTED_VALUE"""),45719.66666666667)</f>
        <v>45719.66667</v>
      </c>
      <c r="B1110" s="1">
        <f>IFERROR(__xludf.DUMMYFUNCTION("""COMPUTED_VALUE"""),238.03)</f>
        <v>238.03</v>
      </c>
    </row>
    <row r="1111">
      <c r="A1111" s="2">
        <f>IFERROR(__xludf.DUMMYFUNCTION("""COMPUTED_VALUE"""),45720.66666666667)</f>
        <v>45720.66667</v>
      </c>
      <c r="B1111" s="1">
        <f>IFERROR(__xludf.DUMMYFUNCTION("""COMPUTED_VALUE"""),235.93)</f>
        <v>235.93</v>
      </c>
    </row>
    <row r="1112">
      <c r="A1112" s="2">
        <f>IFERROR(__xludf.DUMMYFUNCTION("""COMPUTED_VALUE"""),45721.66666666667)</f>
        <v>45721.66667</v>
      </c>
      <c r="B1112" s="1">
        <f>IFERROR(__xludf.DUMMYFUNCTION("""COMPUTED_VALUE"""),235.74)</f>
        <v>235.74</v>
      </c>
    </row>
    <row r="1113">
      <c r="A1113" s="2">
        <f>IFERROR(__xludf.DUMMYFUNCTION("""COMPUTED_VALUE"""),45722.66666666667)</f>
        <v>45722.66667</v>
      </c>
      <c r="B1113" s="1">
        <f>IFERROR(__xludf.DUMMYFUNCTION("""COMPUTED_VALUE"""),235.33)</f>
        <v>235.33</v>
      </c>
    </row>
    <row r="1114">
      <c r="A1114" s="2">
        <f>IFERROR(__xludf.DUMMYFUNCTION("""COMPUTED_VALUE"""),45723.66666666667)</f>
        <v>45723.66667</v>
      </c>
      <c r="B1114" s="1">
        <f>IFERROR(__xludf.DUMMYFUNCTION("""COMPUTED_VALUE"""),239.07)</f>
        <v>239.07</v>
      </c>
    </row>
    <row r="1115">
      <c r="A1115" s="2">
        <f>IFERROR(__xludf.DUMMYFUNCTION("""COMPUTED_VALUE"""),45726.66666666667)</f>
        <v>45726.66667</v>
      </c>
      <c r="B1115" s="1">
        <f>IFERROR(__xludf.DUMMYFUNCTION("""COMPUTED_VALUE"""),227.48)</f>
        <v>227.48</v>
      </c>
    </row>
    <row r="1116">
      <c r="A1116" s="2">
        <f>IFERROR(__xludf.DUMMYFUNCTION("""COMPUTED_VALUE"""),45727.66666666667)</f>
        <v>45727.66667</v>
      </c>
      <c r="B1116" s="1">
        <f>IFERROR(__xludf.DUMMYFUNCTION("""COMPUTED_VALUE"""),220.84)</f>
        <v>220.84</v>
      </c>
    </row>
    <row r="1117">
      <c r="A1117" s="2">
        <f>IFERROR(__xludf.DUMMYFUNCTION("""COMPUTED_VALUE"""),45728.66666666667)</f>
        <v>45728.66667</v>
      </c>
      <c r="B1117" s="1">
        <f>IFERROR(__xludf.DUMMYFUNCTION("""COMPUTED_VALUE"""),216.98)</f>
        <v>216.98</v>
      </c>
    </row>
    <row r="1118">
      <c r="A1118" s="2">
        <f>IFERROR(__xludf.DUMMYFUNCTION("""COMPUTED_VALUE"""),45729.66666666667)</f>
        <v>45729.66667</v>
      </c>
      <c r="B1118" s="1">
        <f>IFERROR(__xludf.DUMMYFUNCTION("""COMPUTED_VALUE"""),209.68)</f>
        <v>209.68</v>
      </c>
    </row>
    <row r="1119">
      <c r="A1119" s="2">
        <f>IFERROR(__xludf.DUMMYFUNCTION("""COMPUTED_VALUE"""),45730.66666666667)</f>
        <v>45730.66667</v>
      </c>
      <c r="B1119" s="1">
        <f>IFERROR(__xludf.DUMMYFUNCTION("""COMPUTED_VALUE"""),213.49)</f>
        <v>213.49</v>
      </c>
    </row>
    <row r="1120">
      <c r="A1120" s="2">
        <f>IFERROR(__xludf.DUMMYFUNCTION("""COMPUTED_VALUE"""),45733.66666666667)</f>
        <v>45733.66667</v>
      </c>
      <c r="B1120" s="1">
        <f>IFERROR(__xludf.DUMMYFUNCTION("""COMPUTED_VALUE"""),214.0)</f>
        <v>214</v>
      </c>
    </row>
    <row r="1121">
      <c r="A1121" s="2">
        <f>IFERROR(__xludf.DUMMYFUNCTION("""COMPUTED_VALUE"""),45734.66666666667)</f>
        <v>45734.66667</v>
      </c>
      <c r="B1121" s="1">
        <f>IFERROR(__xludf.DUMMYFUNCTION("""COMPUTED_VALUE"""),212.69)</f>
        <v>212.69</v>
      </c>
    </row>
    <row r="1122">
      <c r="A1122" s="2">
        <f>IFERROR(__xludf.DUMMYFUNCTION("""COMPUTED_VALUE"""),45735.66666666667)</f>
        <v>45735.66667</v>
      </c>
      <c r="B1122" s="1">
        <f>IFERROR(__xludf.DUMMYFUNCTION("""COMPUTED_VALUE"""),215.24)</f>
        <v>215.24</v>
      </c>
    </row>
    <row r="1123">
      <c r="A1123" s="2">
        <f>IFERROR(__xludf.DUMMYFUNCTION("""COMPUTED_VALUE"""),45736.66666666667)</f>
        <v>45736.66667</v>
      </c>
      <c r="B1123" s="1">
        <f>IFERROR(__xludf.DUMMYFUNCTION("""COMPUTED_VALUE"""),214.1)</f>
        <v>214.1</v>
      </c>
    </row>
    <row r="1124">
      <c r="A1124" s="2">
        <f>IFERROR(__xludf.DUMMYFUNCTION("""COMPUTED_VALUE"""),45737.66666666667)</f>
        <v>45737.66667</v>
      </c>
      <c r="B1124" s="1">
        <f>IFERROR(__xludf.DUMMYFUNCTION("""COMPUTED_VALUE"""),218.27)</f>
        <v>218.27</v>
      </c>
    </row>
    <row r="1125">
      <c r="A1125" s="2">
        <f>IFERROR(__xludf.DUMMYFUNCTION("""COMPUTED_VALUE"""),45740.66666666667)</f>
        <v>45740.66667</v>
      </c>
      <c r="B1125" s="1">
        <f>IFERROR(__xludf.DUMMYFUNCTION("""COMPUTED_VALUE"""),220.73)</f>
        <v>220.73</v>
      </c>
    </row>
    <row r="1126">
      <c r="A1126" s="2">
        <f>IFERROR(__xludf.DUMMYFUNCTION("""COMPUTED_VALUE"""),45741.66666666667)</f>
        <v>45741.66667</v>
      </c>
      <c r="B1126" s="1">
        <f>IFERROR(__xludf.DUMMYFUNCTION("""COMPUTED_VALUE"""),223.75)</f>
        <v>223.75</v>
      </c>
    </row>
    <row r="1127">
      <c r="A1127" s="2">
        <f>IFERROR(__xludf.DUMMYFUNCTION("""COMPUTED_VALUE"""),45742.66666666667)</f>
        <v>45742.66667</v>
      </c>
      <c r="B1127" s="1">
        <f>IFERROR(__xludf.DUMMYFUNCTION("""COMPUTED_VALUE"""),221.53)</f>
        <v>221.53</v>
      </c>
    </row>
    <row r="1128">
      <c r="A1128" s="2">
        <f>IFERROR(__xludf.DUMMYFUNCTION("""COMPUTED_VALUE"""),45743.66666666667)</f>
        <v>45743.66667</v>
      </c>
      <c r="B1128" s="1">
        <f>IFERROR(__xludf.DUMMYFUNCTION("""COMPUTED_VALUE"""),223.85)</f>
        <v>223.85</v>
      </c>
    </row>
    <row r="1129">
      <c r="A1129" s="2">
        <f>IFERROR(__xludf.DUMMYFUNCTION("""COMPUTED_VALUE"""),45744.66666666667)</f>
        <v>45744.66667</v>
      </c>
      <c r="B1129" s="1">
        <f>IFERROR(__xludf.DUMMYFUNCTION("""COMPUTED_VALUE"""),217.9)</f>
        <v>217.9</v>
      </c>
    </row>
    <row r="1130">
      <c r="A1130" s="2">
        <f>IFERROR(__xludf.DUMMYFUNCTION("""COMPUTED_VALUE"""),45747.66666666667)</f>
        <v>45747.66667</v>
      </c>
      <c r="B1130" s="1">
        <f>IFERROR(__xludf.DUMMYFUNCTION("""COMPUTED_VALUE"""),222.13)</f>
        <v>222.13</v>
      </c>
    </row>
    <row r="1131">
      <c r="A1131" s="2">
        <f>IFERROR(__xludf.DUMMYFUNCTION("""COMPUTED_VALUE"""),45748.66666666667)</f>
        <v>45748.66667</v>
      </c>
      <c r="B1131" s="1">
        <f>IFERROR(__xludf.DUMMYFUNCTION("""COMPUTED_VALUE"""),223.19)</f>
        <v>223.19</v>
      </c>
    </row>
    <row r="1132">
      <c r="A1132" s="2">
        <f>IFERROR(__xludf.DUMMYFUNCTION("""COMPUTED_VALUE"""),45749.66666666667)</f>
        <v>45749.66667</v>
      </c>
      <c r="B1132" s="1">
        <f>IFERROR(__xludf.DUMMYFUNCTION("""COMPUTED_VALUE"""),223.89)</f>
        <v>223.89</v>
      </c>
    </row>
    <row r="1133">
      <c r="A1133" s="2">
        <f>IFERROR(__xludf.DUMMYFUNCTION("""COMPUTED_VALUE"""),45750.66666666667)</f>
        <v>45750.66667</v>
      </c>
      <c r="B1133" s="1">
        <f>IFERROR(__xludf.DUMMYFUNCTION("""COMPUTED_VALUE"""),203.19)</f>
        <v>203.19</v>
      </c>
    </row>
    <row r="1134">
      <c r="A1134" s="2">
        <f>IFERROR(__xludf.DUMMYFUNCTION("""COMPUTED_VALUE"""),45751.66666666667)</f>
        <v>45751.66667</v>
      </c>
      <c r="B1134" s="1">
        <f>IFERROR(__xludf.DUMMYFUNCTION("""COMPUTED_VALUE"""),188.38)</f>
        <v>188.38</v>
      </c>
    </row>
    <row r="1135">
      <c r="A1135" s="2">
        <f>IFERROR(__xludf.DUMMYFUNCTION("""COMPUTED_VALUE"""),45754.66666666667)</f>
        <v>45754.66667</v>
      </c>
      <c r="B1135" s="1">
        <f>IFERROR(__xludf.DUMMYFUNCTION("""COMPUTED_VALUE"""),181.46)</f>
        <v>181.46</v>
      </c>
    </row>
    <row r="1136">
      <c r="A1136" s="2">
        <f>IFERROR(__xludf.DUMMYFUNCTION("""COMPUTED_VALUE"""),45755.66666666667)</f>
        <v>45755.66667</v>
      </c>
      <c r="B1136" s="1">
        <f>IFERROR(__xludf.DUMMYFUNCTION("""COMPUTED_VALUE"""),172.42)</f>
        <v>172.42</v>
      </c>
    </row>
    <row r="1137">
      <c r="A1137" s="2">
        <f>IFERROR(__xludf.DUMMYFUNCTION("""COMPUTED_VALUE"""),45756.66666666667)</f>
        <v>45756.66667</v>
      </c>
      <c r="B1137" s="1">
        <f>IFERROR(__xludf.DUMMYFUNCTION("""COMPUTED_VALUE"""),198.85)</f>
        <v>198.85</v>
      </c>
    </row>
    <row r="1138">
      <c r="A1138" s="2">
        <f>IFERROR(__xludf.DUMMYFUNCTION("""COMPUTED_VALUE"""),45757.66666666667)</f>
        <v>45757.66667</v>
      </c>
      <c r="B1138" s="1">
        <f>IFERROR(__xludf.DUMMYFUNCTION("""COMPUTED_VALUE"""),190.42)</f>
        <v>190.42</v>
      </c>
    </row>
    <row r="1139">
      <c r="A1139" s="2">
        <f>IFERROR(__xludf.DUMMYFUNCTION("""COMPUTED_VALUE"""),45758.66666666667)</f>
        <v>45758.66667</v>
      </c>
      <c r="B1139" s="1">
        <f>IFERROR(__xludf.DUMMYFUNCTION("""COMPUTED_VALUE"""),198.15)</f>
        <v>198.15</v>
      </c>
    </row>
    <row r="1140">
      <c r="A1140" s="2">
        <f>IFERROR(__xludf.DUMMYFUNCTION("""COMPUTED_VALUE"""),45761.66666666667)</f>
        <v>45761.66667</v>
      </c>
      <c r="B1140" s="1">
        <f>IFERROR(__xludf.DUMMYFUNCTION("""COMPUTED_VALUE"""),202.52)</f>
        <v>202.52</v>
      </c>
    </row>
    <row r="1141">
      <c r="A1141" s="2">
        <f>IFERROR(__xludf.DUMMYFUNCTION("""COMPUTED_VALUE"""),45762.66666666667)</f>
        <v>45762.66667</v>
      </c>
      <c r="B1141" s="1">
        <f>IFERROR(__xludf.DUMMYFUNCTION("""COMPUTED_VALUE"""),202.14)</f>
        <v>202.14</v>
      </c>
    </row>
    <row r="1142">
      <c r="A1142" s="2">
        <f>IFERROR(__xludf.DUMMYFUNCTION("""COMPUTED_VALUE"""),45763.66666666667)</f>
        <v>45763.66667</v>
      </c>
      <c r="B1142" s="1">
        <f>IFERROR(__xludf.DUMMYFUNCTION("""COMPUTED_VALUE"""),194.27)</f>
        <v>194.27</v>
      </c>
    </row>
    <row r="1143">
      <c r="A1143" s="2">
        <f>IFERROR(__xludf.DUMMYFUNCTION("""COMPUTED_VALUE"""),45764.66666666667)</f>
        <v>45764.66667</v>
      </c>
      <c r="B1143" s="1">
        <f>IFERROR(__xludf.DUMMYFUNCTION("""COMPUTED_VALUE"""),196.98)</f>
        <v>196.98</v>
      </c>
    </row>
    <row r="1144">
      <c r="A1144" s="2">
        <f>IFERROR(__xludf.DUMMYFUNCTION("""COMPUTED_VALUE"""),45768.66666666667)</f>
        <v>45768.66667</v>
      </c>
      <c r="B1144" s="1">
        <f>IFERROR(__xludf.DUMMYFUNCTION("""COMPUTED_VALUE"""),193.16)</f>
        <v>193.16</v>
      </c>
    </row>
    <row r="1145">
      <c r="A1145" s="2">
        <f>IFERROR(__xludf.DUMMYFUNCTION("""COMPUTED_VALUE"""),45769.66666666667)</f>
        <v>45769.66667</v>
      </c>
      <c r="B1145" s="1">
        <f>IFERROR(__xludf.DUMMYFUNCTION("""COMPUTED_VALUE"""),199.74)</f>
        <v>199.74</v>
      </c>
    </row>
    <row r="1146">
      <c r="A1146" s="2">
        <f>IFERROR(__xludf.DUMMYFUNCTION("""COMPUTED_VALUE"""),45770.66666666667)</f>
        <v>45770.66667</v>
      </c>
      <c r="B1146" s="1">
        <f>IFERROR(__xludf.DUMMYFUNCTION("""COMPUTED_VALUE"""),204.6)</f>
        <v>204.6</v>
      </c>
    </row>
    <row r="1147">
      <c r="A1147" s="2">
        <f>IFERROR(__xludf.DUMMYFUNCTION("""COMPUTED_VALUE"""),45771.66666666667)</f>
        <v>45771.66667</v>
      </c>
      <c r="B1147" s="1">
        <f>IFERROR(__xludf.DUMMYFUNCTION("""COMPUTED_VALUE"""),208.37)</f>
        <v>208.37</v>
      </c>
    </row>
    <row r="1148">
      <c r="A1148" s="2">
        <f>IFERROR(__xludf.DUMMYFUNCTION("""COMPUTED_VALUE"""),45772.66666666667)</f>
        <v>45772.66667</v>
      </c>
      <c r="B1148" s="1">
        <f>IFERROR(__xludf.DUMMYFUNCTION("""COMPUTED_VALUE"""),209.28)</f>
        <v>209.28</v>
      </c>
    </row>
    <row r="1149">
      <c r="A1149" s="2">
        <f>IFERROR(__xludf.DUMMYFUNCTION("""COMPUTED_VALUE"""),45775.66666666667)</f>
        <v>45775.66667</v>
      </c>
      <c r="B1149" s="1">
        <f>IFERROR(__xludf.DUMMYFUNCTION("""COMPUTED_VALUE"""),210.14)</f>
        <v>210.14</v>
      </c>
    </row>
    <row r="1150">
      <c r="A1150" s="2">
        <f>IFERROR(__xludf.DUMMYFUNCTION("""COMPUTED_VALUE"""),45776.66666666667)</f>
        <v>45776.66667</v>
      </c>
      <c r="B1150" s="1">
        <f>IFERROR(__xludf.DUMMYFUNCTION("""COMPUTED_VALUE"""),211.21)</f>
        <v>211.21</v>
      </c>
    </row>
    <row r="1151">
      <c r="A1151" s="2">
        <f>IFERROR(__xludf.DUMMYFUNCTION("""COMPUTED_VALUE"""),45777.66666666667)</f>
        <v>45777.66667</v>
      </c>
      <c r="B1151" s="1">
        <f>IFERROR(__xludf.DUMMYFUNCTION("""COMPUTED_VALUE"""),212.5)</f>
        <v>212.5</v>
      </c>
    </row>
    <row r="1152">
      <c r="A1152" s="2">
        <f>IFERROR(__xludf.DUMMYFUNCTION("""COMPUTED_VALUE"""),45778.66666666667)</f>
        <v>45778.66667</v>
      </c>
      <c r="B1152" s="1">
        <f>IFERROR(__xludf.DUMMYFUNCTION("""COMPUTED_VALUE"""),213.32)</f>
        <v>213.32</v>
      </c>
    </row>
    <row r="1153">
      <c r="A1153" s="2">
        <f>IFERROR(__xludf.DUMMYFUNCTION("""COMPUTED_VALUE"""),45779.66666666667)</f>
        <v>45779.66667</v>
      </c>
      <c r="B1153" s="1">
        <f>IFERROR(__xludf.DUMMYFUNCTION("""COMPUTED_VALUE"""),205.35)</f>
        <v>205.35</v>
      </c>
    </row>
    <row r="1154">
      <c r="A1154" s="2">
        <f>IFERROR(__xludf.DUMMYFUNCTION("""COMPUTED_VALUE"""),45782.66666666667)</f>
        <v>45782.66667</v>
      </c>
      <c r="B1154" s="1">
        <f>IFERROR(__xludf.DUMMYFUNCTION("""COMPUTED_VALUE"""),198.89)</f>
        <v>198.89</v>
      </c>
    </row>
    <row r="1155">
      <c r="A1155" s="2">
        <f>IFERROR(__xludf.DUMMYFUNCTION("""COMPUTED_VALUE"""),45783.66666666667)</f>
        <v>45783.66667</v>
      </c>
      <c r="B1155" s="1">
        <f>IFERROR(__xludf.DUMMYFUNCTION("""COMPUTED_VALUE"""),198.51)</f>
        <v>198.51</v>
      </c>
    </row>
    <row r="1156">
      <c r="A1156" s="2">
        <f>IFERROR(__xludf.DUMMYFUNCTION("""COMPUTED_VALUE"""),45784.66666666667)</f>
        <v>45784.66667</v>
      </c>
      <c r="B1156" s="1">
        <f>IFERROR(__xludf.DUMMYFUNCTION("""COMPUTED_VALUE"""),196.25)</f>
        <v>196.25</v>
      </c>
    </row>
    <row r="1157">
      <c r="A1157" s="2">
        <f>IFERROR(__xludf.DUMMYFUNCTION("""COMPUTED_VALUE"""),45785.66666666667)</f>
        <v>45785.66667</v>
      </c>
      <c r="B1157" s="1">
        <f>IFERROR(__xludf.DUMMYFUNCTION("""COMPUTED_VALUE"""),197.49)</f>
        <v>197.49</v>
      </c>
    </row>
    <row r="1158">
      <c r="A1158" s="2">
        <f>IFERROR(__xludf.DUMMYFUNCTION("""COMPUTED_VALUE"""),45786.66666666667)</f>
        <v>45786.66667</v>
      </c>
      <c r="B1158" s="1">
        <f>IFERROR(__xludf.DUMMYFUNCTION("""COMPUTED_VALUE"""),198.53)</f>
        <v>198.53</v>
      </c>
    </row>
    <row r="1159">
      <c r="A1159" s="2">
        <f>IFERROR(__xludf.DUMMYFUNCTION("""COMPUTED_VALUE"""),45789.66666666667)</f>
        <v>45789.66667</v>
      </c>
      <c r="B1159" s="1">
        <f>IFERROR(__xludf.DUMMYFUNCTION("""COMPUTED_VALUE"""),210.79)</f>
        <v>210.79</v>
      </c>
    </row>
    <row r="1160">
      <c r="A1160" s="2">
        <f>IFERROR(__xludf.DUMMYFUNCTION("""COMPUTED_VALUE"""),45790.66666666667)</f>
        <v>45790.66667</v>
      </c>
      <c r="B1160" s="1">
        <f>IFERROR(__xludf.DUMMYFUNCTION("""COMPUTED_VALUE"""),212.93)</f>
        <v>212.93</v>
      </c>
    </row>
    <row r="1161">
      <c r="A1161" s="2">
        <f>IFERROR(__xludf.DUMMYFUNCTION("""COMPUTED_VALUE"""),45791.66666666667)</f>
        <v>45791.66667</v>
      </c>
      <c r="B1161" s="1">
        <f>IFERROR(__xludf.DUMMYFUNCTION("""COMPUTED_VALUE"""),212.33)</f>
        <v>212.33</v>
      </c>
    </row>
    <row r="1162">
      <c r="A1162" s="2">
        <f>IFERROR(__xludf.DUMMYFUNCTION("""COMPUTED_VALUE"""),45792.66666666667)</f>
        <v>45792.66667</v>
      </c>
      <c r="B1162" s="1">
        <f>IFERROR(__xludf.DUMMYFUNCTION("""COMPUTED_VALUE"""),211.45)</f>
        <v>211.45</v>
      </c>
    </row>
    <row r="1163">
      <c r="A1163" s="2">
        <f>IFERROR(__xludf.DUMMYFUNCTION("""COMPUTED_VALUE"""),45793.66666666667)</f>
        <v>45793.66667</v>
      </c>
      <c r="B1163" s="1">
        <f>IFERROR(__xludf.DUMMYFUNCTION("""COMPUTED_VALUE"""),211.26)</f>
        <v>211.26</v>
      </c>
    </row>
    <row r="1164">
      <c r="A1164" s="2">
        <f>IFERROR(__xludf.DUMMYFUNCTION("""COMPUTED_VALUE"""),45796.66666666667)</f>
        <v>45796.66667</v>
      </c>
      <c r="B1164" s="1">
        <f>IFERROR(__xludf.DUMMYFUNCTION("""COMPUTED_VALUE"""),208.78)</f>
        <v>208.78</v>
      </c>
    </row>
    <row r="1165">
      <c r="A1165" s="2">
        <f>IFERROR(__xludf.DUMMYFUNCTION("""COMPUTED_VALUE"""),45797.66666666667)</f>
        <v>45797.66667</v>
      </c>
      <c r="B1165" s="1">
        <f>IFERROR(__xludf.DUMMYFUNCTION("""COMPUTED_VALUE"""),206.86)</f>
        <v>206.86</v>
      </c>
    </row>
    <row r="1166">
      <c r="A1166" s="2">
        <f>IFERROR(__xludf.DUMMYFUNCTION("""COMPUTED_VALUE"""),45798.66666666667)</f>
        <v>45798.66667</v>
      </c>
      <c r="B1166" s="1">
        <f>IFERROR(__xludf.DUMMYFUNCTION("""COMPUTED_VALUE"""),202.09)</f>
        <v>202.09</v>
      </c>
    </row>
    <row r="1167">
      <c r="A1167" s="2">
        <f>IFERROR(__xludf.DUMMYFUNCTION("""COMPUTED_VALUE"""),45799.66666666667)</f>
        <v>45799.66667</v>
      </c>
      <c r="B1167" s="1">
        <f>IFERROR(__xludf.DUMMYFUNCTION("""COMPUTED_VALUE"""),202.09)</f>
        <v>202.09</v>
      </c>
    </row>
    <row r="1168">
      <c r="A1168" s="2">
        <f>IFERROR(__xludf.DUMMYFUNCTION("""COMPUTED_VALUE"""),45800.66666666667)</f>
        <v>45800.66667</v>
      </c>
      <c r="B1168" s="1">
        <f>IFERROR(__xludf.DUMMYFUNCTION("""COMPUTED_VALUE"""),195.27)</f>
        <v>195.27</v>
      </c>
    </row>
    <row r="1169">
      <c r="A1169" s="2">
        <f>IFERROR(__xludf.DUMMYFUNCTION("""COMPUTED_VALUE"""),45804.66666666667)</f>
        <v>45804.66667</v>
      </c>
      <c r="B1169" s="1">
        <f>IFERROR(__xludf.DUMMYFUNCTION("""COMPUTED_VALUE"""),200.21)</f>
        <v>200.21</v>
      </c>
    </row>
    <row r="1170">
      <c r="A1170" s="2">
        <f>IFERROR(__xludf.DUMMYFUNCTION("""COMPUTED_VALUE"""),45805.66666666667)</f>
        <v>45805.66667</v>
      </c>
      <c r="B1170" s="1">
        <f>IFERROR(__xludf.DUMMYFUNCTION("""COMPUTED_VALUE"""),200.42)</f>
        <v>200.42</v>
      </c>
    </row>
    <row r="1171">
      <c r="A1171" s="2">
        <f>IFERROR(__xludf.DUMMYFUNCTION("""COMPUTED_VALUE"""),45806.66666666667)</f>
        <v>45806.66667</v>
      </c>
      <c r="B1171" s="1">
        <f>IFERROR(__xludf.DUMMYFUNCTION("""COMPUTED_VALUE"""),199.95)</f>
        <v>199.95</v>
      </c>
    </row>
    <row r="1172">
      <c r="A1172" s="2">
        <f>IFERROR(__xludf.DUMMYFUNCTION("""COMPUTED_VALUE"""),45807.66666666667)</f>
        <v>45807.66667</v>
      </c>
      <c r="B1172" s="1">
        <f>IFERROR(__xludf.DUMMYFUNCTION("""COMPUTED_VALUE"""),200.85)</f>
        <v>200.85</v>
      </c>
    </row>
    <row r="1173">
      <c r="A1173" s="2">
        <f>IFERROR(__xludf.DUMMYFUNCTION("""COMPUTED_VALUE"""),45810.66666666667)</f>
        <v>45810.66667</v>
      </c>
      <c r="B1173" s="1">
        <f>IFERROR(__xludf.DUMMYFUNCTION("""COMPUTED_VALUE"""),201.7)</f>
        <v>201.7</v>
      </c>
    </row>
    <row r="1174">
      <c r="A1174" s="2">
        <f>IFERROR(__xludf.DUMMYFUNCTION("""COMPUTED_VALUE"""),45811.66666666667)</f>
        <v>45811.66667</v>
      </c>
      <c r="B1174" s="1">
        <f>IFERROR(__xludf.DUMMYFUNCTION("""COMPUTED_VALUE"""),203.27)</f>
        <v>203.27</v>
      </c>
    </row>
    <row r="1175">
      <c r="A1175" s="2">
        <f>IFERROR(__xludf.DUMMYFUNCTION("""COMPUTED_VALUE"""),45812.66666666667)</f>
        <v>45812.66667</v>
      </c>
      <c r="B1175" s="1">
        <f>IFERROR(__xludf.DUMMYFUNCTION("""COMPUTED_VALUE"""),202.82)</f>
        <v>202.82</v>
      </c>
    </row>
    <row r="1176">
      <c r="A1176" s="2">
        <f>IFERROR(__xludf.DUMMYFUNCTION("""COMPUTED_VALUE"""),45813.66666666667)</f>
        <v>45813.66667</v>
      </c>
      <c r="B1176" s="1">
        <f>IFERROR(__xludf.DUMMYFUNCTION("""COMPUTED_VALUE"""),200.63)</f>
        <v>200.63</v>
      </c>
    </row>
    <row r="1177">
      <c r="A1177" s="2">
        <f>IFERROR(__xludf.DUMMYFUNCTION("""COMPUTED_VALUE"""),45814.66666666667)</f>
        <v>45814.66667</v>
      </c>
      <c r="B1177" s="1">
        <f>IFERROR(__xludf.DUMMYFUNCTION("""COMPUTED_VALUE"""),203.92)</f>
        <v>203.92</v>
      </c>
    </row>
    <row r="1178">
      <c r="A1178" s="2">
        <f>IFERROR(__xludf.DUMMYFUNCTION("""COMPUTED_VALUE"""),45817.66666666667)</f>
        <v>45817.66667</v>
      </c>
      <c r="B1178" s="1">
        <f>IFERROR(__xludf.DUMMYFUNCTION("""COMPUTED_VALUE"""),201.45)</f>
        <v>201.45</v>
      </c>
    </row>
    <row r="1179">
      <c r="A1179" s="2">
        <f>IFERROR(__xludf.DUMMYFUNCTION("""COMPUTED_VALUE"""),45818.66666666667)</f>
        <v>45818.66667</v>
      </c>
      <c r="B1179" s="1">
        <f>IFERROR(__xludf.DUMMYFUNCTION("""COMPUTED_VALUE"""),202.67)</f>
        <v>202.67</v>
      </c>
    </row>
    <row r="1180">
      <c r="A1180" s="2">
        <f>IFERROR(__xludf.DUMMYFUNCTION("""COMPUTED_VALUE"""),45819.66666666667)</f>
        <v>45819.66667</v>
      </c>
      <c r="B1180" s="1">
        <f>IFERROR(__xludf.DUMMYFUNCTION("""COMPUTED_VALUE"""),198.78)</f>
        <v>198.78</v>
      </c>
    </row>
    <row r="1181">
      <c r="A1181" s="2">
        <f>IFERROR(__xludf.DUMMYFUNCTION("""COMPUTED_VALUE"""),45820.66666666667)</f>
        <v>45820.66667</v>
      </c>
      <c r="B1181" s="1">
        <f>IFERROR(__xludf.DUMMYFUNCTION("""COMPUTED_VALUE"""),199.2)</f>
        <v>199.2</v>
      </c>
    </row>
    <row r="1182">
      <c r="A1182" s="2">
        <f>IFERROR(__xludf.DUMMYFUNCTION("""COMPUTED_VALUE"""),45821.66666666667)</f>
        <v>45821.66667</v>
      </c>
      <c r="B1182" s="1">
        <f>IFERROR(__xludf.DUMMYFUNCTION("""COMPUTED_VALUE"""),196.45)</f>
        <v>196.45</v>
      </c>
    </row>
    <row r="1183">
      <c r="A1183" s="2">
        <f>IFERROR(__xludf.DUMMYFUNCTION("""COMPUTED_VALUE"""),45824.66666666667)</f>
        <v>45824.66667</v>
      </c>
      <c r="B1183" s="1">
        <f>IFERROR(__xludf.DUMMYFUNCTION("""COMPUTED_VALUE"""),198.42)</f>
        <v>198.42</v>
      </c>
    </row>
    <row r="1184">
      <c r="A1184" s="2">
        <f>IFERROR(__xludf.DUMMYFUNCTION("""COMPUTED_VALUE"""),45825.66666666667)</f>
        <v>45825.66667</v>
      </c>
      <c r="B1184" s="1">
        <f>IFERROR(__xludf.DUMMYFUNCTION("""COMPUTED_VALUE"""),195.64)</f>
        <v>195.64</v>
      </c>
    </row>
    <row r="1185">
      <c r="A1185" s="2">
        <f>IFERROR(__xludf.DUMMYFUNCTION("""COMPUTED_VALUE"""),45826.66666666667)</f>
        <v>45826.66667</v>
      </c>
      <c r="B1185" s="1">
        <f>IFERROR(__xludf.DUMMYFUNCTION("""COMPUTED_VALUE"""),196.58)</f>
        <v>196.58</v>
      </c>
    </row>
    <row r="1186">
      <c r="A1186" s="2">
        <f>IFERROR(__xludf.DUMMYFUNCTION("""COMPUTED_VALUE"""),45828.66666666667)</f>
        <v>45828.66667</v>
      </c>
      <c r="B1186" s="1">
        <f>IFERROR(__xludf.DUMMYFUNCTION("""COMPUTED_VALUE"""),201.0)</f>
        <v>201</v>
      </c>
    </row>
    <row r="1187">
      <c r="A1187" s="2">
        <f>IFERROR(__xludf.DUMMYFUNCTION("""COMPUTED_VALUE"""),45831.66666666667)</f>
        <v>45831.66667</v>
      </c>
      <c r="B1187" s="1">
        <f>IFERROR(__xludf.DUMMYFUNCTION("""COMPUTED_VALUE"""),201.5)</f>
        <v>201.5</v>
      </c>
    </row>
    <row r="1188">
      <c r="A1188" s="2">
        <f>IFERROR(__xludf.DUMMYFUNCTION("""COMPUTED_VALUE"""),45832.66666666667)</f>
        <v>45832.66667</v>
      </c>
      <c r="B1188" s="1">
        <f>IFERROR(__xludf.DUMMYFUNCTION("""COMPUTED_VALUE"""),200.3)</f>
        <v>200.3</v>
      </c>
    </row>
    <row r="1189">
      <c r="A1189" s="2">
        <f>IFERROR(__xludf.DUMMYFUNCTION("""COMPUTED_VALUE"""),45833.66666666667)</f>
        <v>45833.66667</v>
      </c>
      <c r="B1189" s="1">
        <f>IFERROR(__xludf.DUMMYFUNCTION("""COMPUTED_VALUE"""),201.56)</f>
        <v>201.56</v>
      </c>
    </row>
    <row r="1190">
      <c r="A1190" s="2">
        <f>IFERROR(__xludf.DUMMYFUNCTION("""COMPUTED_VALUE"""),45834.66666666667)</f>
        <v>45834.66667</v>
      </c>
      <c r="B1190" s="1">
        <f>IFERROR(__xludf.DUMMYFUNCTION("""COMPUTED_VALUE"""),201.0)</f>
        <v>201</v>
      </c>
    </row>
    <row r="1191">
      <c r="A1191" s="2">
        <f>IFERROR(__xludf.DUMMYFUNCTION("""COMPUTED_VALUE"""),45835.66666666667)</f>
        <v>45835.66667</v>
      </c>
      <c r="B1191" s="1">
        <f>IFERROR(__xludf.DUMMYFUNCTION("""COMPUTED_VALUE"""),201.08)</f>
        <v>201.08</v>
      </c>
    </row>
    <row r="1192">
      <c r="A1192" s="2">
        <f>IFERROR(__xludf.DUMMYFUNCTION("""COMPUTED_VALUE"""),45838.66666666667)</f>
        <v>45838.66667</v>
      </c>
      <c r="B1192" s="1">
        <f>IFERROR(__xludf.DUMMYFUNCTION("""COMPUTED_VALUE"""),205.17)</f>
        <v>205.17</v>
      </c>
    </row>
    <row r="1193">
      <c r="A1193" s="2">
        <f>IFERROR(__xludf.DUMMYFUNCTION("""COMPUTED_VALUE"""),45839.66666666667)</f>
        <v>45839.66667</v>
      </c>
      <c r="B1193" s="1">
        <f>IFERROR(__xludf.DUMMYFUNCTION("""COMPUTED_VALUE"""),207.82)</f>
        <v>207.82</v>
      </c>
    </row>
    <row r="1194">
      <c r="A1194" s="2">
        <f>IFERROR(__xludf.DUMMYFUNCTION("""COMPUTED_VALUE"""),45840.66666666667)</f>
        <v>45840.66667</v>
      </c>
      <c r="B1194" s="1">
        <f>IFERROR(__xludf.DUMMYFUNCTION("""COMPUTED_VALUE"""),212.44)</f>
        <v>212.44</v>
      </c>
    </row>
    <row r="1195">
      <c r="A1195" s="2">
        <f>IFERROR(__xludf.DUMMYFUNCTION("""COMPUTED_VALUE"""),45841.54513888889)</f>
        <v>45841.54514</v>
      </c>
      <c r="B1195" s="1">
        <f>IFERROR(__xludf.DUMMYFUNCTION("""COMPUTED_VALUE"""),213.55)</f>
        <v>213.55</v>
      </c>
    </row>
    <row r="1196">
      <c r="A1196" s="2">
        <f>IFERROR(__xludf.DUMMYFUNCTION("""COMPUTED_VALUE"""),45845.66666666667)</f>
        <v>45845.66667</v>
      </c>
      <c r="B1196" s="1">
        <f>IFERROR(__xludf.DUMMYFUNCTION("""COMPUTED_VALUE"""),209.95)</f>
        <v>209.95</v>
      </c>
    </row>
    <row r="1197">
      <c r="A1197" s="2">
        <f>IFERROR(__xludf.DUMMYFUNCTION("""COMPUTED_VALUE"""),45846.66666666667)</f>
        <v>45846.66667</v>
      </c>
      <c r="B1197" s="1">
        <f>IFERROR(__xludf.DUMMYFUNCTION("""COMPUTED_VALUE"""),210.01)</f>
        <v>210.01</v>
      </c>
    </row>
    <row r="1198">
      <c r="A1198" s="2">
        <f>IFERROR(__xludf.DUMMYFUNCTION("""COMPUTED_VALUE"""),45847.66666666667)</f>
        <v>45847.66667</v>
      </c>
      <c r="B1198" s="1">
        <f>IFERROR(__xludf.DUMMYFUNCTION("""COMPUTED_VALUE"""),211.14)</f>
        <v>211.14</v>
      </c>
    </row>
    <row r="1199">
      <c r="A1199" s="2">
        <f>IFERROR(__xludf.DUMMYFUNCTION("""COMPUTED_VALUE"""),45848.66666666667)</f>
        <v>45848.66667</v>
      </c>
      <c r="B1199" s="1">
        <f>IFERROR(__xludf.DUMMYFUNCTION("""COMPUTED_VALUE"""),212.41)</f>
        <v>212.41</v>
      </c>
    </row>
    <row r="1200">
      <c r="A1200" s="2">
        <f>IFERROR(__xludf.DUMMYFUNCTION("""COMPUTED_VALUE"""),45849.66666666667)</f>
        <v>45849.66667</v>
      </c>
      <c r="B1200" s="1">
        <f>IFERROR(__xludf.DUMMYFUNCTION("""COMPUTED_VALUE"""),211.16)</f>
        <v>211.16</v>
      </c>
    </row>
    <row r="1201">
      <c r="A1201" s="2">
        <f>IFERROR(__xludf.DUMMYFUNCTION("""COMPUTED_VALUE"""),45852.66666666667)</f>
        <v>45852.66667</v>
      </c>
      <c r="B1201" s="1">
        <f>IFERROR(__xludf.DUMMYFUNCTION("""COMPUTED_VALUE"""),208.62)</f>
        <v>208.62</v>
      </c>
    </row>
    <row r="1202">
      <c r="A1202" s="2">
        <f>IFERROR(__xludf.DUMMYFUNCTION("""COMPUTED_VALUE"""),45853.66666666667)</f>
        <v>45853.66667</v>
      </c>
      <c r="B1202" s="1">
        <f>IFERROR(__xludf.DUMMYFUNCTION("""COMPUTED_VALUE"""),209.11)</f>
        <v>209.11</v>
      </c>
    </row>
    <row r="1203">
      <c r="A1203" s="2">
        <f>IFERROR(__xludf.DUMMYFUNCTION("""COMPUTED_VALUE"""),45854.66666666667)</f>
        <v>45854.66667</v>
      </c>
      <c r="B1203" s="1">
        <f>IFERROR(__xludf.DUMMYFUNCTION("""COMPUTED_VALUE"""),210.16)</f>
        <v>210.16</v>
      </c>
    </row>
    <row r="1204">
      <c r="A1204" s="2">
        <f>IFERROR(__xludf.DUMMYFUNCTION("""COMPUTED_VALUE"""),45855.66666666667)</f>
        <v>45855.66667</v>
      </c>
      <c r="B1204" s="1">
        <f>IFERROR(__xludf.DUMMYFUNCTION("""COMPUTED_VALUE"""),210.02)</f>
        <v>210.02</v>
      </c>
    </row>
    <row r="1205">
      <c r="A1205" s="2">
        <f>IFERROR(__xludf.DUMMYFUNCTION("""COMPUTED_VALUE"""),45856.66666666667)</f>
        <v>45856.66667</v>
      </c>
      <c r="B1205" s="1">
        <f>IFERROR(__xludf.DUMMYFUNCTION("""COMPUTED_VALUE"""),211.18)</f>
        <v>211.18</v>
      </c>
    </row>
    <row r="1206">
      <c r="A1206" s="2">
        <f>IFERROR(__xludf.DUMMYFUNCTION("""COMPUTED_VALUE"""),45859.66666666667)</f>
        <v>45859.66667</v>
      </c>
      <c r="B1206" s="1">
        <f>IFERROR(__xludf.DUMMYFUNCTION("""COMPUTED_VALUE"""),212.48)</f>
        <v>212.48</v>
      </c>
    </row>
    <row r="1207">
      <c r="A1207" s="2">
        <f>IFERROR(__xludf.DUMMYFUNCTION("""COMPUTED_VALUE"""),45860.66666666667)</f>
        <v>45860.66667</v>
      </c>
      <c r="B1207" s="1">
        <f>IFERROR(__xludf.DUMMYFUNCTION("""COMPUTED_VALUE"""),214.4)</f>
        <v>214.4</v>
      </c>
    </row>
    <row r="1208">
      <c r="A1208" s="2">
        <f>IFERROR(__xludf.DUMMYFUNCTION("""COMPUTED_VALUE"""),45861.66666666667)</f>
        <v>45861.66667</v>
      </c>
      <c r="B1208" s="1">
        <f>IFERROR(__xludf.DUMMYFUNCTION("""COMPUTED_VALUE"""),214.15)</f>
        <v>214.15</v>
      </c>
    </row>
    <row r="1209">
      <c r="A1209" s="2">
        <f>IFERROR(__xludf.DUMMYFUNCTION("""COMPUTED_VALUE"""),45862.66666666667)</f>
        <v>45862.66667</v>
      </c>
      <c r="B1209" s="1">
        <f>IFERROR(__xludf.DUMMYFUNCTION("""COMPUTED_VALUE"""),213.76)</f>
        <v>213.76</v>
      </c>
    </row>
    <row r="1210">
      <c r="A1210" s="2">
        <f>IFERROR(__xludf.DUMMYFUNCTION("""COMPUTED_VALUE"""),45863.66666666667)</f>
        <v>45863.66667</v>
      </c>
      <c r="B1210" s="1">
        <f>IFERROR(__xludf.DUMMYFUNCTION("""COMPUTED_VALUE"""),213.88)</f>
        <v>213.88</v>
      </c>
    </row>
    <row r="1211">
      <c r="A1211" s="2">
        <f>IFERROR(__xludf.DUMMYFUNCTION("""COMPUTED_VALUE"""),45866.66666666667)</f>
        <v>45866.66667</v>
      </c>
      <c r="B1211" s="1">
        <f>IFERROR(__xludf.DUMMYFUNCTION("""COMPUTED_VALUE"""),214.05)</f>
        <v>214.05</v>
      </c>
    </row>
    <row r="1212">
      <c r="A1212" s="2">
        <f>IFERROR(__xludf.DUMMYFUNCTION("""COMPUTED_VALUE"""),45867.66666666667)</f>
        <v>45867.66667</v>
      </c>
      <c r="B1212" s="1">
        <f>IFERROR(__xludf.DUMMYFUNCTION("""COMPUTED_VALUE"""),211.27)</f>
        <v>211.27</v>
      </c>
    </row>
    <row r="1213">
      <c r="A1213" s="2">
        <f>IFERROR(__xludf.DUMMYFUNCTION("""COMPUTED_VALUE"""),45868.66666666667)</f>
        <v>45868.66667</v>
      </c>
      <c r="B1213" s="1">
        <f>IFERROR(__xludf.DUMMYFUNCTION("""COMPUTED_VALUE"""),209.05)</f>
        <v>209.05</v>
      </c>
    </row>
    <row r="1214">
      <c r="A1214" s="2">
        <f>IFERROR(__xludf.DUMMYFUNCTION("""COMPUTED_VALUE"""),45869.66666666667)</f>
        <v>45869.66667</v>
      </c>
      <c r="B1214" s="1">
        <f>IFERROR(__xludf.DUMMYFUNCTION("""COMPUTED_VALUE"""),207.57)</f>
        <v>207.57</v>
      </c>
    </row>
    <row r="1215">
      <c r="A1215" s="2">
        <f>IFERROR(__xludf.DUMMYFUNCTION("""COMPUTED_VALUE"""),45870.66666666667)</f>
        <v>45870.66667</v>
      </c>
      <c r="B1215" s="1">
        <f>IFERROR(__xludf.DUMMYFUNCTION("""COMPUTED_VALUE"""),202.38)</f>
        <v>202.38</v>
      </c>
    </row>
    <row r="1216">
      <c r="A1216" s="2">
        <f>IFERROR(__xludf.DUMMYFUNCTION("""COMPUTED_VALUE"""),45873.66666666667)</f>
        <v>45873.66667</v>
      </c>
      <c r="B1216" s="1">
        <f>IFERROR(__xludf.DUMMYFUNCTION("""COMPUTED_VALUE"""),203.35)</f>
        <v>203.35</v>
      </c>
    </row>
    <row r="1217">
      <c r="A1217" s="2">
        <f>IFERROR(__xludf.DUMMYFUNCTION("""COMPUTED_VALUE"""),45874.66666666667)</f>
        <v>45874.66667</v>
      </c>
      <c r="B1217" s="1">
        <f>IFERROR(__xludf.DUMMYFUNCTION("""COMPUTED_VALUE"""),202.92)</f>
        <v>202.92</v>
      </c>
    </row>
    <row r="1218">
      <c r="A1218" s="2">
        <f>IFERROR(__xludf.DUMMYFUNCTION("""COMPUTED_VALUE"""),45875.66666666667)</f>
        <v>45875.66667</v>
      </c>
      <c r="B1218" s="1">
        <f>IFERROR(__xludf.DUMMYFUNCTION("""COMPUTED_VALUE"""),213.25)</f>
        <v>213.25</v>
      </c>
    </row>
    <row r="1219">
      <c r="A1219" s="2">
        <f>IFERROR(__xludf.DUMMYFUNCTION("""COMPUTED_VALUE"""),45876.66666666667)</f>
        <v>45876.66667</v>
      </c>
      <c r="B1219" s="1">
        <f>IFERROR(__xludf.DUMMYFUNCTION("""COMPUTED_VALUE"""),220.03)</f>
        <v>220.03</v>
      </c>
    </row>
    <row r="1220">
      <c r="A1220" s="2">
        <f>IFERROR(__xludf.DUMMYFUNCTION("""COMPUTED_VALUE"""),45877.66666666667)</f>
        <v>45877.66667</v>
      </c>
      <c r="B1220" s="1">
        <f>IFERROR(__xludf.DUMMYFUNCTION("""COMPUTED_VALUE"""),229.35)</f>
        <v>229.35</v>
      </c>
    </row>
    <row r="1221">
      <c r="A1221" s="2">
        <f>IFERROR(__xludf.DUMMYFUNCTION("""COMPUTED_VALUE"""),45880.66666666667)</f>
        <v>45880.66667</v>
      </c>
      <c r="B1221" s="1">
        <f>IFERROR(__xludf.DUMMYFUNCTION("""COMPUTED_VALUE"""),227.18)</f>
        <v>227.18</v>
      </c>
    </row>
    <row r="1222">
      <c r="A1222" s="2">
        <f>IFERROR(__xludf.DUMMYFUNCTION("""COMPUTED_VALUE"""),45881.66666666667)</f>
        <v>45881.66667</v>
      </c>
      <c r="B1222" s="1">
        <f>IFERROR(__xludf.DUMMYFUNCTION("""COMPUTED_VALUE"""),229.65)</f>
        <v>229.65</v>
      </c>
    </row>
    <row r="1223">
      <c r="A1223" s="2">
        <f>IFERROR(__xludf.DUMMYFUNCTION("""COMPUTED_VALUE"""),45882.66666666667)</f>
        <v>45882.66667</v>
      </c>
      <c r="B1223" s="1">
        <f>IFERROR(__xludf.DUMMYFUNCTION("""COMPUTED_VALUE"""),233.33)</f>
        <v>233.33</v>
      </c>
    </row>
    <row r="1224">
      <c r="A1224" s="2">
        <f>IFERROR(__xludf.DUMMYFUNCTION("""COMPUTED_VALUE"""),45883.66666666667)</f>
        <v>45883.66667</v>
      </c>
      <c r="B1224" s="1">
        <f>IFERROR(__xludf.DUMMYFUNCTION("""COMPUTED_VALUE"""),232.78)</f>
        <v>232.78</v>
      </c>
    </row>
    <row r="1225">
      <c r="A1225" s="2">
        <f>IFERROR(__xludf.DUMMYFUNCTION("""COMPUTED_VALUE"""),45884.66666666667)</f>
        <v>45884.66667</v>
      </c>
      <c r="B1225" s="1">
        <f>IFERROR(__xludf.DUMMYFUNCTION("""COMPUTED_VALUE"""),231.59)</f>
        <v>231.59</v>
      </c>
    </row>
    <row r="1226">
      <c r="A1226" s="2">
        <f>IFERROR(__xludf.DUMMYFUNCTION("""COMPUTED_VALUE"""),45887.66666666667)</f>
        <v>45887.66667</v>
      </c>
      <c r="B1226" s="1">
        <f>IFERROR(__xludf.DUMMYFUNCTION("""COMPUTED_VALUE"""),230.89)</f>
        <v>230.89</v>
      </c>
    </row>
    <row r="1227">
      <c r="A1227" s="2">
        <f>IFERROR(__xludf.DUMMYFUNCTION("""COMPUTED_VALUE"""),45888.66666666667)</f>
        <v>45888.66667</v>
      </c>
      <c r="B1227" s="1">
        <f>IFERROR(__xludf.DUMMYFUNCTION("""COMPUTED_VALUE"""),230.56)</f>
        <v>230.56</v>
      </c>
    </row>
    <row r="1228">
      <c r="A1228" s="2">
        <f>IFERROR(__xludf.DUMMYFUNCTION("""COMPUTED_VALUE"""),45889.66666666667)</f>
        <v>45889.66667</v>
      </c>
      <c r="B1228" s="1">
        <f>IFERROR(__xludf.DUMMYFUNCTION("""COMPUTED_VALUE"""),226.01)</f>
        <v>226.01</v>
      </c>
    </row>
    <row r="1229">
      <c r="A1229" s="2">
        <f>IFERROR(__xludf.DUMMYFUNCTION("""COMPUTED_VALUE"""),45890.66666666667)</f>
        <v>45890.66667</v>
      </c>
      <c r="B1229" s="1">
        <f>IFERROR(__xludf.DUMMYFUNCTION("""COMPUTED_VALUE"""),224.9)</f>
        <v>224.9</v>
      </c>
    </row>
    <row r="1230">
      <c r="A1230" s="2">
        <f>IFERROR(__xludf.DUMMYFUNCTION("""COMPUTED_VALUE"""),45891.66666666667)</f>
        <v>45891.66667</v>
      </c>
      <c r="B1230" s="1">
        <f>IFERROR(__xludf.DUMMYFUNCTION("""COMPUTED_VALUE"""),227.76)</f>
        <v>227.76</v>
      </c>
    </row>
    <row r="1231">
      <c r="A1231" s="2">
        <f>IFERROR(__xludf.DUMMYFUNCTION("""COMPUTED_VALUE"""),45894.66666666667)</f>
        <v>45894.66667</v>
      </c>
      <c r="B1231" s="1">
        <f>IFERROR(__xludf.DUMMYFUNCTION("""COMPUTED_VALUE"""),227.16)</f>
        <v>227.16</v>
      </c>
    </row>
    <row r="1232">
      <c r="A1232" s="2">
        <f>IFERROR(__xludf.DUMMYFUNCTION("""COMPUTED_VALUE"""),45895.66666666667)</f>
        <v>45895.66667</v>
      </c>
      <c r="B1232" s="1">
        <f>IFERROR(__xludf.DUMMYFUNCTION("""COMPUTED_VALUE"""),229.31)</f>
        <v>229.31</v>
      </c>
    </row>
    <row r="1233">
      <c r="A1233" s="2">
        <f>IFERROR(__xludf.DUMMYFUNCTION("""COMPUTED_VALUE"""),45896.66666666667)</f>
        <v>45896.66667</v>
      </c>
      <c r="B1233" s="1">
        <f>IFERROR(__xludf.DUMMYFUNCTION("""COMPUTED_VALUE"""),230.49)</f>
        <v>230.49</v>
      </c>
    </row>
    <row r="1234">
      <c r="A1234" s="2">
        <f>IFERROR(__xludf.DUMMYFUNCTION("""COMPUTED_VALUE"""),45897.66666666667)</f>
        <v>45897.66667</v>
      </c>
      <c r="B1234" s="1">
        <f>IFERROR(__xludf.DUMMYFUNCTION("""COMPUTED_VALUE"""),232.56)</f>
        <v>232.56</v>
      </c>
    </row>
    <row r="1235">
      <c r="A1235" s="2">
        <f>IFERROR(__xludf.DUMMYFUNCTION("""COMPUTED_VALUE"""),45898.66666666667)</f>
        <v>45898.66667</v>
      </c>
      <c r="B1235" s="1">
        <f>IFERROR(__xludf.DUMMYFUNCTION("""COMPUTED_VALUE"""),232.14)</f>
        <v>232.14</v>
      </c>
    </row>
    <row r="1236">
      <c r="A1236" s="2">
        <f>IFERROR(__xludf.DUMMYFUNCTION("""COMPUTED_VALUE"""),45902.66666666667)</f>
        <v>45902.66667</v>
      </c>
      <c r="B1236" s="1">
        <f>IFERROR(__xludf.DUMMYFUNCTION("""COMPUTED_VALUE"""),229.72)</f>
        <v>229.72</v>
      </c>
    </row>
    <row r="1237">
      <c r="A1237" s="2">
        <f>IFERROR(__xludf.DUMMYFUNCTION("""COMPUTED_VALUE"""),45903.66666666667)</f>
        <v>45903.66667</v>
      </c>
      <c r="B1237" s="1">
        <f>IFERROR(__xludf.DUMMYFUNCTION("""COMPUTED_VALUE"""),238.47)</f>
        <v>238.47</v>
      </c>
    </row>
    <row r="1238">
      <c r="A1238" s="2">
        <f>IFERROR(__xludf.DUMMYFUNCTION("""COMPUTED_VALUE"""),45904.66666666667)</f>
        <v>45904.66667</v>
      </c>
      <c r="B1238" s="1">
        <f>IFERROR(__xludf.DUMMYFUNCTION("""COMPUTED_VALUE"""),239.78)</f>
        <v>239.78</v>
      </c>
    </row>
    <row r="1239">
      <c r="A1239" s="2">
        <f>IFERROR(__xludf.DUMMYFUNCTION("""COMPUTED_VALUE"""),45905.66666666667)</f>
        <v>45905.66667</v>
      </c>
      <c r="B1239" s="1">
        <f>IFERROR(__xludf.DUMMYFUNCTION("""COMPUTED_VALUE"""),239.69)</f>
        <v>239.69</v>
      </c>
    </row>
    <row r="1240">
      <c r="A1240" s="2">
        <f>IFERROR(__xludf.DUMMYFUNCTION("""COMPUTED_VALUE"""),45908.66666666667)</f>
        <v>45908.66667</v>
      </c>
      <c r="B1240" s="1">
        <f>IFERROR(__xludf.DUMMYFUNCTION("""COMPUTED_VALUE"""),237.88)</f>
        <v>237.88</v>
      </c>
    </row>
    <row r="1241">
      <c r="A1241" s="2">
        <f>IFERROR(__xludf.DUMMYFUNCTION("""COMPUTED_VALUE"""),45909.66666666667)</f>
        <v>45909.66667</v>
      </c>
      <c r="B1241" s="1">
        <f>IFERROR(__xludf.DUMMYFUNCTION("""COMPUTED_VALUE"""),234.35)</f>
        <v>234.35</v>
      </c>
    </row>
    <row r="1242">
      <c r="A1242" s="2">
        <f>IFERROR(__xludf.DUMMYFUNCTION("""COMPUTED_VALUE"""),45910.66666666667)</f>
        <v>45910.66667</v>
      </c>
      <c r="B1242" s="1">
        <f>IFERROR(__xludf.DUMMYFUNCTION("""COMPUTED_VALUE"""),226.79)</f>
        <v>226.79</v>
      </c>
    </row>
    <row r="1243">
      <c r="A1243" s="2">
        <f>IFERROR(__xludf.DUMMYFUNCTION("""COMPUTED_VALUE"""),45911.66666666667)</f>
        <v>45911.66667</v>
      </c>
      <c r="B1243" s="1">
        <f>IFERROR(__xludf.DUMMYFUNCTION("""COMPUTED_VALUE"""),230.03)</f>
        <v>230.03</v>
      </c>
    </row>
    <row r="1244">
      <c r="A1244" s="2">
        <f>IFERROR(__xludf.DUMMYFUNCTION("""COMPUTED_VALUE"""),45912.66666666667)</f>
        <v>45912.66667</v>
      </c>
      <c r="B1244" s="1">
        <f>IFERROR(__xludf.DUMMYFUNCTION("""COMPUTED_VALUE"""),234.07)</f>
        <v>234.07</v>
      </c>
    </row>
    <row r="1245">
      <c r="A1245" s="2">
        <f>IFERROR(__xludf.DUMMYFUNCTION("""COMPUTED_VALUE"""),45915.66666666667)</f>
        <v>45915.66667</v>
      </c>
      <c r="B1245" s="1">
        <f>IFERROR(__xludf.DUMMYFUNCTION("""COMPUTED_VALUE"""),236.7)</f>
        <v>236.7</v>
      </c>
    </row>
    <row r="1246">
      <c r="A1246" s="2">
        <f>IFERROR(__xludf.DUMMYFUNCTION("""COMPUTED_VALUE"""),45916.66666666667)</f>
        <v>45916.66667</v>
      </c>
      <c r="B1246" s="1">
        <f>IFERROR(__xludf.DUMMYFUNCTION("""COMPUTED_VALUE"""),238.15)</f>
        <v>238.15</v>
      </c>
    </row>
    <row r="1247">
      <c r="A1247" s="2">
        <f>IFERROR(__xludf.DUMMYFUNCTION("""COMPUTED_VALUE"""),45917.66666666667)</f>
        <v>45917.66667</v>
      </c>
      <c r="B1247" s="1">
        <f>IFERROR(__xludf.DUMMYFUNCTION("""COMPUTED_VALUE"""),238.99)</f>
        <v>238.99</v>
      </c>
    </row>
    <row r="1248">
      <c r="A1248" s="2">
        <f>IFERROR(__xludf.DUMMYFUNCTION("""COMPUTED_VALUE"""),45918.66666666667)</f>
        <v>45918.66667</v>
      </c>
      <c r="B1248" s="1">
        <f>IFERROR(__xludf.DUMMYFUNCTION("""COMPUTED_VALUE"""),237.88)</f>
        <v>237.88</v>
      </c>
    </row>
    <row r="1249">
      <c r="A1249" s="2">
        <f>IFERROR(__xludf.DUMMYFUNCTION("""COMPUTED_VALUE"""),45919.66666666667)</f>
        <v>45919.66667</v>
      </c>
      <c r="B1249" s="1">
        <f>IFERROR(__xludf.DUMMYFUNCTION("""COMPUTED_VALUE"""),245.5)</f>
        <v>245.5</v>
      </c>
    </row>
    <row r="1250">
      <c r="A1250" s="2">
        <f>IFERROR(__xludf.DUMMYFUNCTION("""COMPUTED_VALUE"""),45922.66666666667)</f>
        <v>45922.66667</v>
      </c>
      <c r="B1250" s="1">
        <f>IFERROR(__xludf.DUMMYFUNCTION("""COMPUTED_VALUE"""),256.08)</f>
        <v>256.08</v>
      </c>
    </row>
    <row r="1251">
      <c r="A1251" s="2">
        <f>IFERROR(__xludf.DUMMYFUNCTION("""COMPUTED_VALUE"""),45923.66666666667)</f>
        <v>45923.66667</v>
      </c>
      <c r="B1251" s="1">
        <f>IFERROR(__xludf.DUMMYFUNCTION("""COMPUTED_VALUE"""),254.43)</f>
        <v>254.43</v>
      </c>
    </row>
    <row r="1252">
      <c r="A1252" s="2">
        <f>IFERROR(__xludf.DUMMYFUNCTION("""COMPUTED_VALUE"""),45924.66666666667)</f>
        <v>45924.66667</v>
      </c>
      <c r="B1252" s="1">
        <f>IFERROR(__xludf.DUMMYFUNCTION("""COMPUTED_VALUE"""),252.31)</f>
        <v>252.31</v>
      </c>
    </row>
    <row r="1253">
      <c r="A1253" s="2">
        <f>IFERROR(__xludf.DUMMYFUNCTION("""COMPUTED_VALUE"""),45925.66666666667)</f>
        <v>45925.66667</v>
      </c>
      <c r="B1253" s="1">
        <f>IFERROR(__xludf.DUMMYFUNCTION("""COMPUTED_VALUE"""),256.87)</f>
        <v>256.87</v>
      </c>
    </row>
    <row r="1254">
      <c r="A1254" s="2">
        <f>IFERROR(__xludf.DUMMYFUNCTION("""COMPUTED_VALUE"""),45926.66666666667)</f>
        <v>45926.66667</v>
      </c>
      <c r="B1254" s="1">
        <f>IFERROR(__xludf.DUMMYFUNCTION("""COMPUTED_VALUE"""),255.46)</f>
        <v>255.46</v>
      </c>
    </row>
    <row r="1255">
      <c r="A1255" s="2">
        <f>IFERROR(__xludf.DUMMYFUNCTION("""COMPUTED_VALUE"""),45929.66666666667)</f>
        <v>45929.66667</v>
      </c>
      <c r="B1255" s="1">
        <f>IFERROR(__xludf.DUMMYFUNCTION("""COMPUTED_VALUE"""),254.43)</f>
        <v>254.43</v>
      </c>
    </row>
    <row r="1256">
      <c r="A1256" s="2">
        <f>IFERROR(__xludf.DUMMYFUNCTION("""COMPUTED_VALUE"""),45930.66666666667)</f>
        <v>45930.66667</v>
      </c>
      <c r="B1256" s="1">
        <f>IFERROR(__xludf.DUMMYFUNCTION("""COMPUTED_VALUE"""),254.63)</f>
        <v>254.63</v>
      </c>
    </row>
    <row r="1257">
      <c r="A1257" s="2">
        <f>IFERROR(__xludf.DUMMYFUNCTION("""COMPUTED_VALUE"""),45931.66666666667)</f>
        <v>45931.66667</v>
      </c>
      <c r="B1257" s="1">
        <f>IFERROR(__xludf.DUMMYFUNCTION("""COMPUTED_VALUE"""),255.45)</f>
        <v>255.45</v>
      </c>
    </row>
    <row r="1258">
      <c r="A1258" s="2">
        <f>IFERROR(__xludf.DUMMYFUNCTION("""COMPUTED_VALUE"""),45932.66666666667)</f>
        <v>45932.66667</v>
      </c>
      <c r="B1258" s="1">
        <f>IFERROR(__xludf.DUMMYFUNCTION("""COMPUTED_VALUE"""),257.13)</f>
        <v>257.13</v>
      </c>
    </row>
    <row r="1259">
      <c r="A1259" s="2">
        <f>IFERROR(__xludf.DUMMYFUNCTION("""COMPUTED_VALUE"""),45933.66666666667)</f>
        <v>45933.66667</v>
      </c>
      <c r="B1259" s="1">
        <f>IFERROR(__xludf.DUMMYFUNCTION("""COMPUTED_VALUE"""),258.02)</f>
        <v>258.02</v>
      </c>
    </row>
    <row r="1260">
      <c r="A1260" s="2">
        <f>IFERROR(__xludf.DUMMYFUNCTION("""COMPUTED_VALUE"""),45936.66666666667)</f>
        <v>45936.66667</v>
      </c>
      <c r="B1260" s="1">
        <f>IFERROR(__xludf.DUMMYFUNCTION("""COMPUTED_VALUE"""),256.69)</f>
        <v>256.69</v>
      </c>
    </row>
    <row r="1261">
      <c r="A1261" s="2">
        <f>IFERROR(__xludf.DUMMYFUNCTION("""COMPUTED_VALUE"""),45937.66666666667)</f>
        <v>45937.66667</v>
      </c>
      <c r="B1261" s="1">
        <f>IFERROR(__xludf.DUMMYFUNCTION("""COMPUTED_VALUE"""),256.48)</f>
        <v>256.48</v>
      </c>
    </row>
    <row r="1262">
      <c r="A1262" s="2">
        <f>IFERROR(__xludf.DUMMYFUNCTION("""COMPUTED_VALUE"""),45938.66666666667)</f>
        <v>45938.66667</v>
      </c>
      <c r="B1262" s="1">
        <f>IFERROR(__xludf.DUMMYFUNCTION("""COMPUTED_VALUE"""),258.06)</f>
        <v>258.06</v>
      </c>
    </row>
    <row r="1263">
      <c r="A1263" s="2">
        <f>IFERROR(__xludf.DUMMYFUNCTION("""COMPUTED_VALUE"""),45939.66666666667)</f>
        <v>45939.66667</v>
      </c>
      <c r="B1263" s="1">
        <f>IFERROR(__xludf.DUMMYFUNCTION("""COMPUTED_VALUE"""),254.04)</f>
        <v>254.04</v>
      </c>
    </row>
    <row r="1264">
      <c r="A1264" s="2">
        <f>IFERROR(__xludf.DUMMYFUNCTION("""COMPUTED_VALUE"""),45940.66666666667)</f>
        <v>45940.66667</v>
      </c>
      <c r="B1264" s="1">
        <f>IFERROR(__xludf.DUMMYFUNCTION("""COMPUTED_VALUE"""),245.27)</f>
        <v>245.27</v>
      </c>
    </row>
    <row r="1265">
      <c r="A1265" s="2">
        <f>IFERROR(__xludf.DUMMYFUNCTION("""COMPUTED_VALUE"""),45943.66666666667)</f>
        <v>45943.66667</v>
      </c>
      <c r="B1265" s="1">
        <f>IFERROR(__xludf.DUMMYFUNCTION("""COMPUTED_VALUE"""),247.66)</f>
        <v>247.66</v>
      </c>
    </row>
    <row r="1266">
      <c r="A1266" s="2">
        <f>IFERROR(__xludf.DUMMYFUNCTION("""COMPUTED_VALUE"""),45944.66666666667)</f>
        <v>45944.66667</v>
      </c>
      <c r="B1266" s="1">
        <f>IFERROR(__xludf.DUMMYFUNCTION("""COMPUTED_VALUE"""),247.77)</f>
        <v>247.77</v>
      </c>
    </row>
    <row r="1267">
      <c r="A1267" s="2">
        <f>IFERROR(__xludf.DUMMYFUNCTION("""COMPUTED_VALUE"""),45945.66666666667)</f>
        <v>45945.66667</v>
      </c>
      <c r="B1267" s="1">
        <f>IFERROR(__xludf.DUMMYFUNCTION("""COMPUTED_VALUE"""),249.34)</f>
        <v>249.34</v>
      </c>
    </row>
    <row r="1268">
      <c r="A1268" s="2">
        <f>IFERROR(__xludf.DUMMYFUNCTION("""COMPUTED_VALUE"""),45946.66666666667)</f>
        <v>45946.66667</v>
      </c>
      <c r="B1268" s="1">
        <f>IFERROR(__xludf.DUMMYFUNCTION("""COMPUTED_VALUE"""),247.45)</f>
        <v>247.45</v>
      </c>
    </row>
    <row r="1269">
      <c r="A1269" s="2">
        <f>IFERROR(__xludf.DUMMYFUNCTION("""COMPUTED_VALUE"""),45947.66666666667)</f>
        <v>45947.66667</v>
      </c>
      <c r="B1269" s="1">
        <f>IFERROR(__xludf.DUMMYFUNCTION("""COMPUTED_VALUE"""),252.29)</f>
        <v>252.29</v>
      </c>
    </row>
    <row r="1270">
      <c r="A1270" s="2">
        <f>IFERROR(__xludf.DUMMYFUNCTION("""COMPUTED_VALUE"""),45950.66666666667)</f>
        <v>45950.66667</v>
      </c>
      <c r="B1270" s="1">
        <f>IFERROR(__xludf.DUMMYFUNCTION("""COMPUTED_VALUE"""),262.24)</f>
        <v>262.24</v>
      </c>
    </row>
    <row r="1271">
      <c r="A1271" s="2">
        <f>IFERROR(__xludf.DUMMYFUNCTION("""COMPUTED_VALUE"""),45951.66666666667)</f>
        <v>45951.66667</v>
      </c>
      <c r="B1271" s="1">
        <f>IFERROR(__xludf.DUMMYFUNCTION("""COMPUTED_VALUE"""),262.77)</f>
        <v>262.77</v>
      </c>
    </row>
    <row r="1272">
      <c r="A1272" s="2">
        <f>IFERROR(__xludf.DUMMYFUNCTION("""COMPUTED_VALUE"""),45952.66666666667)</f>
        <v>45952.66667</v>
      </c>
      <c r="B1272" s="1">
        <f>IFERROR(__xludf.DUMMYFUNCTION("""COMPUTED_VALUE"""),258.45)</f>
        <v>258.45</v>
      </c>
    </row>
    <row r="1273">
      <c r="A1273" s="2">
        <f>IFERROR(__xludf.DUMMYFUNCTION("""COMPUTED_VALUE"""),45953.66666666667)</f>
        <v>45953.66667</v>
      </c>
      <c r="B1273" s="1">
        <f>IFERROR(__xludf.DUMMYFUNCTION("""COMPUTED_VALUE"""),259.58)</f>
        <v>259.58</v>
      </c>
    </row>
    <row r="1274">
      <c r="A1274" s="2">
        <f>IFERROR(__xludf.DUMMYFUNCTION("""COMPUTED_VALUE"""),45954.66666666667)</f>
        <v>45954.66667</v>
      </c>
      <c r="B1274" s="1">
        <f>IFERROR(__xludf.DUMMYFUNCTION("""COMPUTED_VALUE"""),262.82)</f>
        <v>262.82</v>
      </c>
    </row>
    <row r="1275">
      <c r="A1275" s="2">
        <f>IFERROR(__xludf.DUMMYFUNCTION("""COMPUTED_VALUE"""),45957.66666666667)</f>
        <v>45957.66667</v>
      </c>
      <c r="B1275" s="1">
        <f>IFERROR(__xludf.DUMMYFUNCTION("""COMPUTED_VALUE"""),268.81)</f>
        <v>268.81</v>
      </c>
    </row>
    <row r="1276">
      <c r="A1276" s="2">
        <f>IFERROR(__xludf.DUMMYFUNCTION("""COMPUTED_VALUE"""),45958.66666666667)</f>
        <v>45958.66667</v>
      </c>
      <c r="B1276" s="1">
        <f>IFERROR(__xludf.DUMMYFUNCTION("""COMPUTED_VALUE"""),269.0)</f>
        <v>269</v>
      </c>
    </row>
    <row r="1277">
      <c r="A1277" s="2">
        <f>IFERROR(__xludf.DUMMYFUNCTION("""COMPUTED_VALUE"""),45959.66666666667)</f>
        <v>45959.66667</v>
      </c>
      <c r="B1277" s="1">
        <f>IFERROR(__xludf.DUMMYFUNCTION("""COMPUTED_VALUE"""),269.7)</f>
        <v>269.7</v>
      </c>
    </row>
    <row r="1278">
      <c r="A1278" s="2">
        <f>IFERROR(__xludf.DUMMYFUNCTION("""COMPUTED_VALUE"""),45960.66666666667)</f>
        <v>45960.66667</v>
      </c>
      <c r="B1278" s="1">
        <f>IFERROR(__xludf.DUMMYFUNCTION("""COMPUTED_VALUE"""),271.4)</f>
        <v>271.4</v>
      </c>
    </row>
    <row r="1279">
      <c r="A1279" s="2">
        <f>IFERROR(__xludf.DUMMYFUNCTION("""COMPUTED_VALUE"""),45961.66666666667)</f>
        <v>45961.66667</v>
      </c>
      <c r="B1279" s="1">
        <f>IFERROR(__xludf.DUMMYFUNCTION("""COMPUTED_VALUE"""),270.37)</f>
        <v>270.37</v>
      </c>
    </row>
    <row r="1280">
      <c r="A1280" s="2">
        <f>IFERROR(__xludf.DUMMYFUNCTION("""COMPUTED_VALUE"""),45964.66666666667)</f>
        <v>45964.66667</v>
      </c>
      <c r="B1280" s="1">
        <f>IFERROR(__xludf.DUMMYFUNCTION("""COMPUTED_VALUE"""),269.05)</f>
        <v>269.05</v>
      </c>
    </row>
    <row r="1281">
      <c r="A1281" s="2">
        <f>IFERROR(__xludf.DUMMYFUNCTION("""COMPUTED_VALUE"""),45965.66666666667)</f>
        <v>45965.66667</v>
      </c>
      <c r="B1281" s="1">
        <f>IFERROR(__xludf.DUMMYFUNCTION("""COMPUTED_VALUE"""),270.04)</f>
        <v>270.04</v>
      </c>
    </row>
    <row r="1282">
      <c r="A1282" s="2">
        <f>IFERROR(__xludf.DUMMYFUNCTION("""COMPUTED_VALUE"""),45966.66666666667)</f>
        <v>45966.66667</v>
      </c>
      <c r="B1282" s="1">
        <f>IFERROR(__xludf.DUMMYFUNCTION("""COMPUTED_VALUE"""),270.14)</f>
        <v>270.14</v>
      </c>
    </row>
    <row r="1283">
      <c r="A1283" s="2">
        <f>IFERROR(__xludf.DUMMYFUNCTION("""COMPUTED_VALUE"""),45967.66666666667)</f>
        <v>45967.66667</v>
      </c>
      <c r="B1283" s="1">
        <f>IFERROR(__xludf.DUMMYFUNCTION("""COMPUTED_VALUE"""),269.77)</f>
        <v>269.77</v>
      </c>
    </row>
    <row r="1284">
      <c r="A1284" s="2">
        <f>IFERROR(__xludf.DUMMYFUNCTION("""COMPUTED_VALUE"""),45968.66666666667)</f>
        <v>45968.66667</v>
      </c>
      <c r="B1284" s="1">
        <f>IFERROR(__xludf.DUMMYFUNCTION("""COMPUTED_VALUE"""),268.47)</f>
        <v>268.47</v>
      </c>
    </row>
    <row r="1285">
      <c r="A1285" s="2">
        <f>IFERROR(__xludf.DUMMYFUNCTION("""COMPUTED_VALUE"""),45971.66666666667)</f>
        <v>45971.66667</v>
      </c>
      <c r="B1285" s="1">
        <f>IFERROR(__xludf.DUMMYFUNCTION("""COMPUTED_VALUE"""),269.43)</f>
        <v>269.43</v>
      </c>
    </row>
    <row r="1286">
      <c r="A1286" s="2">
        <f>IFERROR(__xludf.DUMMYFUNCTION("""COMPUTED_VALUE"""),45972.66666666667)</f>
        <v>45972.66667</v>
      </c>
      <c r="B1286" s="1">
        <f>IFERROR(__xludf.DUMMYFUNCTION("""COMPUTED_VALUE"""),275.25)</f>
        <v>275.25</v>
      </c>
    </row>
    <row r="1287">
      <c r="A1287" s="2">
        <f>IFERROR(__xludf.DUMMYFUNCTION("""COMPUTED_VALUE"""),45973.66666666667)</f>
        <v>45973.66667</v>
      </c>
      <c r="B1287" s="1">
        <f>IFERROR(__xludf.DUMMYFUNCTION("""COMPUTED_VALUE"""),273.47)</f>
        <v>273.47</v>
      </c>
    </row>
    <row r="1288">
      <c r="A1288" s="2">
        <f>IFERROR(__xludf.DUMMYFUNCTION("""COMPUTED_VALUE"""),45974.66666666667)</f>
        <v>45974.66667</v>
      </c>
      <c r="B1288" s="1">
        <f>IFERROR(__xludf.DUMMYFUNCTION("""COMPUTED_VALUE"""),272.95)</f>
        <v>272.95</v>
      </c>
    </row>
    <row r="1289">
      <c r="A1289" s="2">
        <f>IFERROR(__xludf.DUMMYFUNCTION("""COMPUTED_VALUE"""),45975.66666666667)</f>
        <v>45975.66667</v>
      </c>
      <c r="B1289" s="1">
        <f>IFERROR(__xludf.DUMMYFUNCTION("""COMPUTED_VALUE"""),272.41)</f>
        <v>272.41</v>
      </c>
    </row>
    <row r="1290">
      <c r="A1290" s="2">
        <f>IFERROR(__xludf.DUMMYFUNCTION("""COMPUTED_VALUE"""),45978.66666666667)</f>
        <v>45978.66667</v>
      </c>
      <c r="B1290" s="1">
        <f>IFERROR(__xludf.DUMMYFUNCTION("""COMPUTED_VALUE"""),267.46)</f>
        <v>267.46</v>
      </c>
    </row>
    <row r="1291">
      <c r="A1291" s="2">
        <f>IFERROR(__xludf.DUMMYFUNCTION("""COMPUTED_VALUE"""),45979.66666666667)</f>
        <v>45979.66667</v>
      </c>
      <c r="B1291" s="1">
        <f>IFERROR(__xludf.DUMMYFUNCTION("""COMPUTED_VALUE"""),267.44)</f>
        <v>267.44</v>
      </c>
    </row>
    <row r="1292">
      <c r="A1292" s="2">
        <f>IFERROR(__xludf.DUMMYFUNCTION("""COMPUTED_VALUE"""),45980.66666666667)</f>
        <v>45980.66667</v>
      </c>
      <c r="B1292" s="1">
        <f>IFERROR(__xludf.DUMMYFUNCTION("""COMPUTED_VALUE"""),268.56)</f>
        <v>268.56</v>
      </c>
    </row>
    <row r="1293">
      <c r="A1293" s="2">
        <f>IFERROR(__xludf.DUMMYFUNCTION("""COMPUTED_VALUE"""),45981.66666666667)</f>
        <v>45981.66667</v>
      </c>
      <c r="B1293" s="1">
        <f>IFERROR(__xludf.DUMMYFUNCTION("""COMPUTED_VALUE"""),266.25)</f>
        <v>266.25</v>
      </c>
    </row>
    <row r="1294">
      <c r="A1294" s="2">
        <f>IFERROR(__xludf.DUMMYFUNCTION("""COMPUTED_VALUE"""),45982.66666666667)</f>
        <v>45982.66667</v>
      </c>
      <c r="B1294" s="1">
        <f>IFERROR(__xludf.DUMMYFUNCTION("""COMPUTED_VALUE"""),271.49)</f>
        <v>271.49</v>
      </c>
    </row>
    <row r="1295">
      <c r="A1295" s="2">
        <f>IFERROR(__xludf.DUMMYFUNCTION("""COMPUTED_VALUE"""),45985.66666666667)</f>
        <v>45985.66667</v>
      </c>
      <c r="B1295" s="1">
        <f>IFERROR(__xludf.DUMMYFUNCTION("""COMPUTED_VALUE"""),275.92)</f>
        <v>275.92</v>
      </c>
    </row>
    <row r="1296">
      <c r="A1296" s="2">
        <f>IFERROR(__xludf.DUMMYFUNCTION("""COMPUTED_VALUE"""),45986.66666666667)</f>
        <v>45986.66667</v>
      </c>
      <c r="B1296" s="1">
        <f>IFERROR(__xludf.DUMMYFUNCTION("""COMPUTED_VALUE"""),276.97)</f>
        <v>276.97</v>
      </c>
    </row>
    <row r="1297">
      <c r="A1297" s="2">
        <f>IFERROR(__xludf.DUMMYFUNCTION("""COMPUTED_VALUE"""),45987.66666666667)</f>
        <v>45987.66667</v>
      </c>
      <c r="B1297" s="1">
        <f>IFERROR(__xludf.DUMMYFUNCTION("""COMPUTED_VALUE"""),277.55)</f>
        <v>277.55</v>
      </c>
    </row>
    <row r="1298">
      <c r="A1298" s="2">
        <f>IFERROR(__xludf.DUMMYFUNCTION("""COMPUTED_VALUE"""),45989.54513888889)</f>
        <v>45989.54514</v>
      </c>
      <c r="B1298" s="1">
        <f>IFERROR(__xludf.DUMMYFUNCTION("""COMPUTED_VALUE"""),278.85)</f>
        <v>278.85</v>
      </c>
    </row>
    <row r="1299">
      <c r="A1299" s="2">
        <f>IFERROR(__xludf.DUMMYFUNCTION("""COMPUTED_VALUE"""),45992.66666666667)</f>
        <v>45992.66667</v>
      </c>
      <c r="B1299" s="1">
        <f>IFERROR(__xludf.DUMMYFUNCTION("""COMPUTED_VALUE"""),283.1)</f>
        <v>283.1</v>
      </c>
    </row>
    <row r="1300">
      <c r="A1300" s="2">
        <f>IFERROR(__xludf.DUMMYFUNCTION("""COMPUTED_VALUE"""),45993.66666666667)</f>
        <v>45993.66667</v>
      </c>
      <c r="B1300" s="1">
        <f>IFERROR(__xludf.DUMMYFUNCTION("""COMPUTED_VALUE"""),286.19)</f>
        <v>286.19</v>
      </c>
    </row>
    <row r="1301">
      <c r="A1301" s="2">
        <f>IFERROR(__xludf.DUMMYFUNCTION("""COMPUTED_VALUE"""),45994.66666666667)</f>
        <v>45994.66667</v>
      </c>
      <c r="B1301" s="1">
        <f>IFERROR(__xludf.DUMMYFUNCTION("""COMPUTED_VALUE"""),284.15)</f>
        <v>284.15</v>
      </c>
    </row>
    <row r="1302">
      <c r="A1302" s="2">
        <f>IFERROR(__xludf.DUMMYFUNCTION("""COMPUTED_VALUE"""),45995.66666666667)</f>
        <v>45995.66667</v>
      </c>
      <c r="B1302" s="1">
        <f>IFERROR(__xludf.DUMMYFUNCTION("""COMPUTED_VALUE"""),280.7)</f>
        <v>280.7</v>
      </c>
    </row>
    <row r="1303">
      <c r="A1303" s="2">
        <f>IFERROR(__xludf.DUMMYFUNCTION("""COMPUTED_VALUE"""),45996.66666666667)</f>
        <v>45996.66667</v>
      </c>
      <c r="B1303" s="1">
        <f>IFERROR(__xludf.DUMMYFUNCTION("""COMPUTED_VALUE"""),278.78)</f>
        <v>278.78</v>
      </c>
    </row>
    <row r="1304">
      <c r="A1304" s="2">
        <f>IFERROR(__xludf.DUMMYFUNCTION("""COMPUTED_VALUE"""),45999.66666666667)</f>
        <v>45999.66667</v>
      </c>
      <c r="B1304" s="1">
        <f>IFERROR(__xludf.DUMMYFUNCTION("""COMPUTED_VALUE"""),277.89)</f>
        <v>277.89</v>
      </c>
    </row>
    <row r="1305">
      <c r="A1305" s="2">
        <f>IFERROR(__xludf.DUMMYFUNCTION("""COMPUTED_VALUE"""),46000.66666666667)</f>
        <v>46000.66667</v>
      </c>
      <c r="B1305" s="1">
        <f>IFERROR(__xludf.DUMMYFUNCTION("""COMPUTED_VALUE"""),277.18)</f>
        <v>277.18</v>
      </c>
    </row>
    <row r="1306">
      <c r="A1306" s="2">
        <f>IFERROR(__xludf.DUMMYFUNCTION("""COMPUTED_VALUE"""),46001.66666666667)</f>
        <v>46001.66667</v>
      </c>
      <c r="B1306" s="1">
        <f>IFERROR(__xludf.DUMMYFUNCTION("""COMPUTED_VALUE"""),278.78)</f>
        <v>278.78</v>
      </c>
    </row>
    <row r="1307">
      <c r="A1307" s="2">
        <f>IFERROR(__xludf.DUMMYFUNCTION("""COMPUTED_VALUE"""),46002.66666666667)</f>
        <v>46002.66667</v>
      </c>
      <c r="B1307" s="1">
        <f>IFERROR(__xludf.DUMMYFUNCTION("""COMPUTED_VALUE"""),278.03)</f>
        <v>278.03</v>
      </c>
    </row>
    <row r="1308">
      <c r="A1308" s="2">
        <f>IFERROR(__xludf.DUMMYFUNCTION("""COMPUTED_VALUE"""),46003.66666666667)</f>
        <v>46003.66667</v>
      </c>
      <c r="B1308" s="1">
        <f>IFERROR(__xludf.DUMMYFUNCTION("""COMPUTED_VALUE"""),278.28)</f>
        <v>278.28</v>
      </c>
    </row>
    <row r="1309">
      <c r="A1309" s="2">
        <f>IFERROR(__xludf.DUMMYFUNCTION("""COMPUTED_VALUE"""),46006.66666666667)</f>
        <v>46006.66667</v>
      </c>
      <c r="B1309" s="1">
        <f>IFERROR(__xludf.DUMMYFUNCTION("""COMPUTED_VALUE"""),274.11)</f>
        <v>274.11</v>
      </c>
    </row>
    <row r="1310">
      <c r="A1310" s="2">
        <f>IFERROR(__xludf.DUMMYFUNCTION("""COMPUTED_VALUE"""),46007.66666666667)</f>
        <v>46007.66667</v>
      </c>
      <c r="B1310" s="1">
        <f>IFERROR(__xludf.DUMMYFUNCTION("""COMPUTED_VALUE"""),274.61)</f>
        <v>274.61</v>
      </c>
    </row>
    <row r="1311">
      <c r="A1311" s="2">
        <f>IFERROR(__xludf.DUMMYFUNCTION("""COMPUTED_VALUE"""),46008.66666666667)</f>
        <v>46008.66667</v>
      </c>
      <c r="B1311" s="1">
        <f>IFERROR(__xludf.DUMMYFUNCTION("""COMPUTED_VALUE"""),271.84)</f>
        <v>271.84</v>
      </c>
    </row>
    <row r="1312">
      <c r="A1312" s="2">
        <f>IFERROR(__xludf.DUMMYFUNCTION("""COMPUTED_VALUE"""),46009.66666666667)</f>
        <v>46009.66667</v>
      </c>
      <c r="B1312" s="1">
        <f>IFERROR(__xludf.DUMMYFUNCTION("""COMPUTED_VALUE"""),272.19)</f>
        <v>272.19</v>
      </c>
    </row>
    <row r="1313">
      <c r="A1313" s="2">
        <f>IFERROR(__xludf.DUMMYFUNCTION("""COMPUTED_VALUE"""),46010.66666666667)</f>
        <v>46010.66667</v>
      </c>
      <c r="B1313" s="1">
        <f>IFERROR(__xludf.DUMMYFUNCTION("""COMPUTED_VALUE"""),273.67)</f>
        <v>273.67</v>
      </c>
    </row>
    <row r="1314">
      <c r="A1314" s="2">
        <f>IFERROR(__xludf.DUMMYFUNCTION("""COMPUTED_VALUE"""),46013.66666666667)</f>
        <v>46013.66667</v>
      </c>
      <c r="B1314" s="1">
        <f>IFERROR(__xludf.DUMMYFUNCTION("""COMPUTED_VALUE"""),270.97)</f>
        <v>270.97</v>
      </c>
    </row>
    <row r="1315">
      <c r="A1315" s="2">
        <f>IFERROR(__xludf.DUMMYFUNCTION("""COMPUTED_VALUE"""),46014.66666666667)</f>
        <v>46014.66667</v>
      </c>
      <c r="B1315" s="1">
        <f>IFERROR(__xludf.DUMMYFUNCTION("""COMPUTED_VALUE"""),272.36)</f>
        <v>272.36</v>
      </c>
    </row>
    <row r="1316">
      <c r="A1316" s="2">
        <f>IFERROR(__xludf.DUMMYFUNCTION("""COMPUTED_VALUE"""),46015.54513888889)</f>
        <v>46015.54514</v>
      </c>
      <c r="B1316" s="1">
        <f>IFERROR(__xludf.DUMMYFUNCTION("""COMPUTED_VALUE"""),273.81)</f>
        <v>273.81</v>
      </c>
    </row>
    <row r="1317">
      <c r="A1317" s="2">
        <f>IFERROR(__xludf.DUMMYFUNCTION("""COMPUTED_VALUE"""),46017.66666666667)</f>
        <v>46017.66667</v>
      </c>
      <c r="B1317" s="1">
        <f>IFERROR(__xludf.DUMMYFUNCTION("""COMPUTED_VALUE"""),273.4)</f>
        <v>273.4</v>
      </c>
    </row>
    <row r="1318">
      <c r="A1318" s="2">
        <f>IFERROR(__xludf.DUMMYFUNCTION("""COMPUTED_VALUE"""),46020.66666666667)</f>
        <v>46020.66667</v>
      </c>
      <c r="B1318" s="1">
        <f>IFERROR(__xludf.DUMMYFUNCTION("""COMPUTED_VALUE"""),273.76)</f>
        <v>273.76</v>
      </c>
    </row>
    <row r="1319">
      <c r="A1319" s="2">
        <f>IFERROR(__xludf.DUMMYFUNCTION("""COMPUTED_VALUE"""),46021.66666666667)</f>
        <v>46021.66667</v>
      </c>
      <c r="B1319" s="1">
        <f>IFERROR(__xludf.DUMMYFUNCTION("""COMPUTED_VALUE"""),273.08)</f>
        <v>273.08</v>
      </c>
    </row>
    <row r="1320">
      <c r="A1320" s="2">
        <f>IFERROR(__xludf.DUMMYFUNCTION("""COMPUTED_VALUE"""),46022.66666666667)</f>
        <v>46022.66667</v>
      </c>
      <c r="B1320" s="1">
        <f>IFERROR(__xludf.DUMMYFUNCTION("""COMPUTED_VALUE"""),271.86)</f>
        <v>271.86</v>
      </c>
    </row>
    <row r="1321">
      <c r="A1321" s="2">
        <f>IFERROR(__xludf.DUMMYFUNCTION("""COMPUTED_VALUE"""),46024.66666666667)</f>
        <v>46024.66667</v>
      </c>
      <c r="B1321" s="1">
        <f>IFERROR(__xludf.DUMMYFUNCTION("""COMPUTED_VALUE"""),271.01)</f>
        <v>271.01</v>
      </c>
    </row>
    <row r="1322">
      <c r="A1322" s="2">
        <f>IFERROR(__xludf.DUMMYFUNCTION("""COMPUTED_VALUE"""),46027.66666666667)</f>
        <v>46027.66667</v>
      </c>
      <c r="B1322" s="1">
        <f>IFERROR(__xludf.DUMMYFUNCTION("""COMPUTED_VALUE"""),267.26)</f>
        <v>267.26</v>
      </c>
    </row>
    <row r="1323">
      <c r="A1323" s="2">
        <f>IFERROR(__xludf.DUMMYFUNCTION("""COMPUTED_VALUE"""),46028.66666666667)</f>
        <v>46028.66667</v>
      </c>
      <c r="B1323" s="1">
        <f>IFERROR(__xludf.DUMMYFUNCTION("""COMPUTED_VALUE"""),262.36)</f>
        <v>262.36</v>
      </c>
    </row>
    <row r="1324">
      <c r="A1324" s="2">
        <f>IFERROR(__xludf.DUMMYFUNCTION("""COMPUTED_VALUE"""),46029.66666666667)</f>
        <v>46029.66667</v>
      </c>
      <c r="B1324" s="1">
        <f>IFERROR(__xludf.DUMMYFUNCTION("""COMPUTED_VALUE"""),260.33)</f>
        <v>260.33</v>
      </c>
    </row>
    <row r="1325">
      <c r="A1325" s="2">
        <f>IFERROR(__xludf.DUMMYFUNCTION("""COMPUTED_VALUE"""),46030.66666666667)</f>
        <v>46030.66667</v>
      </c>
      <c r="B1325" s="1">
        <f>IFERROR(__xludf.DUMMYFUNCTION("""COMPUTED_VALUE"""),259.04)</f>
        <v>259.04</v>
      </c>
    </row>
    <row r="1326">
      <c r="A1326" s="2">
        <f>IFERROR(__xludf.DUMMYFUNCTION("""COMPUTED_VALUE"""),46031.66666666667)</f>
        <v>46031.66667</v>
      </c>
      <c r="B1326" s="1">
        <f>IFERROR(__xludf.DUMMYFUNCTION("""COMPUTED_VALUE"""),259.37)</f>
        <v>259.37</v>
      </c>
    </row>
    <row r="1327">
      <c r="A1327" s="2">
        <f>IFERROR(__xludf.DUMMYFUNCTION("""COMPUTED_VALUE"""),46034.66666666667)</f>
        <v>46034.66667</v>
      </c>
      <c r="B1327" s="1">
        <f>IFERROR(__xludf.DUMMYFUNCTION("""COMPUTED_VALUE"""),260.25)</f>
        <v>260.25</v>
      </c>
    </row>
    <row r="1328">
      <c r="A1328" s="2">
        <f>IFERROR(__xludf.DUMMYFUNCTION("""COMPUTED_VALUE"""),46035.66666666667)</f>
        <v>46035.66667</v>
      </c>
      <c r="B1328" s="1">
        <f>IFERROR(__xludf.DUMMYFUNCTION("""COMPUTED_VALUE"""),261.05)</f>
        <v>261.05</v>
      </c>
    </row>
    <row r="1329">
      <c r="A1329" s="2">
        <f>IFERROR(__xludf.DUMMYFUNCTION("""COMPUTED_VALUE"""),46036.66666666667)</f>
        <v>46036.66667</v>
      </c>
      <c r="B1329" s="1">
        <f>IFERROR(__xludf.DUMMYFUNCTION("""COMPUTED_VALUE"""),259.96)</f>
        <v>259.96</v>
      </c>
    </row>
    <row r="1330">
      <c r="A1330" s="2">
        <f>IFERROR(__xludf.DUMMYFUNCTION("""COMPUTED_VALUE"""),46037.66666666667)</f>
        <v>46037.66667</v>
      </c>
      <c r="B1330" s="1">
        <f>IFERROR(__xludf.DUMMYFUNCTION("""COMPUTED_VALUE"""),258.21)</f>
        <v>258.21</v>
      </c>
    </row>
    <row r="1331">
      <c r="A1331" s="2">
        <f>IFERROR(__xludf.DUMMYFUNCTION("""COMPUTED_VALUE"""),46038.66666666667)</f>
        <v>46038.66667</v>
      </c>
      <c r="B1331" s="1">
        <f>IFERROR(__xludf.DUMMYFUNCTION("""COMPUTED_VALUE"""),255.53)</f>
        <v>255.53</v>
      </c>
    </row>
    <row r="1332">
      <c r="A1332" s="2">
        <f>IFERROR(__xludf.DUMMYFUNCTION("""COMPUTED_VALUE"""),46042.66666666667)</f>
        <v>46042.66667</v>
      </c>
      <c r="B1332" s="1">
        <f>IFERROR(__xludf.DUMMYFUNCTION("""COMPUTED_VALUE"""),246.7)</f>
        <v>246.7</v>
      </c>
    </row>
    <row r="1333">
      <c r="A1333" s="2">
        <f>IFERROR(__xludf.DUMMYFUNCTION("""COMPUTED_VALUE"""),46043.66666666667)</f>
        <v>46043.66667</v>
      </c>
      <c r="B1333" s="1">
        <f>IFERROR(__xludf.DUMMYFUNCTION("""COMPUTED_VALUE"""),247.65)</f>
        <v>247.65</v>
      </c>
    </row>
    <row r="1334">
      <c r="A1334" s="2">
        <f>IFERROR(__xludf.DUMMYFUNCTION("""COMPUTED_VALUE"""),46044.66666666667)</f>
        <v>46044.66667</v>
      </c>
      <c r="B1334" s="1">
        <f>IFERROR(__xludf.DUMMYFUNCTION("""COMPUTED_VALUE"""),248.35)</f>
        <v>248.35</v>
      </c>
    </row>
    <row r="1335">
      <c r="A1335" s="2">
        <f>IFERROR(__xludf.DUMMYFUNCTION("""COMPUTED_VALUE"""),46045.66666666667)</f>
        <v>46045.66667</v>
      </c>
      <c r="B1335" s="1">
        <f>IFERROR(__xludf.DUMMYFUNCTION("""COMPUTED_VALUE"""),248.04)</f>
        <v>248.04</v>
      </c>
    </row>
    <row r="1336">
      <c r="A1336" s="2">
        <f>IFERROR(__xludf.DUMMYFUNCTION("""COMPUTED_VALUE"""),46048.66666666667)</f>
        <v>46048.66667</v>
      </c>
      <c r="B1336" s="1">
        <f>IFERROR(__xludf.DUMMYFUNCTION("""COMPUTED_VALUE"""),255.41)</f>
        <v>255.41</v>
      </c>
    </row>
    <row r="1337">
      <c r="A1337" s="2">
        <f>IFERROR(__xludf.DUMMYFUNCTION("""COMPUTED_VALUE"""),46049.66666666667)</f>
        <v>46049.66667</v>
      </c>
      <c r="B1337" s="1">
        <f>IFERROR(__xludf.DUMMYFUNCTION("""COMPUTED_VALUE"""),258.27)</f>
        <v>258.27</v>
      </c>
    </row>
    <row r="1338">
      <c r="A1338" s="2">
        <f>IFERROR(__xludf.DUMMYFUNCTION("""COMPUTED_VALUE"""),46050.66666666667)</f>
        <v>46050.66667</v>
      </c>
      <c r="B1338" s="1">
        <f>IFERROR(__xludf.DUMMYFUNCTION("""COMPUTED_VALUE"""),256.44)</f>
        <v>256.44</v>
      </c>
    </row>
    <row r="1339">
      <c r="A1339" s="2">
        <f>IFERROR(__xludf.DUMMYFUNCTION("""COMPUTED_VALUE"""),46051.66666666667)</f>
        <v>46051.66667</v>
      </c>
      <c r="B1339" s="1">
        <f>IFERROR(__xludf.DUMMYFUNCTION("""COMPUTED_VALUE"""),258.28)</f>
        <v>258.28</v>
      </c>
    </row>
    <row r="1340">
      <c r="A1340" s="2">
        <f>IFERROR(__xludf.DUMMYFUNCTION("""COMPUTED_VALUE"""),46052.66666666667)</f>
        <v>46052.66667</v>
      </c>
      <c r="B1340" s="1">
        <f>IFERROR(__xludf.DUMMYFUNCTION("""COMPUTED_VALUE"""),259.48)</f>
        <v>259.48</v>
      </c>
    </row>
    <row r="1341">
      <c r="A1341" s="2">
        <f>IFERROR(__xludf.DUMMYFUNCTION("""COMPUTED_VALUE"""),46055.66666666667)</f>
        <v>46055.66667</v>
      </c>
      <c r="B1341" s="1">
        <f>IFERROR(__xludf.DUMMYFUNCTION("""COMPUTED_VALUE"""),270.01)</f>
        <v>270.01</v>
      </c>
    </row>
    <row r="1342">
      <c r="A1342" s="2">
        <f>IFERROR(__xludf.DUMMYFUNCTION("""COMPUTED_VALUE"""),46056.66666666667)</f>
        <v>46056.66667</v>
      </c>
      <c r="B1342" s="1">
        <f>IFERROR(__xludf.DUMMYFUNCTION("""COMPUTED_VALUE"""),269.48)</f>
        <v>269.48</v>
      </c>
    </row>
    <row r="1343">
      <c r="A1343" s="2">
        <f>IFERROR(__xludf.DUMMYFUNCTION("""COMPUTED_VALUE"""),46057.66666666667)</f>
        <v>46057.66667</v>
      </c>
      <c r="B1343" s="1">
        <f>IFERROR(__xludf.DUMMYFUNCTION("""COMPUTED_VALUE"""),276.49)</f>
        <v>276.49</v>
      </c>
    </row>
    <row r="1344">
      <c r="A1344" s="2">
        <f>IFERROR(__xludf.DUMMYFUNCTION("""COMPUTED_VALUE"""),46058.66666666667)</f>
        <v>46058.66667</v>
      </c>
      <c r="B1344" s="1">
        <f>IFERROR(__xludf.DUMMYFUNCTION("""COMPUTED_VALUE"""),275.91)</f>
        <v>275.91</v>
      </c>
    </row>
    <row r="1345">
      <c r="A1345" s="2">
        <f>IFERROR(__xludf.DUMMYFUNCTION("""COMPUTED_VALUE"""),46059.66666666667)</f>
        <v>46059.66667</v>
      </c>
      <c r="B1345" s="1">
        <f>IFERROR(__xludf.DUMMYFUNCTION("""COMPUTED_VALUE"""),278.12)</f>
        <v>278.12</v>
      </c>
    </row>
    <row r="1346">
      <c r="A1346" s="2">
        <f>IFERROR(__xludf.DUMMYFUNCTION("""COMPUTED_VALUE"""),46062.66666666667)</f>
        <v>46062.66667</v>
      </c>
      <c r="B1346" s="1">
        <f>IFERROR(__xludf.DUMMYFUNCTION("""COMPUTED_VALUE"""),274.62)</f>
        <v>274.62</v>
      </c>
    </row>
    <row r="1347">
      <c r="A1347" s="2">
        <f>IFERROR(__xludf.DUMMYFUNCTION("""COMPUTED_VALUE"""),46063.66666666667)</f>
        <v>46063.66667</v>
      </c>
      <c r="B1347" s="1">
        <f>IFERROR(__xludf.DUMMYFUNCTION("""COMPUTED_VALUE"""),273.68)</f>
        <v>273.68</v>
      </c>
    </row>
    <row r="1348">
      <c r="A1348" s="2">
        <f>IFERROR(__xludf.DUMMYFUNCTION("""COMPUTED_VALUE"""),46064.66666666667)</f>
        <v>46064.66667</v>
      </c>
      <c r="B1348" s="1">
        <f>IFERROR(__xludf.DUMMYFUNCTION("""COMPUTED_VALUE"""),275.5)</f>
        <v>275.5</v>
      </c>
    </row>
    <row r="1349">
      <c r="A1349" s="2">
        <f>IFERROR(__xludf.DUMMYFUNCTION("""COMPUTED_VALUE"""),46065.66666666667)</f>
        <v>46065.66667</v>
      </c>
      <c r="B1349" s="1">
        <f>IFERROR(__xludf.DUMMYFUNCTION("""COMPUTED_VALUE"""),261.73)</f>
        <v>261.73</v>
      </c>
    </row>
    <row r="1350">
      <c r="A1350" s="2">
        <f>IFERROR(__xludf.DUMMYFUNCTION("""COMPUTED_VALUE"""),46066.66666666667)</f>
        <v>46066.66667</v>
      </c>
      <c r="B1350" s="1">
        <f>IFERROR(__xludf.DUMMYFUNCTION("""COMPUTED_VALUE"""),255.78)</f>
        <v>255.78</v>
      </c>
    </row>
    <row r="1351">
      <c r="A1351" s="2">
        <f>IFERROR(__xludf.DUMMYFUNCTION("""COMPUTED_VALUE"""),46070.66666666667)</f>
        <v>46070.66667</v>
      </c>
      <c r="B1351" s="1">
        <f>IFERROR(__xludf.DUMMYFUNCTION("""COMPUTED_VALUE"""),263.88)</f>
        <v>263.88</v>
      </c>
    </row>
    <row r="1352">
      <c r="A1352" s="2">
        <f>IFERROR(__xludf.DUMMYFUNCTION("""COMPUTED_VALUE"""),46071.66666666667)</f>
        <v>46071.66667</v>
      </c>
      <c r="B1352" s="1">
        <f>IFERROR(__xludf.DUMMYFUNCTION("""COMPUTED_VALUE"""),264.35)</f>
        <v>264.35</v>
      </c>
    </row>
    <row r="1353">
      <c r="A1353" s="2">
        <f>IFERROR(__xludf.DUMMYFUNCTION("""COMPUTED_VALUE"""),46072.66666666667)</f>
        <v>46072.66667</v>
      </c>
      <c r="B1353" s="1">
        <f>IFERROR(__xludf.DUMMYFUNCTION("""COMPUTED_VALUE"""),260.58)</f>
        <v>260.58</v>
      </c>
    </row>
    <row r="1354">
      <c r="A1354" s="2">
        <f>IFERROR(__xludf.DUMMYFUNCTION("""COMPUTED_VALUE"""),46073.66666666667)</f>
        <v>46073.66667</v>
      </c>
      <c r="B1354" s="1">
        <f>IFERROR(__xludf.DUMMYFUNCTION("""COMPUTED_VALUE"""),264.58)</f>
        <v>264.58</v>
      </c>
    </row>
    <row r="1355">
      <c r="A1355" s="2">
        <f>IFERROR(__xludf.DUMMYFUNCTION("""COMPUTED_VALUE"""),46076.66666666667)</f>
        <v>46076.66667</v>
      </c>
      <c r="B1355" s="1">
        <f>IFERROR(__xludf.DUMMYFUNCTION("""COMPUTED_VALUE"""),266.18)</f>
        <v>266.18</v>
      </c>
    </row>
    <row r="1356">
      <c r="A1356" s="2">
        <f>IFERROR(__xludf.DUMMYFUNCTION("""COMPUTED_VALUE"""),46077.66666666667)</f>
        <v>46077.66667</v>
      </c>
      <c r="B1356" s="1">
        <f>IFERROR(__xludf.DUMMYFUNCTION("""COMPUTED_VALUE"""),272.14)</f>
        <v>272.14</v>
      </c>
    </row>
    <row r="1357">
      <c r="A1357" s="2">
        <f>IFERROR(__xludf.DUMMYFUNCTION("""COMPUTED_VALUE"""),46078.66666666667)</f>
        <v>46078.66667</v>
      </c>
      <c r="B1357" s="1">
        <f>IFERROR(__xludf.DUMMYFUNCTION("""COMPUTED_VALUE"""),274.23)</f>
        <v>274.23</v>
      </c>
    </row>
    <row r="1358">
      <c r="A1358" s="2">
        <f>IFERROR(__xludf.DUMMYFUNCTION("""COMPUTED_VALUE"""),46079.66666666667)</f>
        <v>46079.66667</v>
      </c>
      <c r="B1358" s="1">
        <f>IFERROR(__xludf.DUMMYFUNCTION("""COMPUTED_VALUE"""),272.95)</f>
        <v>272.95</v>
      </c>
    </row>
    <row r="1359">
      <c r="A1359" s="2">
        <f>IFERROR(__xludf.DUMMYFUNCTION("""COMPUTED_VALUE"""),46080.66666666667)</f>
        <v>46080.66667</v>
      </c>
      <c r="B1359" s="1">
        <f>IFERROR(__xludf.DUMMYFUNCTION("""COMPUTED_VALUE"""),264.18)</f>
        <v>264.18</v>
      </c>
    </row>
    <row r="1360">
      <c r="A1360" s="2">
        <f>IFERROR(__xludf.DUMMYFUNCTION("""COMPUTED_VALUE"""),46083.66666666667)</f>
        <v>46083.66667</v>
      </c>
      <c r="B1360" s="1">
        <f>IFERROR(__xludf.DUMMYFUNCTION("""COMPUTED_VALUE"""),264.72)</f>
        <v>264.72</v>
      </c>
    </row>
    <row r="1361">
      <c r="A1361" s="2">
        <f>IFERROR(__xludf.DUMMYFUNCTION("""COMPUTED_VALUE"""),46084.66666666667)</f>
        <v>46084.66667</v>
      </c>
      <c r="B1361" s="1">
        <f>IFERROR(__xludf.DUMMYFUNCTION("""COMPUTED_VALUE"""),263.75)</f>
        <v>263.75</v>
      </c>
    </row>
    <row r="1362">
      <c r="A1362" s="2">
        <f>IFERROR(__xludf.DUMMYFUNCTION("""COMPUTED_VALUE"""),46085.66666666667)</f>
        <v>46085.66667</v>
      </c>
      <c r="B1362" s="1">
        <f>IFERROR(__xludf.DUMMYFUNCTION("""COMPUTED_VALUE"""),262.52)</f>
        <v>262.52</v>
      </c>
    </row>
    <row r="1363">
      <c r="A1363" s="2">
        <f>IFERROR(__xludf.DUMMYFUNCTION("""COMPUTED_VALUE"""),46086.66666666667)</f>
        <v>46086.66667</v>
      </c>
      <c r="B1363" s="1">
        <f>IFERROR(__xludf.DUMMYFUNCTION("""COMPUTED_VALUE"""),260.29)</f>
        <v>260.29</v>
      </c>
    </row>
    <row r="1364">
      <c r="A1364" s="2">
        <f>IFERROR(__xludf.DUMMYFUNCTION("""COMPUTED_VALUE"""),46087.66666666667)</f>
        <v>46087.66667</v>
      </c>
      <c r="B1364" s="1">
        <f>IFERROR(__xludf.DUMMYFUNCTION("""COMPUTED_VALUE"""),257.46)</f>
        <v>257.46</v>
      </c>
    </row>
    <row r="1365">
      <c r="A1365" s="2">
        <f>IFERROR(__xludf.DUMMYFUNCTION("""COMPUTED_VALUE"""),46090.66666666667)</f>
        <v>46090.66667</v>
      </c>
      <c r="B1365" s="1">
        <f>IFERROR(__xludf.DUMMYFUNCTION("""COMPUTED_VALUE"""),259.88)</f>
        <v>259.88</v>
      </c>
    </row>
    <row r="1366">
      <c r="A1366" s="2">
        <f>IFERROR(__xludf.DUMMYFUNCTION("""COMPUTED_VALUE"""),46091.66666666667)</f>
        <v>46091.66667</v>
      </c>
      <c r="B1366" s="1">
        <f>IFERROR(__xludf.DUMMYFUNCTION("""COMPUTED_VALUE"""),260.83)</f>
        <v>260.83</v>
      </c>
    </row>
    <row r="1367">
      <c r="A1367" s="2">
        <f>IFERROR(__xludf.DUMMYFUNCTION("""COMPUTED_VALUE"""),46092.66666666667)</f>
        <v>46092.66667</v>
      </c>
      <c r="B1367" s="1">
        <f>IFERROR(__xludf.DUMMYFUNCTION("""COMPUTED_VALUE"""),260.81)</f>
        <v>260.81</v>
      </c>
    </row>
    <row r="1368">
      <c r="A1368" s="2">
        <f>IFERROR(__xludf.DUMMYFUNCTION("""COMPUTED_VALUE"""),46093.66666666667)</f>
        <v>46093.66667</v>
      </c>
      <c r="B1368" s="1">
        <f>IFERROR(__xludf.DUMMYFUNCTION("""COMPUTED_VALUE"""),255.76)</f>
        <v>255.76</v>
      </c>
    </row>
    <row r="1369">
      <c r="A1369" s="2">
        <f>IFERROR(__xludf.DUMMYFUNCTION("""COMPUTED_VALUE"""),46094.66666666667)</f>
        <v>46094.66667</v>
      </c>
      <c r="B1369" s="1">
        <f>IFERROR(__xludf.DUMMYFUNCTION("""COMPUTED_VALUE"""),250.12)</f>
        <v>250.12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IFERROR(__xludf.DUMMYFUNCTION("GOOGLEFINANCE(""AMZN"",""close"",DATE(2020,10,1),TODAY(),""daily"")"),"Date")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IFERROR(__xludf.DUMMYFUNCTION("""COMPUTED_VALUE"""),161.06)</f>
        <v>161.06</v>
      </c>
    </row>
    <row r="3">
      <c r="A3" s="2">
        <f>IFERROR(__xludf.DUMMYFUNCTION("""COMPUTED_VALUE"""),44106.66666666667)</f>
        <v>44106.66667</v>
      </c>
      <c r="B3" s="1">
        <f>IFERROR(__xludf.DUMMYFUNCTION("""COMPUTED_VALUE"""),156.25)</f>
        <v>156.25</v>
      </c>
    </row>
    <row r="4">
      <c r="A4" s="2">
        <f>IFERROR(__xludf.DUMMYFUNCTION("""COMPUTED_VALUE"""),44109.66666666667)</f>
        <v>44109.66667</v>
      </c>
      <c r="B4" s="1">
        <f>IFERROR(__xludf.DUMMYFUNCTION("""COMPUTED_VALUE"""),159.96)</f>
        <v>159.96</v>
      </c>
    </row>
    <row r="5">
      <c r="A5" s="2">
        <f>IFERROR(__xludf.DUMMYFUNCTION("""COMPUTED_VALUE"""),44110.66666666667)</f>
        <v>44110.66667</v>
      </c>
      <c r="B5" s="1">
        <f>IFERROR(__xludf.DUMMYFUNCTION("""COMPUTED_VALUE"""),155.0)</f>
        <v>155</v>
      </c>
    </row>
    <row r="6">
      <c r="A6" s="2">
        <f>IFERROR(__xludf.DUMMYFUNCTION("""COMPUTED_VALUE"""),44111.66666666667)</f>
        <v>44111.66667</v>
      </c>
      <c r="B6" s="1">
        <f>IFERROR(__xludf.DUMMYFUNCTION("""COMPUTED_VALUE"""),159.78)</f>
        <v>159.78</v>
      </c>
    </row>
    <row r="7">
      <c r="A7" s="2">
        <f>IFERROR(__xludf.DUMMYFUNCTION("""COMPUTED_VALUE"""),44112.66666666667)</f>
        <v>44112.66667</v>
      </c>
      <c r="B7" s="1">
        <f>IFERROR(__xludf.DUMMYFUNCTION("""COMPUTED_VALUE"""),159.53)</f>
        <v>159.53</v>
      </c>
    </row>
    <row r="8">
      <c r="A8" s="2">
        <f>IFERROR(__xludf.DUMMYFUNCTION("""COMPUTED_VALUE"""),44113.66666666667)</f>
        <v>44113.66667</v>
      </c>
      <c r="B8" s="1">
        <f>IFERROR(__xludf.DUMMYFUNCTION("""COMPUTED_VALUE"""),164.33)</f>
        <v>164.33</v>
      </c>
    </row>
    <row r="9">
      <c r="A9" s="2">
        <f>IFERROR(__xludf.DUMMYFUNCTION("""COMPUTED_VALUE"""),44116.66666666667)</f>
        <v>44116.66667</v>
      </c>
      <c r="B9" s="1">
        <f>IFERROR(__xludf.DUMMYFUNCTION("""COMPUTED_VALUE"""),172.15)</f>
        <v>172.15</v>
      </c>
    </row>
    <row r="10">
      <c r="A10" s="2">
        <f>IFERROR(__xludf.DUMMYFUNCTION("""COMPUTED_VALUE"""),44117.66666666667)</f>
        <v>44117.66667</v>
      </c>
      <c r="B10" s="1">
        <f>IFERROR(__xludf.DUMMYFUNCTION("""COMPUTED_VALUE"""),172.18)</f>
        <v>172.18</v>
      </c>
    </row>
    <row r="11">
      <c r="A11" s="2">
        <f>IFERROR(__xludf.DUMMYFUNCTION("""COMPUTED_VALUE"""),44118.66666666667)</f>
        <v>44118.66667</v>
      </c>
      <c r="B11" s="1">
        <f>IFERROR(__xludf.DUMMYFUNCTION("""COMPUTED_VALUE"""),168.19)</f>
        <v>168.19</v>
      </c>
    </row>
    <row r="12">
      <c r="A12" s="2">
        <f>IFERROR(__xludf.DUMMYFUNCTION("""COMPUTED_VALUE"""),44119.66666666667)</f>
        <v>44119.66667</v>
      </c>
      <c r="B12" s="1">
        <f>IFERROR(__xludf.DUMMYFUNCTION("""COMPUTED_VALUE"""),166.93)</f>
        <v>166.93</v>
      </c>
    </row>
    <row r="13">
      <c r="A13" s="2">
        <f>IFERROR(__xludf.DUMMYFUNCTION("""COMPUTED_VALUE"""),44120.66666666667)</f>
        <v>44120.66667</v>
      </c>
      <c r="B13" s="1">
        <f>IFERROR(__xludf.DUMMYFUNCTION("""COMPUTED_VALUE"""),163.64)</f>
        <v>163.64</v>
      </c>
    </row>
    <row r="14">
      <c r="A14" s="2">
        <f>IFERROR(__xludf.DUMMYFUNCTION("""COMPUTED_VALUE"""),44123.66666666667)</f>
        <v>44123.66667</v>
      </c>
      <c r="B14" s="1">
        <f>IFERROR(__xludf.DUMMYFUNCTION("""COMPUTED_VALUE"""),160.36)</f>
        <v>160.36</v>
      </c>
    </row>
    <row r="15">
      <c r="A15" s="2">
        <f>IFERROR(__xludf.DUMMYFUNCTION("""COMPUTED_VALUE"""),44124.66666666667)</f>
        <v>44124.66667</v>
      </c>
      <c r="B15" s="1">
        <f>IFERROR(__xludf.DUMMYFUNCTION("""COMPUTED_VALUE"""),160.85)</f>
        <v>160.85</v>
      </c>
    </row>
    <row r="16">
      <c r="A16" s="2">
        <f>IFERROR(__xludf.DUMMYFUNCTION("""COMPUTED_VALUE"""),44125.66666666667)</f>
        <v>44125.66667</v>
      </c>
      <c r="B16" s="1">
        <f>IFERROR(__xludf.DUMMYFUNCTION("""COMPUTED_VALUE"""),159.25)</f>
        <v>159.25</v>
      </c>
    </row>
    <row r="17">
      <c r="A17" s="2">
        <f>IFERROR(__xludf.DUMMYFUNCTION("""COMPUTED_VALUE"""),44126.66666666667)</f>
        <v>44126.66667</v>
      </c>
      <c r="B17" s="1">
        <f>IFERROR(__xludf.DUMMYFUNCTION("""COMPUTED_VALUE"""),158.82)</f>
        <v>158.82</v>
      </c>
    </row>
    <row r="18">
      <c r="A18" s="2">
        <f>IFERROR(__xludf.DUMMYFUNCTION("""COMPUTED_VALUE"""),44127.66666666667)</f>
        <v>44127.66667</v>
      </c>
      <c r="B18" s="1">
        <f>IFERROR(__xludf.DUMMYFUNCTION("""COMPUTED_VALUE"""),160.22)</f>
        <v>160.22</v>
      </c>
    </row>
    <row r="19">
      <c r="A19" s="2">
        <f>IFERROR(__xludf.DUMMYFUNCTION("""COMPUTED_VALUE"""),44130.66666666667)</f>
        <v>44130.66667</v>
      </c>
      <c r="B19" s="1">
        <f>IFERROR(__xludf.DUMMYFUNCTION("""COMPUTED_VALUE"""),160.35)</f>
        <v>160.35</v>
      </c>
    </row>
    <row r="20">
      <c r="A20" s="2">
        <f>IFERROR(__xludf.DUMMYFUNCTION("""COMPUTED_VALUE"""),44131.66666666667)</f>
        <v>44131.66667</v>
      </c>
      <c r="B20" s="1">
        <f>IFERROR(__xludf.DUMMYFUNCTION("""COMPUTED_VALUE"""),164.32)</f>
        <v>164.32</v>
      </c>
    </row>
    <row r="21">
      <c r="A21" s="2">
        <f>IFERROR(__xludf.DUMMYFUNCTION("""COMPUTED_VALUE"""),44132.66666666667)</f>
        <v>44132.66667</v>
      </c>
      <c r="B21" s="1">
        <f>IFERROR(__xludf.DUMMYFUNCTION("""COMPUTED_VALUE"""),158.14)</f>
        <v>158.14</v>
      </c>
    </row>
    <row r="22">
      <c r="A22" s="2">
        <f>IFERROR(__xludf.DUMMYFUNCTION("""COMPUTED_VALUE"""),44133.66666666667)</f>
        <v>44133.66667</v>
      </c>
      <c r="B22" s="1">
        <f>IFERROR(__xludf.DUMMYFUNCTION("""COMPUTED_VALUE"""),160.55)</f>
        <v>160.55</v>
      </c>
    </row>
    <row r="23">
      <c r="A23" s="2">
        <f>IFERROR(__xludf.DUMMYFUNCTION("""COMPUTED_VALUE"""),44134.66666666667)</f>
        <v>44134.66667</v>
      </c>
      <c r="B23" s="1">
        <f>IFERROR(__xludf.DUMMYFUNCTION("""COMPUTED_VALUE"""),151.81)</f>
        <v>151.81</v>
      </c>
    </row>
    <row r="24">
      <c r="A24" s="2">
        <f>IFERROR(__xludf.DUMMYFUNCTION("""COMPUTED_VALUE"""),44137.66666666667)</f>
        <v>44137.66667</v>
      </c>
      <c r="B24" s="1">
        <f>IFERROR(__xludf.DUMMYFUNCTION("""COMPUTED_VALUE"""),150.22)</f>
        <v>150.22</v>
      </c>
    </row>
    <row r="25">
      <c r="A25" s="2">
        <f>IFERROR(__xludf.DUMMYFUNCTION("""COMPUTED_VALUE"""),44138.66666666667)</f>
        <v>44138.66667</v>
      </c>
      <c r="B25" s="1">
        <f>IFERROR(__xludf.DUMMYFUNCTION("""COMPUTED_VALUE"""),152.42)</f>
        <v>152.42</v>
      </c>
    </row>
    <row r="26">
      <c r="A26" s="2">
        <f>IFERROR(__xludf.DUMMYFUNCTION("""COMPUTED_VALUE"""),44139.66666666667)</f>
        <v>44139.66667</v>
      </c>
      <c r="B26" s="1">
        <f>IFERROR(__xludf.DUMMYFUNCTION("""COMPUTED_VALUE"""),162.06)</f>
        <v>162.06</v>
      </c>
    </row>
    <row r="27">
      <c r="A27" s="2">
        <f>IFERROR(__xludf.DUMMYFUNCTION("""COMPUTED_VALUE"""),44140.66666666667)</f>
        <v>44140.66667</v>
      </c>
      <c r="B27" s="1">
        <f>IFERROR(__xludf.DUMMYFUNCTION("""COMPUTED_VALUE"""),166.1)</f>
        <v>166.1</v>
      </c>
    </row>
    <row r="28">
      <c r="A28" s="2">
        <f>IFERROR(__xludf.DUMMYFUNCTION("""COMPUTED_VALUE"""),44141.66666666667)</f>
        <v>44141.66667</v>
      </c>
      <c r="B28" s="1">
        <f>IFERROR(__xludf.DUMMYFUNCTION("""COMPUTED_VALUE"""),165.57)</f>
        <v>165.57</v>
      </c>
    </row>
    <row r="29">
      <c r="A29" s="2">
        <f>IFERROR(__xludf.DUMMYFUNCTION("""COMPUTED_VALUE"""),44144.66666666667)</f>
        <v>44144.66667</v>
      </c>
      <c r="B29" s="1">
        <f>IFERROR(__xludf.DUMMYFUNCTION("""COMPUTED_VALUE"""),157.19)</f>
        <v>157.19</v>
      </c>
    </row>
    <row r="30">
      <c r="A30" s="2">
        <f>IFERROR(__xludf.DUMMYFUNCTION("""COMPUTED_VALUE"""),44145.66666666667)</f>
        <v>44145.66667</v>
      </c>
      <c r="B30" s="1">
        <f>IFERROR(__xludf.DUMMYFUNCTION("""COMPUTED_VALUE"""),151.75)</f>
        <v>151.75</v>
      </c>
    </row>
    <row r="31">
      <c r="A31" s="2">
        <f>IFERROR(__xludf.DUMMYFUNCTION("""COMPUTED_VALUE"""),44146.66666666667)</f>
        <v>44146.66667</v>
      </c>
      <c r="B31" s="1">
        <f>IFERROR(__xludf.DUMMYFUNCTION("""COMPUTED_VALUE"""),156.87)</f>
        <v>156.87</v>
      </c>
    </row>
    <row r="32">
      <c r="A32" s="2">
        <f>IFERROR(__xludf.DUMMYFUNCTION("""COMPUTED_VALUE"""),44147.66666666667)</f>
        <v>44147.66667</v>
      </c>
      <c r="B32" s="1">
        <f>IFERROR(__xludf.DUMMYFUNCTION("""COMPUTED_VALUE"""),155.51)</f>
        <v>155.51</v>
      </c>
    </row>
    <row r="33">
      <c r="A33" s="2">
        <f>IFERROR(__xludf.DUMMYFUNCTION("""COMPUTED_VALUE"""),44148.66666666667)</f>
        <v>44148.66667</v>
      </c>
      <c r="B33" s="1">
        <f>IFERROR(__xludf.DUMMYFUNCTION("""COMPUTED_VALUE"""),156.44)</f>
        <v>156.44</v>
      </c>
    </row>
    <row r="34">
      <c r="A34" s="2">
        <f>IFERROR(__xludf.DUMMYFUNCTION("""COMPUTED_VALUE"""),44151.66666666667)</f>
        <v>44151.66667</v>
      </c>
      <c r="B34" s="1">
        <f>IFERROR(__xludf.DUMMYFUNCTION("""COMPUTED_VALUE"""),156.55)</f>
        <v>156.55</v>
      </c>
    </row>
    <row r="35">
      <c r="A35" s="2">
        <f>IFERROR(__xludf.DUMMYFUNCTION("""COMPUTED_VALUE"""),44152.66666666667)</f>
        <v>44152.66667</v>
      </c>
      <c r="B35" s="1">
        <f>IFERROR(__xludf.DUMMYFUNCTION("""COMPUTED_VALUE"""),156.78)</f>
        <v>156.78</v>
      </c>
    </row>
    <row r="36">
      <c r="A36" s="2">
        <f>IFERROR(__xludf.DUMMYFUNCTION("""COMPUTED_VALUE"""),44153.66666666667)</f>
        <v>44153.66667</v>
      </c>
      <c r="B36" s="1">
        <f>IFERROR(__xludf.DUMMYFUNCTION("""COMPUTED_VALUE"""),155.27)</f>
        <v>155.27</v>
      </c>
    </row>
    <row r="37">
      <c r="A37" s="2">
        <f>IFERROR(__xludf.DUMMYFUNCTION("""COMPUTED_VALUE"""),44154.66666666667)</f>
        <v>44154.66667</v>
      </c>
      <c r="B37" s="1">
        <f>IFERROR(__xludf.DUMMYFUNCTION("""COMPUTED_VALUE"""),155.85)</f>
        <v>155.85</v>
      </c>
    </row>
    <row r="38">
      <c r="A38" s="2">
        <f>IFERROR(__xludf.DUMMYFUNCTION("""COMPUTED_VALUE"""),44155.66666666667)</f>
        <v>44155.66667</v>
      </c>
      <c r="B38" s="1">
        <f>IFERROR(__xludf.DUMMYFUNCTION("""COMPUTED_VALUE"""),154.97)</f>
        <v>154.97</v>
      </c>
    </row>
    <row r="39">
      <c r="A39" s="2">
        <f>IFERROR(__xludf.DUMMYFUNCTION("""COMPUTED_VALUE"""),44158.66666666667)</f>
        <v>44158.66667</v>
      </c>
      <c r="B39" s="1">
        <f>IFERROR(__xludf.DUMMYFUNCTION("""COMPUTED_VALUE"""),154.92)</f>
        <v>154.92</v>
      </c>
    </row>
    <row r="40">
      <c r="A40" s="2">
        <f>IFERROR(__xludf.DUMMYFUNCTION("""COMPUTED_VALUE"""),44159.66666666667)</f>
        <v>44159.66667</v>
      </c>
      <c r="B40" s="1">
        <f>IFERROR(__xludf.DUMMYFUNCTION("""COMPUTED_VALUE"""),155.9)</f>
        <v>155.9</v>
      </c>
    </row>
    <row r="41">
      <c r="A41" s="2">
        <f>IFERROR(__xludf.DUMMYFUNCTION("""COMPUTED_VALUE"""),44160.66666666667)</f>
        <v>44160.66667</v>
      </c>
      <c r="B41" s="1">
        <f>IFERROR(__xludf.DUMMYFUNCTION("""COMPUTED_VALUE"""),159.25)</f>
        <v>159.25</v>
      </c>
    </row>
    <row r="42">
      <c r="A42" s="2">
        <f>IFERROR(__xludf.DUMMYFUNCTION("""COMPUTED_VALUE"""),44162.54166666667)</f>
        <v>44162.54167</v>
      </c>
      <c r="B42" s="1">
        <f>IFERROR(__xludf.DUMMYFUNCTION("""COMPUTED_VALUE"""),159.77)</f>
        <v>159.77</v>
      </c>
    </row>
    <row r="43">
      <c r="A43" s="2">
        <f>IFERROR(__xludf.DUMMYFUNCTION("""COMPUTED_VALUE"""),44165.66666666667)</f>
        <v>44165.66667</v>
      </c>
      <c r="B43" s="1">
        <f>IFERROR(__xludf.DUMMYFUNCTION("""COMPUTED_VALUE"""),158.4)</f>
        <v>158.4</v>
      </c>
    </row>
    <row r="44">
      <c r="A44" s="2">
        <f>IFERROR(__xludf.DUMMYFUNCTION("""COMPUTED_VALUE"""),44166.66666666667)</f>
        <v>44166.66667</v>
      </c>
      <c r="B44" s="1">
        <f>IFERROR(__xludf.DUMMYFUNCTION("""COMPUTED_VALUE"""),161.0)</f>
        <v>161</v>
      </c>
    </row>
    <row r="45">
      <c r="A45" s="2">
        <f>IFERROR(__xludf.DUMMYFUNCTION("""COMPUTED_VALUE"""),44167.66666666667)</f>
        <v>44167.66667</v>
      </c>
      <c r="B45" s="1">
        <f>IFERROR(__xludf.DUMMYFUNCTION("""COMPUTED_VALUE"""),160.18)</f>
        <v>160.18</v>
      </c>
    </row>
    <row r="46">
      <c r="A46" s="2">
        <f>IFERROR(__xludf.DUMMYFUNCTION("""COMPUTED_VALUE"""),44168.66666666667)</f>
        <v>44168.66667</v>
      </c>
      <c r="B46" s="1">
        <f>IFERROR(__xludf.DUMMYFUNCTION("""COMPUTED_VALUE"""),159.34)</f>
        <v>159.34</v>
      </c>
    </row>
    <row r="47">
      <c r="A47" s="2">
        <f>IFERROR(__xludf.DUMMYFUNCTION("""COMPUTED_VALUE"""),44169.66666666667)</f>
        <v>44169.66667</v>
      </c>
      <c r="B47" s="1">
        <f>IFERROR(__xludf.DUMMYFUNCTION("""COMPUTED_VALUE"""),158.13)</f>
        <v>158.13</v>
      </c>
    </row>
    <row r="48">
      <c r="A48" s="2">
        <f>IFERROR(__xludf.DUMMYFUNCTION("""COMPUTED_VALUE"""),44172.66666666667)</f>
        <v>44172.66667</v>
      </c>
      <c r="B48" s="1">
        <f>IFERROR(__xludf.DUMMYFUNCTION("""COMPUTED_VALUE"""),157.9)</f>
        <v>157.9</v>
      </c>
    </row>
    <row r="49">
      <c r="A49" s="2">
        <f>IFERROR(__xludf.DUMMYFUNCTION("""COMPUTED_VALUE"""),44173.66666666667)</f>
        <v>44173.66667</v>
      </c>
      <c r="B49" s="1">
        <f>IFERROR(__xludf.DUMMYFUNCTION("""COMPUTED_VALUE"""),158.86)</f>
        <v>158.86</v>
      </c>
    </row>
    <row r="50">
      <c r="A50" s="2">
        <f>IFERROR(__xludf.DUMMYFUNCTION("""COMPUTED_VALUE"""),44174.66666666667)</f>
        <v>44174.66667</v>
      </c>
      <c r="B50" s="1">
        <f>IFERROR(__xludf.DUMMYFUNCTION("""COMPUTED_VALUE"""),155.21)</f>
        <v>155.21</v>
      </c>
    </row>
    <row r="51">
      <c r="A51" s="2">
        <f>IFERROR(__xludf.DUMMYFUNCTION("""COMPUTED_VALUE"""),44175.66666666667)</f>
        <v>44175.66667</v>
      </c>
      <c r="B51" s="1">
        <f>IFERROR(__xludf.DUMMYFUNCTION("""COMPUTED_VALUE"""),155.07)</f>
        <v>155.07</v>
      </c>
    </row>
    <row r="52">
      <c r="A52" s="2">
        <f>IFERROR(__xludf.DUMMYFUNCTION("""COMPUTED_VALUE"""),44176.66666666667)</f>
        <v>44176.66667</v>
      </c>
      <c r="B52" s="1">
        <f>IFERROR(__xludf.DUMMYFUNCTION("""COMPUTED_VALUE"""),155.82)</f>
        <v>155.82</v>
      </c>
    </row>
    <row r="53">
      <c r="A53" s="2">
        <f>IFERROR(__xludf.DUMMYFUNCTION("""COMPUTED_VALUE"""),44179.66666666667)</f>
        <v>44179.66667</v>
      </c>
      <c r="B53" s="1">
        <f>IFERROR(__xludf.DUMMYFUNCTION("""COMPUTED_VALUE"""),157.85)</f>
        <v>157.85</v>
      </c>
    </row>
    <row r="54">
      <c r="A54" s="2">
        <f>IFERROR(__xludf.DUMMYFUNCTION("""COMPUTED_VALUE"""),44180.66666666667)</f>
        <v>44180.66667</v>
      </c>
      <c r="B54" s="1">
        <f>IFERROR(__xludf.DUMMYFUNCTION("""COMPUTED_VALUE"""),158.26)</f>
        <v>158.26</v>
      </c>
    </row>
    <row r="55">
      <c r="A55" s="2">
        <f>IFERROR(__xludf.DUMMYFUNCTION("""COMPUTED_VALUE"""),44181.66666666667)</f>
        <v>44181.66667</v>
      </c>
      <c r="B55" s="1">
        <f>IFERROR(__xludf.DUMMYFUNCTION("""COMPUTED_VALUE"""),162.05)</f>
        <v>162.05</v>
      </c>
    </row>
    <row r="56">
      <c r="A56" s="2">
        <f>IFERROR(__xludf.DUMMYFUNCTION("""COMPUTED_VALUE"""),44182.66666666667)</f>
        <v>44182.66667</v>
      </c>
      <c r="B56" s="1">
        <f>IFERROR(__xludf.DUMMYFUNCTION("""COMPUTED_VALUE"""),161.8)</f>
        <v>161.8</v>
      </c>
    </row>
    <row r="57">
      <c r="A57" s="2">
        <f>IFERROR(__xludf.DUMMYFUNCTION("""COMPUTED_VALUE"""),44183.66666666667)</f>
        <v>44183.66667</v>
      </c>
      <c r="B57" s="1">
        <f>IFERROR(__xludf.DUMMYFUNCTION("""COMPUTED_VALUE"""),160.08)</f>
        <v>160.08</v>
      </c>
    </row>
    <row r="58">
      <c r="A58" s="2">
        <f>IFERROR(__xludf.DUMMYFUNCTION("""COMPUTED_VALUE"""),44186.66666666667)</f>
        <v>44186.66667</v>
      </c>
      <c r="B58" s="1">
        <f>IFERROR(__xludf.DUMMYFUNCTION("""COMPUTED_VALUE"""),160.31)</f>
        <v>160.31</v>
      </c>
    </row>
    <row r="59">
      <c r="A59" s="2">
        <f>IFERROR(__xludf.DUMMYFUNCTION("""COMPUTED_VALUE"""),44187.66666666667)</f>
        <v>44187.66667</v>
      </c>
      <c r="B59" s="1">
        <f>IFERROR(__xludf.DUMMYFUNCTION("""COMPUTED_VALUE"""),160.33)</f>
        <v>160.33</v>
      </c>
    </row>
    <row r="60">
      <c r="A60" s="2">
        <f>IFERROR(__xludf.DUMMYFUNCTION("""COMPUTED_VALUE"""),44188.66666666667)</f>
        <v>44188.66667</v>
      </c>
      <c r="B60" s="1">
        <f>IFERROR(__xludf.DUMMYFUNCTION("""COMPUTED_VALUE"""),159.26)</f>
        <v>159.26</v>
      </c>
    </row>
    <row r="61">
      <c r="A61" s="2">
        <f>IFERROR(__xludf.DUMMYFUNCTION("""COMPUTED_VALUE"""),44189.54166666667)</f>
        <v>44189.54167</v>
      </c>
      <c r="B61" s="1">
        <f>IFERROR(__xludf.DUMMYFUNCTION("""COMPUTED_VALUE"""),158.63)</f>
        <v>158.63</v>
      </c>
    </row>
    <row r="62">
      <c r="A62" s="2">
        <f>IFERROR(__xludf.DUMMYFUNCTION("""COMPUTED_VALUE"""),44193.66666666667)</f>
        <v>44193.66667</v>
      </c>
      <c r="B62" s="1">
        <f>IFERROR(__xludf.DUMMYFUNCTION("""COMPUTED_VALUE"""),164.2)</f>
        <v>164.2</v>
      </c>
    </row>
    <row r="63">
      <c r="A63" s="2">
        <f>IFERROR(__xludf.DUMMYFUNCTION("""COMPUTED_VALUE"""),44194.66666666667)</f>
        <v>44194.66667</v>
      </c>
      <c r="B63" s="1">
        <f>IFERROR(__xludf.DUMMYFUNCTION("""COMPUTED_VALUE"""),166.1)</f>
        <v>166.1</v>
      </c>
    </row>
    <row r="64">
      <c r="A64" s="2">
        <f>IFERROR(__xludf.DUMMYFUNCTION("""COMPUTED_VALUE"""),44195.66666666667)</f>
        <v>44195.66667</v>
      </c>
      <c r="B64" s="1">
        <f>IFERROR(__xludf.DUMMYFUNCTION("""COMPUTED_VALUE"""),164.29)</f>
        <v>164.29</v>
      </c>
    </row>
    <row r="65">
      <c r="A65" s="2">
        <f>IFERROR(__xludf.DUMMYFUNCTION("""COMPUTED_VALUE"""),44196.66666666667)</f>
        <v>44196.66667</v>
      </c>
      <c r="B65" s="1">
        <f>IFERROR(__xludf.DUMMYFUNCTION("""COMPUTED_VALUE"""),162.85)</f>
        <v>162.85</v>
      </c>
    </row>
    <row r="66">
      <c r="A66" s="2">
        <f>IFERROR(__xludf.DUMMYFUNCTION("""COMPUTED_VALUE"""),44200.66666666667)</f>
        <v>44200.66667</v>
      </c>
      <c r="B66" s="1">
        <f>IFERROR(__xludf.DUMMYFUNCTION("""COMPUTED_VALUE"""),159.33)</f>
        <v>159.33</v>
      </c>
    </row>
    <row r="67">
      <c r="A67" s="2">
        <f>IFERROR(__xludf.DUMMYFUNCTION("""COMPUTED_VALUE"""),44201.66666666667)</f>
        <v>44201.66667</v>
      </c>
      <c r="B67" s="1">
        <f>IFERROR(__xludf.DUMMYFUNCTION("""COMPUTED_VALUE"""),160.93)</f>
        <v>160.93</v>
      </c>
    </row>
    <row r="68">
      <c r="A68" s="2">
        <f>IFERROR(__xludf.DUMMYFUNCTION("""COMPUTED_VALUE"""),44202.66666666667)</f>
        <v>44202.66667</v>
      </c>
      <c r="B68" s="1">
        <f>IFERROR(__xludf.DUMMYFUNCTION("""COMPUTED_VALUE"""),156.92)</f>
        <v>156.92</v>
      </c>
    </row>
    <row r="69">
      <c r="A69" s="2">
        <f>IFERROR(__xludf.DUMMYFUNCTION("""COMPUTED_VALUE"""),44203.66666666667)</f>
        <v>44203.66667</v>
      </c>
      <c r="B69" s="1">
        <f>IFERROR(__xludf.DUMMYFUNCTION("""COMPUTED_VALUE"""),158.11)</f>
        <v>158.11</v>
      </c>
    </row>
    <row r="70">
      <c r="A70" s="2">
        <f>IFERROR(__xludf.DUMMYFUNCTION("""COMPUTED_VALUE"""),44204.66666666667)</f>
        <v>44204.66667</v>
      </c>
      <c r="B70" s="1">
        <f>IFERROR(__xludf.DUMMYFUNCTION("""COMPUTED_VALUE"""),159.14)</f>
        <v>159.14</v>
      </c>
    </row>
    <row r="71">
      <c r="A71" s="2">
        <f>IFERROR(__xludf.DUMMYFUNCTION("""COMPUTED_VALUE"""),44207.66666666667)</f>
        <v>44207.66667</v>
      </c>
      <c r="B71" s="1">
        <f>IFERROR(__xludf.DUMMYFUNCTION("""COMPUTED_VALUE"""),155.71)</f>
        <v>155.71</v>
      </c>
    </row>
    <row r="72">
      <c r="A72" s="2">
        <f>IFERROR(__xludf.DUMMYFUNCTION("""COMPUTED_VALUE"""),44208.66666666667)</f>
        <v>44208.66667</v>
      </c>
      <c r="B72" s="1">
        <f>IFERROR(__xludf.DUMMYFUNCTION("""COMPUTED_VALUE"""),156.04)</f>
        <v>156.04</v>
      </c>
    </row>
    <row r="73">
      <c r="A73" s="2">
        <f>IFERROR(__xludf.DUMMYFUNCTION("""COMPUTED_VALUE"""),44209.66666666667)</f>
        <v>44209.66667</v>
      </c>
      <c r="B73" s="1">
        <f>IFERROR(__xludf.DUMMYFUNCTION("""COMPUTED_VALUE"""),158.29)</f>
        <v>158.29</v>
      </c>
    </row>
    <row r="74">
      <c r="A74" s="2">
        <f>IFERROR(__xludf.DUMMYFUNCTION("""COMPUTED_VALUE"""),44210.66666666667)</f>
        <v>44210.66667</v>
      </c>
      <c r="B74" s="1">
        <f>IFERROR(__xludf.DUMMYFUNCTION("""COMPUTED_VALUE"""),156.37)</f>
        <v>156.37</v>
      </c>
    </row>
    <row r="75">
      <c r="A75" s="2">
        <f>IFERROR(__xludf.DUMMYFUNCTION("""COMPUTED_VALUE"""),44211.66666666667)</f>
        <v>44211.66667</v>
      </c>
      <c r="B75" s="1">
        <f>IFERROR(__xludf.DUMMYFUNCTION("""COMPUTED_VALUE"""),155.21)</f>
        <v>155.21</v>
      </c>
    </row>
    <row r="76">
      <c r="A76" s="2">
        <f>IFERROR(__xludf.DUMMYFUNCTION("""COMPUTED_VALUE"""),44215.66666666667)</f>
        <v>44215.66667</v>
      </c>
      <c r="B76" s="1">
        <f>IFERROR(__xludf.DUMMYFUNCTION("""COMPUTED_VALUE"""),156.04)</f>
        <v>156.04</v>
      </c>
    </row>
    <row r="77">
      <c r="A77" s="2">
        <f>IFERROR(__xludf.DUMMYFUNCTION("""COMPUTED_VALUE"""),44216.66666666667)</f>
        <v>44216.66667</v>
      </c>
      <c r="B77" s="1">
        <f>IFERROR(__xludf.DUMMYFUNCTION("""COMPUTED_VALUE"""),163.17)</f>
        <v>163.17</v>
      </c>
    </row>
    <row r="78">
      <c r="A78" s="2">
        <f>IFERROR(__xludf.DUMMYFUNCTION("""COMPUTED_VALUE"""),44217.66666666667)</f>
        <v>44217.66667</v>
      </c>
      <c r="B78" s="1">
        <f>IFERROR(__xludf.DUMMYFUNCTION("""COMPUTED_VALUE"""),165.35)</f>
        <v>165.35</v>
      </c>
    </row>
    <row r="79">
      <c r="A79" s="2">
        <f>IFERROR(__xludf.DUMMYFUNCTION("""COMPUTED_VALUE"""),44218.66666666667)</f>
        <v>44218.66667</v>
      </c>
      <c r="B79" s="1">
        <f>IFERROR(__xludf.DUMMYFUNCTION("""COMPUTED_VALUE"""),164.61)</f>
        <v>164.61</v>
      </c>
    </row>
    <row r="80">
      <c r="A80" s="2">
        <f>IFERROR(__xludf.DUMMYFUNCTION("""COMPUTED_VALUE"""),44221.66666666667)</f>
        <v>44221.66667</v>
      </c>
      <c r="B80" s="1">
        <f>IFERROR(__xludf.DUMMYFUNCTION("""COMPUTED_VALUE"""),164.7)</f>
        <v>164.7</v>
      </c>
    </row>
    <row r="81">
      <c r="A81" s="2">
        <f>IFERROR(__xludf.DUMMYFUNCTION("""COMPUTED_VALUE"""),44222.66666666667)</f>
        <v>44222.66667</v>
      </c>
      <c r="B81" s="1">
        <f>IFERROR(__xludf.DUMMYFUNCTION("""COMPUTED_VALUE"""),166.31)</f>
        <v>166.31</v>
      </c>
    </row>
    <row r="82">
      <c r="A82" s="2">
        <f>IFERROR(__xludf.DUMMYFUNCTION("""COMPUTED_VALUE"""),44223.66666666667)</f>
        <v>44223.66667</v>
      </c>
      <c r="B82" s="1">
        <f>IFERROR(__xludf.DUMMYFUNCTION("""COMPUTED_VALUE"""),161.63)</f>
        <v>161.63</v>
      </c>
    </row>
    <row r="83">
      <c r="A83" s="2">
        <f>IFERROR(__xludf.DUMMYFUNCTION("""COMPUTED_VALUE"""),44224.66666666667)</f>
        <v>44224.66667</v>
      </c>
      <c r="B83" s="1">
        <f>IFERROR(__xludf.DUMMYFUNCTION("""COMPUTED_VALUE"""),161.88)</f>
        <v>161.88</v>
      </c>
    </row>
    <row r="84">
      <c r="A84" s="2">
        <f>IFERROR(__xludf.DUMMYFUNCTION("""COMPUTED_VALUE"""),44225.66666666667)</f>
        <v>44225.66667</v>
      </c>
      <c r="B84" s="1">
        <f>IFERROR(__xludf.DUMMYFUNCTION("""COMPUTED_VALUE"""),160.31)</f>
        <v>160.31</v>
      </c>
    </row>
    <row r="85">
      <c r="A85" s="2">
        <f>IFERROR(__xludf.DUMMYFUNCTION("""COMPUTED_VALUE"""),44228.66666666667)</f>
        <v>44228.66667</v>
      </c>
      <c r="B85" s="1">
        <f>IFERROR(__xludf.DUMMYFUNCTION("""COMPUTED_VALUE"""),167.14)</f>
        <v>167.14</v>
      </c>
    </row>
    <row r="86">
      <c r="A86" s="2">
        <f>IFERROR(__xludf.DUMMYFUNCTION("""COMPUTED_VALUE"""),44229.66666666667)</f>
        <v>44229.66667</v>
      </c>
      <c r="B86" s="1">
        <f>IFERROR(__xludf.DUMMYFUNCTION("""COMPUTED_VALUE"""),169.0)</f>
        <v>169</v>
      </c>
    </row>
    <row r="87">
      <c r="A87" s="2">
        <f>IFERROR(__xludf.DUMMYFUNCTION("""COMPUTED_VALUE"""),44230.66666666667)</f>
        <v>44230.66667</v>
      </c>
      <c r="B87" s="1">
        <f>IFERROR(__xludf.DUMMYFUNCTION("""COMPUTED_VALUE"""),165.63)</f>
        <v>165.63</v>
      </c>
    </row>
    <row r="88">
      <c r="A88" s="2">
        <f>IFERROR(__xludf.DUMMYFUNCTION("""COMPUTED_VALUE"""),44231.66666666667)</f>
        <v>44231.66667</v>
      </c>
      <c r="B88" s="1">
        <f>IFERROR(__xludf.DUMMYFUNCTION("""COMPUTED_VALUE"""),166.55)</f>
        <v>166.55</v>
      </c>
    </row>
    <row r="89">
      <c r="A89" s="2">
        <f>IFERROR(__xludf.DUMMYFUNCTION("""COMPUTED_VALUE"""),44232.66666666667)</f>
        <v>44232.66667</v>
      </c>
      <c r="B89" s="1">
        <f>IFERROR(__xludf.DUMMYFUNCTION("""COMPUTED_VALUE"""),167.61)</f>
        <v>167.61</v>
      </c>
    </row>
    <row r="90">
      <c r="A90" s="2">
        <f>IFERROR(__xludf.DUMMYFUNCTION("""COMPUTED_VALUE"""),44235.66666666667)</f>
        <v>44235.66667</v>
      </c>
      <c r="B90" s="1">
        <f>IFERROR(__xludf.DUMMYFUNCTION("""COMPUTED_VALUE"""),166.15)</f>
        <v>166.15</v>
      </c>
    </row>
    <row r="91">
      <c r="A91" s="2">
        <f>IFERROR(__xludf.DUMMYFUNCTION("""COMPUTED_VALUE"""),44236.66666666667)</f>
        <v>44236.66667</v>
      </c>
      <c r="B91" s="1">
        <f>IFERROR(__xludf.DUMMYFUNCTION("""COMPUTED_VALUE"""),165.25)</f>
        <v>165.25</v>
      </c>
    </row>
    <row r="92">
      <c r="A92" s="2">
        <f>IFERROR(__xludf.DUMMYFUNCTION("""COMPUTED_VALUE"""),44237.66666666667)</f>
        <v>44237.66667</v>
      </c>
      <c r="B92" s="1">
        <f>IFERROR(__xludf.DUMMYFUNCTION("""COMPUTED_VALUE"""),164.33)</f>
        <v>164.33</v>
      </c>
    </row>
    <row r="93">
      <c r="A93" s="2">
        <f>IFERROR(__xludf.DUMMYFUNCTION("""COMPUTED_VALUE"""),44238.66666666667)</f>
        <v>44238.66667</v>
      </c>
      <c r="B93" s="1">
        <f>IFERROR(__xludf.DUMMYFUNCTION("""COMPUTED_VALUE"""),163.11)</f>
        <v>163.11</v>
      </c>
    </row>
    <row r="94">
      <c r="A94" s="2">
        <f>IFERROR(__xludf.DUMMYFUNCTION("""COMPUTED_VALUE"""),44239.66666666667)</f>
        <v>44239.66667</v>
      </c>
      <c r="B94" s="1">
        <f>IFERROR(__xludf.DUMMYFUNCTION("""COMPUTED_VALUE"""),163.89)</f>
        <v>163.89</v>
      </c>
    </row>
    <row r="95">
      <c r="A95" s="2">
        <f>IFERROR(__xludf.DUMMYFUNCTION("""COMPUTED_VALUE"""),44243.66666666667)</f>
        <v>44243.66667</v>
      </c>
      <c r="B95" s="1">
        <f>IFERROR(__xludf.DUMMYFUNCTION("""COMPUTED_VALUE"""),163.45)</f>
        <v>163.45</v>
      </c>
    </row>
    <row r="96">
      <c r="A96" s="2">
        <f>IFERROR(__xludf.DUMMYFUNCTION("""COMPUTED_VALUE"""),44244.66666666667)</f>
        <v>44244.66667</v>
      </c>
      <c r="B96" s="1">
        <f>IFERROR(__xludf.DUMMYFUNCTION("""COMPUTED_VALUE"""),165.43)</f>
        <v>165.43</v>
      </c>
    </row>
    <row r="97">
      <c r="A97" s="2">
        <f>IFERROR(__xludf.DUMMYFUNCTION("""COMPUTED_VALUE"""),44245.66666666667)</f>
        <v>44245.66667</v>
      </c>
      <c r="B97" s="1">
        <f>IFERROR(__xludf.DUMMYFUNCTION("""COMPUTED_VALUE"""),166.41)</f>
        <v>166.41</v>
      </c>
    </row>
    <row r="98">
      <c r="A98" s="2">
        <f>IFERROR(__xludf.DUMMYFUNCTION("""COMPUTED_VALUE"""),44246.66666666667)</f>
        <v>44246.66667</v>
      </c>
      <c r="B98" s="1">
        <f>IFERROR(__xludf.DUMMYFUNCTION("""COMPUTED_VALUE"""),162.5)</f>
        <v>162.5</v>
      </c>
    </row>
    <row r="99">
      <c r="A99" s="2">
        <f>IFERROR(__xludf.DUMMYFUNCTION("""COMPUTED_VALUE"""),44249.66666666667)</f>
        <v>44249.66667</v>
      </c>
      <c r="B99" s="1">
        <f>IFERROR(__xludf.DUMMYFUNCTION("""COMPUTED_VALUE"""),159.04)</f>
        <v>159.04</v>
      </c>
    </row>
    <row r="100">
      <c r="A100" s="2">
        <f>IFERROR(__xludf.DUMMYFUNCTION("""COMPUTED_VALUE"""),44250.66666666667)</f>
        <v>44250.66667</v>
      </c>
      <c r="B100" s="1">
        <f>IFERROR(__xludf.DUMMYFUNCTION("""COMPUTED_VALUE"""),159.73)</f>
        <v>159.73</v>
      </c>
    </row>
    <row r="101">
      <c r="A101" s="2">
        <f>IFERROR(__xludf.DUMMYFUNCTION("""COMPUTED_VALUE"""),44251.66666666667)</f>
        <v>44251.66667</v>
      </c>
      <c r="B101" s="1">
        <f>IFERROR(__xludf.DUMMYFUNCTION("""COMPUTED_VALUE"""),157.98)</f>
        <v>157.98</v>
      </c>
    </row>
    <row r="102">
      <c r="A102" s="2">
        <f>IFERROR(__xludf.DUMMYFUNCTION("""COMPUTED_VALUE"""),44252.66666666667)</f>
        <v>44252.66667</v>
      </c>
      <c r="B102" s="1">
        <f>IFERROR(__xludf.DUMMYFUNCTION("""COMPUTED_VALUE"""),152.86)</f>
        <v>152.86</v>
      </c>
    </row>
    <row r="103">
      <c r="A103" s="2">
        <f>IFERROR(__xludf.DUMMYFUNCTION("""COMPUTED_VALUE"""),44253.66666666667)</f>
        <v>44253.66667</v>
      </c>
      <c r="B103" s="1">
        <f>IFERROR(__xludf.DUMMYFUNCTION("""COMPUTED_VALUE"""),154.65)</f>
        <v>154.65</v>
      </c>
    </row>
    <row r="104">
      <c r="A104" s="2">
        <f>IFERROR(__xludf.DUMMYFUNCTION("""COMPUTED_VALUE"""),44256.66666666667)</f>
        <v>44256.66667</v>
      </c>
      <c r="B104" s="1">
        <f>IFERROR(__xludf.DUMMYFUNCTION("""COMPUTED_VALUE"""),157.31)</f>
        <v>157.31</v>
      </c>
    </row>
    <row r="105">
      <c r="A105" s="2">
        <f>IFERROR(__xludf.DUMMYFUNCTION("""COMPUTED_VALUE"""),44257.66666666667)</f>
        <v>44257.66667</v>
      </c>
      <c r="B105" s="1">
        <f>IFERROR(__xludf.DUMMYFUNCTION("""COMPUTED_VALUE"""),154.73)</f>
        <v>154.73</v>
      </c>
    </row>
    <row r="106">
      <c r="A106" s="2">
        <f>IFERROR(__xludf.DUMMYFUNCTION("""COMPUTED_VALUE"""),44258.66666666667)</f>
        <v>44258.66667</v>
      </c>
      <c r="B106" s="1">
        <f>IFERROR(__xludf.DUMMYFUNCTION("""COMPUTED_VALUE"""),150.25)</f>
        <v>150.25</v>
      </c>
    </row>
    <row r="107">
      <c r="A107" s="2">
        <f>IFERROR(__xludf.DUMMYFUNCTION("""COMPUTED_VALUE"""),44259.66666666667)</f>
        <v>44259.66667</v>
      </c>
      <c r="B107" s="1">
        <f>IFERROR(__xludf.DUMMYFUNCTION("""COMPUTED_VALUE"""),148.88)</f>
        <v>148.88</v>
      </c>
    </row>
    <row r="108">
      <c r="A108" s="2">
        <f>IFERROR(__xludf.DUMMYFUNCTION("""COMPUTED_VALUE"""),44260.66666666667)</f>
        <v>44260.66667</v>
      </c>
      <c r="B108" s="1">
        <f>IFERROR(__xludf.DUMMYFUNCTION("""COMPUTED_VALUE"""),150.02)</f>
        <v>150.02</v>
      </c>
    </row>
    <row r="109">
      <c r="A109" s="2">
        <f>IFERROR(__xludf.DUMMYFUNCTION("""COMPUTED_VALUE"""),44263.66666666667)</f>
        <v>44263.66667</v>
      </c>
      <c r="B109" s="1">
        <f>IFERROR(__xludf.DUMMYFUNCTION("""COMPUTED_VALUE"""),147.6)</f>
        <v>147.6</v>
      </c>
    </row>
    <row r="110">
      <c r="A110" s="2">
        <f>IFERROR(__xludf.DUMMYFUNCTION("""COMPUTED_VALUE"""),44264.66666666667)</f>
        <v>44264.66667</v>
      </c>
      <c r="B110" s="1">
        <f>IFERROR(__xludf.DUMMYFUNCTION("""COMPUTED_VALUE"""),153.14)</f>
        <v>153.14</v>
      </c>
    </row>
    <row r="111">
      <c r="A111" s="2">
        <f>IFERROR(__xludf.DUMMYFUNCTION("""COMPUTED_VALUE"""),44265.66666666667)</f>
        <v>44265.66667</v>
      </c>
      <c r="B111" s="1">
        <f>IFERROR(__xludf.DUMMYFUNCTION("""COMPUTED_VALUE"""),152.88)</f>
        <v>152.88</v>
      </c>
    </row>
    <row r="112">
      <c r="A112" s="2">
        <f>IFERROR(__xludf.DUMMYFUNCTION("""COMPUTED_VALUE"""),44266.66666666667)</f>
        <v>44266.66667</v>
      </c>
      <c r="B112" s="1">
        <f>IFERROR(__xludf.DUMMYFUNCTION("""COMPUTED_VALUE"""),155.68)</f>
        <v>155.68</v>
      </c>
    </row>
    <row r="113">
      <c r="A113" s="2">
        <f>IFERROR(__xludf.DUMMYFUNCTION("""COMPUTED_VALUE"""),44267.66666666667)</f>
        <v>44267.66667</v>
      </c>
      <c r="B113" s="1">
        <f>IFERROR(__xludf.DUMMYFUNCTION("""COMPUTED_VALUE"""),154.47)</f>
        <v>154.47</v>
      </c>
    </row>
    <row r="114">
      <c r="A114" s="2">
        <f>IFERROR(__xludf.DUMMYFUNCTION("""COMPUTED_VALUE"""),44270.66666666667)</f>
        <v>44270.66667</v>
      </c>
      <c r="B114" s="1">
        <f>IFERROR(__xludf.DUMMYFUNCTION("""COMPUTED_VALUE"""),154.08)</f>
        <v>154.08</v>
      </c>
    </row>
    <row r="115">
      <c r="A115" s="2">
        <f>IFERROR(__xludf.DUMMYFUNCTION("""COMPUTED_VALUE"""),44271.66666666667)</f>
        <v>44271.66667</v>
      </c>
      <c r="B115" s="1">
        <f>IFERROR(__xludf.DUMMYFUNCTION("""COMPUTED_VALUE"""),154.59)</f>
        <v>154.59</v>
      </c>
    </row>
    <row r="116">
      <c r="A116" s="2">
        <f>IFERROR(__xludf.DUMMYFUNCTION("""COMPUTED_VALUE"""),44272.66666666667)</f>
        <v>44272.66667</v>
      </c>
      <c r="B116" s="1">
        <f>IFERROR(__xludf.DUMMYFUNCTION("""COMPUTED_VALUE"""),156.79)</f>
        <v>156.79</v>
      </c>
    </row>
    <row r="117">
      <c r="A117" s="2">
        <f>IFERROR(__xludf.DUMMYFUNCTION("""COMPUTED_VALUE"""),44273.66666666667)</f>
        <v>44273.66667</v>
      </c>
      <c r="B117" s="1">
        <f>IFERROR(__xludf.DUMMYFUNCTION("""COMPUTED_VALUE"""),151.4)</f>
        <v>151.4</v>
      </c>
    </row>
    <row r="118">
      <c r="A118" s="2">
        <f>IFERROR(__xludf.DUMMYFUNCTION("""COMPUTED_VALUE"""),44274.66666666667)</f>
        <v>44274.66667</v>
      </c>
      <c r="B118" s="1">
        <f>IFERROR(__xludf.DUMMYFUNCTION("""COMPUTED_VALUE"""),153.75)</f>
        <v>153.75</v>
      </c>
    </row>
    <row r="119">
      <c r="A119" s="2">
        <f>IFERROR(__xludf.DUMMYFUNCTION("""COMPUTED_VALUE"""),44277.66666666667)</f>
        <v>44277.66667</v>
      </c>
      <c r="B119" s="1">
        <f>IFERROR(__xludf.DUMMYFUNCTION("""COMPUTED_VALUE"""),155.54)</f>
        <v>155.54</v>
      </c>
    </row>
    <row r="120">
      <c r="A120" s="2">
        <f>IFERROR(__xludf.DUMMYFUNCTION("""COMPUTED_VALUE"""),44278.66666666667)</f>
        <v>44278.66667</v>
      </c>
      <c r="B120" s="1">
        <f>IFERROR(__xludf.DUMMYFUNCTION("""COMPUTED_VALUE"""),156.88)</f>
        <v>156.88</v>
      </c>
    </row>
    <row r="121">
      <c r="A121" s="2">
        <f>IFERROR(__xludf.DUMMYFUNCTION("""COMPUTED_VALUE"""),44279.66666666667)</f>
        <v>44279.66667</v>
      </c>
      <c r="B121" s="1">
        <f>IFERROR(__xludf.DUMMYFUNCTION("""COMPUTED_VALUE"""),154.35)</f>
        <v>154.35</v>
      </c>
    </row>
    <row r="122">
      <c r="A122" s="2">
        <f>IFERROR(__xludf.DUMMYFUNCTION("""COMPUTED_VALUE"""),44280.66666666667)</f>
        <v>44280.66667</v>
      </c>
      <c r="B122" s="1">
        <f>IFERROR(__xludf.DUMMYFUNCTION("""COMPUTED_VALUE"""),152.31)</f>
        <v>152.31</v>
      </c>
    </row>
    <row r="123">
      <c r="A123" s="2">
        <f>IFERROR(__xludf.DUMMYFUNCTION("""COMPUTED_VALUE"""),44281.66666666667)</f>
        <v>44281.66667</v>
      </c>
      <c r="B123" s="1">
        <f>IFERROR(__xludf.DUMMYFUNCTION("""COMPUTED_VALUE"""),152.6)</f>
        <v>152.6</v>
      </c>
    </row>
    <row r="124">
      <c r="A124" s="2">
        <f>IFERROR(__xludf.DUMMYFUNCTION("""COMPUTED_VALUE"""),44284.66666666667)</f>
        <v>44284.66667</v>
      </c>
      <c r="B124" s="1">
        <f>IFERROR(__xludf.DUMMYFUNCTION("""COMPUTED_VALUE"""),153.79)</f>
        <v>153.79</v>
      </c>
    </row>
    <row r="125">
      <c r="A125" s="2">
        <f>IFERROR(__xludf.DUMMYFUNCTION("""COMPUTED_VALUE"""),44285.66666666667)</f>
        <v>44285.66667</v>
      </c>
      <c r="B125" s="1">
        <f>IFERROR(__xludf.DUMMYFUNCTION("""COMPUTED_VALUE"""),152.76)</f>
        <v>152.76</v>
      </c>
    </row>
    <row r="126">
      <c r="A126" s="2">
        <f>IFERROR(__xludf.DUMMYFUNCTION("""COMPUTED_VALUE"""),44286.66666666667)</f>
        <v>44286.66667</v>
      </c>
      <c r="B126" s="1">
        <f>IFERROR(__xludf.DUMMYFUNCTION("""COMPUTED_VALUE"""),154.7)</f>
        <v>154.7</v>
      </c>
    </row>
    <row r="127">
      <c r="A127" s="2">
        <f>IFERROR(__xludf.DUMMYFUNCTION("""COMPUTED_VALUE"""),44287.66666666667)</f>
        <v>44287.66667</v>
      </c>
      <c r="B127" s="1">
        <f>IFERROR(__xludf.DUMMYFUNCTION("""COMPUTED_VALUE"""),158.05)</f>
        <v>158.05</v>
      </c>
    </row>
    <row r="128">
      <c r="A128" s="2">
        <f>IFERROR(__xludf.DUMMYFUNCTION("""COMPUTED_VALUE"""),44291.66666666667)</f>
        <v>44291.66667</v>
      </c>
      <c r="B128" s="1">
        <f>IFERROR(__xludf.DUMMYFUNCTION("""COMPUTED_VALUE"""),161.34)</f>
        <v>161.34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IFERROR(__xludf.DUMMYFUNCTION("""COMPUTED_VALUE"""),161.19)</f>
        <v>161.19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IFERROR(__xludf.DUMMYFUNCTION("""COMPUTED_VALUE"""),163.97)</f>
        <v>163.97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IFERROR(__xludf.DUMMYFUNCTION("""COMPUTED_VALUE"""),164.97)</f>
        <v>164.97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IFERROR(__xludf.DUMMYFUNCTION("""COMPUTED_VALUE"""),168.61)</f>
        <v>168.61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IFERROR(__xludf.DUMMYFUNCTION("""COMPUTED_VALUE"""),168.97)</f>
        <v>168.97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IFERROR(__xludf.DUMMYFUNCTION("""COMPUTED_VALUE"""),170.0)</f>
        <v>170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IFERROR(__xludf.DUMMYFUNCTION("""COMPUTED_VALUE"""),166.65)</f>
        <v>166.65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IFERROR(__xludf.DUMMYFUNCTION("""COMPUTED_VALUE"""),168.95)</f>
        <v>168.95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IFERROR(__xludf.DUMMYFUNCTION("""COMPUTED_VALUE"""),169.97)</f>
        <v>169.97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IFERROR(__xludf.DUMMYFUNCTION("""COMPUTED_VALUE"""),168.6)</f>
        <v>168.6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IFERROR(__xludf.DUMMYFUNCTION("""COMPUTED_VALUE"""),166.73)</f>
        <v>166.73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IFERROR(__xludf.DUMMYFUNCTION("""COMPUTED_VALUE"""),168.1)</f>
        <v>168.1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IFERROR(__xludf.DUMMYFUNCTION("""COMPUTED_VALUE"""),165.45)</f>
        <v>165.45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IFERROR(__xludf.DUMMYFUNCTION("""COMPUTED_VALUE"""),167.04)</f>
        <v>167.04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IFERROR(__xludf.DUMMYFUNCTION("""COMPUTED_VALUE"""),170.45)</f>
        <v>170.45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IFERROR(__xludf.DUMMYFUNCTION("""COMPUTED_VALUE"""),170.87)</f>
        <v>170.87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IFERROR(__xludf.DUMMYFUNCTION("""COMPUTED_VALUE"""),172.93)</f>
        <v>172.93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IFERROR(__xludf.DUMMYFUNCTION("""COMPUTED_VALUE"""),173.57)</f>
        <v>173.57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IFERROR(__xludf.DUMMYFUNCTION("""COMPUTED_VALUE"""),173.37)</f>
        <v>173.37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IFERROR(__xludf.DUMMYFUNCTION("""COMPUTED_VALUE"""),169.32)</f>
        <v>169.32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IFERROR(__xludf.DUMMYFUNCTION("""COMPUTED_VALUE"""),165.59)</f>
        <v>165.59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IFERROR(__xludf.DUMMYFUNCTION("""COMPUTED_VALUE"""),163.53)</f>
        <v>163.53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IFERROR(__xludf.DUMMYFUNCTION("""COMPUTED_VALUE"""),165.32)</f>
        <v>165.32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IFERROR(__xludf.DUMMYFUNCTION("""COMPUTED_VALUE"""),164.58)</f>
        <v>164.58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IFERROR(__xludf.DUMMYFUNCTION("""COMPUTED_VALUE"""),159.52)</f>
        <v>159.52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IFERROR(__xludf.DUMMYFUNCTION("""COMPUTED_VALUE"""),161.2)</f>
        <v>161.2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IFERROR(__xludf.DUMMYFUNCTION("""COMPUTED_VALUE"""),157.6)</f>
        <v>157.6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IFERROR(__xludf.DUMMYFUNCTION("""COMPUTED_VALUE"""),158.07)</f>
        <v>158.07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IFERROR(__xludf.DUMMYFUNCTION("""COMPUTED_VALUE"""),161.15)</f>
        <v>161.15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IFERROR(__xludf.DUMMYFUNCTION("""COMPUTED_VALUE"""),163.52)</f>
        <v>163.52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IFERROR(__xludf.DUMMYFUNCTION("""COMPUTED_VALUE"""),161.61)</f>
        <v>161.61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IFERROR(__xludf.DUMMYFUNCTION("""COMPUTED_VALUE"""),161.59)</f>
        <v>161.59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IFERROR(__xludf.DUMMYFUNCTION("""COMPUTED_VALUE"""),162.38)</f>
        <v>162.38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IFERROR(__xludf.DUMMYFUNCTION("""COMPUTED_VALUE"""),160.15)</f>
        <v>160.15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IFERROR(__xludf.DUMMYFUNCTION("""COMPUTED_VALUE"""),162.25)</f>
        <v>162.25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IFERROR(__xludf.DUMMYFUNCTION("""COMPUTED_VALUE"""),162.95)</f>
        <v>162.95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IFERROR(__xludf.DUMMYFUNCTION("""COMPUTED_VALUE"""),163.26)</f>
        <v>163.26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IFERROR(__xludf.DUMMYFUNCTION("""COMPUTED_VALUE"""),161.51)</f>
        <v>161.51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IFERROR(__xludf.DUMMYFUNCTION("""COMPUTED_VALUE"""),161.15)</f>
        <v>161.15</v>
      </c>
    </row>
    <row r="168">
      <c r="A168" s="2">
        <f>IFERROR(__xludf.DUMMYFUNCTION("""COMPUTED_VALUE"""),44348.66666666667)</f>
        <v>44348.66667</v>
      </c>
      <c r="B168" s="1">
        <f>IFERROR(__xludf.DUMMYFUNCTION("""COMPUTED_VALUE"""),160.93)</f>
        <v>160.93</v>
      </c>
    </row>
    <row r="169">
      <c r="A169" s="2">
        <f>IFERROR(__xludf.DUMMYFUNCTION("""COMPUTED_VALUE"""),44349.66666666667)</f>
        <v>44349.66667</v>
      </c>
      <c r="B169" s="1">
        <f>IFERROR(__xludf.DUMMYFUNCTION("""COMPUTED_VALUE"""),161.7)</f>
        <v>161.7</v>
      </c>
    </row>
    <row r="170">
      <c r="A170" s="2">
        <f>IFERROR(__xludf.DUMMYFUNCTION("""COMPUTED_VALUE"""),44350.66666666667)</f>
        <v>44350.66667</v>
      </c>
      <c r="B170" s="1">
        <f>IFERROR(__xludf.DUMMYFUNCTION("""COMPUTED_VALUE"""),159.35)</f>
        <v>159.35</v>
      </c>
    </row>
    <row r="171">
      <c r="A171" s="2">
        <f>IFERROR(__xludf.DUMMYFUNCTION("""COMPUTED_VALUE"""),44351.66666666667)</f>
        <v>44351.66667</v>
      </c>
      <c r="B171" s="1">
        <f>IFERROR(__xludf.DUMMYFUNCTION("""COMPUTED_VALUE"""),160.31)</f>
        <v>160.31</v>
      </c>
    </row>
    <row r="172">
      <c r="A172" s="2">
        <f>IFERROR(__xludf.DUMMYFUNCTION("""COMPUTED_VALUE"""),44354.66666666667)</f>
        <v>44354.66667</v>
      </c>
      <c r="B172" s="1">
        <f>IFERROR(__xludf.DUMMYFUNCTION("""COMPUTED_VALUE"""),159.9)</f>
        <v>159.9</v>
      </c>
    </row>
    <row r="173">
      <c r="A173" s="2">
        <f>IFERROR(__xludf.DUMMYFUNCTION("""COMPUTED_VALUE"""),44355.66666666667)</f>
        <v>44355.66667</v>
      </c>
      <c r="B173" s="1">
        <f>IFERROR(__xludf.DUMMYFUNCTION("""COMPUTED_VALUE"""),163.21)</f>
        <v>163.21</v>
      </c>
    </row>
    <row r="174">
      <c r="A174" s="2">
        <f>IFERROR(__xludf.DUMMYFUNCTION("""COMPUTED_VALUE"""),44356.66666666667)</f>
        <v>44356.66667</v>
      </c>
      <c r="B174" s="1">
        <f>IFERROR(__xludf.DUMMYFUNCTION("""COMPUTED_VALUE"""),164.06)</f>
        <v>164.06</v>
      </c>
    </row>
    <row r="175">
      <c r="A175" s="2">
        <f>IFERROR(__xludf.DUMMYFUNCTION("""COMPUTED_VALUE"""),44357.66666666667)</f>
        <v>44357.66667</v>
      </c>
      <c r="B175" s="1">
        <f>IFERROR(__xludf.DUMMYFUNCTION("""COMPUTED_VALUE"""),167.48)</f>
        <v>167.48</v>
      </c>
    </row>
    <row r="176">
      <c r="A176" s="2">
        <f>IFERROR(__xludf.DUMMYFUNCTION("""COMPUTED_VALUE"""),44358.66666666667)</f>
        <v>44358.66667</v>
      </c>
      <c r="B176" s="1">
        <f>IFERROR(__xludf.DUMMYFUNCTION("""COMPUTED_VALUE"""),167.34)</f>
        <v>167.34</v>
      </c>
    </row>
    <row r="177">
      <c r="A177" s="2">
        <f>IFERROR(__xludf.DUMMYFUNCTION("""COMPUTED_VALUE"""),44361.66666666667)</f>
        <v>44361.66667</v>
      </c>
      <c r="B177" s="1">
        <f>IFERROR(__xludf.DUMMYFUNCTION("""COMPUTED_VALUE"""),169.19)</f>
        <v>169.19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IFERROR(__xludf.DUMMYFUNCTION("""COMPUTED_VALUE"""),169.16)</f>
        <v>169.16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IFERROR(__xludf.DUMMYFUNCTION("""COMPUTED_VALUE"""),170.76)</f>
        <v>170.76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IFERROR(__xludf.DUMMYFUNCTION("""COMPUTED_VALUE"""),174.46)</f>
        <v>174.46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IFERROR(__xludf.DUMMYFUNCTION("""COMPUTED_VALUE"""),174.35)</f>
        <v>174.35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IFERROR(__xludf.DUMMYFUNCTION("""COMPUTED_VALUE"""),172.7)</f>
        <v>172.7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IFERROR(__xludf.DUMMYFUNCTION("""COMPUTED_VALUE"""),175.27)</f>
        <v>175.27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IFERROR(__xludf.DUMMYFUNCTION("""COMPUTED_VALUE"""),175.19)</f>
        <v>175.19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IFERROR(__xludf.DUMMYFUNCTION("""COMPUTED_VALUE"""),172.45)</f>
        <v>172.45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IFERROR(__xludf.DUMMYFUNCTION("""COMPUTED_VALUE"""),170.07)</f>
        <v>170.07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IFERROR(__xludf.DUMMYFUNCTION("""COMPUTED_VALUE"""),172.19)</f>
        <v>172.19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IFERROR(__xludf.DUMMYFUNCTION("""COMPUTED_VALUE"""),172.41)</f>
        <v>172.41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IFERROR(__xludf.DUMMYFUNCTION("""COMPUTED_VALUE"""),172.01)</f>
        <v>172.01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IFERROR(__xludf.DUMMYFUNCTION("""COMPUTED_VALUE"""),171.65)</f>
        <v>171.65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IFERROR(__xludf.DUMMYFUNCTION("""COMPUTED_VALUE"""),175.55)</f>
        <v>175.55</v>
      </c>
    </row>
    <row r="192">
      <c r="A192" s="2">
        <f>IFERROR(__xludf.DUMMYFUNCTION("""COMPUTED_VALUE"""),44383.66666666667)</f>
        <v>44383.66667</v>
      </c>
      <c r="B192" s="1">
        <f>IFERROR(__xludf.DUMMYFUNCTION("""COMPUTED_VALUE"""),183.79)</f>
        <v>183.79</v>
      </c>
    </row>
    <row r="193">
      <c r="A193" s="2">
        <f>IFERROR(__xludf.DUMMYFUNCTION("""COMPUTED_VALUE"""),44384.66666666667)</f>
        <v>44384.66667</v>
      </c>
      <c r="B193" s="1">
        <f>IFERROR(__xludf.DUMMYFUNCTION("""COMPUTED_VALUE"""),184.83)</f>
        <v>184.83</v>
      </c>
    </row>
    <row r="194">
      <c r="A194" s="2">
        <f>IFERROR(__xludf.DUMMYFUNCTION("""COMPUTED_VALUE"""),44385.66666666667)</f>
        <v>44385.66667</v>
      </c>
      <c r="B194" s="1">
        <f>IFERROR(__xludf.DUMMYFUNCTION("""COMPUTED_VALUE"""),186.57)</f>
        <v>186.57</v>
      </c>
    </row>
    <row r="195">
      <c r="A195" s="2">
        <f>IFERROR(__xludf.DUMMYFUNCTION("""COMPUTED_VALUE"""),44386.66666666667)</f>
        <v>44386.66667</v>
      </c>
      <c r="B195" s="1">
        <f>IFERROR(__xludf.DUMMYFUNCTION("""COMPUTED_VALUE"""),185.97)</f>
        <v>185.97</v>
      </c>
    </row>
    <row r="196">
      <c r="A196" s="2">
        <f>IFERROR(__xludf.DUMMYFUNCTION("""COMPUTED_VALUE"""),44389.66666666667)</f>
        <v>44389.66667</v>
      </c>
      <c r="B196" s="1">
        <f>IFERROR(__xludf.DUMMYFUNCTION("""COMPUTED_VALUE"""),185.93)</f>
        <v>185.93</v>
      </c>
    </row>
    <row r="197">
      <c r="A197" s="2">
        <f>IFERROR(__xludf.DUMMYFUNCTION("""COMPUTED_VALUE"""),44390.66666666667)</f>
        <v>44390.66667</v>
      </c>
      <c r="B197" s="1">
        <f>IFERROR(__xludf.DUMMYFUNCTION("""COMPUTED_VALUE"""),183.87)</f>
        <v>183.87</v>
      </c>
    </row>
    <row r="198">
      <c r="A198" s="2">
        <f>IFERROR(__xludf.DUMMYFUNCTION("""COMPUTED_VALUE"""),44391.66666666667)</f>
        <v>44391.66667</v>
      </c>
      <c r="B198" s="1">
        <f>IFERROR(__xludf.DUMMYFUNCTION("""COMPUTED_VALUE"""),184.08)</f>
        <v>184.08</v>
      </c>
    </row>
    <row r="199">
      <c r="A199" s="2">
        <f>IFERROR(__xludf.DUMMYFUNCTION("""COMPUTED_VALUE"""),44392.66666666667)</f>
        <v>44392.66667</v>
      </c>
      <c r="B199" s="1">
        <f>IFERROR(__xludf.DUMMYFUNCTION("""COMPUTED_VALUE"""),181.56)</f>
        <v>181.56</v>
      </c>
    </row>
    <row r="200">
      <c r="A200" s="2">
        <f>IFERROR(__xludf.DUMMYFUNCTION("""COMPUTED_VALUE"""),44393.66666666667)</f>
        <v>44393.66667</v>
      </c>
      <c r="B200" s="1">
        <f>IFERROR(__xludf.DUMMYFUNCTION("""COMPUTED_VALUE"""),178.68)</f>
        <v>178.68</v>
      </c>
    </row>
    <row r="201">
      <c r="A201" s="2">
        <f>IFERROR(__xludf.DUMMYFUNCTION("""COMPUTED_VALUE"""),44396.66666666667)</f>
        <v>44396.66667</v>
      </c>
      <c r="B201" s="1">
        <f>IFERROR(__xludf.DUMMYFUNCTION("""COMPUTED_VALUE"""),177.48)</f>
        <v>177.48</v>
      </c>
    </row>
    <row r="202">
      <c r="A202" s="2">
        <f>IFERROR(__xludf.DUMMYFUNCTION("""COMPUTED_VALUE"""),44397.66666666667)</f>
        <v>44397.66667</v>
      </c>
      <c r="B202" s="1">
        <f>IFERROR(__xludf.DUMMYFUNCTION("""COMPUTED_VALUE"""),178.66)</f>
        <v>178.66</v>
      </c>
    </row>
    <row r="203">
      <c r="A203" s="2">
        <f>IFERROR(__xludf.DUMMYFUNCTION("""COMPUTED_VALUE"""),44398.66666666667)</f>
        <v>44398.66667</v>
      </c>
      <c r="B203" s="1">
        <f>IFERROR(__xludf.DUMMYFUNCTION("""COMPUTED_VALUE"""),179.26)</f>
        <v>179.26</v>
      </c>
    </row>
    <row r="204">
      <c r="A204" s="2">
        <f>IFERROR(__xludf.DUMMYFUNCTION("""COMPUTED_VALUE"""),44399.66666666667)</f>
        <v>44399.66667</v>
      </c>
      <c r="B204" s="1">
        <f>IFERROR(__xludf.DUMMYFUNCTION("""COMPUTED_VALUE"""),181.9)</f>
        <v>181.9</v>
      </c>
    </row>
    <row r="205">
      <c r="A205" s="2">
        <f>IFERROR(__xludf.DUMMYFUNCTION("""COMPUTED_VALUE"""),44400.66666666667)</f>
        <v>44400.66667</v>
      </c>
      <c r="B205" s="1">
        <f>IFERROR(__xludf.DUMMYFUNCTION("""COMPUTED_VALUE"""),182.83)</f>
        <v>182.83</v>
      </c>
    </row>
    <row r="206">
      <c r="A206" s="2">
        <f>IFERROR(__xludf.DUMMYFUNCTION("""COMPUTED_VALUE"""),44403.66666666667)</f>
        <v>44403.66667</v>
      </c>
      <c r="B206" s="1">
        <f>IFERROR(__xludf.DUMMYFUNCTION("""COMPUTED_VALUE"""),184.99)</f>
        <v>184.99</v>
      </c>
    </row>
    <row r="207">
      <c r="A207" s="2">
        <f>IFERROR(__xludf.DUMMYFUNCTION("""COMPUTED_VALUE"""),44404.66666666667)</f>
        <v>44404.66667</v>
      </c>
      <c r="B207" s="1">
        <f>IFERROR(__xludf.DUMMYFUNCTION("""COMPUTED_VALUE"""),181.32)</f>
        <v>181.32</v>
      </c>
    </row>
    <row r="208">
      <c r="A208" s="2">
        <f>IFERROR(__xludf.DUMMYFUNCTION("""COMPUTED_VALUE"""),44405.66666666667)</f>
        <v>44405.66667</v>
      </c>
      <c r="B208" s="1">
        <f>IFERROR(__xludf.DUMMYFUNCTION("""COMPUTED_VALUE"""),181.52)</f>
        <v>181.52</v>
      </c>
    </row>
    <row r="209">
      <c r="A209" s="2">
        <f>IFERROR(__xludf.DUMMYFUNCTION("""COMPUTED_VALUE"""),44406.66666666667)</f>
        <v>44406.66667</v>
      </c>
      <c r="B209" s="1">
        <f>IFERROR(__xludf.DUMMYFUNCTION("""COMPUTED_VALUE"""),180.0)</f>
        <v>180</v>
      </c>
    </row>
    <row r="210">
      <c r="A210" s="2">
        <f>IFERROR(__xludf.DUMMYFUNCTION("""COMPUTED_VALUE"""),44407.66666666667)</f>
        <v>44407.66667</v>
      </c>
      <c r="B210" s="1">
        <f>IFERROR(__xludf.DUMMYFUNCTION("""COMPUTED_VALUE"""),166.38)</f>
        <v>166.38</v>
      </c>
    </row>
    <row r="211">
      <c r="A211" s="2">
        <f>IFERROR(__xludf.DUMMYFUNCTION("""COMPUTED_VALUE"""),44410.66666666667)</f>
        <v>44410.66667</v>
      </c>
      <c r="B211" s="1">
        <f>IFERROR(__xludf.DUMMYFUNCTION("""COMPUTED_VALUE"""),166.57)</f>
        <v>166.57</v>
      </c>
    </row>
    <row r="212">
      <c r="A212" s="2">
        <f>IFERROR(__xludf.DUMMYFUNCTION("""COMPUTED_VALUE"""),44411.66666666667)</f>
        <v>44411.66667</v>
      </c>
      <c r="B212" s="1">
        <f>IFERROR(__xludf.DUMMYFUNCTION("""COMPUTED_VALUE"""),168.31)</f>
        <v>168.31</v>
      </c>
    </row>
    <row r="213">
      <c r="A213" s="2">
        <f>IFERROR(__xludf.DUMMYFUNCTION("""COMPUTED_VALUE"""),44412.66666666667)</f>
        <v>44412.66667</v>
      </c>
      <c r="B213" s="1">
        <f>IFERROR(__xludf.DUMMYFUNCTION("""COMPUTED_VALUE"""),167.74)</f>
        <v>167.74</v>
      </c>
    </row>
    <row r="214">
      <c r="A214" s="2">
        <f>IFERROR(__xludf.DUMMYFUNCTION("""COMPUTED_VALUE"""),44413.66666666667)</f>
        <v>44413.66667</v>
      </c>
      <c r="B214" s="1">
        <f>IFERROR(__xludf.DUMMYFUNCTION("""COMPUTED_VALUE"""),168.8)</f>
        <v>168.8</v>
      </c>
    </row>
    <row r="215">
      <c r="A215" s="2">
        <f>IFERROR(__xludf.DUMMYFUNCTION("""COMPUTED_VALUE"""),44414.66666666667)</f>
        <v>44414.66667</v>
      </c>
      <c r="B215" s="1">
        <f>IFERROR(__xludf.DUMMYFUNCTION("""COMPUTED_VALUE"""),167.25)</f>
        <v>167.25</v>
      </c>
    </row>
    <row r="216">
      <c r="A216" s="2">
        <f>IFERROR(__xludf.DUMMYFUNCTION("""COMPUTED_VALUE"""),44417.66666666667)</f>
        <v>44417.66667</v>
      </c>
      <c r="B216" s="1">
        <f>IFERROR(__xludf.DUMMYFUNCTION("""COMPUTED_VALUE"""),167.09)</f>
        <v>167.09</v>
      </c>
    </row>
    <row r="217">
      <c r="A217" s="2">
        <f>IFERROR(__xludf.DUMMYFUNCTION("""COMPUTED_VALUE"""),44418.66666666667)</f>
        <v>44418.66667</v>
      </c>
      <c r="B217" s="1">
        <f>IFERROR(__xludf.DUMMYFUNCTION("""COMPUTED_VALUE"""),166.03)</f>
        <v>166.03</v>
      </c>
    </row>
    <row r="218">
      <c r="A218" s="2">
        <f>IFERROR(__xludf.DUMMYFUNCTION("""COMPUTED_VALUE"""),44419.66666666667)</f>
        <v>44419.66667</v>
      </c>
      <c r="B218" s="1">
        <f>IFERROR(__xludf.DUMMYFUNCTION("""COMPUTED_VALUE"""),164.61)</f>
        <v>164.61</v>
      </c>
    </row>
    <row r="219">
      <c r="A219" s="2">
        <f>IFERROR(__xludf.DUMMYFUNCTION("""COMPUTED_VALUE"""),44420.66666666667)</f>
        <v>44420.66667</v>
      </c>
      <c r="B219" s="1">
        <f>IFERROR(__xludf.DUMMYFUNCTION("""COMPUTED_VALUE"""),165.18)</f>
        <v>165.18</v>
      </c>
    </row>
    <row r="220">
      <c r="A220" s="2">
        <f>IFERROR(__xludf.DUMMYFUNCTION("""COMPUTED_VALUE"""),44421.66666666667)</f>
        <v>44421.66667</v>
      </c>
      <c r="B220" s="1">
        <f>IFERROR(__xludf.DUMMYFUNCTION("""COMPUTED_VALUE"""),164.7)</f>
        <v>164.7</v>
      </c>
    </row>
    <row r="221">
      <c r="A221" s="2">
        <f>IFERROR(__xludf.DUMMYFUNCTION("""COMPUTED_VALUE"""),44424.66666666667)</f>
        <v>44424.66667</v>
      </c>
      <c r="B221" s="1">
        <f>IFERROR(__xludf.DUMMYFUNCTION("""COMPUTED_VALUE"""),164.95)</f>
        <v>164.95</v>
      </c>
    </row>
    <row r="222">
      <c r="A222" s="2">
        <f>IFERROR(__xludf.DUMMYFUNCTION("""COMPUTED_VALUE"""),44425.66666666667)</f>
        <v>44425.66667</v>
      </c>
      <c r="B222" s="1">
        <f>IFERROR(__xludf.DUMMYFUNCTION("""COMPUTED_VALUE"""),162.1)</f>
        <v>162.1</v>
      </c>
    </row>
    <row r="223">
      <c r="A223" s="2">
        <f>IFERROR(__xludf.DUMMYFUNCTION("""COMPUTED_VALUE"""),44426.66666666667)</f>
        <v>44426.66667</v>
      </c>
      <c r="B223" s="1">
        <f>IFERROR(__xludf.DUMMYFUNCTION("""COMPUTED_VALUE"""),160.06)</f>
        <v>160.06</v>
      </c>
    </row>
    <row r="224">
      <c r="A224" s="2">
        <f>IFERROR(__xludf.DUMMYFUNCTION("""COMPUTED_VALUE"""),44427.66666666667)</f>
        <v>44427.66667</v>
      </c>
      <c r="B224" s="1">
        <f>IFERROR(__xludf.DUMMYFUNCTION("""COMPUTED_VALUE"""),159.39)</f>
        <v>159.39</v>
      </c>
    </row>
    <row r="225">
      <c r="A225" s="2">
        <f>IFERROR(__xludf.DUMMYFUNCTION("""COMPUTED_VALUE"""),44428.66666666667)</f>
        <v>44428.66667</v>
      </c>
      <c r="B225" s="1">
        <f>IFERROR(__xludf.DUMMYFUNCTION("""COMPUTED_VALUE"""),160.0)</f>
        <v>160</v>
      </c>
    </row>
    <row r="226">
      <c r="A226" s="2">
        <f>IFERROR(__xludf.DUMMYFUNCTION("""COMPUTED_VALUE"""),44431.66666666667)</f>
        <v>44431.66667</v>
      </c>
      <c r="B226" s="1">
        <f>IFERROR(__xludf.DUMMYFUNCTION("""COMPUTED_VALUE"""),163.29)</f>
        <v>163.29</v>
      </c>
    </row>
    <row r="227">
      <c r="A227" s="2">
        <f>IFERROR(__xludf.DUMMYFUNCTION("""COMPUTED_VALUE"""),44432.66666666667)</f>
        <v>44432.66667</v>
      </c>
      <c r="B227" s="1">
        <f>IFERROR(__xludf.DUMMYFUNCTION("""COMPUTED_VALUE"""),165.29)</f>
        <v>165.29</v>
      </c>
    </row>
    <row r="228">
      <c r="A228" s="2">
        <f>IFERROR(__xludf.DUMMYFUNCTION("""COMPUTED_VALUE"""),44433.66666666667)</f>
        <v>44433.66667</v>
      </c>
      <c r="B228" s="1">
        <f>IFERROR(__xludf.DUMMYFUNCTION("""COMPUTED_VALUE"""),164.96)</f>
        <v>164.96</v>
      </c>
    </row>
    <row r="229">
      <c r="A229" s="2">
        <f>IFERROR(__xludf.DUMMYFUNCTION("""COMPUTED_VALUE"""),44434.66666666667)</f>
        <v>44434.66667</v>
      </c>
      <c r="B229" s="1">
        <f>IFERROR(__xludf.DUMMYFUNCTION("""COMPUTED_VALUE"""),165.8)</f>
        <v>165.8</v>
      </c>
    </row>
    <row r="230">
      <c r="A230" s="2">
        <f>IFERROR(__xludf.DUMMYFUNCTION("""COMPUTED_VALUE"""),44435.66666666667)</f>
        <v>44435.66667</v>
      </c>
      <c r="B230" s="1">
        <f>IFERROR(__xludf.DUMMYFUNCTION("""COMPUTED_VALUE"""),167.48)</f>
        <v>167.48</v>
      </c>
    </row>
    <row r="231">
      <c r="A231" s="2">
        <f>IFERROR(__xludf.DUMMYFUNCTION("""COMPUTED_VALUE"""),44438.66666666667)</f>
        <v>44438.66667</v>
      </c>
      <c r="B231" s="1">
        <f>IFERROR(__xludf.DUMMYFUNCTION("""COMPUTED_VALUE"""),171.08)</f>
        <v>171.08</v>
      </c>
    </row>
    <row r="232">
      <c r="A232" s="2">
        <f>IFERROR(__xludf.DUMMYFUNCTION("""COMPUTED_VALUE"""),44439.66666666667)</f>
        <v>44439.66667</v>
      </c>
      <c r="B232" s="1">
        <f>IFERROR(__xludf.DUMMYFUNCTION("""COMPUTED_VALUE"""),173.54)</f>
        <v>173.54</v>
      </c>
    </row>
    <row r="233">
      <c r="A233" s="2">
        <f>IFERROR(__xludf.DUMMYFUNCTION("""COMPUTED_VALUE"""),44440.66666666667)</f>
        <v>44440.66667</v>
      </c>
      <c r="B233" s="1">
        <f>IFERROR(__xludf.DUMMYFUNCTION("""COMPUTED_VALUE"""),173.95)</f>
        <v>173.95</v>
      </c>
    </row>
    <row r="234">
      <c r="A234" s="2">
        <f>IFERROR(__xludf.DUMMYFUNCTION("""COMPUTED_VALUE"""),44441.66666666667)</f>
        <v>44441.66667</v>
      </c>
      <c r="B234" s="1">
        <f>IFERROR(__xludf.DUMMYFUNCTION("""COMPUTED_VALUE"""),173.16)</f>
        <v>173.16</v>
      </c>
    </row>
    <row r="235">
      <c r="A235" s="2">
        <f>IFERROR(__xludf.DUMMYFUNCTION("""COMPUTED_VALUE"""),44442.66666666667)</f>
        <v>44442.66667</v>
      </c>
      <c r="B235" s="1">
        <f>IFERROR(__xludf.DUMMYFUNCTION("""COMPUTED_VALUE"""),173.9)</f>
        <v>173.9</v>
      </c>
    </row>
    <row r="236">
      <c r="A236" s="2">
        <f>IFERROR(__xludf.DUMMYFUNCTION("""COMPUTED_VALUE"""),44446.66666666667)</f>
        <v>44446.66667</v>
      </c>
      <c r="B236" s="1">
        <f>IFERROR(__xludf.DUMMYFUNCTION("""COMPUTED_VALUE"""),175.46)</f>
        <v>175.46</v>
      </c>
    </row>
    <row r="237">
      <c r="A237" s="2">
        <f>IFERROR(__xludf.DUMMYFUNCTION("""COMPUTED_VALUE"""),44447.66666666667)</f>
        <v>44447.66667</v>
      </c>
      <c r="B237" s="1">
        <f>IFERROR(__xludf.DUMMYFUNCTION("""COMPUTED_VALUE"""),176.28)</f>
        <v>176.28</v>
      </c>
    </row>
    <row r="238">
      <c r="A238" s="2">
        <f>IFERROR(__xludf.DUMMYFUNCTION("""COMPUTED_VALUE"""),44448.66666666667)</f>
        <v>44448.66667</v>
      </c>
      <c r="B238" s="1">
        <f>IFERROR(__xludf.DUMMYFUNCTION("""COMPUTED_VALUE"""),174.21)</f>
        <v>174.21</v>
      </c>
    </row>
    <row r="239">
      <c r="A239" s="2">
        <f>IFERROR(__xludf.DUMMYFUNCTION("""COMPUTED_VALUE"""),44449.66666666667)</f>
        <v>44449.66667</v>
      </c>
      <c r="B239" s="1">
        <f>IFERROR(__xludf.DUMMYFUNCTION("""COMPUTED_VALUE"""),173.46)</f>
        <v>173.46</v>
      </c>
    </row>
    <row r="240">
      <c r="A240" s="2">
        <f>IFERROR(__xludf.DUMMYFUNCTION("""COMPUTED_VALUE"""),44452.66666666667)</f>
        <v>44452.66667</v>
      </c>
      <c r="B240" s="1">
        <f>IFERROR(__xludf.DUMMYFUNCTION("""COMPUTED_VALUE"""),172.86)</f>
        <v>172.86</v>
      </c>
    </row>
    <row r="241">
      <c r="A241" s="2">
        <f>IFERROR(__xludf.DUMMYFUNCTION("""COMPUTED_VALUE"""),44453.66666666667)</f>
        <v>44453.66667</v>
      </c>
      <c r="B241" s="1">
        <f>IFERROR(__xludf.DUMMYFUNCTION("""COMPUTED_VALUE"""),172.5)</f>
        <v>172.5</v>
      </c>
    </row>
    <row r="242">
      <c r="A242" s="2">
        <f>IFERROR(__xludf.DUMMYFUNCTION("""COMPUTED_VALUE"""),44454.66666666667)</f>
        <v>44454.66667</v>
      </c>
      <c r="B242" s="1">
        <f>IFERROR(__xludf.DUMMYFUNCTION("""COMPUTED_VALUE"""),173.79)</f>
        <v>173.79</v>
      </c>
    </row>
    <row r="243">
      <c r="A243" s="2">
        <f>IFERROR(__xludf.DUMMYFUNCTION("""COMPUTED_VALUE"""),44455.66666666667)</f>
        <v>44455.66667</v>
      </c>
      <c r="B243" s="1">
        <f>IFERROR(__xludf.DUMMYFUNCTION("""COMPUTED_VALUE"""),174.41)</f>
        <v>174.41</v>
      </c>
    </row>
    <row r="244">
      <c r="A244" s="2">
        <f>IFERROR(__xludf.DUMMYFUNCTION("""COMPUTED_VALUE"""),44456.66666666667)</f>
        <v>44456.66667</v>
      </c>
      <c r="B244" s="1">
        <f>IFERROR(__xludf.DUMMYFUNCTION("""COMPUTED_VALUE"""),173.13)</f>
        <v>173.13</v>
      </c>
    </row>
    <row r="245">
      <c r="A245" s="2">
        <f>IFERROR(__xludf.DUMMYFUNCTION("""COMPUTED_VALUE"""),44459.66666666667)</f>
        <v>44459.66667</v>
      </c>
      <c r="B245" s="1">
        <f>IFERROR(__xludf.DUMMYFUNCTION("""COMPUTED_VALUE"""),167.79)</f>
        <v>167.79</v>
      </c>
    </row>
    <row r="246">
      <c r="A246" s="2">
        <f>IFERROR(__xludf.DUMMYFUNCTION("""COMPUTED_VALUE"""),44460.66666666667)</f>
        <v>44460.66667</v>
      </c>
      <c r="B246" s="1">
        <f>IFERROR(__xludf.DUMMYFUNCTION("""COMPUTED_VALUE"""),167.18)</f>
        <v>167.18</v>
      </c>
    </row>
    <row r="247">
      <c r="A247" s="2">
        <f>IFERROR(__xludf.DUMMYFUNCTION("""COMPUTED_VALUE"""),44461.66666666667)</f>
        <v>44461.66667</v>
      </c>
      <c r="B247" s="1">
        <f>IFERROR(__xludf.DUMMYFUNCTION("""COMPUTED_VALUE"""),169.0)</f>
        <v>169</v>
      </c>
    </row>
    <row r="248">
      <c r="A248" s="2">
        <f>IFERROR(__xludf.DUMMYFUNCTION("""COMPUTED_VALUE"""),44462.66666666667)</f>
        <v>44462.66667</v>
      </c>
      <c r="B248" s="1">
        <f>IFERROR(__xludf.DUMMYFUNCTION("""COMPUTED_VALUE"""),170.8)</f>
        <v>170.8</v>
      </c>
    </row>
    <row r="249">
      <c r="A249" s="2">
        <f>IFERROR(__xludf.DUMMYFUNCTION("""COMPUTED_VALUE"""),44463.66666666667)</f>
        <v>44463.66667</v>
      </c>
      <c r="B249" s="1">
        <f>IFERROR(__xludf.DUMMYFUNCTION("""COMPUTED_VALUE"""),171.28)</f>
        <v>171.28</v>
      </c>
    </row>
    <row r="250">
      <c r="A250" s="2">
        <f>IFERROR(__xludf.DUMMYFUNCTION("""COMPUTED_VALUE"""),44466.66666666667)</f>
        <v>44466.66667</v>
      </c>
      <c r="B250" s="1">
        <f>IFERROR(__xludf.DUMMYFUNCTION("""COMPUTED_VALUE"""),170.29)</f>
        <v>170.29</v>
      </c>
    </row>
    <row r="251">
      <c r="A251" s="2">
        <f>IFERROR(__xludf.DUMMYFUNCTION("""COMPUTED_VALUE"""),44467.66666666667)</f>
        <v>44467.66667</v>
      </c>
      <c r="B251" s="1">
        <f>IFERROR(__xludf.DUMMYFUNCTION("""COMPUTED_VALUE"""),165.8)</f>
        <v>165.8</v>
      </c>
    </row>
    <row r="252">
      <c r="A252" s="2">
        <f>IFERROR(__xludf.DUMMYFUNCTION("""COMPUTED_VALUE"""),44468.66666666667)</f>
        <v>44468.66667</v>
      </c>
      <c r="B252" s="1">
        <f>IFERROR(__xludf.DUMMYFUNCTION("""COMPUTED_VALUE"""),165.06)</f>
        <v>165.06</v>
      </c>
    </row>
    <row r="253">
      <c r="A253" s="2">
        <f>IFERROR(__xludf.DUMMYFUNCTION("""COMPUTED_VALUE"""),44469.66666666667)</f>
        <v>44469.66667</v>
      </c>
      <c r="B253" s="1">
        <f>IFERROR(__xludf.DUMMYFUNCTION("""COMPUTED_VALUE"""),164.25)</f>
        <v>164.25</v>
      </c>
    </row>
    <row r="254">
      <c r="A254" s="2">
        <f>IFERROR(__xludf.DUMMYFUNCTION("""COMPUTED_VALUE"""),44470.66666666667)</f>
        <v>44470.66667</v>
      </c>
      <c r="B254" s="1">
        <f>IFERROR(__xludf.DUMMYFUNCTION("""COMPUTED_VALUE"""),164.16)</f>
        <v>164.16</v>
      </c>
    </row>
    <row r="255">
      <c r="A255" s="2">
        <f>IFERROR(__xludf.DUMMYFUNCTION("""COMPUTED_VALUE"""),44473.66666666667)</f>
        <v>44473.66667</v>
      </c>
      <c r="B255" s="1">
        <f>IFERROR(__xludf.DUMMYFUNCTION("""COMPUTED_VALUE"""),159.49)</f>
        <v>159.49</v>
      </c>
    </row>
    <row r="256">
      <c r="A256" s="2">
        <f>IFERROR(__xludf.DUMMYFUNCTION("""COMPUTED_VALUE"""),44474.66666666667)</f>
        <v>44474.66667</v>
      </c>
      <c r="B256" s="1">
        <f>IFERROR(__xludf.DUMMYFUNCTION("""COMPUTED_VALUE"""),161.05)</f>
        <v>161.05</v>
      </c>
    </row>
    <row r="257">
      <c r="A257" s="2">
        <f>IFERROR(__xludf.DUMMYFUNCTION("""COMPUTED_VALUE"""),44475.66666666667)</f>
        <v>44475.66667</v>
      </c>
      <c r="B257" s="1">
        <f>IFERROR(__xludf.DUMMYFUNCTION("""COMPUTED_VALUE"""),163.1)</f>
        <v>163.1</v>
      </c>
    </row>
    <row r="258">
      <c r="A258" s="2">
        <f>IFERROR(__xludf.DUMMYFUNCTION("""COMPUTED_VALUE"""),44476.66666666667)</f>
        <v>44476.66667</v>
      </c>
      <c r="B258" s="1">
        <f>IFERROR(__xludf.DUMMYFUNCTION("""COMPUTED_VALUE"""),165.12)</f>
        <v>165.12</v>
      </c>
    </row>
    <row r="259">
      <c r="A259" s="2">
        <f>IFERROR(__xludf.DUMMYFUNCTION("""COMPUTED_VALUE"""),44477.66666666667)</f>
        <v>44477.66667</v>
      </c>
      <c r="B259" s="1">
        <f>IFERROR(__xludf.DUMMYFUNCTION("""COMPUTED_VALUE"""),164.43)</f>
        <v>164.43</v>
      </c>
    </row>
    <row r="260">
      <c r="A260" s="2">
        <f>IFERROR(__xludf.DUMMYFUNCTION("""COMPUTED_VALUE"""),44480.66666666667)</f>
        <v>44480.66667</v>
      </c>
      <c r="B260" s="1">
        <f>IFERROR(__xludf.DUMMYFUNCTION("""COMPUTED_VALUE"""),162.32)</f>
        <v>162.32</v>
      </c>
    </row>
    <row r="261">
      <c r="A261" s="2">
        <f>IFERROR(__xludf.DUMMYFUNCTION("""COMPUTED_VALUE"""),44481.66666666667)</f>
        <v>44481.66667</v>
      </c>
      <c r="B261" s="1">
        <f>IFERROR(__xludf.DUMMYFUNCTION("""COMPUTED_VALUE"""),162.37)</f>
        <v>162.37</v>
      </c>
    </row>
    <row r="262">
      <c r="A262" s="2">
        <f>IFERROR(__xludf.DUMMYFUNCTION("""COMPUTED_VALUE"""),44482.66666666667)</f>
        <v>44482.66667</v>
      </c>
      <c r="B262" s="1">
        <f>IFERROR(__xludf.DUMMYFUNCTION("""COMPUTED_VALUE"""),164.21)</f>
        <v>164.21</v>
      </c>
    </row>
    <row r="263">
      <c r="A263" s="2">
        <f>IFERROR(__xludf.DUMMYFUNCTION("""COMPUTED_VALUE"""),44483.66666666667)</f>
        <v>44483.66667</v>
      </c>
      <c r="B263" s="1">
        <f>IFERROR(__xludf.DUMMYFUNCTION("""COMPUTED_VALUE"""),164.99)</f>
        <v>164.99</v>
      </c>
    </row>
    <row r="264">
      <c r="A264" s="2">
        <f>IFERROR(__xludf.DUMMYFUNCTION("""COMPUTED_VALUE"""),44484.66666666667)</f>
        <v>44484.66667</v>
      </c>
      <c r="B264" s="1">
        <f>IFERROR(__xludf.DUMMYFUNCTION("""COMPUTED_VALUE"""),170.45)</f>
        <v>170.45</v>
      </c>
    </row>
    <row r="265">
      <c r="A265" s="2">
        <f>IFERROR(__xludf.DUMMYFUNCTION("""COMPUTED_VALUE"""),44487.66666666667)</f>
        <v>44487.66667</v>
      </c>
      <c r="B265" s="1">
        <f>IFERROR(__xludf.DUMMYFUNCTION("""COMPUTED_VALUE"""),172.34)</f>
        <v>172.34</v>
      </c>
    </row>
    <row r="266">
      <c r="A266" s="2">
        <f>IFERROR(__xludf.DUMMYFUNCTION("""COMPUTED_VALUE"""),44488.66666666667)</f>
        <v>44488.66667</v>
      </c>
      <c r="B266" s="1">
        <f>IFERROR(__xludf.DUMMYFUNCTION("""COMPUTED_VALUE"""),172.21)</f>
        <v>172.21</v>
      </c>
    </row>
    <row r="267">
      <c r="A267" s="2">
        <f>IFERROR(__xludf.DUMMYFUNCTION("""COMPUTED_VALUE"""),44489.66666666667)</f>
        <v>44489.66667</v>
      </c>
      <c r="B267" s="1">
        <f>IFERROR(__xludf.DUMMYFUNCTION("""COMPUTED_VALUE"""),170.75)</f>
        <v>170.75</v>
      </c>
    </row>
    <row r="268">
      <c r="A268" s="2">
        <f>IFERROR(__xludf.DUMMYFUNCTION("""COMPUTED_VALUE"""),44490.66666666667)</f>
        <v>44490.66667</v>
      </c>
      <c r="B268" s="1">
        <f>IFERROR(__xludf.DUMMYFUNCTION("""COMPUTED_VALUE"""),171.75)</f>
        <v>171.75</v>
      </c>
    </row>
    <row r="269">
      <c r="A269" s="2">
        <f>IFERROR(__xludf.DUMMYFUNCTION("""COMPUTED_VALUE"""),44491.66666666667)</f>
        <v>44491.66667</v>
      </c>
      <c r="B269" s="1">
        <f>IFERROR(__xludf.DUMMYFUNCTION("""COMPUTED_VALUE"""),166.78)</f>
        <v>166.78</v>
      </c>
    </row>
    <row r="270">
      <c r="A270" s="2">
        <f>IFERROR(__xludf.DUMMYFUNCTION("""COMPUTED_VALUE"""),44494.66666666667)</f>
        <v>44494.66667</v>
      </c>
      <c r="B270" s="1">
        <f>IFERROR(__xludf.DUMMYFUNCTION("""COMPUTED_VALUE"""),166.02)</f>
        <v>166.02</v>
      </c>
    </row>
    <row r="271">
      <c r="A271" s="2">
        <f>IFERROR(__xludf.DUMMYFUNCTION("""COMPUTED_VALUE"""),44495.66666666667)</f>
        <v>44495.66667</v>
      </c>
      <c r="B271" s="1">
        <f>IFERROR(__xludf.DUMMYFUNCTION("""COMPUTED_VALUE"""),168.8)</f>
        <v>168.8</v>
      </c>
    </row>
    <row r="272">
      <c r="A272" s="2">
        <f>IFERROR(__xludf.DUMMYFUNCTION("""COMPUTED_VALUE"""),44496.66666666667)</f>
        <v>44496.66667</v>
      </c>
      <c r="B272" s="1">
        <f>IFERROR(__xludf.DUMMYFUNCTION("""COMPUTED_VALUE"""),169.62)</f>
        <v>169.62</v>
      </c>
    </row>
    <row r="273">
      <c r="A273" s="2">
        <f>IFERROR(__xludf.DUMMYFUNCTION("""COMPUTED_VALUE"""),44497.66666666667)</f>
        <v>44497.66667</v>
      </c>
      <c r="B273" s="1">
        <f>IFERROR(__xludf.DUMMYFUNCTION("""COMPUTED_VALUE"""),172.33)</f>
        <v>172.33</v>
      </c>
    </row>
    <row r="274">
      <c r="A274" s="2">
        <f>IFERROR(__xludf.DUMMYFUNCTION("""COMPUTED_VALUE"""),44498.66666666667)</f>
        <v>44498.66667</v>
      </c>
      <c r="B274" s="1">
        <f>IFERROR(__xludf.DUMMYFUNCTION("""COMPUTED_VALUE"""),168.62)</f>
        <v>168.62</v>
      </c>
    </row>
    <row r="275">
      <c r="A275" s="2">
        <f>IFERROR(__xludf.DUMMYFUNCTION("""COMPUTED_VALUE"""),44501.66666666667)</f>
        <v>44501.66667</v>
      </c>
      <c r="B275" s="1">
        <f>IFERROR(__xludf.DUMMYFUNCTION("""COMPUTED_VALUE"""),165.91)</f>
        <v>165.91</v>
      </c>
    </row>
    <row r="276">
      <c r="A276" s="2">
        <f>IFERROR(__xludf.DUMMYFUNCTION("""COMPUTED_VALUE"""),44502.66666666667)</f>
        <v>44502.66667</v>
      </c>
      <c r="B276" s="1">
        <f>IFERROR(__xludf.DUMMYFUNCTION("""COMPUTED_VALUE"""),165.64)</f>
        <v>165.64</v>
      </c>
    </row>
    <row r="277">
      <c r="A277" s="2">
        <f>IFERROR(__xludf.DUMMYFUNCTION("""COMPUTED_VALUE"""),44503.66666666667)</f>
        <v>44503.66667</v>
      </c>
      <c r="B277" s="1">
        <f>IFERROR(__xludf.DUMMYFUNCTION("""COMPUTED_VALUE"""),169.2)</f>
        <v>169.2</v>
      </c>
    </row>
    <row r="278">
      <c r="A278" s="2">
        <f>IFERROR(__xludf.DUMMYFUNCTION("""COMPUTED_VALUE"""),44504.66666666667)</f>
        <v>44504.66667</v>
      </c>
      <c r="B278" s="1">
        <f>IFERROR(__xludf.DUMMYFUNCTION("""COMPUTED_VALUE"""),173.85)</f>
        <v>173.85</v>
      </c>
    </row>
    <row r="279">
      <c r="A279" s="2">
        <f>IFERROR(__xludf.DUMMYFUNCTION("""COMPUTED_VALUE"""),44505.66666666667)</f>
        <v>44505.66667</v>
      </c>
      <c r="B279" s="1">
        <f>IFERROR(__xludf.DUMMYFUNCTION("""COMPUTED_VALUE"""),175.95)</f>
        <v>175.95</v>
      </c>
    </row>
    <row r="280">
      <c r="A280" s="2">
        <f>IFERROR(__xludf.DUMMYFUNCTION("""COMPUTED_VALUE"""),44508.66666666667)</f>
        <v>44508.66667</v>
      </c>
      <c r="B280" s="1">
        <f>IFERROR(__xludf.DUMMYFUNCTION("""COMPUTED_VALUE"""),174.45)</f>
        <v>174.45</v>
      </c>
    </row>
    <row r="281">
      <c r="A281" s="2">
        <f>IFERROR(__xludf.DUMMYFUNCTION("""COMPUTED_VALUE"""),44509.66666666667)</f>
        <v>44509.66667</v>
      </c>
      <c r="B281" s="1">
        <f>IFERROR(__xludf.DUMMYFUNCTION("""COMPUTED_VALUE"""),178.81)</f>
        <v>178.81</v>
      </c>
    </row>
    <row r="282">
      <c r="A282" s="2">
        <f>IFERROR(__xludf.DUMMYFUNCTION("""COMPUTED_VALUE"""),44510.66666666667)</f>
        <v>44510.66667</v>
      </c>
      <c r="B282" s="1">
        <f>IFERROR(__xludf.DUMMYFUNCTION("""COMPUTED_VALUE"""),174.1)</f>
        <v>174.1</v>
      </c>
    </row>
    <row r="283">
      <c r="A283" s="2">
        <f>IFERROR(__xludf.DUMMYFUNCTION("""COMPUTED_VALUE"""),44511.66666666667)</f>
        <v>44511.66667</v>
      </c>
      <c r="B283" s="1">
        <f>IFERROR(__xludf.DUMMYFUNCTION("""COMPUTED_VALUE"""),173.63)</f>
        <v>173.63</v>
      </c>
    </row>
    <row r="284">
      <c r="A284" s="2">
        <f>IFERROR(__xludf.DUMMYFUNCTION("""COMPUTED_VALUE"""),44512.66666666667)</f>
        <v>44512.66667</v>
      </c>
      <c r="B284" s="1">
        <f>IFERROR(__xludf.DUMMYFUNCTION("""COMPUTED_VALUE"""),176.26)</f>
        <v>176.26</v>
      </c>
    </row>
    <row r="285">
      <c r="A285" s="2">
        <f>IFERROR(__xludf.DUMMYFUNCTION("""COMPUTED_VALUE"""),44515.66666666667)</f>
        <v>44515.66667</v>
      </c>
      <c r="B285" s="1">
        <f>IFERROR(__xludf.DUMMYFUNCTION("""COMPUTED_VALUE"""),177.28)</f>
        <v>177.28</v>
      </c>
    </row>
    <row r="286">
      <c r="A286" s="2">
        <f>IFERROR(__xludf.DUMMYFUNCTION("""COMPUTED_VALUE"""),44516.66666666667)</f>
        <v>44516.66667</v>
      </c>
      <c r="B286" s="1">
        <f>IFERROR(__xludf.DUMMYFUNCTION("""COMPUTED_VALUE"""),177.04)</f>
        <v>177.04</v>
      </c>
    </row>
    <row r="287">
      <c r="A287" s="2">
        <f>IFERROR(__xludf.DUMMYFUNCTION("""COMPUTED_VALUE"""),44517.66666666667)</f>
        <v>44517.66667</v>
      </c>
      <c r="B287" s="1">
        <f>IFERROR(__xludf.DUMMYFUNCTION("""COMPUTED_VALUE"""),177.45)</f>
        <v>177.45</v>
      </c>
    </row>
    <row r="288">
      <c r="A288" s="2">
        <f>IFERROR(__xludf.DUMMYFUNCTION("""COMPUTED_VALUE"""),44518.66666666667)</f>
        <v>44518.66667</v>
      </c>
      <c r="B288" s="1">
        <f>IFERROR(__xludf.DUMMYFUNCTION("""COMPUTED_VALUE"""),184.8)</f>
        <v>184.8</v>
      </c>
    </row>
    <row r="289">
      <c r="A289" s="2">
        <f>IFERROR(__xludf.DUMMYFUNCTION("""COMPUTED_VALUE"""),44519.66666666667)</f>
        <v>44519.66667</v>
      </c>
      <c r="B289" s="1">
        <f>IFERROR(__xludf.DUMMYFUNCTION("""COMPUTED_VALUE"""),183.83)</f>
        <v>183.83</v>
      </c>
    </row>
    <row r="290">
      <c r="A290" s="2">
        <f>IFERROR(__xludf.DUMMYFUNCTION("""COMPUTED_VALUE"""),44522.66666666667)</f>
        <v>44522.66667</v>
      </c>
      <c r="B290" s="1">
        <f>IFERROR(__xludf.DUMMYFUNCTION("""COMPUTED_VALUE"""),178.63)</f>
        <v>178.63</v>
      </c>
    </row>
    <row r="291">
      <c r="A291" s="2">
        <f>IFERROR(__xludf.DUMMYFUNCTION("""COMPUTED_VALUE"""),44523.66666666667)</f>
        <v>44523.66667</v>
      </c>
      <c r="B291" s="1">
        <f>IFERROR(__xludf.DUMMYFUNCTION("""COMPUTED_VALUE"""),179.0)</f>
        <v>179</v>
      </c>
    </row>
    <row r="292">
      <c r="A292" s="2">
        <f>IFERROR(__xludf.DUMMYFUNCTION("""COMPUTED_VALUE"""),44524.66666666667)</f>
        <v>44524.66667</v>
      </c>
      <c r="B292" s="1">
        <f>IFERROR(__xludf.DUMMYFUNCTION("""COMPUTED_VALUE"""),179.02)</f>
        <v>179.02</v>
      </c>
    </row>
    <row r="293">
      <c r="A293" s="2">
        <f>IFERROR(__xludf.DUMMYFUNCTION("""COMPUTED_VALUE"""),44526.54166666667)</f>
        <v>44526.54167</v>
      </c>
      <c r="B293" s="1">
        <f>IFERROR(__xludf.DUMMYFUNCTION("""COMPUTED_VALUE"""),175.23)</f>
        <v>175.23</v>
      </c>
    </row>
    <row r="294">
      <c r="A294" s="2">
        <f>IFERROR(__xludf.DUMMYFUNCTION("""COMPUTED_VALUE"""),44529.66666666667)</f>
        <v>44529.66667</v>
      </c>
      <c r="B294" s="1">
        <f>IFERROR(__xludf.DUMMYFUNCTION("""COMPUTED_VALUE"""),178.08)</f>
        <v>178.08</v>
      </c>
    </row>
    <row r="295">
      <c r="A295" s="2">
        <f>IFERROR(__xludf.DUMMYFUNCTION("""COMPUTED_VALUE"""),44530.66666666667)</f>
        <v>44530.66667</v>
      </c>
      <c r="B295" s="1">
        <f>IFERROR(__xludf.DUMMYFUNCTION("""COMPUTED_VALUE"""),175.35)</f>
        <v>175.35</v>
      </c>
    </row>
    <row r="296">
      <c r="A296" s="2">
        <f>IFERROR(__xludf.DUMMYFUNCTION("""COMPUTED_VALUE"""),44531.66666666667)</f>
        <v>44531.66667</v>
      </c>
      <c r="B296" s="1">
        <f>IFERROR(__xludf.DUMMYFUNCTION("""COMPUTED_VALUE"""),172.19)</f>
        <v>172.19</v>
      </c>
    </row>
    <row r="297">
      <c r="A297" s="2">
        <f>IFERROR(__xludf.DUMMYFUNCTION("""COMPUTED_VALUE"""),44532.66666666667)</f>
        <v>44532.66667</v>
      </c>
      <c r="B297" s="1">
        <f>IFERROR(__xludf.DUMMYFUNCTION("""COMPUTED_VALUE"""),171.87)</f>
        <v>171.87</v>
      </c>
    </row>
    <row r="298">
      <c r="A298" s="2">
        <f>IFERROR(__xludf.DUMMYFUNCTION("""COMPUTED_VALUE"""),44533.66666666667)</f>
        <v>44533.66667</v>
      </c>
      <c r="B298" s="1">
        <f>IFERROR(__xludf.DUMMYFUNCTION("""COMPUTED_VALUE"""),169.49)</f>
        <v>169.49</v>
      </c>
    </row>
    <row r="299">
      <c r="A299" s="2">
        <f>IFERROR(__xludf.DUMMYFUNCTION("""COMPUTED_VALUE"""),44536.66666666667)</f>
        <v>44536.66667</v>
      </c>
      <c r="B299" s="1">
        <f>IFERROR(__xludf.DUMMYFUNCTION("""COMPUTED_VALUE"""),171.37)</f>
        <v>171.37</v>
      </c>
    </row>
    <row r="300">
      <c r="A300" s="2">
        <f>IFERROR(__xludf.DUMMYFUNCTION("""COMPUTED_VALUE"""),44537.66666666667)</f>
        <v>44537.66667</v>
      </c>
      <c r="B300" s="1">
        <f>IFERROR(__xludf.DUMMYFUNCTION("""COMPUTED_VALUE"""),176.16)</f>
        <v>176.16</v>
      </c>
    </row>
    <row r="301">
      <c r="A301" s="2">
        <f>IFERROR(__xludf.DUMMYFUNCTION("""COMPUTED_VALUE"""),44538.66666666667)</f>
        <v>44538.66667</v>
      </c>
      <c r="B301" s="1">
        <f>IFERROR(__xludf.DUMMYFUNCTION("""COMPUTED_VALUE"""),176.16)</f>
        <v>176.16</v>
      </c>
    </row>
    <row r="302">
      <c r="A302" s="2">
        <f>IFERROR(__xludf.DUMMYFUNCTION("""COMPUTED_VALUE"""),44539.66666666667)</f>
        <v>44539.66667</v>
      </c>
      <c r="B302" s="1">
        <f>IFERROR(__xludf.DUMMYFUNCTION("""COMPUTED_VALUE"""),174.17)</f>
        <v>174.17</v>
      </c>
    </row>
    <row r="303">
      <c r="A303" s="2">
        <f>IFERROR(__xludf.DUMMYFUNCTION("""COMPUTED_VALUE"""),44540.66666666667)</f>
        <v>44540.66667</v>
      </c>
      <c r="B303" s="1">
        <f>IFERROR(__xludf.DUMMYFUNCTION("""COMPUTED_VALUE"""),172.21)</f>
        <v>172.21</v>
      </c>
    </row>
    <row r="304">
      <c r="A304" s="2">
        <f>IFERROR(__xludf.DUMMYFUNCTION("""COMPUTED_VALUE"""),44543.66666666667)</f>
        <v>44543.66667</v>
      </c>
      <c r="B304" s="1">
        <f>IFERROR(__xludf.DUMMYFUNCTION("""COMPUTED_VALUE"""),169.57)</f>
        <v>169.57</v>
      </c>
    </row>
    <row r="305">
      <c r="A305" s="2">
        <f>IFERROR(__xludf.DUMMYFUNCTION("""COMPUTED_VALUE"""),44544.66666666667)</f>
        <v>44544.66667</v>
      </c>
      <c r="B305" s="1">
        <f>IFERROR(__xludf.DUMMYFUNCTION("""COMPUTED_VALUE"""),169.09)</f>
        <v>169.09</v>
      </c>
    </row>
    <row r="306">
      <c r="A306" s="2">
        <f>IFERROR(__xludf.DUMMYFUNCTION("""COMPUTED_VALUE"""),44545.66666666667)</f>
        <v>44545.66667</v>
      </c>
      <c r="B306" s="1">
        <f>IFERROR(__xludf.DUMMYFUNCTION("""COMPUTED_VALUE"""),173.32)</f>
        <v>173.32</v>
      </c>
    </row>
    <row r="307">
      <c r="A307" s="2">
        <f>IFERROR(__xludf.DUMMYFUNCTION("""COMPUTED_VALUE"""),44546.66666666667)</f>
        <v>44546.66667</v>
      </c>
      <c r="B307" s="1">
        <f>IFERROR(__xludf.DUMMYFUNCTION("""COMPUTED_VALUE"""),168.87)</f>
        <v>168.87</v>
      </c>
    </row>
    <row r="308">
      <c r="A308" s="2">
        <f>IFERROR(__xludf.DUMMYFUNCTION("""COMPUTED_VALUE"""),44547.66666666667)</f>
        <v>44547.66667</v>
      </c>
      <c r="B308" s="1">
        <f>IFERROR(__xludf.DUMMYFUNCTION("""COMPUTED_VALUE"""),170.02)</f>
        <v>170.02</v>
      </c>
    </row>
    <row r="309">
      <c r="A309" s="2">
        <f>IFERROR(__xludf.DUMMYFUNCTION("""COMPUTED_VALUE"""),44550.66666666667)</f>
        <v>44550.66667</v>
      </c>
      <c r="B309" s="1">
        <f>IFERROR(__xludf.DUMMYFUNCTION("""COMPUTED_VALUE"""),167.08)</f>
        <v>167.08</v>
      </c>
    </row>
    <row r="310">
      <c r="A310" s="2">
        <f>IFERROR(__xludf.DUMMYFUNCTION("""COMPUTED_VALUE"""),44551.66666666667)</f>
        <v>44551.66667</v>
      </c>
      <c r="B310" s="1">
        <f>IFERROR(__xludf.DUMMYFUNCTION("""COMPUTED_VALUE"""),170.42)</f>
        <v>170.42</v>
      </c>
    </row>
    <row r="311">
      <c r="A311" s="2">
        <f>IFERROR(__xludf.DUMMYFUNCTION("""COMPUTED_VALUE"""),44552.66666666667)</f>
        <v>44552.66667</v>
      </c>
      <c r="B311" s="1">
        <f>IFERROR(__xludf.DUMMYFUNCTION("""COMPUTED_VALUE"""),171.04)</f>
        <v>171.04</v>
      </c>
    </row>
    <row r="312">
      <c r="A312" s="2">
        <f>IFERROR(__xludf.DUMMYFUNCTION("""COMPUTED_VALUE"""),44553.66666666667)</f>
        <v>44553.66667</v>
      </c>
      <c r="B312" s="1">
        <f>IFERROR(__xludf.DUMMYFUNCTION("""COMPUTED_VALUE"""),171.07)</f>
        <v>171.07</v>
      </c>
    </row>
    <row r="313">
      <c r="A313" s="2">
        <f>IFERROR(__xludf.DUMMYFUNCTION("""COMPUTED_VALUE"""),44557.66666666667)</f>
        <v>44557.66667</v>
      </c>
      <c r="B313" s="1">
        <f>IFERROR(__xludf.DUMMYFUNCTION("""COMPUTED_VALUE"""),169.67)</f>
        <v>169.67</v>
      </c>
    </row>
    <row r="314">
      <c r="A314" s="2">
        <f>IFERROR(__xludf.DUMMYFUNCTION("""COMPUTED_VALUE"""),44558.66666666667)</f>
        <v>44558.66667</v>
      </c>
      <c r="B314" s="1">
        <f>IFERROR(__xludf.DUMMYFUNCTION("""COMPUTED_VALUE"""),170.66)</f>
        <v>170.66</v>
      </c>
    </row>
    <row r="315">
      <c r="A315" s="2">
        <f>IFERROR(__xludf.DUMMYFUNCTION("""COMPUTED_VALUE"""),44559.66666666667)</f>
        <v>44559.66667</v>
      </c>
      <c r="B315" s="1">
        <f>IFERROR(__xludf.DUMMYFUNCTION("""COMPUTED_VALUE"""),169.2)</f>
        <v>169.2</v>
      </c>
    </row>
    <row r="316">
      <c r="A316" s="2">
        <f>IFERROR(__xludf.DUMMYFUNCTION("""COMPUTED_VALUE"""),44560.66666666667)</f>
        <v>44560.66667</v>
      </c>
      <c r="B316" s="1">
        <f>IFERROR(__xludf.DUMMYFUNCTION("""COMPUTED_VALUE"""),168.64)</f>
        <v>168.64</v>
      </c>
    </row>
    <row r="317">
      <c r="A317" s="2">
        <f>IFERROR(__xludf.DUMMYFUNCTION("""COMPUTED_VALUE"""),44561.66666666667)</f>
        <v>44561.66667</v>
      </c>
      <c r="B317" s="1">
        <f>IFERROR(__xludf.DUMMYFUNCTION("""COMPUTED_VALUE"""),166.72)</f>
        <v>166.72</v>
      </c>
    </row>
    <row r="318">
      <c r="A318" s="2">
        <f>IFERROR(__xludf.DUMMYFUNCTION("""COMPUTED_VALUE"""),44564.66666666667)</f>
        <v>44564.66667</v>
      </c>
      <c r="B318" s="1">
        <f>IFERROR(__xludf.DUMMYFUNCTION("""COMPUTED_VALUE"""),170.4)</f>
        <v>170.4</v>
      </c>
    </row>
    <row r="319">
      <c r="A319" s="2">
        <f>IFERROR(__xludf.DUMMYFUNCTION("""COMPUTED_VALUE"""),44565.66666666667)</f>
        <v>44565.66667</v>
      </c>
      <c r="B319" s="1">
        <f>IFERROR(__xludf.DUMMYFUNCTION("""COMPUTED_VALUE"""),167.52)</f>
        <v>167.52</v>
      </c>
    </row>
    <row r="320">
      <c r="A320" s="2">
        <f>IFERROR(__xludf.DUMMYFUNCTION("""COMPUTED_VALUE"""),44566.66666666667)</f>
        <v>44566.66667</v>
      </c>
      <c r="B320" s="1">
        <f>IFERROR(__xludf.DUMMYFUNCTION("""COMPUTED_VALUE"""),164.36)</f>
        <v>164.36</v>
      </c>
    </row>
    <row r="321">
      <c r="A321" s="2">
        <f>IFERROR(__xludf.DUMMYFUNCTION("""COMPUTED_VALUE"""),44567.66666666667)</f>
        <v>44567.66667</v>
      </c>
      <c r="B321" s="1">
        <f>IFERROR(__xludf.DUMMYFUNCTION("""COMPUTED_VALUE"""),163.25)</f>
        <v>163.25</v>
      </c>
    </row>
    <row r="322">
      <c r="A322" s="2">
        <f>IFERROR(__xludf.DUMMYFUNCTION("""COMPUTED_VALUE"""),44568.66666666667)</f>
        <v>44568.66667</v>
      </c>
      <c r="B322" s="1">
        <f>IFERROR(__xludf.DUMMYFUNCTION("""COMPUTED_VALUE"""),162.55)</f>
        <v>162.55</v>
      </c>
    </row>
    <row r="323">
      <c r="A323" s="2">
        <f>IFERROR(__xludf.DUMMYFUNCTION("""COMPUTED_VALUE"""),44571.66666666667)</f>
        <v>44571.66667</v>
      </c>
      <c r="B323" s="1">
        <f>IFERROR(__xludf.DUMMYFUNCTION("""COMPUTED_VALUE"""),161.49)</f>
        <v>161.49</v>
      </c>
    </row>
    <row r="324">
      <c r="A324" s="2">
        <f>IFERROR(__xludf.DUMMYFUNCTION("""COMPUTED_VALUE"""),44572.66666666667)</f>
        <v>44572.66667</v>
      </c>
      <c r="B324" s="1">
        <f>IFERROR(__xludf.DUMMYFUNCTION("""COMPUTED_VALUE"""),165.36)</f>
        <v>165.36</v>
      </c>
    </row>
    <row r="325">
      <c r="A325" s="2">
        <f>IFERROR(__xludf.DUMMYFUNCTION("""COMPUTED_VALUE"""),44573.66666666667)</f>
        <v>44573.66667</v>
      </c>
      <c r="B325" s="1">
        <f>IFERROR(__xludf.DUMMYFUNCTION("""COMPUTED_VALUE"""),165.21)</f>
        <v>165.21</v>
      </c>
    </row>
    <row r="326">
      <c r="A326" s="2">
        <f>IFERROR(__xludf.DUMMYFUNCTION("""COMPUTED_VALUE"""),44574.66666666667)</f>
        <v>44574.66667</v>
      </c>
      <c r="B326" s="1">
        <f>IFERROR(__xludf.DUMMYFUNCTION("""COMPUTED_VALUE"""),161.21)</f>
        <v>161.21</v>
      </c>
    </row>
    <row r="327">
      <c r="A327" s="2">
        <f>IFERROR(__xludf.DUMMYFUNCTION("""COMPUTED_VALUE"""),44575.66666666667)</f>
        <v>44575.66667</v>
      </c>
      <c r="B327" s="1">
        <f>IFERROR(__xludf.DUMMYFUNCTION("""COMPUTED_VALUE"""),162.14)</f>
        <v>162.14</v>
      </c>
    </row>
    <row r="328">
      <c r="A328" s="2">
        <f>IFERROR(__xludf.DUMMYFUNCTION("""COMPUTED_VALUE"""),44579.66666666667)</f>
        <v>44579.66667</v>
      </c>
      <c r="B328" s="1">
        <f>IFERROR(__xludf.DUMMYFUNCTION("""COMPUTED_VALUE"""),158.92)</f>
        <v>158.92</v>
      </c>
    </row>
    <row r="329">
      <c r="A329" s="2">
        <f>IFERROR(__xludf.DUMMYFUNCTION("""COMPUTED_VALUE"""),44580.66666666667)</f>
        <v>44580.66667</v>
      </c>
      <c r="B329" s="1">
        <f>IFERROR(__xludf.DUMMYFUNCTION("""COMPUTED_VALUE"""),156.3)</f>
        <v>156.3</v>
      </c>
    </row>
    <row r="330">
      <c r="A330" s="2">
        <f>IFERROR(__xludf.DUMMYFUNCTION("""COMPUTED_VALUE"""),44581.66666666667)</f>
        <v>44581.66667</v>
      </c>
      <c r="B330" s="1">
        <f>IFERROR(__xludf.DUMMYFUNCTION("""COMPUTED_VALUE"""),151.67)</f>
        <v>151.67</v>
      </c>
    </row>
    <row r="331">
      <c r="A331" s="2">
        <f>IFERROR(__xludf.DUMMYFUNCTION("""COMPUTED_VALUE"""),44582.66666666667)</f>
        <v>44582.66667</v>
      </c>
      <c r="B331" s="1">
        <f>IFERROR(__xludf.DUMMYFUNCTION("""COMPUTED_VALUE"""),142.64)</f>
        <v>142.64</v>
      </c>
    </row>
    <row r="332">
      <c r="A332" s="2">
        <f>IFERROR(__xludf.DUMMYFUNCTION("""COMPUTED_VALUE"""),44585.66666666667)</f>
        <v>44585.66667</v>
      </c>
      <c r="B332" s="1">
        <f>IFERROR(__xludf.DUMMYFUNCTION("""COMPUTED_VALUE"""),144.54)</f>
        <v>144.54</v>
      </c>
    </row>
    <row r="333">
      <c r="A333" s="2">
        <f>IFERROR(__xludf.DUMMYFUNCTION("""COMPUTED_VALUE"""),44586.66666666667)</f>
        <v>44586.66667</v>
      </c>
      <c r="B333" s="1">
        <f>IFERROR(__xludf.DUMMYFUNCTION("""COMPUTED_VALUE"""),139.99)</f>
        <v>139.99</v>
      </c>
    </row>
    <row r="334">
      <c r="A334" s="2">
        <f>IFERROR(__xludf.DUMMYFUNCTION("""COMPUTED_VALUE"""),44587.66666666667)</f>
        <v>44587.66667</v>
      </c>
      <c r="B334" s="1">
        <f>IFERROR(__xludf.DUMMYFUNCTION("""COMPUTED_VALUE"""),138.87)</f>
        <v>138.87</v>
      </c>
    </row>
    <row r="335">
      <c r="A335" s="2">
        <f>IFERROR(__xludf.DUMMYFUNCTION("""COMPUTED_VALUE"""),44588.66666666667)</f>
        <v>44588.66667</v>
      </c>
      <c r="B335" s="1">
        <f>IFERROR(__xludf.DUMMYFUNCTION("""COMPUTED_VALUE"""),139.64)</f>
        <v>139.64</v>
      </c>
    </row>
    <row r="336">
      <c r="A336" s="2">
        <f>IFERROR(__xludf.DUMMYFUNCTION("""COMPUTED_VALUE"""),44589.66666666667)</f>
        <v>44589.66667</v>
      </c>
      <c r="B336" s="1">
        <f>IFERROR(__xludf.DUMMYFUNCTION("""COMPUTED_VALUE"""),143.98)</f>
        <v>143.98</v>
      </c>
    </row>
    <row r="337">
      <c r="A337" s="2">
        <f>IFERROR(__xludf.DUMMYFUNCTION("""COMPUTED_VALUE"""),44592.66666666667)</f>
        <v>44592.66667</v>
      </c>
      <c r="B337" s="1">
        <f>IFERROR(__xludf.DUMMYFUNCTION("""COMPUTED_VALUE"""),149.57)</f>
        <v>149.57</v>
      </c>
    </row>
    <row r="338">
      <c r="A338" s="2">
        <f>IFERROR(__xludf.DUMMYFUNCTION("""COMPUTED_VALUE"""),44593.66666666667)</f>
        <v>44593.66667</v>
      </c>
      <c r="B338" s="1">
        <f>IFERROR(__xludf.DUMMYFUNCTION("""COMPUTED_VALUE"""),151.19)</f>
        <v>151.19</v>
      </c>
    </row>
    <row r="339">
      <c r="A339" s="2">
        <f>IFERROR(__xludf.DUMMYFUNCTION("""COMPUTED_VALUE"""),44594.66666666667)</f>
        <v>44594.66667</v>
      </c>
      <c r="B339" s="1">
        <f>IFERROR(__xludf.DUMMYFUNCTION("""COMPUTED_VALUE"""),150.61)</f>
        <v>150.61</v>
      </c>
    </row>
    <row r="340">
      <c r="A340" s="2">
        <f>IFERROR(__xludf.DUMMYFUNCTION("""COMPUTED_VALUE"""),44595.66666666667)</f>
        <v>44595.66667</v>
      </c>
      <c r="B340" s="1">
        <f>IFERROR(__xludf.DUMMYFUNCTION("""COMPUTED_VALUE"""),138.85)</f>
        <v>138.85</v>
      </c>
    </row>
    <row r="341">
      <c r="A341" s="2">
        <f>IFERROR(__xludf.DUMMYFUNCTION("""COMPUTED_VALUE"""),44596.66666666667)</f>
        <v>44596.66667</v>
      </c>
      <c r="B341" s="1">
        <f>IFERROR(__xludf.DUMMYFUNCTION("""COMPUTED_VALUE"""),157.64)</f>
        <v>157.64</v>
      </c>
    </row>
    <row r="342">
      <c r="A342" s="2">
        <f>IFERROR(__xludf.DUMMYFUNCTION("""COMPUTED_VALUE"""),44599.66666666667)</f>
        <v>44599.66667</v>
      </c>
      <c r="B342" s="1">
        <f>IFERROR(__xludf.DUMMYFUNCTION("""COMPUTED_VALUE"""),157.94)</f>
        <v>157.94</v>
      </c>
    </row>
    <row r="343">
      <c r="A343" s="2">
        <f>IFERROR(__xludf.DUMMYFUNCTION("""COMPUTED_VALUE"""),44600.66666666667)</f>
        <v>44600.66667</v>
      </c>
      <c r="B343" s="1">
        <f>IFERROR(__xludf.DUMMYFUNCTION("""COMPUTED_VALUE"""),161.41)</f>
        <v>161.41</v>
      </c>
    </row>
    <row r="344">
      <c r="A344" s="2">
        <f>IFERROR(__xludf.DUMMYFUNCTION("""COMPUTED_VALUE"""),44601.66666666667)</f>
        <v>44601.66667</v>
      </c>
      <c r="B344" s="1">
        <f>IFERROR(__xludf.DUMMYFUNCTION("""COMPUTED_VALUE"""),161.19)</f>
        <v>161.19</v>
      </c>
    </row>
    <row r="345">
      <c r="A345" s="2">
        <f>IFERROR(__xludf.DUMMYFUNCTION("""COMPUTED_VALUE"""),44602.66666666667)</f>
        <v>44602.66667</v>
      </c>
      <c r="B345" s="1">
        <f>IFERROR(__xludf.DUMMYFUNCTION("""COMPUTED_VALUE"""),159.0)</f>
        <v>159</v>
      </c>
    </row>
    <row r="346">
      <c r="A346" s="2">
        <f>IFERROR(__xludf.DUMMYFUNCTION("""COMPUTED_VALUE"""),44603.66666666667)</f>
        <v>44603.66667</v>
      </c>
      <c r="B346" s="1">
        <f>IFERROR(__xludf.DUMMYFUNCTION("""COMPUTED_VALUE"""),153.29)</f>
        <v>153.29</v>
      </c>
    </row>
    <row r="347">
      <c r="A347" s="2">
        <f>IFERROR(__xludf.DUMMYFUNCTION("""COMPUTED_VALUE"""),44606.66666666667)</f>
        <v>44606.66667</v>
      </c>
      <c r="B347" s="1">
        <f>IFERROR(__xludf.DUMMYFUNCTION("""COMPUTED_VALUE"""),155.17)</f>
        <v>155.17</v>
      </c>
    </row>
    <row r="348">
      <c r="A348" s="2">
        <f>IFERROR(__xludf.DUMMYFUNCTION("""COMPUTED_VALUE"""),44607.66666666667)</f>
        <v>44607.66667</v>
      </c>
      <c r="B348" s="1">
        <f>IFERROR(__xludf.DUMMYFUNCTION("""COMPUTED_VALUE"""),156.51)</f>
        <v>156.51</v>
      </c>
    </row>
    <row r="349">
      <c r="A349" s="2">
        <f>IFERROR(__xludf.DUMMYFUNCTION("""COMPUTED_VALUE"""),44608.66666666667)</f>
        <v>44608.66667</v>
      </c>
      <c r="B349" s="1">
        <f>IFERROR(__xludf.DUMMYFUNCTION("""COMPUTED_VALUE"""),158.1)</f>
        <v>158.1</v>
      </c>
    </row>
    <row r="350">
      <c r="A350" s="2">
        <f>IFERROR(__xludf.DUMMYFUNCTION("""COMPUTED_VALUE"""),44609.66666666667)</f>
        <v>44609.66667</v>
      </c>
      <c r="B350" s="1">
        <f>IFERROR(__xludf.DUMMYFUNCTION("""COMPUTED_VALUE"""),154.65)</f>
        <v>154.65</v>
      </c>
    </row>
    <row r="351">
      <c r="A351" s="2">
        <f>IFERROR(__xludf.DUMMYFUNCTION("""COMPUTED_VALUE"""),44610.66666666667)</f>
        <v>44610.66667</v>
      </c>
      <c r="B351" s="1">
        <f>IFERROR(__xludf.DUMMYFUNCTION("""COMPUTED_VALUE"""),152.6)</f>
        <v>152.6</v>
      </c>
    </row>
    <row r="352">
      <c r="A352" s="2">
        <f>IFERROR(__xludf.DUMMYFUNCTION("""COMPUTED_VALUE"""),44614.66666666667)</f>
        <v>44614.66667</v>
      </c>
      <c r="B352" s="1">
        <f>IFERROR(__xludf.DUMMYFUNCTION("""COMPUTED_VALUE"""),150.2)</f>
        <v>150.2</v>
      </c>
    </row>
    <row r="353">
      <c r="A353" s="2">
        <f>IFERROR(__xludf.DUMMYFUNCTION("""COMPUTED_VALUE"""),44615.66666666667)</f>
        <v>44615.66667</v>
      </c>
      <c r="B353" s="1">
        <f>IFERROR(__xludf.DUMMYFUNCTION("""COMPUTED_VALUE"""),144.83)</f>
        <v>144.83</v>
      </c>
    </row>
    <row r="354">
      <c r="A354" s="2">
        <f>IFERROR(__xludf.DUMMYFUNCTION("""COMPUTED_VALUE"""),44616.66666666667)</f>
        <v>44616.66667</v>
      </c>
      <c r="B354" s="1">
        <f>IFERROR(__xludf.DUMMYFUNCTION("""COMPUTED_VALUE"""),151.36)</f>
        <v>151.36</v>
      </c>
    </row>
    <row r="355">
      <c r="A355" s="2">
        <f>IFERROR(__xludf.DUMMYFUNCTION("""COMPUTED_VALUE"""),44617.66666666667)</f>
        <v>44617.66667</v>
      </c>
      <c r="B355" s="1">
        <f>IFERROR(__xludf.DUMMYFUNCTION("""COMPUTED_VALUE"""),153.79)</f>
        <v>153.79</v>
      </c>
    </row>
    <row r="356">
      <c r="A356" s="2">
        <f>IFERROR(__xludf.DUMMYFUNCTION("""COMPUTED_VALUE"""),44620.66666666667)</f>
        <v>44620.66667</v>
      </c>
      <c r="B356" s="1">
        <f>IFERROR(__xludf.DUMMYFUNCTION("""COMPUTED_VALUE"""),153.56)</f>
        <v>153.56</v>
      </c>
    </row>
    <row r="357">
      <c r="A357" s="2">
        <f>IFERROR(__xludf.DUMMYFUNCTION("""COMPUTED_VALUE"""),44621.66666666667)</f>
        <v>44621.66667</v>
      </c>
      <c r="B357" s="1">
        <f>IFERROR(__xludf.DUMMYFUNCTION("""COMPUTED_VALUE"""),151.14)</f>
        <v>151.14</v>
      </c>
    </row>
    <row r="358">
      <c r="A358" s="2">
        <f>IFERROR(__xludf.DUMMYFUNCTION("""COMPUTED_VALUE"""),44622.66666666667)</f>
        <v>44622.66667</v>
      </c>
      <c r="B358" s="1">
        <f>IFERROR(__xludf.DUMMYFUNCTION("""COMPUTED_VALUE"""),152.05)</f>
        <v>152.05</v>
      </c>
    </row>
    <row r="359">
      <c r="A359" s="2">
        <f>IFERROR(__xludf.DUMMYFUNCTION("""COMPUTED_VALUE"""),44623.66666666667)</f>
        <v>44623.66667</v>
      </c>
      <c r="B359" s="1">
        <f>IFERROR(__xludf.DUMMYFUNCTION("""COMPUTED_VALUE"""),147.9)</f>
        <v>147.9</v>
      </c>
    </row>
    <row r="360">
      <c r="A360" s="2">
        <f>IFERROR(__xludf.DUMMYFUNCTION("""COMPUTED_VALUE"""),44624.66666666667)</f>
        <v>44624.66667</v>
      </c>
      <c r="B360" s="1">
        <f>IFERROR(__xludf.DUMMYFUNCTION("""COMPUTED_VALUE"""),145.64)</f>
        <v>145.64</v>
      </c>
    </row>
    <row r="361">
      <c r="A361" s="2">
        <f>IFERROR(__xludf.DUMMYFUNCTION("""COMPUTED_VALUE"""),44627.66666666667)</f>
        <v>44627.66667</v>
      </c>
      <c r="B361" s="1">
        <f>IFERROR(__xludf.DUMMYFUNCTION("""COMPUTED_VALUE"""),137.45)</f>
        <v>137.45</v>
      </c>
    </row>
    <row r="362">
      <c r="A362" s="2">
        <f>IFERROR(__xludf.DUMMYFUNCTION("""COMPUTED_VALUE"""),44628.66666666667)</f>
        <v>44628.66667</v>
      </c>
      <c r="B362" s="1">
        <f>IFERROR(__xludf.DUMMYFUNCTION("""COMPUTED_VALUE"""),136.01)</f>
        <v>136.01</v>
      </c>
    </row>
    <row r="363">
      <c r="A363" s="2">
        <f>IFERROR(__xludf.DUMMYFUNCTION("""COMPUTED_VALUE"""),44629.66666666667)</f>
        <v>44629.66667</v>
      </c>
      <c r="B363" s="1">
        <f>IFERROR(__xludf.DUMMYFUNCTION("""COMPUTED_VALUE"""),139.28)</f>
        <v>139.28</v>
      </c>
    </row>
    <row r="364">
      <c r="A364" s="2">
        <f>IFERROR(__xludf.DUMMYFUNCTION("""COMPUTED_VALUE"""),44630.66666666667)</f>
        <v>44630.66667</v>
      </c>
      <c r="B364" s="1">
        <f>IFERROR(__xludf.DUMMYFUNCTION("""COMPUTED_VALUE"""),146.82)</f>
        <v>146.82</v>
      </c>
    </row>
    <row r="365">
      <c r="A365" s="2">
        <f>IFERROR(__xludf.DUMMYFUNCTION("""COMPUTED_VALUE"""),44631.66666666667)</f>
        <v>44631.66667</v>
      </c>
      <c r="B365" s="1">
        <f>IFERROR(__xludf.DUMMYFUNCTION("""COMPUTED_VALUE"""),145.52)</f>
        <v>145.52</v>
      </c>
    </row>
    <row r="366">
      <c r="A366" s="2">
        <f>IFERROR(__xludf.DUMMYFUNCTION("""COMPUTED_VALUE"""),44634.66666666667)</f>
        <v>44634.66667</v>
      </c>
      <c r="B366" s="1">
        <f>IFERROR(__xludf.DUMMYFUNCTION("""COMPUTED_VALUE"""),141.85)</f>
        <v>141.85</v>
      </c>
    </row>
    <row r="367">
      <c r="A367" s="2">
        <f>IFERROR(__xludf.DUMMYFUNCTION("""COMPUTED_VALUE"""),44635.66666666667)</f>
        <v>44635.66667</v>
      </c>
      <c r="B367" s="1">
        <f>IFERROR(__xludf.DUMMYFUNCTION("""COMPUTED_VALUE"""),147.37)</f>
        <v>147.37</v>
      </c>
    </row>
    <row r="368">
      <c r="A368" s="2">
        <f>IFERROR(__xludf.DUMMYFUNCTION("""COMPUTED_VALUE"""),44636.66666666667)</f>
        <v>44636.66667</v>
      </c>
      <c r="B368" s="1">
        <f>IFERROR(__xludf.DUMMYFUNCTION("""COMPUTED_VALUE"""),153.1)</f>
        <v>153.1</v>
      </c>
    </row>
    <row r="369">
      <c r="A369" s="2">
        <f>IFERROR(__xludf.DUMMYFUNCTION("""COMPUTED_VALUE"""),44637.66666666667)</f>
        <v>44637.66667</v>
      </c>
      <c r="B369" s="1">
        <f>IFERROR(__xludf.DUMMYFUNCTION("""COMPUTED_VALUE"""),157.24)</f>
        <v>157.24</v>
      </c>
    </row>
    <row r="370">
      <c r="A370" s="2">
        <f>IFERROR(__xludf.DUMMYFUNCTION("""COMPUTED_VALUE"""),44638.66666666667)</f>
        <v>44638.66667</v>
      </c>
      <c r="B370" s="1">
        <f>IFERROR(__xludf.DUMMYFUNCTION("""COMPUTED_VALUE"""),161.25)</f>
        <v>161.25</v>
      </c>
    </row>
    <row r="371">
      <c r="A371" s="2">
        <f>IFERROR(__xludf.DUMMYFUNCTION("""COMPUTED_VALUE"""),44641.66666666667)</f>
        <v>44641.66667</v>
      </c>
      <c r="B371" s="1">
        <f>IFERROR(__xludf.DUMMYFUNCTION("""COMPUTED_VALUE"""),161.49)</f>
        <v>161.49</v>
      </c>
    </row>
    <row r="372">
      <c r="A372" s="2">
        <f>IFERROR(__xludf.DUMMYFUNCTION("""COMPUTED_VALUE"""),44642.66666666667)</f>
        <v>44642.66667</v>
      </c>
      <c r="B372" s="1">
        <f>IFERROR(__xludf.DUMMYFUNCTION("""COMPUTED_VALUE"""),164.89)</f>
        <v>164.89</v>
      </c>
    </row>
    <row r="373">
      <c r="A373" s="2">
        <f>IFERROR(__xludf.DUMMYFUNCTION("""COMPUTED_VALUE"""),44643.66666666667)</f>
        <v>44643.66667</v>
      </c>
      <c r="B373" s="1">
        <f>IFERROR(__xludf.DUMMYFUNCTION("""COMPUTED_VALUE"""),163.41)</f>
        <v>163.41</v>
      </c>
    </row>
    <row r="374">
      <c r="A374" s="2">
        <f>IFERROR(__xludf.DUMMYFUNCTION("""COMPUTED_VALUE"""),44644.66666666667)</f>
        <v>44644.66667</v>
      </c>
      <c r="B374" s="1">
        <f>IFERROR(__xludf.DUMMYFUNCTION("""COMPUTED_VALUE"""),163.65)</f>
        <v>163.65</v>
      </c>
    </row>
    <row r="375">
      <c r="A375" s="2">
        <f>IFERROR(__xludf.DUMMYFUNCTION("""COMPUTED_VALUE"""),44645.66666666667)</f>
        <v>44645.66667</v>
      </c>
      <c r="B375" s="1">
        <f>IFERROR(__xludf.DUMMYFUNCTION("""COMPUTED_VALUE"""),164.77)</f>
        <v>164.77</v>
      </c>
    </row>
    <row r="376">
      <c r="A376" s="2">
        <f>IFERROR(__xludf.DUMMYFUNCTION("""COMPUTED_VALUE"""),44648.66666666667)</f>
        <v>44648.66667</v>
      </c>
      <c r="B376" s="1">
        <f>IFERROR(__xludf.DUMMYFUNCTION("""COMPUTED_VALUE"""),168.99)</f>
        <v>168.99</v>
      </c>
    </row>
    <row r="377">
      <c r="A377" s="2">
        <f>IFERROR(__xludf.DUMMYFUNCTION("""COMPUTED_VALUE"""),44649.66666666667)</f>
        <v>44649.66667</v>
      </c>
      <c r="B377" s="1">
        <f>IFERROR(__xludf.DUMMYFUNCTION("""COMPUTED_VALUE"""),169.32)</f>
        <v>169.32</v>
      </c>
    </row>
    <row r="378">
      <c r="A378" s="2">
        <f>IFERROR(__xludf.DUMMYFUNCTION("""COMPUTED_VALUE"""),44650.66666666667)</f>
        <v>44650.66667</v>
      </c>
      <c r="B378" s="1">
        <f>IFERROR(__xludf.DUMMYFUNCTION("""COMPUTED_VALUE"""),166.3)</f>
        <v>166.3</v>
      </c>
    </row>
    <row r="379">
      <c r="A379" s="2">
        <f>IFERROR(__xludf.DUMMYFUNCTION("""COMPUTED_VALUE"""),44651.66666666667)</f>
        <v>44651.66667</v>
      </c>
      <c r="B379" s="1">
        <f>IFERROR(__xludf.DUMMYFUNCTION("""COMPUTED_VALUE"""),163.0)</f>
        <v>163</v>
      </c>
    </row>
    <row r="380">
      <c r="A380" s="2">
        <f>IFERROR(__xludf.DUMMYFUNCTION("""COMPUTED_VALUE"""),44652.66666666667)</f>
        <v>44652.66667</v>
      </c>
      <c r="B380" s="1">
        <f>IFERROR(__xludf.DUMMYFUNCTION("""COMPUTED_VALUE"""),163.56)</f>
        <v>163.56</v>
      </c>
    </row>
    <row r="381">
      <c r="A381" s="2">
        <f>IFERROR(__xludf.DUMMYFUNCTION("""COMPUTED_VALUE"""),44655.66666666667)</f>
        <v>44655.66667</v>
      </c>
      <c r="B381" s="1">
        <f>IFERROR(__xludf.DUMMYFUNCTION("""COMPUTED_VALUE"""),168.35)</f>
        <v>168.35</v>
      </c>
    </row>
    <row r="382">
      <c r="A382" s="2">
        <f>IFERROR(__xludf.DUMMYFUNCTION("""COMPUTED_VALUE"""),44656.66666666667)</f>
        <v>44656.66667</v>
      </c>
      <c r="B382" s="1">
        <f>IFERROR(__xludf.DUMMYFUNCTION("""COMPUTED_VALUE"""),164.06)</f>
        <v>164.06</v>
      </c>
    </row>
    <row r="383">
      <c r="A383" s="2">
        <f>IFERROR(__xludf.DUMMYFUNCTION("""COMPUTED_VALUE"""),44657.66666666667)</f>
        <v>44657.66667</v>
      </c>
      <c r="B383" s="1">
        <f>IFERROR(__xludf.DUMMYFUNCTION("""COMPUTED_VALUE"""),158.76)</f>
        <v>158.76</v>
      </c>
    </row>
    <row r="384">
      <c r="A384" s="2">
        <f>IFERROR(__xludf.DUMMYFUNCTION("""COMPUTED_VALUE"""),44658.66666666667)</f>
        <v>44658.66667</v>
      </c>
      <c r="B384" s="1">
        <f>IFERROR(__xludf.DUMMYFUNCTION("""COMPUTED_VALUE"""),157.78)</f>
        <v>157.78</v>
      </c>
    </row>
    <row r="385">
      <c r="A385" s="2">
        <f>IFERROR(__xludf.DUMMYFUNCTION("""COMPUTED_VALUE"""),44659.66666666667)</f>
        <v>44659.66667</v>
      </c>
      <c r="B385" s="1">
        <f>IFERROR(__xludf.DUMMYFUNCTION("""COMPUTED_VALUE"""),154.46)</f>
        <v>154.46</v>
      </c>
    </row>
    <row r="386">
      <c r="A386" s="2">
        <f>IFERROR(__xludf.DUMMYFUNCTION("""COMPUTED_VALUE"""),44662.66666666667)</f>
        <v>44662.66667</v>
      </c>
      <c r="B386" s="1">
        <f>IFERROR(__xludf.DUMMYFUNCTION("""COMPUTED_VALUE"""),151.12)</f>
        <v>151.12</v>
      </c>
    </row>
    <row r="387">
      <c r="A387" s="2">
        <f>IFERROR(__xludf.DUMMYFUNCTION("""COMPUTED_VALUE"""),44663.66666666667)</f>
        <v>44663.66667</v>
      </c>
      <c r="B387" s="1">
        <f>IFERROR(__xludf.DUMMYFUNCTION("""COMPUTED_VALUE"""),150.79)</f>
        <v>150.79</v>
      </c>
    </row>
    <row r="388">
      <c r="A388" s="2">
        <f>IFERROR(__xludf.DUMMYFUNCTION("""COMPUTED_VALUE"""),44664.66666666667)</f>
        <v>44664.66667</v>
      </c>
      <c r="B388" s="1">
        <f>IFERROR(__xludf.DUMMYFUNCTION("""COMPUTED_VALUE"""),155.54)</f>
        <v>155.54</v>
      </c>
    </row>
    <row r="389">
      <c r="A389" s="2">
        <f>IFERROR(__xludf.DUMMYFUNCTION("""COMPUTED_VALUE"""),44665.66666666667)</f>
        <v>44665.66667</v>
      </c>
      <c r="B389" s="1">
        <f>IFERROR(__xludf.DUMMYFUNCTION("""COMPUTED_VALUE"""),151.71)</f>
        <v>151.71</v>
      </c>
    </row>
    <row r="390">
      <c r="A390" s="2">
        <f>IFERROR(__xludf.DUMMYFUNCTION("""COMPUTED_VALUE"""),44669.66666666667)</f>
        <v>44669.66667</v>
      </c>
      <c r="B390" s="1">
        <f>IFERROR(__xludf.DUMMYFUNCTION("""COMPUTED_VALUE"""),152.79)</f>
        <v>152.79</v>
      </c>
    </row>
    <row r="391">
      <c r="A391" s="2">
        <f>IFERROR(__xludf.DUMMYFUNCTION("""COMPUTED_VALUE"""),44670.66666666667)</f>
        <v>44670.66667</v>
      </c>
      <c r="B391" s="1">
        <f>IFERROR(__xludf.DUMMYFUNCTION("""COMPUTED_VALUE"""),158.12)</f>
        <v>158.12</v>
      </c>
    </row>
    <row r="392">
      <c r="A392" s="2">
        <f>IFERROR(__xludf.DUMMYFUNCTION("""COMPUTED_VALUE"""),44671.66666666667)</f>
        <v>44671.66667</v>
      </c>
      <c r="B392" s="1">
        <f>IFERROR(__xludf.DUMMYFUNCTION("""COMPUTED_VALUE"""),154.0)</f>
        <v>154</v>
      </c>
    </row>
    <row r="393">
      <c r="A393" s="2">
        <f>IFERROR(__xludf.DUMMYFUNCTION("""COMPUTED_VALUE"""),44672.66666666667)</f>
        <v>44672.66667</v>
      </c>
      <c r="B393" s="1">
        <f>IFERROR(__xludf.DUMMYFUNCTION("""COMPUTED_VALUE"""),148.3)</f>
        <v>148.3</v>
      </c>
    </row>
    <row r="394">
      <c r="A394" s="2">
        <f>IFERROR(__xludf.DUMMYFUNCTION("""COMPUTED_VALUE"""),44673.66666666667)</f>
        <v>44673.66667</v>
      </c>
      <c r="B394" s="1">
        <f>IFERROR(__xludf.DUMMYFUNCTION("""COMPUTED_VALUE"""),144.35)</f>
        <v>144.35</v>
      </c>
    </row>
    <row r="395">
      <c r="A395" s="2">
        <f>IFERROR(__xludf.DUMMYFUNCTION("""COMPUTED_VALUE"""),44676.66666666667)</f>
        <v>44676.66667</v>
      </c>
      <c r="B395" s="1">
        <f>IFERROR(__xludf.DUMMYFUNCTION("""COMPUTED_VALUE"""),146.07)</f>
        <v>146.07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IFERROR(__xludf.DUMMYFUNCTION("""COMPUTED_VALUE"""),139.39)</f>
        <v>139.39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IFERROR(__xludf.DUMMYFUNCTION("""COMPUTED_VALUE"""),138.17)</f>
        <v>138.17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IFERROR(__xludf.DUMMYFUNCTION("""COMPUTED_VALUE"""),144.6)</f>
        <v>144.6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IFERROR(__xludf.DUMMYFUNCTION("""COMPUTED_VALUE"""),124.28)</f>
        <v>124.28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IFERROR(__xludf.DUMMYFUNCTION("""COMPUTED_VALUE"""),124.5)</f>
        <v>124.5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IFERROR(__xludf.DUMMYFUNCTION("""COMPUTED_VALUE"""),124.25)</f>
        <v>124.25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IFERROR(__xludf.DUMMYFUNCTION("""COMPUTED_VALUE"""),125.93)</f>
        <v>125.93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IFERROR(__xludf.DUMMYFUNCTION("""COMPUTED_VALUE"""),116.41)</f>
        <v>116.41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IFERROR(__xludf.DUMMYFUNCTION("""COMPUTED_VALUE"""),114.77)</f>
        <v>114.77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IFERROR(__xludf.DUMMYFUNCTION("""COMPUTED_VALUE"""),108.79)</f>
        <v>108.79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IFERROR(__xludf.DUMMYFUNCTION("""COMPUTED_VALUE"""),108.86)</f>
        <v>108.86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IFERROR(__xludf.DUMMYFUNCTION("""COMPUTED_VALUE"""),105.37)</f>
        <v>105.37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IFERROR(__xludf.DUMMYFUNCTION("""COMPUTED_VALUE"""),106.93)</f>
        <v>106.93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IFERROR(__xludf.DUMMYFUNCTION("""COMPUTED_VALUE"""),113.06)</f>
        <v>113.06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IFERROR(__xludf.DUMMYFUNCTION("""COMPUTED_VALUE"""),110.81)</f>
        <v>110.81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IFERROR(__xludf.DUMMYFUNCTION("""COMPUTED_VALUE"""),115.37)</f>
        <v>115.37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IFERROR(__xludf.DUMMYFUNCTION("""COMPUTED_VALUE"""),107.11)</f>
        <v>107.11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IFERROR(__xludf.DUMMYFUNCTION("""COMPUTED_VALUE"""),107.32)</f>
        <v>107.32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IFERROR(__xludf.DUMMYFUNCTION("""COMPUTED_VALUE"""),107.59)</f>
        <v>107.59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IFERROR(__xludf.DUMMYFUNCTION("""COMPUTED_VALUE"""),107.56)</f>
        <v>107.56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IFERROR(__xludf.DUMMYFUNCTION("""COMPUTED_VALUE"""),104.1)</f>
        <v>104.1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IFERROR(__xludf.DUMMYFUNCTION("""COMPUTED_VALUE"""),106.78)</f>
        <v>106.78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IFERROR(__xludf.DUMMYFUNCTION("""COMPUTED_VALUE"""),111.08)</f>
        <v>111.08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IFERROR(__xludf.DUMMYFUNCTION("""COMPUTED_VALUE"""),115.15)</f>
        <v>115.15</v>
      </c>
    </row>
    <row r="420">
      <c r="A420" s="2">
        <f>IFERROR(__xludf.DUMMYFUNCTION("""COMPUTED_VALUE"""),44712.66666666667)</f>
        <v>44712.66667</v>
      </c>
      <c r="B420" s="1">
        <f>IFERROR(__xludf.DUMMYFUNCTION("""COMPUTED_VALUE"""),120.21)</f>
        <v>120.21</v>
      </c>
    </row>
    <row r="421">
      <c r="A421" s="2">
        <f>IFERROR(__xludf.DUMMYFUNCTION("""COMPUTED_VALUE"""),44713.66666666667)</f>
        <v>44713.66667</v>
      </c>
      <c r="B421" s="1">
        <f>IFERROR(__xludf.DUMMYFUNCTION("""COMPUTED_VALUE"""),121.68)</f>
        <v>121.68</v>
      </c>
    </row>
    <row r="422">
      <c r="A422" s="2">
        <f>IFERROR(__xludf.DUMMYFUNCTION("""COMPUTED_VALUE"""),44714.66666666667)</f>
        <v>44714.66667</v>
      </c>
      <c r="B422" s="1">
        <f>IFERROR(__xludf.DUMMYFUNCTION("""COMPUTED_VALUE"""),125.51)</f>
        <v>125.51</v>
      </c>
    </row>
    <row r="423">
      <c r="A423" s="2">
        <f>IFERROR(__xludf.DUMMYFUNCTION("""COMPUTED_VALUE"""),44715.66666666667)</f>
        <v>44715.66667</v>
      </c>
      <c r="B423" s="1">
        <f>IFERROR(__xludf.DUMMYFUNCTION("""COMPUTED_VALUE"""),122.35)</f>
        <v>122.35</v>
      </c>
    </row>
    <row r="424">
      <c r="A424" s="2">
        <f>IFERROR(__xludf.DUMMYFUNCTION("""COMPUTED_VALUE"""),44718.66666666667)</f>
        <v>44718.66667</v>
      </c>
      <c r="B424" s="1">
        <f>IFERROR(__xludf.DUMMYFUNCTION("""COMPUTED_VALUE"""),124.79)</f>
        <v>124.79</v>
      </c>
    </row>
    <row r="425">
      <c r="A425" s="2">
        <f>IFERROR(__xludf.DUMMYFUNCTION("""COMPUTED_VALUE"""),44719.66666666667)</f>
        <v>44719.66667</v>
      </c>
      <c r="B425" s="1">
        <f>IFERROR(__xludf.DUMMYFUNCTION("""COMPUTED_VALUE"""),123.0)</f>
        <v>123</v>
      </c>
    </row>
    <row r="426">
      <c r="A426" s="2">
        <f>IFERROR(__xludf.DUMMYFUNCTION("""COMPUTED_VALUE"""),44720.66666666667)</f>
        <v>44720.66667</v>
      </c>
      <c r="B426" s="1">
        <f>IFERROR(__xludf.DUMMYFUNCTION("""COMPUTED_VALUE"""),121.18)</f>
        <v>121.18</v>
      </c>
    </row>
    <row r="427">
      <c r="A427" s="2">
        <f>IFERROR(__xludf.DUMMYFUNCTION("""COMPUTED_VALUE"""),44721.66666666667)</f>
        <v>44721.66667</v>
      </c>
      <c r="B427" s="1">
        <f>IFERROR(__xludf.DUMMYFUNCTION("""COMPUTED_VALUE"""),116.15)</f>
        <v>116.15</v>
      </c>
    </row>
    <row r="428">
      <c r="A428" s="2">
        <f>IFERROR(__xludf.DUMMYFUNCTION("""COMPUTED_VALUE"""),44722.66666666667)</f>
        <v>44722.66667</v>
      </c>
      <c r="B428" s="1">
        <f>IFERROR(__xludf.DUMMYFUNCTION("""COMPUTED_VALUE"""),109.65)</f>
        <v>109.65</v>
      </c>
    </row>
    <row r="429">
      <c r="A429" s="2">
        <f>IFERROR(__xludf.DUMMYFUNCTION("""COMPUTED_VALUE"""),44725.66666666667)</f>
        <v>44725.66667</v>
      </c>
      <c r="B429" s="1">
        <f>IFERROR(__xludf.DUMMYFUNCTION("""COMPUTED_VALUE"""),103.67)</f>
        <v>103.67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IFERROR(__xludf.DUMMYFUNCTION("""COMPUTED_VALUE"""),102.31)</f>
        <v>102.31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IFERROR(__xludf.DUMMYFUNCTION("""COMPUTED_VALUE"""),107.67)</f>
        <v>107.67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IFERROR(__xludf.DUMMYFUNCTION("""COMPUTED_VALUE"""),103.66)</f>
        <v>103.66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IFERROR(__xludf.DUMMYFUNCTION("""COMPUTED_VALUE"""),106.22)</f>
        <v>106.22</v>
      </c>
    </row>
    <row r="434">
      <c r="A434" s="2">
        <f>IFERROR(__xludf.DUMMYFUNCTION("""COMPUTED_VALUE"""),44733.66666666667)</f>
        <v>44733.66667</v>
      </c>
      <c r="B434" s="1">
        <f>IFERROR(__xludf.DUMMYFUNCTION("""COMPUTED_VALUE"""),108.68)</f>
        <v>108.68</v>
      </c>
    </row>
    <row r="435">
      <c r="A435" s="2">
        <f>IFERROR(__xludf.DUMMYFUNCTION("""COMPUTED_VALUE"""),44734.66666666667)</f>
        <v>44734.66667</v>
      </c>
      <c r="B435" s="1">
        <f>IFERROR(__xludf.DUMMYFUNCTION("""COMPUTED_VALUE"""),108.95)</f>
        <v>108.95</v>
      </c>
    </row>
    <row r="436">
      <c r="A436" s="2">
        <f>IFERROR(__xludf.DUMMYFUNCTION("""COMPUTED_VALUE"""),44735.66666666667)</f>
        <v>44735.66667</v>
      </c>
      <c r="B436" s="1">
        <f>IFERROR(__xludf.DUMMYFUNCTION("""COMPUTED_VALUE"""),112.44)</f>
        <v>112.44</v>
      </c>
    </row>
    <row r="437">
      <c r="A437" s="2">
        <f>IFERROR(__xludf.DUMMYFUNCTION("""COMPUTED_VALUE"""),44736.66666666667)</f>
        <v>44736.66667</v>
      </c>
      <c r="B437" s="1">
        <f>IFERROR(__xludf.DUMMYFUNCTION("""COMPUTED_VALUE"""),116.46)</f>
        <v>116.46</v>
      </c>
    </row>
    <row r="438">
      <c r="A438" s="2">
        <f>IFERROR(__xludf.DUMMYFUNCTION("""COMPUTED_VALUE"""),44739.66666666667)</f>
        <v>44739.66667</v>
      </c>
      <c r="B438" s="1">
        <f>IFERROR(__xludf.DUMMYFUNCTION("""COMPUTED_VALUE"""),113.22)</f>
        <v>113.22</v>
      </c>
    </row>
    <row r="439">
      <c r="A439" s="2">
        <f>IFERROR(__xludf.DUMMYFUNCTION("""COMPUTED_VALUE"""),44740.66666666667)</f>
        <v>44740.66667</v>
      </c>
      <c r="B439" s="1">
        <f>IFERROR(__xludf.DUMMYFUNCTION("""COMPUTED_VALUE"""),107.4)</f>
        <v>107.4</v>
      </c>
    </row>
    <row r="440">
      <c r="A440" s="2">
        <f>IFERROR(__xludf.DUMMYFUNCTION("""COMPUTED_VALUE"""),44741.66666666667)</f>
        <v>44741.66667</v>
      </c>
      <c r="B440" s="1">
        <f>IFERROR(__xludf.DUMMYFUNCTION("""COMPUTED_VALUE"""),108.92)</f>
        <v>108.92</v>
      </c>
    </row>
    <row r="441">
      <c r="A441" s="2">
        <f>IFERROR(__xludf.DUMMYFUNCTION("""COMPUTED_VALUE"""),44742.66666666667)</f>
        <v>44742.66667</v>
      </c>
      <c r="B441" s="1">
        <f>IFERROR(__xludf.DUMMYFUNCTION("""COMPUTED_VALUE"""),106.21)</f>
        <v>106.21</v>
      </c>
    </row>
    <row r="442">
      <c r="A442" s="2">
        <f>IFERROR(__xludf.DUMMYFUNCTION("""COMPUTED_VALUE"""),44743.66666666667)</f>
        <v>44743.66667</v>
      </c>
      <c r="B442" s="1">
        <f>IFERROR(__xludf.DUMMYFUNCTION("""COMPUTED_VALUE"""),109.56)</f>
        <v>109.56</v>
      </c>
    </row>
    <row r="443">
      <c r="A443" s="2">
        <f>IFERROR(__xludf.DUMMYFUNCTION("""COMPUTED_VALUE"""),44747.66666666667)</f>
        <v>44747.66667</v>
      </c>
      <c r="B443" s="1">
        <f>IFERROR(__xludf.DUMMYFUNCTION("""COMPUTED_VALUE"""),113.5)</f>
        <v>113.5</v>
      </c>
    </row>
    <row r="444">
      <c r="A444" s="2">
        <f>IFERROR(__xludf.DUMMYFUNCTION("""COMPUTED_VALUE"""),44748.66666666667)</f>
        <v>44748.66667</v>
      </c>
      <c r="B444" s="1">
        <f>IFERROR(__xludf.DUMMYFUNCTION("""COMPUTED_VALUE"""),114.33)</f>
        <v>114.33</v>
      </c>
    </row>
    <row r="445">
      <c r="A445" s="2">
        <f>IFERROR(__xludf.DUMMYFUNCTION("""COMPUTED_VALUE"""),44749.66666666667)</f>
        <v>44749.66667</v>
      </c>
      <c r="B445" s="1">
        <f>IFERROR(__xludf.DUMMYFUNCTION("""COMPUTED_VALUE"""),116.33)</f>
        <v>116.33</v>
      </c>
    </row>
    <row r="446">
      <c r="A446" s="2">
        <f>IFERROR(__xludf.DUMMYFUNCTION("""COMPUTED_VALUE"""),44750.66666666667)</f>
        <v>44750.66667</v>
      </c>
      <c r="B446" s="1">
        <f>IFERROR(__xludf.DUMMYFUNCTION("""COMPUTED_VALUE"""),115.54)</f>
        <v>115.54</v>
      </c>
    </row>
    <row r="447">
      <c r="A447" s="2">
        <f>IFERROR(__xludf.DUMMYFUNCTION("""COMPUTED_VALUE"""),44753.66666666667)</f>
        <v>44753.66667</v>
      </c>
      <c r="B447" s="1">
        <f>IFERROR(__xludf.DUMMYFUNCTION("""COMPUTED_VALUE"""),111.75)</f>
        <v>111.75</v>
      </c>
    </row>
    <row r="448">
      <c r="A448" s="2">
        <f>IFERROR(__xludf.DUMMYFUNCTION("""COMPUTED_VALUE"""),44754.66666666667)</f>
        <v>44754.66667</v>
      </c>
      <c r="B448" s="1">
        <f>IFERROR(__xludf.DUMMYFUNCTION("""COMPUTED_VALUE"""),109.22)</f>
        <v>109.22</v>
      </c>
    </row>
    <row r="449">
      <c r="A449" s="2">
        <f>IFERROR(__xludf.DUMMYFUNCTION("""COMPUTED_VALUE"""),44755.66666666667)</f>
        <v>44755.66667</v>
      </c>
      <c r="B449" s="1">
        <f>IFERROR(__xludf.DUMMYFUNCTION("""COMPUTED_VALUE"""),110.4)</f>
        <v>110.4</v>
      </c>
    </row>
    <row r="450">
      <c r="A450" s="2">
        <f>IFERROR(__xludf.DUMMYFUNCTION("""COMPUTED_VALUE"""),44756.66666666667)</f>
        <v>44756.66667</v>
      </c>
      <c r="B450" s="1">
        <f>IFERROR(__xludf.DUMMYFUNCTION("""COMPUTED_VALUE"""),110.63)</f>
        <v>110.63</v>
      </c>
    </row>
    <row r="451">
      <c r="A451" s="2">
        <f>IFERROR(__xludf.DUMMYFUNCTION("""COMPUTED_VALUE"""),44757.66666666667)</f>
        <v>44757.66667</v>
      </c>
      <c r="B451" s="1">
        <f>IFERROR(__xludf.DUMMYFUNCTION("""COMPUTED_VALUE"""),113.55)</f>
        <v>113.55</v>
      </c>
    </row>
    <row r="452">
      <c r="A452" s="2">
        <f>IFERROR(__xludf.DUMMYFUNCTION("""COMPUTED_VALUE"""),44760.66666666667)</f>
        <v>44760.66667</v>
      </c>
      <c r="B452" s="1">
        <f>IFERROR(__xludf.DUMMYFUNCTION("""COMPUTED_VALUE"""),113.76)</f>
        <v>113.76</v>
      </c>
    </row>
    <row r="453">
      <c r="A453" s="2">
        <f>IFERROR(__xludf.DUMMYFUNCTION("""COMPUTED_VALUE"""),44761.66666666667)</f>
        <v>44761.66667</v>
      </c>
      <c r="B453" s="1">
        <f>IFERROR(__xludf.DUMMYFUNCTION("""COMPUTED_VALUE"""),118.21)</f>
        <v>118.21</v>
      </c>
    </row>
    <row r="454">
      <c r="A454" s="2">
        <f>IFERROR(__xludf.DUMMYFUNCTION("""COMPUTED_VALUE"""),44762.66666666667)</f>
        <v>44762.66667</v>
      </c>
      <c r="B454" s="1">
        <f>IFERROR(__xludf.DUMMYFUNCTION("""COMPUTED_VALUE"""),122.77)</f>
        <v>122.77</v>
      </c>
    </row>
    <row r="455">
      <c r="A455" s="2">
        <f>IFERROR(__xludf.DUMMYFUNCTION("""COMPUTED_VALUE"""),44763.66666666667)</f>
        <v>44763.66667</v>
      </c>
      <c r="B455" s="1">
        <f>IFERROR(__xludf.DUMMYFUNCTION("""COMPUTED_VALUE"""),124.63)</f>
        <v>124.63</v>
      </c>
    </row>
    <row r="456">
      <c r="A456" s="2">
        <f>IFERROR(__xludf.DUMMYFUNCTION("""COMPUTED_VALUE"""),44764.66666666667)</f>
        <v>44764.66667</v>
      </c>
      <c r="B456" s="1">
        <f>IFERROR(__xludf.DUMMYFUNCTION("""COMPUTED_VALUE"""),122.42)</f>
        <v>122.42</v>
      </c>
    </row>
    <row r="457">
      <c r="A457" s="2">
        <f>IFERROR(__xludf.DUMMYFUNCTION("""COMPUTED_VALUE"""),44767.66666666667)</f>
        <v>44767.66667</v>
      </c>
      <c r="B457" s="1">
        <f>IFERROR(__xludf.DUMMYFUNCTION("""COMPUTED_VALUE"""),121.14)</f>
        <v>121.14</v>
      </c>
    </row>
    <row r="458">
      <c r="A458" s="2">
        <f>IFERROR(__xludf.DUMMYFUNCTION("""COMPUTED_VALUE"""),44768.66666666667)</f>
        <v>44768.66667</v>
      </c>
      <c r="B458" s="1">
        <f>IFERROR(__xludf.DUMMYFUNCTION("""COMPUTED_VALUE"""),114.81)</f>
        <v>114.81</v>
      </c>
    </row>
    <row r="459">
      <c r="A459" s="2">
        <f>IFERROR(__xludf.DUMMYFUNCTION("""COMPUTED_VALUE"""),44769.66666666667)</f>
        <v>44769.66667</v>
      </c>
      <c r="B459" s="1">
        <f>IFERROR(__xludf.DUMMYFUNCTION("""COMPUTED_VALUE"""),120.97)</f>
        <v>120.97</v>
      </c>
    </row>
    <row r="460">
      <c r="A460" s="2">
        <f>IFERROR(__xludf.DUMMYFUNCTION("""COMPUTED_VALUE"""),44770.66666666667)</f>
        <v>44770.66667</v>
      </c>
      <c r="B460" s="1">
        <f>IFERROR(__xludf.DUMMYFUNCTION("""COMPUTED_VALUE"""),122.28)</f>
        <v>122.28</v>
      </c>
    </row>
    <row r="461">
      <c r="A461" s="2">
        <f>IFERROR(__xludf.DUMMYFUNCTION("""COMPUTED_VALUE"""),44771.66666666667)</f>
        <v>44771.66667</v>
      </c>
      <c r="B461" s="1">
        <f>IFERROR(__xludf.DUMMYFUNCTION("""COMPUTED_VALUE"""),134.95)</f>
        <v>134.95</v>
      </c>
    </row>
    <row r="462">
      <c r="A462" s="2">
        <f>IFERROR(__xludf.DUMMYFUNCTION("""COMPUTED_VALUE"""),44774.66666666667)</f>
        <v>44774.66667</v>
      </c>
      <c r="B462" s="1">
        <f>IFERROR(__xludf.DUMMYFUNCTION("""COMPUTED_VALUE"""),135.39)</f>
        <v>135.39</v>
      </c>
    </row>
    <row r="463">
      <c r="A463" s="2">
        <f>IFERROR(__xludf.DUMMYFUNCTION("""COMPUTED_VALUE"""),44775.66666666667)</f>
        <v>44775.66667</v>
      </c>
      <c r="B463" s="1">
        <f>IFERROR(__xludf.DUMMYFUNCTION("""COMPUTED_VALUE"""),134.16)</f>
        <v>134.16</v>
      </c>
    </row>
    <row r="464">
      <c r="A464" s="2">
        <f>IFERROR(__xludf.DUMMYFUNCTION("""COMPUTED_VALUE"""),44776.66666666667)</f>
        <v>44776.66667</v>
      </c>
      <c r="B464" s="1">
        <f>IFERROR(__xludf.DUMMYFUNCTION("""COMPUTED_VALUE"""),139.52)</f>
        <v>139.52</v>
      </c>
    </row>
    <row r="465">
      <c r="A465" s="2">
        <f>IFERROR(__xludf.DUMMYFUNCTION("""COMPUTED_VALUE"""),44777.66666666667)</f>
        <v>44777.66667</v>
      </c>
      <c r="B465" s="1">
        <f>IFERROR(__xludf.DUMMYFUNCTION("""COMPUTED_VALUE"""),142.57)</f>
        <v>142.57</v>
      </c>
    </row>
    <row r="466">
      <c r="A466" s="2">
        <f>IFERROR(__xludf.DUMMYFUNCTION("""COMPUTED_VALUE"""),44778.66666666667)</f>
        <v>44778.66667</v>
      </c>
      <c r="B466" s="1">
        <f>IFERROR(__xludf.DUMMYFUNCTION("""COMPUTED_VALUE"""),140.8)</f>
        <v>140.8</v>
      </c>
    </row>
    <row r="467">
      <c r="A467" s="2">
        <f>IFERROR(__xludf.DUMMYFUNCTION("""COMPUTED_VALUE"""),44781.66666666667)</f>
        <v>44781.66667</v>
      </c>
      <c r="B467" s="1">
        <f>IFERROR(__xludf.DUMMYFUNCTION("""COMPUTED_VALUE"""),139.41)</f>
        <v>139.41</v>
      </c>
    </row>
    <row r="468">
      <c r="A468" s="2">
        <f>IFERROR(__xludf.DUMMYFUNCTION("""COMPUTED_VALUE"""),44782.66666666667)</f>
        <v>44782.66667</v>
      </c>
      <c r="B468" s="1">
        <f>IFERROR(__xludf.DUMMYFUNCTION("""COMPUTED_VALUE"""),137.83)</f>
        <v>137.83</v>
      </c>
    </row>
    <row r="469">
      <c r="A469" s="2">
        <f>IFERROR(__xludf.DUMMYFUNCTION("""COMPUTED_VALUE"""),44783.66666666667)</f>
        <v>44783.66667</v>
      </c>
      <c r="B469" s="1">
        <f>IFERROR(__xludf.DUMMYFUNCTION("""COMPUTED_VALUE"""),142.69)</f>
        <v>142.69</v>
      </c>
    </row>
    <row r="470">
      <c r="A470" s="2">
        <f>IFERROR(__xludf.DUMMYFUNCTION("""COMPUTED_VALUE"""),44784.66666666667)</f>
        <v>44784.66667</v>
      </c>
      <c r="B470" s="1">
        <f>IFERROR(__xludf.DUMMYFUNCTION("""COMPUTED_VALUE"""),140.64)</f>
        <v>140.64</v>
      </c>
    </row>
    <row r="471">
      <c r="A471" s="2">
        <f>IFERROR(__xludf.DUMMYFUNCTION("""COMPUTED_VALUE"""),44785.66666666667)</f>
        <v>44785.66667</v>
      </c>
      <c r="B471" s="1">
        <f>IFERROR(__xludf.DUMMYFUNCTION("""COMPUTED_VALUE"""),143.55)</f>
        <v>143.55</v>
      </c>
    </row>
    <row r="472">
      <c r="A472" s="2">
        <f>IFERROR(__xludf.DUMMYFUNCTION("""COMPUTED_VALUE"""),44788.66666666667)</f>
        <v>44788.66667</v>
      </c>
      <c r="B472" s="1">
        <f>IFERROR(__xludf.DUMMYFUNCTION("""COMPUTED_VALUE"""),143.18)</f>
        <v>143.18</v>
      </c>
    </row>
    <row r="473">
      <c r="A473" s="2">
        <f>IFERROR(__xludf.DUMMYFUNCTION("""COMPUTED_VALUE"""),44789.66666666667)</f>
        <v>44789.66667</v>
      </c>
      <c r="B473" s="1">
        <f>IFERROR(__xludf.DUMMYFUNCTION("""COMPUTED_VALUE"""),144.78)</f>
        <v>144.78</v>
      </c>
    </row>
    <row r="474">
      <c r="A474" s="2">
        <f>IFERROR(__xludf.DUMMYFUNCTION("""COMPUTED_VALUE"""),44790.66666666667)</f>
        <v>44790.66667</v>
      </c>
      <c r="B474" s="1">
        <f>IFERROR(__xludf.DUMMYFUNCTION("""COMPUTED_VALUE"""),142.1)</f>
        <v>142.1</v>
      </c>
    </row>
    <row r="475">
      <c r="A475" s="2">
        <f>IFERROR(__xludf.DUMMYFUNCTION("""COMPUTED_VALUE"""),44791.66666666667)</f>
        <v>44791.66667</v>
      </c>
      <c r="B475" s="1">
        <f>IFERROR(__xludf.DUMMYFUNCTION("""COMPUTED_VALUE"""),142.3)</f>
        <v>142.3</v>
      </c>
    </row>
    <row r="476">
      <c r="A476" s="2">
        <f>IFERROR(__xludf.DUMMYFUNCTION("""COMPUTED_VALUE"""),44792.66666666667)</f>
        <v>44792.66667</v>
      </c>
      <c r="B476" s="1">
        <f>IFERROR(__xludf.DUMMYFUNCTION("""COMPUTED_VALUE"""),138.23)</f>
        <v>138.23</v>
      </c>
    </row>
    <row r="477">
      <c r="A477" s="2">
        <f>IFERROR(__xludf.DUMMYFUNCTION("""COMPUTED_VALUE"""),44795.66666666667)</f>
        <v>44795.66667</v>
      </c>
      <c r="B477" s="1">
        <f>IFERROR(__xludf.DUMMYFUNCTION("""COMPUTED_VALUE"""),133.22)</f>
        <v>133.22</v>
      </c>
    </row>
    <row r="478">
      <c r="A478" s="2">
        <f>IFERROR(__xludf.DUMMYFUNCTION("""COMPUTED_VALUE"""),44796.66666666667)</f>
        <v>44796.66667</v>
      </c>
      <c r="B478" s="1">
        <f>IFERROR(__xludf.DUMMYFUNCTION("""COMPUTED_VALUE"""),133.62)</f>
        <v>133.62</v>
      </c>
    </row>
    <row r="479">
      <c r="A479" s="2">
        <f>IFERROR(__xludf.DUMMYFUNCTION("""COMPUTED_VALUE"""),44797.66666666667)</f>
        <v>44797.66667</v>
      </c>
      <c r="B479" s="1">
        <f>IFERROR(__xludf.DUMMYFUNCTION("""COMPUTED_VALUE"""),133.8)</f>
        <v>133.8</v>
      </c>
    </row>
    <row r="480">
      <c r="A480" s="2">
        <f>IFERROR(__xludf.DUMMYFUNCTION("""COMPUTED_VALUE"""),44798.66666666667)</f>
        <v>44798.66667</v>
      </c>
      <c r="B480" s="1">
        <f>IFERROR(__xludf.DUMMYFUNCTION("""COMPUTED_VALUE"""),137.28)</f>
        <v>137.28</v>
      </c>
    </row>
    <row r="481">
      <c r="A481" s="2">
        <f>IFERROR(__xludf.DUMMYFUNCTION("""COMPUTED_VALUE"""),44799.66666666667)</f>
        <v>44799.66667</v>
      </c>
      <c r="B481" s="1">
        <f>IFERROR(__xludf.DUMMYFUNCTION("""COMPUTED_VALUE"""),130.75)</f>
        <v>130.75</v>
      </c>
    </row>
    <row r="482">
      <c r="A482" s="2">
        <f>IFERROR(__xludf.DUMMYFUNCTION("""COMPUTED_VALUE"""),44802.66666666667)</f>
        <v>44802.66667</v>
      </c>
      <c r="B482" s="1">
        <f>IFERROR(__xludf.DUMMYFUNCTION("""COMPUTED_VALUE"""),129.79)</f>
        <v>129.79</v>
      </c>
    </row>
    <row r="483">
      <c r="A483" s="2">
        <f>IFERROR(__xludf.DUMMYFUNCTION("""COMPUTED_VALUE"""),44803.66666666667)</f>
        <v>44803.66667</v>
      </c>
      <c r="B483" s="1">
        <f>IFERROR(__xludf.DUMMYFUNCTION("""COMPUTED_VALUE"""),128.73)</f>
        <v>128.73</v>
      </c>
    </row>
    <row r="484">
      <c r="A484" s="2">
        <f>IFERROR(__xludf.DUMMYFUNCTION("""COMPUTED_VALUE"""),44804.66666666667)</f>
        <v>44804.66667</v>
      </c>
      <c r="B484" s="1">
        <f>IFERROR(__xludf.DUMMYFUNCTION("""COMPUTED_VALUE"""),126.77)</f>
        <v>126.77</v>
      </c>
    </row>
    <row r="485">
      <c r="A485" s="2">
        <f>IFERROR(__xludf.DUMMYFUNCTION("""COMPUTED_VALUE"""),44805.66666666667)</f>
        <v>44805.66667</v>
      </c>
      <c r="B485" s="1">
        <f>IFERROR(__xludf.DUMMYFUNCTION("""COMPUTED_VALUE"""),127.82)</f>
        <v>127.82</v>
      </c>
    </row>
    <row r="486">
      <c r="A486" s="2">
        <f>IFERROR(__xludf.DUMMYFUNCTION("""COMPUTED_VALUE"""),44806.66666666667)</f>
        <v>44806.66667</v>
      </c>
      <c r="B486" s="1">
        <f>IFERROR(__xludf.DUMMYFUNCTION("""COMPUTED_VALUE"""),127.51)</f>
        <v>127.51</v>
      </c>
    </row>
    <row r="487">
      <c r="A487" s="2">
        <f>IFERROR(__xludf.DUMMYFUNCTION("""COMPUTED_VALUE"""),44810.66666666667)</f>
        <v>44810.66667</v>
      </c>
      <c r="B487" s="1">
        <f>IFERROR(__xludf.DUMMYFUNCTION("""COMPUTED_VALUE"""),126.11)</f>
        <v>126.11</v>
      </c>
    </row>
    <row r="488">
      <c r="A488" s="2">
        <f>IFERROR(__xludf.DUMMYFUNCTION("""COMPUTED_VALUE"""),44811.66666666667)</f>
        <v>44811.66667</v>
      </c>
      <c r="B488" s="1">
        <f>IFERROR(__xludf.DUMMYFUNCTION("""COMPUTED_VALUE"""),129.48)</f>
        <v>129.48</v>
      </c>
    </row>
    <row r="489">
      <c r="A489" s="2">
        <f>IFERROR(__xludf.DUMMYFUNCTION("""COMPUTED_VALUE"""),44812.66666666667)</f>
        <v>44812.66667</v>
      </c>
      <c r="B489" s="1">
        <f>IFERROR(__xludf.DUMMYFUNCTION("""COMPUTED_VALUE"""),129.82)</f>
        <v>129.82</v>
      </c>
    </row>
    <row r="490">
      <c r="A490" s="2">
        <f>IFERROR(__xludf.DUMMYFUNCTION("""COMPUTED_VALUE"""),44813.66666666667)</f>
        <v>44813.66667</v>
      </c>
      <c r="B490" s="1">
        <f>IFERROR(__xludf.DUMMYFUNCTION("""COMPUTED_VALUE"""),133.27)</f>
        <v>133.27</v>
      </c>
    </row>
    <row r="491">
      <c r="A491" s="2">
        <f>IFERROR(__xludf.DUMMYFUNCTION("""COMPUTED_VALUE"""),44816.66666666667)</f>
        <v>44816.66667</v>
      </c>
      <c r="B491" s="1">
        <f>IFERROR(__xludf.DUMMYFUNCTION("""COMPUTED_VALUE"""),136.45)</f>
        <v>136.45</v>
      </c>
    </row>
    <row r="492">
      <c r="A492" s="2">
        <f>IFERROR(__xludf.DUMMYFUNCTION("""COMPUTED_VALUE"""),44817.66666666667)</f>
        <v>44817.66667</v>
      </c>
      <c r="B492" s="1">
        <f>IFERROR(__xludf.DUMMYFUNCTION("""COMPUTED_VALUE"""),126.82)</f>
        <v>126.82</v>
      </c>
    </row>
    <row r="493">
      <c r="A493" s="2">
        <f>IFERROR(__xludf.DUMMYFUNCTION("""COMPUTED_VALUE"""),44818.66666666667)</f>
        <v>44818.66667</v>
      </c>
      <c r="B493" s="1">
        <f>IFERROR(__xludf.DUMMYFUNCTION("""COMPUTED_VALUE"""),128.55)</f>
        <v>128.55</v>
      </c>
    </row>
    <row r="494">
      <c r="A494" s="2">
        <f>IFERROR(__xludf.DUMMYFUNCTION("""COMPUTED_VALUE"""),44819.66666666667)</f>
        <v>44819.66667</v>
      </c>
      <c r="B494" s="1">
        <f>IFERROR(__xludf.DUMMYFUNCTION("""COMPUTED_VALUE"""),126.28)</f>
        <v>126.28</v>
      </c>
    </row>
    <row r="495">
      <c r="A495" s="2">
        <f>IFERROR(__xludf.DUMMYFUNCTION("""COMPUTED_VALUE"""),44820.66666666667)</f>
        <v>44820.66667</v>
      </c>
      <c r="B495" s="1">
        <f>IFERROR(__xludf.DUMMYFUNCTION("""COMPUTED_VALUE"""),123.53)</f>
        <v>123.53</v>
      </c>
    </row>
    <row r="496">
      <c r="A496" s="2">
        <f>IFERROR(__xludf.DUMMYFUNCTION("""COMPUTED_VALUE"""),44823.66666666667)</f>
        <v>44823.66667</v>
      </c>
      <c r="B496" s="1">
        <f>IFERROR(__xludf.DUMMYFUNCTION("""COMPUTED_VALUE"""),124.66)</f>
        <v>124.66</v>
      </c>
    </row>
    <row r="497">
      <c r="A497" s="2">
        <f>IFERROR(__xludf.DUMMYFUNCTION("""COMPUTED_VALUE"""),44824.66666666667)</f>
        <v>44824.66667</v>
      </c>
      <c r="B497" s="1">
        <f>IFERROR(__xludf.DUMMYFUNCTION("""COMPUTED_VALUE"""),122.19)</f>
        <v>122.19</v>
      </c>
    </row>
    <row r="498">
      <c r="A498" s="2">
        <f>IFERROR(__xludf.DUMMYFUNCTION("""COMPUTED_VALUE"""),44825.66666666667)</f>
        <v>44825.66667</v>
      </c>
      <c r="B498" s="1">
        <f>IFERROR(__xludf.DUMMYFUNCTION("""COMPUTED_VALUE"""),118.54)</f>
        <v>118.54</v>
      </c>
    </row>
    <row r="499">
      <c r="A499" s="2">
        <f>IFERROR(__xludf.DUMMYFUNCTION("""COMPUTED_VALUE"""),44826.66666666667)</f>
        <v>44826.66667</v>
      </c>
      <c r="B499" s="1">
        <f>IFERROR(__xludf.DUMMYFUNCTION("""COMPUTED_VALUE"""),117.31)</f>
        <v>117.31</v>
      </c>
    </row>
    <row r="500">
      <c r="A500" s="2">
        <f>IFERROR(__xludf.DUMMYFUNCTION("""COMPUTED_VALUE"""),44827.66666666667)</f>
        <v>44827.66667</v>
      </c>
      <c r="B500" s="1">
        <f>IFERROR(__xludf.DUMMYFUNCTION("""COMPUTED_VALUE"""),113.78)</f>
        <v>113.78</v>
      </c>
    </row>
    <row r="501">
      <c r="A501" s="2">
        <f>IFERROR(__xludf.DUMMYFUNCTION("""COMPUTED_VALUE"""),44830.66666666667)</f>
        <v>44830.66667</v>
      </c>
      <c r="B501" s="1">
        <f>IFERROR(__xludf.DUMMYFUNCTION("""COMPUTED_VALUE"""),115.15)</f>
        <v>115.15</v>
      </c>
    </row>
    <row r="502">
      <c r="A502" s="2">
        <f>IFERROR(__xludf.DUMMYFUNCTION("""COMPUTED_VALUE"""),44831.66666666667)</f>
        <v>44831.66667</v>
      </c>
      <c r="B502" s="1">
        <f>IFERROR(__xludf.DUMMYFUNCTION("""COMPUTED_VALUE"""),114.41)</f>
        <v>114.41</v>
      </c>
    </row>
    <row r="503">
      <c r="A503" s="2">
        <f>IFERROR(__xludf.DUMMYFUNCTION("""COMPUTED_VALUE"""),44832.66666666667)</f>
        <v>44832.66667</v>
      </c>
      <c r="B503" s="1">
        <f>IFERROR(__xludf.DUMMYFUNCTION("""COMPUTED_VALUE"""),118.01)</f>
        <v>118.01</v>
      </c>
    </row>
    <row r="504">
      <c r="A504" s="2">
        <f>IFERROR(__xludf.DUMMYFUNCTION("""COMPUTED_VALUE"""),44833.66666666667)</f>
        <v>44833.66667</v>
      </c>
      <c r="B504" s="1">
        <f>IFERROR(__xludf.DUMMYFUNCTION("""COMPUTED_VALUE"""),114.8)</f>
        <v>114.8</v>
      </c>
    </row>
    <row r="505">
      <c r="A505" s="2">
        <f>IFERROR(__xludf.DUMMYFUNCTION("""COMPUTED_VALUE"""),44834.66666666667)</f>
        <v>44834.66667</v>
      </c>
      <c r="B505" s="1">
        <f>IFERROR(__xludf.DUMMYFUNCTION("""COMPUTED_VALUE"""),113.0)</f>
        <v>113</v>
      </c>
    </row>
    <row r="506">
      <c r="A506" s="2">
        <f>IFERROR(__xludf.DUMMYFUNCTION("""COMPUTED_VALUE"""),44837.66666666667)</f>
        <v>44837.66667</v>
      </c>
      <c r="B506" s="1">
        <f>IFERROR(__xludf.DUMMYFUNCTION("""COMPUTED_VALUE"""),115.88)</f>
        <v>115.88</v>
      </c>
    </row>
    <row r="507">
      <c r="A507" s="2">
        <f>IFERROR(__xludf.DUMMYFUNCTION("""COMPUTED_VALUE"""),44838.66666666667)</f>
        <v>44838.66667</v>
      </c>
      <c r="B507" s="1">
        <f>IFERROR(__xludf.DUMMYFUNCTION("""COMPUTED_VALUE"""),121.09)</f>
        <v>121.09</v>
      </c>
    </row>
    <row r="508">
      <c r="A508" s="2">
        <f>IFERROR(__xludf.DUMMYFUNCTION("""COMPUTED_VALUE"""),44839.66666666667)</f>
        <v>44839.66667</v>
      </c>
      <c r="B508" s="1">
        <f>IFERROR(__xludf.DUMMYFUNCTION("""COMPUTED_VALUE"""),120.95)</f>
        <v>120.95</v>
      </c>
    </row>
    <row r="509">
      <c r="A509" s="2">
        <f>IFERROR(__xludf.DUMMYFUNCTION("""COMPUTED_VALUE"""),44840.66666666667)</f>
        <v>44840.66667</v>
      </c>
      <c r="B509" s="1">
        <f>IFERROR(__xludf.DUMMYFUNCTION("""COMPUTED_VALUE"""),120.3)</f>
        <v>120.3</v>
      </c>
    </row>
    <row r="510">
      <c r="A510" s="2">
        <f>IFERROR(__xludf.DUMMYFUNCTION("""COMPUTED_VALUE"""),44841.66666666667)</f>
        <v>44841.66667</v>
      </c>
      <c r="B510" s="1">
        <f>IFERROR(__xludf.DUMMYFUNCTION("""COMPUTED_VALUE"""),114.56)</f>
        <v>114.56</v>
      </c>
    </row>
    <row r="511">
      <c r="A511" s="2">
        <f>IFERROR(__xludf.DUMMYFUNCTION("""COMPUTED_VALUE"""),44844.66666666667)</f>
        <v>44844.66667</v>
      </c>
      <c r="B511" s="1">
        <f>IFERROR(__xludf.DUMMYFUNCTION("""COMPUTED_VALUE"""),113.67)</f>
        <v>113.67</v>
      </c>
    </row>
    <row r="512">
      <c r="A512" s="2">
        <f>IFERROR(__xludf.DUMMYFUNCTION("""COMPUTED_VALUE"""),44845.66666666667)</f>
        <v>44845.66667</v>
      </c>
      <c r="B512" s="1">
        <f>IFERROR(__xludf.DUMMYFUNCTION("""COMPUTED_VALUE"""),112.21)</f>
        <v>112.21</v>
      </c>
    </row>
    <row r="513">
      <c r="A513" s="2">
        <f>IFERROR(__xludf.DUMMYFUNCTION("""COMPUTED_VALUE"""),44846.66666666667)</f>
        <v>44846.66667</v>
      </c>
      <c r="B513" s="1">
        <f>IFERROR(__xludf.DUMMYFUNCTION("""COMPUTED_VALUE"""),112.9)</f>
        <v>112.9</v>
      </c>
    </row>
    <row r="514">
      <c r="A514" s="2">
        <f>IFERROR(__xludf.DUMMYFUNCTION("""COMPUTED_VALUE"""),44847.66666666667)</f>
        <v>44847.66667</v>
      </c>
      <c r="B514" s="1">
        <f>IFERROR(__xludf.DUMMYFUNCTION("""COMPUTED_VALUE"""),112.53)</f>
        <v>112.53</v>
      </c>
    </row>
    <row r="515">
      <c r="A515" s="2">
        <f>IFERROR(__xludf.DUMMYFUNCTION("""COMPUTED_VALUE"""),44848.66666666667)</f>
        <v>44848.66667</v>
      </c>
      <c r="B515" s="1">
        <f>IFERROR(__xludf.DUMMYFUNCTION("""COMPUTED_VALUE"""),106.9)</f>
        <v>106.9</v>
      </c>
    </row>
    <row r="516">
      <c r="A516" s="2">
        <f>IFERROR(__xludf.DUMMYFUNCTION("""COMPUTED_VALUE"""),44851.66666666667)</f>
        <v>44851.66667</v>
      </c>
      <c r="B516" s="1">
        <f>IFERROR(__xludf.DUMMYFUNCTION("""COMPUTED_VALUE"""),113.79)</f>
        <v>113.79</v>
      </c>
    </row>
    <row r="517">
      <c r="A517" s="2">
        <f>IFERROR(__xludf.DUMMYFUNCTION("""COMPUTED_VALUE"""),44852.66666666667)</f>
        <v>44852.66667</v>
      </c>
      <c r="B517" s="1">
        <f>IFERROR(__xludf.DUMMYFUNCTION("""COMPUTED_VALUE"""),116.36)</f>
        <v>116.36</v>
      </c>
    </row>
    <row r="518">
      <c r="A518" s="2">
        <f>IFERROR(__xludf.DUMMYFUNCTION("""COMPUTED_VALUE"""),44853.66666666667)</f>
        <v>44853.66667</v>
      </c>
      <c r="B518" s="1">
        <f>IFERROR(__xludf.DUMMYFUNCTION("""COMPUTED_VALUE"""),115.07)</f>
        <v>115.07</v>
      </c>
    </row>
    <row r="519">
      <c r="A519" s="2">
        <f>IFERROR(__xludf.DUMMYFUNCTION("""COMPUTED_VALUE"""),44854.66666666667)</f>
        <v>44854.66667</v>
      </c>
      <c r="B519" s="1">
        <f>IFERROR(__xludf.DUMMYFUNCTION("""COMPUTED_VALUE"""),115.25)</f>
        <v>115.25</v>
      </c>
    </row>
    <row r="520">
      <c r="A520" s="2">
        <f>IFERROR(__xludf.DUMMYFUNCTION("""COMPUTED_VALUE"""),44855.66666666667)</f>
        <v>44855.66667</v>
      </c>
      <c r="B520" s="1">
        <f>IFERROR(__xludf.DUMMYFUNCTION("""COMPUTED_VALUE"""),119.32)</f>
        <v>119.32</v>
      </c>
    </row>
    <row r="521">
      <c r="A521" s="2">
        <f>IFERROR(__xludf.DUMMYFUNCTION("""COMPUTED_VALUE"""),44858.66666666667)</f>
        <v>44858.66667</v>
      </c>
      <c r="B521" s="1">
        <f>IFERROR(__xludf.DUMMYFUNCTION("""COMPUTED_VALUE"""),119.82)</f>
        <v>119.82</v>
      </c>
    </row>
    <row r="522">
      <c r="A522" s="2">
        <f>IFERROR(__xludf.DUMMYFUNCTION("""COMPUTED_VALUE"""),44859.66666666667)</f>
        <v>44859.66667</v>
      </c>
      <c r="B522" s="1">
        <f>IFERROR(__xludf.DUMMYFUNCTION("""COMPUTED_VALUE"""),120.6)</f>
        <v>120.6</v>
      </c>
    </row>
    <row r="523">
      <c r="A523" s="2">
        <f>IFERROR(__xludf.DUMMYFUNCTION("""COMPUTED_VALUE"""),44860.66666666667)</f>
        <v>44860.66667</v>
      </c>
      <c r="B523" s="1">
        <f>IFERROR(__xludf.DUMMYFUNCTION("""COMPUTED_VALUE"""),115.66)</f>
        <v>115.66</v>
      </c>
    </row>
    <row r="524">
      <c r="A524" s="2">
        <f>IFERROR(__xludf.DUMMYFUNCTION("""COMPUTED_VALUE"""),44861.66666666667)</f>
        <v>44861.66667</v>
      </c>
      <c r="B524" s="1">
        <f>IFERROR(__xludf.DUMMYFUNCTION("""COMPUTED_VALUE"""),110.96)</f>
        <v>110.96</v>
      </c>
    </row>
    <row r="525">
      <c r="A525" s="2">
        <f>IFERROR(__xludf.DUMMYFUNCTION("""COMPUTED_VALUE"""),44862.66666666667)</f>
        <v>44862.66667</v>
      </c>
      <c r="B525" s="1">
        <f>IFERROR(__xludf.DUMMYFUNCTION("""COMPUTED_VALUE"""),103.41)</f>
        <v>103.41</v>
      </c>
    </row>
    <row r="526">
      <c r="A526" s="2">
        <f>IFERROR(__xludf.DUMMYFUNCTION("""COMPUTED_VALUE"""),44865.66666666667)</f>
        <v>44865.66667</v>
      </c>
      <c r="B526" s="1">
        <f>IFERROR(__xludf.DUMMYFUNCTION("""COMPUTED_VALUE"""),102.44)</f>
        <v>102.44</v>
      </c>
    </row>
    <row r="527">
      <c r="A527" s="2">
        <f>IFERROR(__xludf.DUMMYFUNCTION("""COMPUTED_VALUE"""),44866.66666666667)</f>
        <v>44866.66667</v>
      </c>
      <c r="B527" s="1">
        <f>IFERROR(__xludf.DUMMYFUNCTION("""COMPUTED_VALUE"""),96.79)</f>
        <v>96.79</v>
      </c>
    </row>
    <row r="528">
      <c r="A528" s="2">
        <f>IFERROR(__xludf.DUMMYFUNCTION("""COMPUTED_VALUE"""),44867.66666666667)</f>
        <v>44867.66667</v>
      </c>
      <c r="B528" s="1">
        <f>IFERROR(__xludf.DUMMYFUNCTION("""COMPUTED_VALUE"""),92.12)</f>
        <v>92.12</v>
      </c>
    </row>
    <row r="529">
      <c r="A529" s="2">
        <f>IFERROR(__xludf.DUMMYFUNCTION("""COMPUTED_VALUE"""),44868.66666666667)</f>
        <v>44868.66667</v>
      </c>
      <c r="B529" s="1">
        <f>IFERROR(__xludf.DUMMYFUNCTION("""COMPUTED_VALUE"""),89.3)</f>
        <v>89.3</v>
      </c>
    </row>
    <row r="530">
      <c r="A530" s="2">
        <f>IFERROR(__xludf.DUMMYFUNCTION("""COMPUTED_VALUE"""),44869.66666666667)</f>
        <v>44869.66667</v>
      </c>
      <c r="B530" s="1">
        <f>IFERROR(__xludf.DUMMYFUNCTION("""COMPUTED_VALUE"""),90.98)</f>
        <v>90.98</v>
      </c>
    </row>
    <row r="531">
      <c r="A531" s="2">
        <f>IFERROR(__xludf.DUMMYFUNCTION("""COMPUTED_VALUE"""),44872.66666666667)</f>
        <v>44872.66667</v>
      </c>
      <c r="B531" s="1">
        <f>IFERROR(__xludf.DUMMYFUNCTION("""COMPUTED_VALUE"""),90.53)</f>
        <v>90.53</v>
      </c>
    </row>
    <row r="532">
      <c r="A532" s="2">
        <f>IFERROR(__xludf.DUMMYFUNCTION("""COMPUTED_VALUE"""),44873.66666666667)</f>
        <v>44873.66667</v>
      </c>
      <c r="B532" s="1">
        <f>IFERROR(__xludf.DUMMYFUNCTION("""COMPUTED_VALUE"""),89.98)</f>
        <v>89.98</v>
      </c>
    </row>
    <row r="533">
      <c r="A533" s="2">
        <f>IFERROR(__xludf.DUMMYFUNCTION("""COMPUTED_VALUE"""),44874.66666666667)</f>
        <v>44874.66667</v>
      </c>
      <c r="B533" s="1">
        <f>IFERROR(__xludf.DUMMYFUNCTION("""COMPUTED_VALUE"""),86.14)</f>
        <v>86.14</v>
      </c>
    </row>
    <row r="534">
      <c r="A534" s="2">
        <f>IFERROR(__xludf.DUMMYFUNCTION("""COMPUTED_VALUE"""),44875.66666666667)</f>
        <v>44875.66667</v>
      </c>
      <c r="B534" s="1">
        <f>IFERROR(__xludf.DUMMYFUNCTION("""COMPUTED_VALUE"""),96.63)</f>
        <v>96.63</v>
      </c>
    </row>
    <row r="535">
      <c r="A535" s="2">
        <f>IFERROR(__xludf.DUMMYFUNCTION("""COMPUTED_VALUE"""),44876.66666666667)</f>
        <v>44876.66667</v>
      </c>
      <c r="B535" s="1">
        <f>IFERROR(__xludf.DUMMYFUNCTION("""COMPUTED_VALUE"""),100.79)</f>
        <v>100.79</v>
      </c>
    </row>
    <row r="536">
      <c r="A536" s="2">
        <f>IFERROR(__xludf.DUMMYFUNCTION("""COMPUTED_VALUE"""),44879.66666666667)</f>
        <v>44879.66667</v>
      </c>
      <c r="B536" s="1">
        <f>IFERROR(__xludf.DUMMYFUNCTION("""COMPUTED_VALUE"""),98.49)</f>
        <v>98.49</v>
      </c>
    </row>
    <row r="537">
      <c r="A537" s="2">
        <f>IFERROR(__xludf.DUMMYFUNCTION("""COMPUTED_VALUE"""),44880.66666666667)</f>
        <v>44880.66667</v>
      </c>
      <c r="B537" s="1">
        <f>IFERROR(__xludf.DUMMYFUNCTION("""COMPUTED_VALUE"""),98.94)</f>
        <v>98.94</v>
      </c>
    </row>
    <row r="538">
      <c r="A538" s="2">
        <f>IFERROR(__xludf.DUMMYFUNCTION("""COMPUTED_VALUE"""),44881.66666666667)</f>
        <v>44881.66667</v>
      </c>
      <c r="B538" s="1">
        <f>IFERROR(__xludf.DUMMYFUNCTION("""COMPUTED_VALUE"""),97.12)</f>
        <v>97.12</v>
      </c>
    </row>
    <row r="539">
      <c r="A539" s="2">
        <f>IFERROR(__xludf.DUMMYFUNCTION("""COMPUTED_VALUE"""),44882.66666666667)</f>
        <v>44882.66667</v>
      </c>
      <c r="B539" s="1">
        <f>IFERROR(__xludf.DUMMYFUNCTION("""COMPUTED_VALUE"""),94.85)</f>
        <v>94.85</v>
      </c>
    </row>
    <row r="540">
      <c r="A540" s="2">
        <f>IFERROR(__xludf.DUMMYFUNCTION("""COMPUTED_VALUE"""),44883.66666666667)</f>
        <v>44883.66667</v>
      </c>
      <c r="B540" s="1">
        <f>IFERROR(__xludf.DUMMYFUNCTION("""COMPUTED_VALUE"""),94.14)</f>
        <v>94.14</v>
      </c>
    </row>
    <row r="541">
      <c r="A541" s="2">
        <f>IFERROR(__xludf.DUMMYFUNCTION("""COMPUTED_VALUE"""),44886.66666666667)</f>
        <v>44886.66667</v>
      </c>
      <c r="B541" s="1">
        <f>IFERROR(__xludf.DUMMYFUNCTION("""COMPUTED_VALUE"""),92.46)</f>
        <v>92.46</v>
      </c>
    </row>
    <row r="542">
      <c r="A542" s="2">
        <f>IFERROR(__xludf.DUMMYFUNCTION("""COMPUTED_VALUE"""),44887.66666666667)</f>
        <v>44887.66667</v>
      </c>
      <c r="B542" s="1">
        <f>IFERROR(__xludf.DUMMYFUNCTION("""COMPUTED_VALUE"""),93.2)</f>
        <v>93.2</v>
      </c>
    </row>
    <row r="543">
      <c r="A543" s="2">
        <f>IFERROR(__xludf.DUMMYFUNCTION("""COMPUTED_VALUE"""),44888.66666666667)</f>
        <v>44888.66667</v>
      </c>
      <c r="B543" s="1">
        <f>IFERROR(__xludf.DUMMYFUNCTION("""COMPUTED_VALUE"""),94.13)</f>
        <v>94.13</v>
      </c>
    </row>
    <row r="544">
      <c r="A544" s="2">
        <f>IFERROR(__xludf.DUMMYFUNCTION("""COMPUTED_VALUE"""),44890.54513888889)</f>
        <v>44890.54514</v>
      </c>
      <c r="B544" s="1">
        <f>IFERROR(__xludf.DUMMYFUNCTION("""COMPUTED_VALUE"""),93.41)</f>
        <v>93.41</v>
      </c>
    </row>
    <row r="545">
      <c r="A545" s="2">
        <f>IFERROR(__xludf.DUMMYFUNCTION("""COMPUTED_VALUE"""),44893.66666666667)</f>
        <v>44893.66667</v>
      </c>
      <c r="B545" s="1">
        <f>IFERROR(__xludf.DUMMYFUNCTION("""COMPUTED_VALUE"""),93.95)</f>
        <v>93.95</v>
      </c>
    </row>
    <row r="546">
      <c r="A546" s="2">
        <f>IFERROR(__xludf.DUMMYFUNCTION("""COMPUTED_VALUE"""),44894.66666666667)</f>
        <v>44894.66667</v>
      </c>
      <c r="B546" s="1">
        <f>IFERROR(__xludf.DUMMYFUNCTION("""COMPUTED_VALUE"""),92.42)</f>
        <v>92.42</v>
      </c>
    </row>
    <row r="547">
      <c r="A547" s="2">
        <f>IFERROR(__xludf.DUMMYFUNCTION("""COMPUTED_VALUE"""),44895.66666666667)</f>
        <v>44895.66667</v>
      </c>
      <c r="B547" s="1">
        <f>IFERROR(__xludf.DUMMYFUNCTION("""COMPUTED_VALUE"""),96.54)</f>
        <v>96.54</v>
      </c>
    </row>
    <row r="548">
      <c r="A548" s="2">
        <f>IFERROR(__xludf.DUMMYFUNCTION("""COMPUTED_VALUE"""),44896.66666666667)</f>
        <v>44896.66667</v>
      </c>
      <c r="B548" s="1">
        <f>IFERROR(__xludf.DUMMYFUNCTION("""COMPUTED_VALUE"""),95.5)</f>
        <v>95.5</v>
      </c>
    </row>
    <row r="549">
      <c r="A549" s="2">
        <f>IFERROR(__xludf.DUMMYFUNCTION("""COMPUTED_VALUE"""),44897.66666666667)</f>
        <v>44897.66667</v>
      </c>
      <c r="B549" s="1">
        <f>IFERROR(__xludf.DUMMYFUNCTION("""COMPUTED_VALUE"""),94.13)</f>
        <v>94.13</v>
      </c>
    </row>
    <row r="550">
      <c r="A550" s="2">
        <f>IFERROR(__xludf.DUMMYFUNCTION("""COMPUTED_VALUE"""),44900.66666666667)</f>
        <v>44900.66667</v>
      </c>
      <c r="B550" s="1">
        <f>IFERROR(__xludf.DUMMYFUNCTION("""COMPUTED_VALUE"""),91.01)</f>
        <v>91.01</v>
      </c>
    </row>
    <row r="551">
      <c r="A551" s="2">
        <f>IFERROR(__xludf.DUMMYFUNCTION("""COMPUTED_VALUE"""),44901.66666666667)</f>
        <v>44901.66667</v>
      </c>
      <c r="B551" s="1">
        <f>IFERROR(__xludf.DUMMYFUNCTION("""COMPUTED_VALUE"""),88.25)</f>
        <v>88.25</v>
      </c>
    </row>
    <row r="552">
      <c r="A552" s="2">
        <f>IFERROR(__xludf.DUMMYFUNCTION("""COMPUTED_VALUE"""),44902.66666666667)</f>
        <v>44902.66667</v>
      </c>
      <c r="B552" s="1">
        <f>IFERROR(__xludf.DUMMYFUNCTION("""COMPUTED_VALUE"""),88.46)</f>
        <v>88.46</v>
      </c>
    </row>
    <row r="553">
      <c r="A553" s="2">
        <f>IFERROR(__xludf.DUMMYFUNCTION("""COMPUTED_VALUE"""),44903.66666666667)</f>
        <v>44903.66667</v>
      </c>
      <c r="B553" s="1">
        <f>IFERROR(__xludf.DUMMYFUNCTION("""COMPUTED_VALUE"""),90.35)</f>
        <v>90.35</v>
      </c>
    </row>
    <row r="554">
      <c r="A554" s="2">
        <f>IFERROR(__xludf.DUMMYFUNCTION("""COMPUTED_VALUE"""),44904.66666666667)</f>
        <v>44904.66667</v>
      </c>
      <c r="B554" s="1">
        <f>IFERROR(__xludf.DUMMYFUNCTION("""COMPUTED_VALUE"""),89.09)</f>
        <v>89.09</v>
      </c>
    </row>
    <row r="555">
      <c r="A555" s="2">
        <f>IFERROR(__xludf.DUMMYFUNCTION("""COMPUTED_VALUE"""),44907.66666666667)</f>
        <v>44907.66667</v>
      </c>
      <c r="B555" s="1">
        <f>IFERROR(__xludf.DUMMYFUNCTION("""COMPUTED_VALUE"""),90.55)</f>
        <v>90.55</v>
      </c>
    </row>
    <row r="556">
      <c r="A556" s="2">
        <f>IFERROR(__xludf.DUMMYFUNCTION("""COMPUTED_VALUE"""),44908.66666666667)</f>
        <v>44908.66667</v>
      </c>
      <c r="B556" s="1">
        <f>IFERROR(__xludf.DUMMYFUNCTION("""COMPUTED_VALUE"""),92.49)</f>
        <v>92.49</v>
      </c>
    </row>
    <row r="557">
      <c r="A557" s="2">
        <f>IFERROR(__xludf.DUMMYFUNCTION("""COMPUTED_VALUE"""),44909.66666666667)</f>
        <v>44909.66667</v>
      </c>
      <c r="B557" s="1">
        <f>IFERROR(__xludf.DUMMYFUNCTION("""COMPUTED_VALUE"""),91.58)</f>
        <v>91.58</v>
      </c>
    </row>
    <row r="558">
      <c r="A558" s="2">
        <f>IFERROR(__xludf.DUMMYFUNCTION("""COMPUTED_VALUE"""),44910.66666666667)</f>
        <v>44910.66667</v>
      </c>
      <c r="B558" s="1">
        <f>IFERROR(__xludf.DUMMYFUNCTION("""COMPUTED_VALUE"""),88.45)</f>
        <v>88.45</v>
      </c>
    </row>
    <row r="559">
      <c r="A559" s="2">
        <f>IFERROR(__xludf.DUMMYFUNCTION("""COMPUTED_VALUE"""),44911.66666666667)</f>
        <v>44911.66667</v>
      </c>
      <c r="B559" s="1">
        <f>IFERROR(__xludf.DUMMYFUNCTION("""COMPUTED_VALUE"""),87.86)</f>
        <v>87.86</v>
      </c>
    </row>
    <row r="560">
      <c r="A560" s="2">
        <f>IFERROR(__xludf.DUMMYFUNCTION("""COMPUTED_VALUE"""),44914.66666666667)</f>
        <v>44914.66667</v>
      </c>
      <c r="B560" s="1">
        <f>IFERROR(__xludf.DUMMYFUNCTION("""COMPUTED_VALUE"""),84.92)</f>
        <v>84.92</v>
      </c>
    </row>
    <row r="561">
      <c r="A561" s="2">
        <f>IFERROR(__xludf.DUMMYFUNCTION("""COMPUTED_VALUE"""),44915.66666666667)</f>
        <v>44915.66667</v>
      </c>
      <c r="B561" s="1">
        <f>IFERROR(__xludf.DUMMYFUNCTION("""COMPUTED_VALUE"""),85.19)</f>
        <v>85.19</v>
      </c>
    </row>
    <row r="562">
      <c r="A562" s="2">
        <f>IFERROR(__xludf.DUMMYFUNCTION("""COMPUTED_VALUE"""),44916.66666666667)</f>
        <v>44916.66667</v>
      </c>
      <c r="B562" s="1">
        <f>IFERROR(__xludf.DUMMYFUNCTION("""COMPUTED_VALUE"""),86.77)</f>
        <v>86.77</v>
      </c>
    </row>
    <row r="563">
      <c r="A563" s="2">
        <f>IFERROR(__xludf.DUMMYFUNCTION("""COMPUTED_VALUE"""),44917.66666666667)</f>
        <v>44917.66667</v>
      </c>
      <c r="B563" s="1">
        <f>IFERROR(__xludf.DUMMYFUNCTION("""COMPUTED_VALUE"""),83.79)</f>
        <v>83.79</v>
      </c>
    </row>
    <row r="564">
      <c r="A564" s="2">
        <f>IFERROR(__xludf.DUMMYFUNCTION("""COMPUTED_VALUE"""),44918.66666666667)</f>
        <v>44918.66667</v>
      </c>
      <c r="B564" s="1">
        <f>IFERROR(__xludf.DUMMYFUNCTION("""COMPUTED_VALUE"""),85.25)</f>
        <v>85.25</v>
      </c>
    </row>
    <row r="565">
      <c r="A565" s="2">
        <f>IFERROR(__xludf.DUMMYFUNCTION("""COMPUTED_VALUE"""),44922.66666666667)</f>
        <v>44922.66667</v>
      </c>
      <c r="B565" s="1">
        <f>IFERROR(__xludf.DUMMYFUNCTION("""COMPUTED_VALUE"""),83.04)</f>
        <v>83.04</v>
      </c>
    </row>
    <row r="566">
      <c r="A566" s="2">
        <f>IFERROR(__xludf.DUMMYFUNCTION("""COMPUTED_VALUE"""),44923.66666666667)</f>
        <v>44923.66667</v>
      </c>
      <c r="B566" s="1">
        <f>IFERROR(__xludf.DUMMYFUNCTION("""COMPUTED_VALUE"""),81.82)</f>
        <v>81.82</v>
      </c>
    </row>
    <row r="567">
      <c r="A567" s="2">
        <f>IFERROR(__xludf.DUMMYFUNCTION("""COMPUTED_VALUE"""),44924.66666666667)</f>
        <v>44924.66667</v>
      </c>
      <c r="B567" s="1">
        <f>IFERROR(__xludf.DUMMYFUNCTION("""COMPUTED_VALUE"""),84.18)</f>
        <v>84.18</v>
      </c>
    </row>
    <row r="568">
      <c r="A568" s="2">
        <f>IFERROR(__xludf.DUMMYFUNCTION("""COMPUTED_VALUE"""),44925.66666666667)</f>
        <v>44925.66667</v>
      </c>
      <c r="B568" s="1">
        <f>IFERROR(__xludf.DUMMYFUNCTION("""COMPUTED_VALUE"""),84.0)</f>
        <v>84</v>
      </c>
    </row>
    <row r="569">
      <c r="A569" s="2">
        <f>IFERROR(__xludf.DUMMYFUNCTION("""COMPUTED_VALUE"""),44929.66666666667)</f>
        <v>44929.66667</v>
      </c>
      <c r="B569" s="1">
        <f>IFERROR(__xludf.DUMMYFUNCTION("""COMPUTED_VALUE"""),85.82)</f>
        <v>85.82</v>
      </c>
    </row>
    <row r="570">
      <c r="A570" s="2">
        <f>IFERROR(__xludf.DUMMYFUNCTION("""COMPUTED_VALUE"""),44930.66666666667)</f>
        <v>44930.66667</v>
      </c>
      <c r="B570" s="1">
        <f>IFERROR(__xludf.DUMMYFUNCTION("""COMPUTED_VALUE"""),85.14)</f>
        <v>85.14</v>
      </c>
    </row>
    <row r="571">
      <c r="A571" s="2">
        <f>IFERROR(__xludf.DUMMYFUNCTION("""COMPUTED_VALUE"""),44931.66666666667)</f>
        <v>44931.66667</v>
      </c>
      <c r="B571" s="1">
        <f>IFERROR(__xludf.DUMMYFUNCTION("""COMPUTED_VALUE"""),83.12)</f>
        <v>83.12</v>
      </c>
    </row>
    <row r="572">
      <c r="A572" s="2">
        <f>IFERROR(__xludf.DUMMYFUNCTION("""COMPUTED_VALUE"""),44932.66666666667)</f>
        <v>44932.66667</v>
      </c>
      <c r="B572" s="1">
        <f>IFERROR(__xludf.DUMMYFUNCTION("""COMPUTED_VALUE"""),86.08)</f>
        <v>86.08</v>
      </c>
    </row>
    <row r="573">
      <c r="A573" s="2">
        <f>IFERROR(__xludf.DUMMYFUNCTION("""COMPUTED_VALUE"""),44935.66666666667)</f>
        <v>44935.66667</v>
      </c>
      <c r="B573" s="1">
        <f>IFERROR(__xludf.DUMMYFUNCTION("""COMPUTED_VALUE"""),87.36)</f>
        <v>87.36</v>
      </c>
    </row>
    <row r="574">
      <c r="A574" s="2">
        <f>IFERROR(__xludf.DUMMYFUNCTION("""COMPUTED_VALUE"""),44936.66666666667)</f>
        <v>44936.66667</v>
      </c>
      <c r="B574" s="1">
        <f>IFERROR(__xludf.DUMMYFUNCTION("""COMPUTED_VALUE"""),89.87)</f>
        <v>89.87</v>
      </c>
    </row>
    <row r="575">
      <c r="A575" s="2">
        <f>IFERROR(__xludf.DUMMYFUNCTION("""COMPUTED_VALUE"""),44937.66666666667)</f>
        <v>44937.66667</v>
      </c>
      <c r="B575" s="1">
        <f>IFERROR(__xludf.DUMMYFUNCTION("""COMPUTED_VALUE"""),95.09)</f>
        <v>95.09</v>
      </c>
    </row>
    <row r="576">
      <c r="A576" s="2">
        <f>IFERROR(__xludf.DUMMYFUNCTION("""COMPUTED_VALUE"""),44938.66666666667)</f>
        <v>44938.66667</v>
      </c>
      <c r="B576" s="1">
        <f>IFERROR(__xludf.DUMMYFUNCTION("""COMPUTED_VALUE"""),95.27)</f>
        <v>95.27</v>
      </c>
    </row>
    <row r="577">
      <c r="A577" s="2">
        <f>IFERROR(__xludf.DUMMYFUNCTION("""COMPUTED_VALUE"""),44939.66666666667)</f>
        <v>44939.66667</v>
      </c>
      <c r="B577" s="1">
        <f>IFERROR(__xludf.DUMMYFUNCTION("""COMPUTED_VALUE"""),98.12)</f>
        <v>98.12</v>
      </c>
    </row>
    <row r="578">
      <c r="A578" s="2">
        <f>IFERROR(__xludf.DUMMYFUNCTION("""COMPUTED_VALUE"""),44943.66666666667)</f>
        <v>44943.66667</v>
      </c>
      <c r="B578" s="1">
        <f>IFERROR(__xludf.DUMMYFUNCTION("""COMPUTED_VALUE"""),96.05)</f>
        <v>96.05</v>
      </c>
    </row>
    <row r="579">
      <c r="A579" s="2">
        <f>IFERROR(__xludf.DUMMYFUNCTION("""COMPUTED_VALUE"""),44944.66666666667)</f>
        <v>44944.66667</v>
      </c>
      <c r="B579" s="1">
        <f>IFERROR(__xludf.DUMMYFUNCTION("""COMPUTED_VALUE"""),95.46)</f>
        <v>95.46</v>
      </c>
    </row>
    <row r="580">
      <c r="A580" s="2">
        <f>IFERROR(__xludf.DUMMYFUNCTION("""COMPUTED_VALUE"""),44945.66666666667)</f>
        <v>44945.66667</v>
      </c>
      <c r="B580" s="1">
        <f>IFERROR(__xludf.DUMMYFUNCTION("""COMPUTED_VALUE"""),93.68)</f>
        <v>93.68</v>
      </c>
    </row>
    <row r="581">
      <c r="A581" s="2">
        <f>IFERROR(__xludf.DUMMYFUNCTION("""COMPUTED_VALUE"""),44946.66666666667)</f>
        <v>44946.66667</v>
      </c>
      <c r="B581" s="1">
        <f>IFERROR(__xludf.DUMMYFUNCTION("""COMPUTED_VALUE"""),97.25)</f>
        <v>97.25</v>
      </c>
    </row>
    <row r="582">
      <c r="A582" s="2">
        <f>IFERROR(__xludf.DUMMYFUNCTION("""COMPUTED_VALUE"""),44949.66666666667)</f>
        <v>44949.66667</v>
      </c>
      <c r="B582" s="1">
        <f>IFERROR(__xludf.DUMMYFUNCTION("""COMPUTED_VALUE"""),97.52)</f>
        <v>97.52</v>
      </c>
    </row>
    <row r="583">
      <c r="A583" s="2">
        <f>IFERROR(__xludf.DUMMYFUNCTION("""COMPUTED_VALUE"""),44950.66666666667)</f>
        <v>44950.66667</v>
      </c>
      <c r="B583" s="1">
        <f>IFERROR(__xludf.DUMMYFUNCTION("""COMPUTED_VALUE"""),96.32)</f>
        <v>96.32</v>
      </c>
    </row>
    <row r="584">
      <c r="A584" s="2">
        <f>IFERROR(__xludf.DUMMYFUNCTION("""COMPUTED_VALUE"""),44951.66666666667)</f>
        <v>44951.66667</v>
      </c>
      <c r="B584" s="1">
        <f>IFERROR(__xludf.DUMMYFUNCTION("""COMPUTED_VALUE"""),97.18)</f>
        <v>97.18</v>
      </c>
    </row>
    <row r="585">
      <c r="A585" s="2">
        <f>IFERROR(__xludf.DUMMYFUNCTION("""COMPUTED_VALUE"""),44952.66666666667)</f>
        <v>44952.66667</v>
      </c>
      <c r="B585" s="1">
        <f>IFERROR(__xludf.DUMMYFUNCTION("""COMPUTED_VALUE"""),99.22)</f>
        <v>99.22</v>
      </c>
    </row>
    <row r="586">
      <c r="A586" s="2">
        <f>IFERROR(__xludf.DUMMYFUNCTION("""COMPUTED_VALUE"""),44953.66666666667)</f>
        <v>44953.66667</v>
      </c>
      <c r="B586" s="1">
        <f>IFERROR(__xludf.DUMMYFUNCTION("""COMPUTED_VALUE"""),102.24)</f>
        <v>102.24</v>
      </c>
    </row>
    <row r="587">
      <c r="A587" s="2">
        <f>IFERROR(__xludf.DUMMYFUNCTION("""COMPUTED_VALUE"""),44956.66666666667)</f>
        <v>44956.66667</v>
      </c>
      <c r="B587" s="1">
        <f>IFERROR(__xludf.DUMMYFUNCTION("""COMPUTED_VALUE"""),100.55)</f>
        <v>100.55</v>
      </c>
    </row>
    <row r="588">
      <c r="A588" s="2">
        <f>IFERROR(__xludf.DUMMYFUNCTION("""COMPUTED_VALUE"""),44957.66666666667)</f>
        <v>44957.66667</v>
      </c>
      <c r="B588" s="1">
        <f>IFERROR(__xludf.DUMMYFUNCTION("""COMPUTED_VALUE"""),103.13)</f>
        <v>103.13</v>
      </c>
    </row>
    <row r="589">
      <c r="A589" s="2">
        <f>IFERROR(__xludf.DUMMYFUNCTION("""COMPUTED_VALUE"""),44958.66666666667)</f>
        <v>44958.66667</v>
      </c>
      <c r="B589" s="1">
        <f>IFERROR(__xludf.DUMMYFUNCTION("""COMPUTED_VALUE"""),105.15)</f>
        <v>105.15</v>
      </c>
    </row>
    <row r="590">
      <c r="A590" s="2">
        <f>IFERROR(__xludf.DUMMYFUNCTION("""COMPUTED_VALUE"""),44959.66666666667)</f>
        <v>44959.66667</v>
      </c>
      <c r="B590" s="1">
        <f>IFERROR(__xludf.DUMMYFUNCTION("""COMPUTED_VALUE"""),112.91)</f>
        <v>112.91</v>
      </c>
    </row>
    <row r="591">
      <c r="A591" s="2">
        <f>IFERROR(__xludf.DUMMYFUNCTION("""COMPUTED_VALUE"""),44960.66666666667)</f>
        <v>44960.66667</v>
      </c>
      <c r="B591" s="1">
        <f>IFERROR(__xludf.DUMMYFUNCTION("""COMPUTED_VALUE"""),103.39)</f>
        <v>103.39</v>
      </c>
    </row>
    <row r="592">
      <c r="A592" s="2">
        <f>IFERROR(__xludf.DUMMYFUNCTION("""COMPUTED_VALUE"""),44963.66666666667)</f>
        <v>44963.66667</v>
      </c>
      <c r="B592" s="1">
        <f>IFERROR(__xludf.DUMMYFUNCTION("""COMPUTED_VALUE"""),102.18)</f>
        <v>102.18</v>
      </c>
    </row>
    <row r="593">
      <c r="A593" s="2">
        <f>IFERROR(__xludf.DUMMYFUNCTION("""COMPUTED_VALUE"""),44964.66666666667)</f>
        <v>44964.66667</v>
      </c>
      <c r="B593" s="1">
        <f>IFERROR(__xludf.DUMMYFUNCTION("""COMPUTED_VALUE"""),102.11)</f>
        <v>102.11</v>
      </c>
    </row>
    <row r="594">
      <c r="A594" s="2">
        <f>IFERROR(__xludf.DUMMYFUNCTION("""COMPUTED_VALUE"""),44965.66666666667)</f>
        <v>44965.66667</v>
      </c>
      <c r="B594" s="1">
        <f>IFERROR(__xludf.DUMMYFUNCTION("""COMPUTED_VALUE"""),100.05)</f>
        <v>100.05</v>
      </c>
    </row>
    <row r="595">
      <c r="A595" s="2">
        <f>IFERROR(__xludf.DUMMYFUNCTION("""COMPUTED_VALUE"""),44966.66666666667)</f>
        <v>44966.66667</v>
      </c>
      <c r="B595" s="1">
        <f>IFERROR(__xludf.DUMMYFUNCTION("""COMPUTED_VALUE"""),98.24)</f>
        <v>98.24</v>
      </c>
    </row>
    <row r="596">
      <c r="A596" s="2">
        <f>IFERROR(__xludf.DUMMYFUNCTION("""COMPUTED_VALUE"""),44967.66666666667)</f>
        <v>44967.66667</v>
      </c>
      <c r="B596" s="1">
        <f>IFERROR(__xludf.DUMMYFUNCTION("""COMPUTED_VALUE"""),97.61)</f>
        <v>97.61</v>
      </c>
    </row>
    <row r="597">
      <c r="A597" s="2">
        <f>IFERROR(__xludf.DUMMYFUNCTION("""COMPUTED_VALUE"""),44970.66666666667)</f>
        <v>44970.66667</v>
      </c>
      <c r="B597" s="1">
        <f>IFERROR(__xludf.DUMMYFUNCTION("""COMPUTED_VALUE"""),99.54)</f>
        <v>99.54</v>
      </c>
    </row>
    <row r="598">
      <c r="A598" s="2">
        <f>IFERROR(__xludf.DUMMYFUNCTION("""COMPUTED_VALUE"""),44971.66666666667)</f>
        <v>44971.66667</v>
      </c>
      <c r="B598" s="1">
        <f>IFERROR(__xludf.DUMMYFUNCTION("""COMPUTED_VALUE"""),99.7)</f>
        <v>99.7</v>
      </c>
    </row>
    <row r="599">
      <c r="A599" s="2">
        <f>IFERROR(__xludf.DUMMYFUNCTION("""COMPUTED_VALUE"""),44972.66666666667)</f>
        <v>44972.66667</v>
      </c>
      <c r="B599" s="1">
        <f>IFERROR(__xludf.DUMMYFUNCTION("""COMPUTED_VALUE"""),101.16)</f>
        <v>101.16</v>
      </c>
    </row>
    <row r="600">
      <c r="A600" s="2">
        <f>IFERROR(__xludf.DUMMYFUNCTION("""COMPUTED_VALUE"""),44973.66666666667)</f>
        <v>44973.66667</v>
      </c>
      <c r="B600" s="1">
        <f>IFERROR(__xludf.DUMMYFUNCTION("""COMPUTED_VALUE"""),98.15)</f>
        <v>98.15</v>
      </c>
    </row>
    <row r="601">
      <c r="A601" s="2">
        <f>IFERROR(__xludf.DUMMYFUNCTION("""COMPUTED_VALUE"""),44974.66666666667)</f>
        <v>44974.66667</v>
      </c>
      <c r="B601" s="1">
        <f>IFERROR(__xludf.DUMMYFUNCTION("""COMPUTED_VALUE"""),97.2)</f>
        <v>97.2</v>
      </c>
    </row>
    <row r="602">
      <c r="A602" s="2">
        <f>IFERROR(__xludf.DUMMYFUNCTION("""COMPUTED_VALUE"""),44978.66666666667)</f>
        <v>44978.66667</v>
      </c>
      <c r="B602" s="1">
        <f>IFERROR(__xludf.DUMMYFUNCTION("""COMPUTED_VALUE"""),94.58)</f>
        <v>94.58</v>
      </c>
    </row>
    <row r="603">
      <c r="A603" s="2">
        <f>IFERROR(__xludf.DUMMYFUNCTION("""COMPUTED_VALUE"""),44979.66666666667)</f>
        <v>44979.66667</v>
      </c>
      <c r="B603" s="1">
        <f>IFERROR(__xludf.DUMMYFUNCTION("""COMPUTED_VALUE"""),95.79)</f>
        <v>95.79</v>
      </c>
    </row>
    <row r="604">
      <c r="A604" s="2">
        <f>IFERROR(__xludf.DUMMYFUNCTION("""COMPUTED_VALUE"""),44980.66666666667)</f>
        <v>44980.66667</v>
      </c>
      <c r="B604" s="1">
        <f>IFERROR(__xludf.DUMMYFUNCTION("""COMPUTED_VALUE"""),95.82)</f>
        <v>95.82</v>
      </c>
    </row>
    <row r="605">
      <c r="A605" s="2">
        <f>IFERROR(__xludf.DUMMYFUNCTION("""COMPUTED_VALUE"""),44981.66666666667)</f>
        <v>44981.66667</v>
      </c>
      <c r="B605" s="1">
        <f>IFERROR(__xludf.DUMMYFUNCTION("""COMPUTED_VALUE"""),93.5)</f>
        <v>93.5</v>
      </c>
    </row>
    <row r="606">
      <c r="A606" s="2">
        <f>IFERROR(__xludf.DUMMYFUNCTION("""COMPUTED_VALUE"""),44984.66666666667)</f>
        <v>44984.66667</v>
      </c>
      <c r="B606" s="1">
        <f>IFERROR(__xludf.DUMMYFUNCTION("""COMPUTED_VALUE"""),93.76)</f>
        <v>93.76</v>
      </c>
    </row>
    <row r="607">
      <c r="A607" s="2">
        <f>IFERROR(__xludf.DUMMYFUNCTION("""COMPUTED_VALUE"""),44985.66666666667)</f>
        <v>44985.66667</v>
      </c>
      <c r="B607" s="1">
        <f>IFERROR(__xludf.DUMMYFUNCTION("""COMPUTED_VALUE"""),94.23)</f>
        <v>94.23</v>
      </c>
    </row>
    <row r="608">
      <c r="A608" s="2">
        <f>IFERROR(__xludf.DUMMYFUNCTION("""COMPUTED_VALUE"""),44986.66666666667)</f>
        <v>44986.66667</v>
      </c>
      <c r="B608" s="1">
        <f>IFERROR(__xludf.DUMMYFUNCTION("""COMPUTED_VALUE"""),92.17)</f>
        <v>92.17</v>
      </c>
    </row>
    <row r="609">
      <c r="A609" s="2">
        <f>IFERROR(__xludf.DUMMYFUNCTION("""COMPUTED_VALUE"""),44987.66666666667)</f>
        <v>44987.66667</v>
      </c>
      <c r="B609" s="1">
        <f>IFERROR(__xludf.DUMMYFUNCTION("""COMPUTED_VALUE"""),92.13)</f>
        <v>92.13</v>
      </c>
    </row>
    <row r="610">
      <c r="A610" s="2">
        <f>IFERROR(__xludf.DUMMYFUNCTION("""COMPUTED_VALUE"""),44988.66666666667)</f>
        <v>44988.66667</v>
      </c>
      <c r="B610" s="1">
        <f>IFERROR(__xludf.DUMMYFUNCTION("""COMPUTED_VALUE"""),94.9)</f>
        <v>94.9</v>
      </c>
    </row>
    <row r="611">
      <c r="A611" s="2">
        <f>IFERROR(__xludf.DUMMYFUNCTION("""COMPUTED_VALUE"""),44991.66666666667)</f>
        <v>44991.66667</v>
      </c>
      <c r="B611" s="1">
        <f>IFERROR(__xludf.DUMMYFUNCTION("""COMPUTED_VALUE"""),93.75)</f>
        <v>93.75</v>
      </c>
    </row>
    <row r="612">
      <c r="A612" s="2">
        <f>IFERROR(__xludf.DUMMYFUNCTION("""COMPUTED_VALUE"""),44992.66666666667)</f>
        <v>44992.66667</v>
      </c>
      <c r="B612" s="1">
        <f>IFERROR(__xludf.DUMMYFUNCTION("""COMPUTED_VALUE"""),93.55)</f>
        <v>93.55</v>
      </c>
    </row>
    <row r="613">
      <c r="A613" s="2">
        <f>IFERROR(__xludf.DUMMYFUNCTION("""COMPUTED_VALUE"""),44993.66666666667)</f>
        <v>44993.66667</v>
      </c>
      <c r="B613" s="1">
        <f>IFERROR(__xludf.DUMMYFUNCTION("""COMPUTED_VALUE"""),93.92)</f>
        <v>93.92</v>
      </c>
    </row>
    <row r="614">
      <c r="A614" s="2">
        <f>IFERROR(__xludf.DUMMYFUNCTION("""COMPUTED_VALUE"""),44994.66666666667)</f>
        <v>44994.66667</v>
      </c>
      <c r="B614" s="1">
        <f>IFERROR(__xludf.DUMMYFUNCTION("""COMPUTED_VALUE"""),92.25)</f>
        <v>92.25</v>
      </c>
    </row>
    <row r="615">
      <c r="A615" s="2">
        <f>IFERROR(__xludf.DUMMYFUNCTION("""COMPUTED_VALUE"""),44995.66666666667)</f>
        <v>44995.66667</v>
      </c>
      <c r="B615" s="1">
        <f>IFERROR(__xludf.DUMMYFUNCTION("""COMPUTED_VALUE"""),90.73)</f>
        <v>90.73</v>
      </c>
    </row>
    <row r="616">
      <c r="A616" s="2">
        <f>IFERROR(__xludf.DUMMYFUNCTION("""COMPUTED_VALUE"""),44998.66666666667)</f>
        <v>44998.66667</v>
      </c>
      <c r="B616" s="1">
        <f>IFERROR(__xludf.DUMMYFUNCTION("""COMPUTED_VALUE"""),92.43)</f>
        <v>92.43</v>
      </c>
    </row>
    <row r="617">
      <c r="A617" s="2">
        <f>IFERROR(__xludf.DUMMYFUNCTION("""COMPUTED_VALUE"""),44999.66666666667)</f>
        <v>44999.66667</v>
      </c>
      <c r="B617" s="1">
        <f>IFERROR(__xludf.DUMMYFUNCTION("""COMPUTED_VALUE"""),94.88)</f>
        <v>94.88</v>
      </c>
    </row>
    <row r="618">
      <c r="A618" s="2">
        <f>IFERROR(__xludf.DUMMYFUNCTION("""COMPUTED_VALUE"""),45000.66666666667)</f>
        <v>45000.66667</v>
      </c>
      <c r="B618" s="1">
        <f>IFERROR(__xludf.DUMMYFUNCTION("""COMPUTED_VALUE"""),96.2)</f>
        <v>96.2</v>
      </c>
    </row>
    <row r="619">
      <c r="A619" s="2">
        <f>IFERROR(__xludf.DUMMYFUNCTION("""COMPUTED_VALUE"""),45001.66666666667)</f>
        <v>45001.66667</v>
      </c>
      <c r="B619" s="1">
        <f>IFERROR(__xludf.DUMMYFUNCTION("""COMPUTED_VALUE"""),100.04)</f>
        <v>100.04</v>
      </c>
    </row>
    <row r="620">
      <c r="A620" s="2">
        <f>IFERROR(__xludf.DUMMYFUNCTION("""COMPUTED_VALUE"""),45002.66666666667)</f>
        <v>45002.66667</v>
      </c>
      <c r="B620" s="1">
        <f>IFERROR(__xludf.DUMMYFUNCTION("""COMPUTED_VALUE"""),98.95)</f>
        <v>98.95</v>
      </c>
    </row>
    <row r="621">
      <c r="A621" s="2">
        <f>IFERROR(__xludf.DUMMYFUNCTION("""COMPUTED_VALUE"""),45005.66666666667)</f>
        <v>45005.66667</v>
      </c>
      <c r="B621" s="1">
        <f>IFERROR(__xludf.DUMMYFUNCTION("""COMPUTED_VALUE"""),97.71)</f>
        <v>97.71</v>
      </c>
    </row>
    <row r="622">
      <c r="A622" s="2">
        <f>IFERROR(__xludf.DUMMYFUNCTION("""COMPUTED_VALUE"""),45006.66666666667)</f>
        <v>45006.66667</v>
      </c>
      <c r="B622" s="1">
        <f>IFERROR(__xludf.DUMMYFUNCTION("""COMPUTED_VALUE"""),100.61)</f>
        <v>100.61</v>
      </c>
    </row>
    <row r="623">
      <c r="A623" s="2">
        <f>IFERROR(__xludf.DUMMYFUNCTION("""COMPUTED_VALUE"""),45007.66666666667)</f>
        <v>45007.66667</v>
      </c>
      <c r="B623" s="1">
        <f>IFERROR(__xludf.DUMMYFUNCTION("""COMPUTED_VALUE"""),98.7)</f>
        <v>98.7</v>
      </c>
    </row>
    <row r="624">
      <c r="A624" s="2">
        <f>IFERROR(__xludf.DUMMYFUNCTION("""COMPUTED_VALUE"""),45008.66666666667)</f>
        <v>45008.66667</v>
      </c>
      <c r="B624" s="1">
        <f>IFERROR(__xludf.DUMMYFUNCTION("""COMPUTED_VALUE"""),98.71)</f>
        <v>98.71</v>
      </c>
    </row>
    <row r="625">
      <c r="A625" s="2">
        <f>IFERROR(__xludf.DUMMYFUNCTION("""COMPUTED_VALUE"""),45009.66666666667)</f>
        <v>45009.66667</v>
      </c>
      <c r="B625" s="1">
        <f>IFERROR(__xludf.DUMMYFUNCTION("""COMPUTED_VALUE"""),98.13)</f>
        <v>98.13</v>
      </c>
    </row>
    <row r="626">
      <c r="A626" s="2">
        <f>IFERROR(__xludf.DUMMYFUNCTION("""COMPUTED_VALUE"""),45012.66666666667)</f>
        <v>45012.66667</v>
      </c>
      <c r="B626" s="1">
        <f>IFERROR(__xludf.DUMMYFUNCTION("""COMPUTED_VALUE"""),98.04)</f>
        <v>98.04</v>
      </c>
    </row>
    <row r="627">
      <c r="A627" s="2">
        <f>IFERROR(__xludf.DUMMYFUNCTION("""COMPUTED_VALUE"""),45013.66666666667)</f>
        <v>45013.66667</v>
      </c>
      <c r="B627" s="1">
        <f>IFERROR(__xludf.DUMMYFUNCTION("""COMPUTED_VALUE"""),97.24)</f>
        <v>97.24</v>
      </c>
    </row>
    <row r="628">
      <c r="A628" s="2">
        <f>IFERROR(__xludf.DUMMYFUNCTION("""COMPUTED_VALUE"""),45014.66666666667)</f>
        <v>45014.66667</v>
      </c>
      <c r="B628" s="1">
        <f>IFERROR(__xludf.DUMMYFUNCTION("""COMPUTED_VALUE"""),100.25)</f>
        <v>100.25</v>
      </c>
    </row>
    <row r="629">
      <c r="A629" s="2">
        <f>IFERROR(__xludf.DUMMYFUNCTION("""COMPUTED_VALUE"""),45015.66666666667)</f>
        <v>45015.66667</v>
      </c>
      <c r="B629" s="1">
        <f>IFERROR(__xludf.DUMMYFUNCTION("""COMPUTED_VALUE"""),102.0)</f>
        <v>102</v>
      </c>
    </row>
    <row r="630">
      <c r="A630" s="2">
        <f>IFERROR(__xludf.DUMMYFUNCTION("""COMPUTED_VALUE"""),45016.66666666667)</f>
        <v>45016.66667</v>
      </c>
      <c r="B630" s="1">
        <f>IFERROR(__xludf.DUMMYFUNCTION("""COMPUTED_VALUE"""),103.29)</f>
        <v>103.29</v>
      </c>
    </row>
    <row r="631">
      <c r="A631" s="2">
        <f>IFERROR(__xludf.DUMMYFUNCTION("""COMPUTED_VALUE"""),45019.66666666667)</f>
        <v>45019.66667</v>
      </c>
      <c r="B631" s="1">
        <f>IFERROR(__xludf.DUMMYFUNCTION("""COMPUTED_VALUE"""),102.41)</f>
        <v>102.41</v>
      </c>
    </row>
    <row r="632">
      <c r="A632" s="2">
        <f>IFERROR(__xludf.DUMMYFUNCTION("""COMPUTED_VALUE"""),45020.66666666667)</f>
        <v>45020.66667</v>
      </c>
      <c r="B632" s="1">
        <f>IFERROR(__xludf.DUMMYFUNCTION("""COMPUTED_VALUE"""),103.95)</f>
        <v>103.95</v>
      </c>
    </row>
    <row r="633">
      <c r="A633" s="2">
        <f>IFERROR(__xludf.DUMMYFUNCTION("""COMPUTED_VALUE"""),45021.66666666667)</f>
        <v>45021.66667</v>
      </c>
      <c r="B633" s="1">
        <f>IFERROR(__xludf.DUMMYFUNCTION("""COMPUTED_VALUE"""),101.1)</f>
        <v>101.1</v>
      </c>
    </row>
    <row r="634">
      <c r="A634" s="2">
        <f>IFERROR(__xludf.DUMMYFUNCTION("""COMPUTED_VALUE"""),45022.66666666667)</f>
        <v>45022.66667</v>
      </c>
      <c r="B634" s="1">
        <f>IFERROR(__xludf.DUMMYFUNCTION("""COMPUTED_VALUE"""),102.06)</f>
        <v>102.06</v>
      </c>
    </row>
    <row r="635">
      <c r="A635" s="2">
        <f>IFERROR(__xludf.DUMMYFUNCTION("""COMPUTED_VALUE"""),45026.66666666667)</f>
        <v>45026.66667</v>
      </c>
      <c r="B635" s="1">
        <f>IFERROR(__xludf.DUMMYFUNCTION("""COMPUTED_VALUE"""),102.17)</f>
        <v>102.17</v>
      </c>
    </row>
    <row r="636">
      <c r="A636" s="2">
        <f>IFERROR(__xludf.DUMMYFUNCTION("""COMPUTED_VALUE"""),45027.66666666667)</f>
        <v>45027.66667</v>
      </c>
      <c r="B636" s="1">
        <f>IFERROR(__xludf.DUMMYFUNCTION("""COMPUTED_VALUE"""),99.92)</f>
        <v>99.92</v>
      </c>
    </row>
    <row r="637">
      <c r="A637" s="2">
        <f>IFERROR(__xludf.DUMMYFUNCTION("""COMPUTED_VALUE"""),45028.66666666667)</f>
        <v>45028.66667</v>
      </c>
      <c r="B637" s="1">
        <f>IFERROR(__xludf.DUMMYFUNCTION("""COMPUTED_VALUE"""),97.83)</f>
        <v>97.83</v>
      </c>
    </row>
    <row r="638">
      <c r="A638" s="2">
        <f>IFERROR(__xludf.DUMMYFUNCTION("""COMPUTED_VALUE"""),45029.66666666667)</f>
        <v>45029.66667</v>
      </c>
      <c r="B638" s="1">
        <f>IFERROR(__xludf.DUMMYFUNCTION("""COMPUTED_VALUE"""),102.4)</f>
        <v>102.4</v>
      </c>
    </row>
    <row r="639">
      <c r="A639" s="2">
        <f>IFERROR(__xludf.DUMMYFUNCTION("""COMPUTED_VALUE"""),45030.66666666667)</f>
        <v>45030.66667</v>
      </c>
      <c r="B639" s="1">
        <f>IFERROR(__xludf.DUMMYFUNCTION("""COMPUTED_VALUE"""),102.51)</f>
        <v>102.51</v>
      </c>
    </row>
    <row r="640">
      <c r="A640" s="2">
        <f>IFERROR(__xludf.DUMMYFUNCTION("""COMPUTED_VALUE"""),45033.66666666667)</f>
        <v>45033.66667</v>
      </c>
      <c r="B640" s="1">
        <f>IFERROR(__xludf.DUMMYFUNCTION("""COMPUTED_VALUE"""),102.74)</f>
        <v>102.74</v>
      </c>
    </row>
    <row r="641">
      <c r="A641" s="2">
        <f>IFERROR(__xludf.DUMMYFUNCTION("""COMPUTED_VALUE"""),45034.66666666667)</f>
        <v>45034.66667</v>
      </c>
      <c r="B641" s="1">
        <f>IFERROR(__xludf.DUMMYFUNCTION("""COMPUTED_VALUE"""),102.3)</f>
        <v>102.3</v>
      </c>
    </row>
    <row r="642">
      <c r="A642" s="2">
        <f>IFERROR(__xludf.DUMMYFUNCTION("""COMPUTED_VALUE"""),45035.66666666667)</f>
        <v>45035.66667</v>
      </c>
      <c r="B642" s="1">
        <f>IFERROR(__xludf.DUMMYFUNCTION("""COMPUTED_VALUE"""),104.3)</f>
        <v>104.3</v>
      </c>
    </row>
    <row r="643">
      <c r="A643" s="2">
        <f>IFERROR(__xludf.DUMMYFUNCTION("""COMPUTED_VALUE"""),45036.66666666667)</f>
        <v>45036.66667</v>
      </c>
      <c r="B643" s="1">
        <f>IFERROR(__xludf.DUMMYFUNCTION("""COMPUTED_VALUE"""),103.81)</f>
        <v>103.81</v>
      </c>
    </row>
    <row r="644">
      <c r="A644" s="2">
        <f>IFERROR(__xludf.DUMMYFUNCTION("""COMPUTED_VALUE"""),45037.66666666667)</f>
        <v>45037.66667</v>
      </c>
      <c r="B644" s="1">
        <f>IFERROR(__xludf.DUMMYFUNCTION("""COMPUTED_VALUE"""),106.96)</f>
        <v>106.96</v>
      </c>
    </row>
    <row r="645">
      <c r="A645" s="2">
        <f>IFERROR(__xludf.DUMMYFUNCTION("""COMPUTED_VALUE"""),45040.66666666667)</f>
        <v>45040.66667</v>
      </c>
      <c r="B645" s="1">
        <f>IFERROR(__xludf.DUMMYFUNCTION("""COMPUTED_VALUE"""),106.21)</f>
        <v>106.21</v>
      </c>
    </row>
    <row r="646">
      <c r="A646" s="2">
        <f>IFERROR(__xludf.DUMMYFUNCTION("""COMPUTED_VALUE"""),45041.66666666667)</f>
        <v>45041.66667</v>
      </c>
      <c r="B646" s="1">
        <f>IFERROR(__xludf.DUMMYFUNCTION("""COMPUTED_VALUE"""),102.57)</f>
        <v>102.57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IFERROR(__xludf.DUMMYFUNCTION("""COMPUTED_VALUE"""),104.98)</f>
        <v>104.98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IFERROR(__xludf.DUMMYFUNCTION("""COMPUTED_VALUE"""),109.82)</f>
        <v>109.82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IFERROR(__xludf.DUMMYFUNCTION("""COMPUTED_VALUE"""),105.45)</f>
        <v>105.45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IFERROR(__xludf.DUMMYFUNCTION("""COMPUTED_VALUE"""),102.05)</f>
        <v>102.05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IFERROR(__xludf.DUMMYFUNCTION("""COMPUTED_VALUE"""),103.63)</f>
        <v>103.63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IFERROR(__xludf.DUMMYFUNCTION("""COMPUTED_VALUE"""),103.65)</f>
        <v>103.65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IFERROR(__xludf.DUMMYFUNCTION("""COMPUTED_VALUE"""),104.0)</f>
        <v>104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IFERROR(__xludf.DUMMYFUNCTION("""COMPUTED_VALUE"""),105.66)</f>
        <v>105.66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IFERROR(__xludf.DUMMYFUNCTION("""COMPUTED_VALUE"""),105.83)</f>
        <v>105.83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IFERROR(__xludf.DUMMYFUNCTION("""COMPUTED_VALUE"""),106.62)</f>
        <v>106.62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IFERROR(__xludf.DUMMYFUNCTION("""COMPUTED_VALUE"""),110.19)</f>
        <v>110.19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IFERROR(__xludf.DUMMYFUNCTION("""COMPUTED_VALUE"""),112.18)</f>
        <v>112.18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IFERROR(__xludf.DUMMYFUNCTION("""COMPUTED_VALUE"""),110.26)</f>
        <v>110.26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IFERROR(__xludf.DUMMYFUNCTION("""COMPUTED_VALUE"""),111.2)</f>
        <v>111.2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IFERROR(__xludf.DUMMYFUNCTION("""COMPUTED_VALUE"""),113.4)</f>
        <v>113.4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IFERROR(__xludf.DUMMYFUNCTION("""COMPUTED_VALUE"""),115.5)</f>
        <v>115.5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IFERROR(__xludf.DUMMYFUNCTION("""COMPUTED_VALUE"""),118.15)</f>
        <v>118.15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IFERROR(__xludf.DUMMYFUNCTION("""COMPUTED_VALUE"""),116.25)</f>
        <v>116.25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IFERROR(__xludf.DUMMYFUNCTION("""COMPUTED_VALUE"""),115.01)</f>
        <v>115.01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IFERROR(__xludf.DUMMYFUNCTION("""COMPUTED_VALUE"""),114.99)</f>
        <v>114.99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IFERROR(__xludf.DUMMYFUNCTION("""COMPUTED_VALUE"""),116.75)</f>
        <v>116.75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IFERROR(__xludf.DUMMYFUNCTION("""COMPUTED_VALUE"""),115.0)</f>
        <v>115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IFERROR(__xludf.DUMMYFUNCTION("""COMPUTED_VALUE"""),120.11)</f>
        <v>120.11</v>
      </c>
    </row>
    <row r="670">
      <c r="A670" s="2">
        <f>IFERROR(__xludf.DUMMYFUNCTION("""COMPUTED_VALUE"""),45076.66666666667)</f>
        <v>45076.66667</v>
      </c>
      <c r="B670" s="1">
        <f>IFERROR(__xludf.DUMMYFUNCTION("""COMPUTED_VALUE"""),121.66)</f>
        <v>121.66</v>
      </c>
    </row>
    <row r="671">
      <c r="A671" s="2">
        <f>IFERROR(__xludf.DUMMYFUNCTION("""COMPUTED_VALUE"""),45077.66666666667)</f>
        <v>45077.66667</v>
      </c>
      <c r="B671" s="1">
        <f>IFERROR(__xludf.DUMMYFUNCTION("""COMPUTED_VALUE"""),120.58)</f>
        <v>120.58</v>
      </c>
    </row>
    <row r="672">
      <c r="A672" s="2">
        <f>IFERROR(__xludf.DUMMYFUNCTION("""COMPUTED_VALUE"""),45078.66666666667)</f>
        <v>45078.66667</v>
      </c>
      <c r="B672" s="1">
        <f>IFERROR(__xludf.DUMMYFUNCTION("""COMPUTED_VALUE"""),122.77)</f>
        <v>122.77</v>
      </c>
    </row>
    <row r="673">
      <c r="A673" s="2">
        <f>IFERROR(__xludf.DUMMYFUNCTION("""COMPUTED_VALUE"""),45079.66666666667)</f>
        <v>45079.66667</v>
      </c>
      <c r="B673" s="1">
        <f>IFERROR(__xludf.DUMMYFUNCTION("""COMPUTED_VALUE"""),124.25)</f>
        <v>124.25</v>
      </c>
    </row>
    <row r="674">
      <c r="A674" s="2">
        <f>IFERROR(__xludf.DUMMYFUNCTION("""COMPUTED_VALUE"""),45082.66666666667)</f>
        <v>45082.66667</v>
      </c>
      <c r="B674" s="1">
        <f>IFERROR(__xludf.DUMMYFUNCTION("""COMPUTED_VALUE"""),125.3)</f>
        <v>125.3</v>
      </c>
    </row>
    <row r="675">
      <c r="A675" s="2">
        <f>IFERROR(__xludf.DUMMYFUNCTION("""COMPUTED_VALUE"""),45083.66666666667)</f>
        <v>45083.66667</v>
      </c>
      <c r="B675" s="1">
        <f>IFERROR(__xludf.DUMMYFUNCTION("""COMPUTED_VALUE"""),126.61)</f>
        <v>126.61</v>
      </c>
    </row>
    <row r="676">
      <c r="A676" s="2">
        <f>IFERROR(__xludf.DUMMYFUNCTION("""COMPUTED_VALUE"""),45084.66666666667)</f>
        <v>45084.66667</v>
      </c>
      <c r="B676" s="1">
        <f>IFERROR(__xludf.DUMMYFUNCTION("""COMPUTED_VALUE"""),121.23)</f>
        <v>121.23</v>
      </c>
    </row>
    <row r="677">
      <c r="A677" s="2">
        <f>IFERROR(__xludf.DUMMYFUNCTION("""COMPUTED_VALUE"""),45085.66666666667)</f>
        <v>45085.66667</v>
      </c>
      <c r="B677" s="1">
        <f>IFERROR(__xludf.DUMMYFUNCTION("""COMPUTED_VALUE"""),124.25)</f>
        <v>124.25</v>
      </c>
    </row>
    <row r="678">
      <c r="A678" s="2">
        <f>IFERROR(__xludf.DUMMYFUNCTION("""COMPUTED_VALUE"""),45086.66666666667)</f>
        <v>45086.66667</v>
      </c>
      <c r="B678" s="1">
        <f>IFERROR(__xludf.DUMMYFUNCTION("""COMPUTED_VALUE"""),123.43)</f>
        <v>123.43</v>
      </c>
    </row>
    <row r="679">
      <c r="A679" s="2">
        <f>IFERROR(__xludf.DUMMYFUNCTION("""COMPUTED_VALUE"""),45089.66666666667)</f>
        <v>45089.66667</v>
      </c>
      <c r="B679" s="1">
        <f>IFERROR(__xludf.DUMMYFUNCTION("""COMPUTED_VALUE"""),126.57)</f>
        <v>126.57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IFERROR(__xludf.DUMMYFUNCTION("""COMPUTED_VALUE"""),126.66)</f>
        <v>126.66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IFERROR(__xludf.DUMMYFUNCTION("""COMPUTED_VALUE"""),126.42)</f>
        <v>126.42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IFERROR(__xludf.DUMMYFUNCTION("""COMPUTED_VALUE"""),127.11)</f>
        <v>127.11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IFERROR(__xludf.DUMMYFUNCTION("""COMPUTED_VALUE"""),125.49)</f>
        <v>125.49</v>
      </c>
    </row>
    <row r="684">
      <c r="A684" s="2">
        <f>IFERROR(__xludf.DUMMYFUNCTION("""COMPUTED_VALUE"""),45097.66666666667)</f>
        <v>45097.66667</v>
      </c>
      <c r="B684" s="1">
        <f>IFERROR(__xludf.DUMMYFUNCTION("""COMPUTED_VALUE"""),125.78)</f>
        <v>125.78</v>
      </c>
    </row>
    <row r="685">
      <c r="A685" s="2">
        <f>IFERROR(__xludf.DUMMYFUNCTION("""COMPUTED_VALUE"""),45098.66666666667)</f>
        <v>45098.66667</v>
      </c>
      <c r="B685" s="1">
        <f>IFERROR(__xludf.DUMMYFUNCTION("""COMPUTED_VALUE"""),124.83)</f>
        <v>124.83</v>
      </c>
    </row>
    <row r="686">
      <c r="A686" s="2">
        <f>IFERROR(__xludf.DUMMYFUNCTION("""COMPUTED_VALUE"""),45099.66666666667)</f>
        <v>45099.66667</v>
      </c>
      <c r="B686" s="1">
        <f>IFERROR(__xludf.DUMMYFUNCTION("""COMPUTED_VALUE"""),130.15)</f>
        <v>130.15</v>
      </c>
    </row>
    <row r="687">
      <c r="A687" s="2">
        <f>IFERROR(__xludf.DUMMYFUNCTION("""COMPUTED_VALUE"""),45100.66666666667)</f>
        <v>45100.66667</v>
      </c>
      <c r="B687" s="1">
        <f>IFERROR(__xludf.DUMMYFUNCTION("""COMPUTED_VALUE"""),129.33)</f>
        <v>129.33</v>
      </c>
    </row>
    <row r="688">
      <c r="A688" s="2">
        <f>IFERROR(__xludf.DUMMYFUNCTION("""COMPUTED_VALUE"""),45103.66666666667)</f>
        <v>45103.66667</v>
      </c>
      <c r="B688" s="1">
        <f>IFERROR(__xludf.DUMMYFUNCTION("""COMPUTED_VALUE"""),127.33)</f>
        <v>127.33</v>
      </c>
    </row>
    <row r="689">
      <c r="A689" s="2">
        <f>IFERROR(__xludf.DUMMYFUNCTION("""COMPUTED_VALUE"""),45104.66666666667)</f>
        <v>45104.66667</v>
      </c>
      <c r="B689" s="1">
        <f>IFERROR(__xludf.DUMMYFUNCTION("""COMPUTED_VALUE"""),129.18)</f>
        <v>129.18</v>
      </c>
    </row>
    <row r="690">
      <c r="A690" s="2">
        <f>IFERROR(__xludf.DUMMYFUNCTION("""COMPUTED_VALUE"""),45105.66666666667)</f>
        <v>45105.66667</v>
      </c>
      <c r="B690" s="1">
        <f>IFERROR(__xludf.DUMMYFUNCTION("""COMPUTED_VALUE"""),129.04)</f>
        <v>129.04</v>
      </c>
    </row>
    <row r="691">
      <c r="A691" s="2">
        <f>IFERROR(__xludf.DUMMYFUNCTION("""COMPUTED_VALUE"""),45106.66666666667)</f>
        <v>45106.66667</v>
      </c>
      <c r="B691" s="1">
        <f>IFERROR(__xludf.DUMMYFUNCTION("""COMPUTED_VALUE"""),127.9)</f>
        <v>127.9</v>
      </c>
    </row>
    <row r="692">
      <c r="A692" s="2">
        <f>IFERROR(__xludf.DUMMYFUNCTION("""COMPUTED_VALUE"""),45107.66666666667)</f>
        <v>45107.66667</v>
      </c>
      <c r="B692" s="1">
        <f>IFERROR(__xludf.DUMMYFUNCTION("""COMPUTED_VALUE"""),130.36)</f>
        <v>130.36</v>
      </c>
    </row>
    <row r="693">
      <c r="A693" s="2">
        <f>IFERROR(__xludf.DUMMYFUNCTION("""COMPUTED_VALUE"""),45110.54513888889)</f>
        <v>45110.54514</v>
      </c>
      <c r="B693" s="1">
        <f>IFERROR(__xludf.DUMMYFUNCTION("""COMPUTED_VALUE"""),130.22)</f>
        <v>130.22</v>
      </c>
    </row>
    <row r="694">
      <c r="A694" s="2">
        <f>IFERROR(__xludf.DUMMYFUNCTION("""COMPUTED_VALUE"""),45112.66666666667)</f>
        <v>45112.66667</v>
      </c>
      <c r="B694" s="1">
        <f>IFERROR(__xludf.DUMMYFUNCTION("""COMPUTED_VALUE"""),130.38)</f>
        <v>130.38</v>
      </c>
    </row>
    <row r="695">
      <c r="A695" s="2">
        <f>IFERROR(__xludf.DUMMYFUNCTION("""COMPUTED_VALUE"""),45113.66666666667)</f>
        <v>45113.66667</v>
      </c>
      <c r="B695" s="1">
        <f>IFERROR(__xludf.DUMMYFUNCTION("""COMPUTED_VALUE"""),128.36)</f>
        <v>128.36</v>
      </c>
    </row>
    <row r="696">
      <c r="A696" s="2">
        <f>IFERROR(__xludf.DUMMYFUNCTION("""COMPUTED_VALUE"""),45114.66666666667)</f>
        <v>45114.66667</v>
      </c>
      <c r="B696" s="1">
        <f>IFERROR(__xludf.DUMMYFUNCTION("""COMPUTED_VALUE"""),129.78)</f>
        <v>129.78</v>
      </c>
    </row>
    <row r="697">
      <c r="A697" s="2">
        <f>IFERROR(__xludf.DUMMYFUNCTION("""COMPUTED_VALUE"""),45117.66666666667)</f>
        <v>45117.66667</v>
      </c>
      <c r="B697" s="1">
        <f>IFERROR(__xludf.DUMMYFUNCTION("""COMPUTED_VALUE"""),127.13)</f>
        <v>127.13</v>
      </c>
    </row>
    <row r="698">
      <c r="A698" s="2">
        <f>IFERROR(__xludf.DUMMYFUNCTION("""COMPUTED_VALUE"""),45118.66666666667)</f>
        <v>45118.66667</v>
      </c>
      <c r="B698" s="1">
        <f>IFERROR(__xludf.DUMMYFUNCTION("""COMPUTED_VALUE"""),128.78)</f>
        <v>128.78</v>
      </c>
    </row>
    <row r="699">
      <c r="A699" s="2">
        <f>IFERROR(__xludf.DUMMYFUNCTION("""COMPUTED_VALUE"""),45119.66666666667)</f>
        <v>45119.66667</v>
      </c>
      <c r="B699" s="1">
        <f>IFERROR(__xludf.DUMMYFUNCTION("""COMPUTED_VALUE"""),130.8)</f>
        <v>130.8</v>
      </c>
    </row>
    <row r="700">
      <c r="A700" s="2">
        <f>IFERROR(__xludf.DUMMYFUNCTION("""COMPUTED_VALUE"""),45120.66666666667)</f>
        <v>45120.66667</v>
      </c>
      <c r="B700" s="1">
        <f>IFERROR(__xludf.DUMMYFUNCTION("""COMPUTED_VALUE"""),134.3)</f>
        <v>134.3</v>
      </c>
    </row>
    <row r="701">
      <c r="A701" s="2">
        <f>IFERROR(__xludf.DUMMYFUNCTION("""COMPUTED_VALUE"""),45121.66666666667)</f>
        <v>45121.66667</v>
      </c>
      <c r="B701" s="1">
        <f>IFERROR(__xludf.DUMMYFUNCTION("""COMPUTED_VALUE"""),134.68)</f>
        <v>134.68</v>
      </c>
    </row>
    <row r="702">
      <c r="A702" s="2">
        <f>IFERROR(__xludf.DUMMYFUNCTION("""COMPUTED_VALUE"""),45124.66666666667)</f>
        <v>45124.66667</v>
      </c>
      <c r="B702" s="1">
        <f>IFERROR(__xludf.DUMMYFUNCTION("""COMPUTED_VALUE"""),133.56)</f>
        <v>133.56</v>
      </c>
    </row>
    <row r="703">
      <c r="A703" s="2">
        <f>IFERROR(__xludf.DUMMYFUNCTION("""COMPUTED_VALUE"""),45125.66666666667)</f>
        <v>45125.66667</v>
      </c>
      <c r="B703" s="1">
        <f>IFERROR(__xludf.DUMMYFUNCTION("""COMPUTED_VALUE"""),132.83)</f>
        <v>132.83</v>
      </c>
    </row>
    <row r="704">
      <c r="A704" s="2">
        <f>IFERROR(__xludf.DUMMYFUNCTION("""COMPUTED_VALUE"""),45126.66666666667)</f>
        <v>45126.66667</v>
      </c>
      <c r="B704" s="1">
        <f>IFERROR(__xludf.DUMMYFUNCTION("""COMPUTED_VALUE"""),135.36)</f>
        <v>135.36</v>
      </c>
    </row>
    <row r="705">
      <c r="A705" s="2">
        <f>IFERROR(__xludf.DUMMYFUNCTION("""COMPUTED_VALUE"""),45127.66666666667)</f>
        <v>45127.66667</v>
      </c>
      <c r="B705" s="1">
        <f>IFERROR(__xludf.DUMMYFUNCTION("""COMPUTED_VALUE"""),129.96)</f>
        <v>129.96</v>
      </c>
    </row>
    <row r="706">
      <c r="A706" s="2">
        <f>IFERROR(__xludf.DUMMYFUNCTION("""COMPUTED_VALUE"""),45128.66666666667)</f>
        <v>45128.66667</v>
      </c>
      <c r="B706" s="1">
        <f>IFERROR(__xludf.DUMMYFUNCTION("""COMPUTED_VALUE"""),130.0)</f>
        <v>130</v>
      </c>
    </row>
    <row r="707">
      <c r="A707" s="2">
        <f>IFERROR(__xludf.DUMMYFUNCTION("""COMPUTED_VALUE"""),45131.66666666667)</f>
        <v>45131.66667</v>
      </c>
      <c r="B707" s="1">
        <f>IFERROR(__xludf.DUMMYFUNCTION("""COMPUTED_VALUE"""),128.8)</f>
        <v>128.8</v>
      </c>
    </row>
    <row r="708">
      <c r="A708" s="2">
        <f>IFERROR(__xludf.DUMMYFUNCTION("""COMPUTED_VALUE"""),45132.66666666667)</f>
        <v>45132.66667</v>
      </c>
      <c r="B708" s="1">
        <f>IFERROR(__xludf.DUMMYFUNCTION("""COMPUTED_VALUE"""),129.13)</f>
        <v>129.13</v>
      </c>
    </row>
    <row r="709">
      <c r="A709" s="2">
        <f>IFERROR(__xludf.DUMMYFUNCTION("""COMPUTED_VALUE"""),45133.66666666667)</f>
        <v>45133.66667</v>
      </c>
      <c r="B709" s="1">
        <f>IFERROR(__xludf.DUMMYFUNCTION("""COMPUTED_VALUE"""),128.15)</f>
        <v>128.15</v>
      </c>
    </row>
    <row r="710">
      <c r="A710" s="2">
        <f>IFERROR(__xludf.DUMMYFUNCTION("""COMPUTED_VALUE"""),45134.66666666667)</f>
        <v>45134.66667</v>
      </c>
      <c r="B710" s="1">
        <f>IFERROR(__xludf.DUMMYFUNCTION("""COMPUTED_VALUE"""),128.25)</f>
        <v>128.25</v>
      </c>
    </row>
    <row r="711">
      <c r="A711" s="2">
        <f>IFERROR(__xludf.DUMMYFUNCTION("""COMPUTED_VALUE"""),45135.66666666667)</f>
        <v>45135.66667</v>
      </c>
      <c r="B711" s="1">
        <f>IFERROR(__xludf.DUMMYFUNCTION("""COMPUTED_VALUE"""),132.21)</f>
        <v>132.21</v>
      </c>
    </row>
    <row r="712">
      <c r="A712" s="2">
        <f>IFERROR(__xludf.DUMMYFUNCTION("""COMPUTED_VALUE"""),45138.66666666667)</f>
        <v>45138.66667</v>
      </c>
      <c r="B712" s="1">
        <f>IFERROR(__xludf.DUMMYFUNCTION("""COMPUTED_VALUE"""),133.68)</f>
        <v>133.68</v>
      </c>
    </row>
    <row r="713">
      <c r="A713" s="2">
        <f>IFERROR(__xludf.DUMMYFUNCTION("""COMPUTED_VALUE"""),45139.66666666667)</f>
        <v>45139.66667</v>
      </c>
      <c r="B713" s="1">
        <f>IFERROR(__xludf.DUMMYFUNCTION("""COMPUTED_VALUE"""),131.69)</f>
        <v>131.69</v>
      </c>
    </row>
    <row r="714">
      <c r="A714" s="2">
        <f>IFERROR(__xludf.DUMMYFUNCTION("""COMPUTED_VALUE"""),45140.66666666667)</f>
        <v>45140.66667</v>
      </c>
      <c r="B714" s="1">
        <f>IFERROR(__xludf.DUMMYFUNCTION("""COMPUTED_VALUE"""),128.21)</f>
        <v>128.21</v>
      </c>
    </row>
    <row r="715">
      <c r="A715" s="2">
        <f>IFERROR(__xludf.DUMMYFUNCTION("""COMPUTED_VALUE"""),45141.66666666667)</f>
        <v>45141.66667</v>
      </c>
      <c r="B715" s="1">
        <f>IFERROR(__xludf.DUMMYFUNCTION("""COMPUTED_VALUE"""),128.91)</f>
        <v>128.91</v>
      </c>
    </row>
    <row r="716">
      <c r="A716" s="2">
        <f>IFERROR(__xludf.DUMMYFUNCTION("""COMPUTED_VALUE"""),45142.66666666667)</f>
        <v>45142.66667</v>
      </c>
      <c r="B716" s="1">
        <f>IFERROR(__xludf.DUMMYFUNCTION("""COMPUTED_VALUE"""),139.57)</f>
        <v>139.57</v>
      </c>
    </row>
    <row r="717">
      <c r="A717" s="2">
        <f>IFERROR(__xludf.DUMMYFUNCTION("""COMPUTED_VALUE"""),45145.66666666667)</f>
        <v>45145.66667</v>
      </c>
      <c r="B717" s="1">
        <f>IFERROR(__xludf.DUMMYFUNCTION("""COMPUTED_VALUE"""),142.22)</f>
        <v>142.22</v>
      </c>
    </row>
    <row r="718">
      <c r="A718" s="2">
        <f>IFERROR(__xludf.DUMMYFUNCTION("""COMPUTED_VALUE"""),45146.66666666667)</f>
        <v>45146.66667</v>
      </c>
      <c r="B718" s="1">
        <f>IFERROR(__xludf.DUMMYFUNCTION("""COMPUTED_VALUE"""),139.94)</f>
        <v>139.94</v>
      </c>
    </row>
    <row r="719">
      <c r="A719" s="2">
        <f>IFERROR(__xludf.DUMMYFUNCTION("""COMPUTED_VALUE"""),45147.66666666667)</f>
        <v>45147.66667</v>
      </c>
      <c r="B719" s="1">
        <f>IFERROR(__xludf.DUMMYFUNCTION("""COMPUTED_VALUE"""),137.85)</f>
        <v>137.85</v>
      </c>
    </row>
    <row r="720">
      <c r="A720" s="2">
        <f>IFERROR(__xludf.DUMMYFUNCTION("""COMPUTED_VALUE"""),45148.66666666667)</f>
        <v>45148.66667</v>
      </c>
      <c r="B720" s="1">
        <f>IFERROR(__xludf.DUMMYFUNCTION("""COMPUTED_VALUE"""),138.56)</f>
        <v>138.56</v>
      </c>
    </row>
    <row r="721">
      <c r="A721" s="2">
        <f>IFERROR(__xludf.DUMMYFUNCTION("""COMPUTED_VALUE"""),45149.66666666667)</f>
        <v>45149.66667</v>
      </c>
      <c r="B721" s="1">
        <f>IFERROR(__xludf.DUMMYFUNCTION("""COMPUTED_VALUE"""),138.41)</f>
        <v>138.41</v>
      </c>
    </row>
    <row r="722">
      <c r="A722" s="2">
        <f>IFERROR(__xludf.DUMMYFUNCTION("""COMPUTED_VALUE"""),45152.66666666667)</f>
        <v>45152.66667</v>
      </c>
      <c r="B722" s="1">
        <f>IFERROR(__xludf.DUMMYFUNCTION("""COMPUTED_VALUE"""),140.57)</f>
        <v>140.57</v>
      </c>
    </row>
    <row r="723">
      <c r="A723" s="2">
        <f>IFERROR(__xludf.DUMMYFUNCTION("""COMPUTED_VALUE"""),45153.66666666667)</f>
        <v>45153.66667</v>
      </c>
      <c r="B723" s="1">
        <f>IFERROR(__xludf.DUMMYFUNCTION("""COMPUTED_VALUE"""),137.67)</f>
        <v>137.67</v>
      </c>
    </row>
    <row r="724">
      <c r="A724" s="2">
        <f>IFERROR(__xludf.DUMMYFUNCTION("""COMPUTED_VALUE"""),45154.66666666667)</f>
        <v>45154.66667</v>
      </c>
      <c r="B724" s="1">
        <f>IFERROR(__xludf.DUMMYFUNCTION("""COMPUTED_VALUE"""),135.07)</f>
        <v>135.07</v>
      </c>
    </row>
    <row r="725">
      <c r="A725" s="2">
        <f>IFERROR(__xludf.DUMMYFUNCTION("""COMPUTED_VALUE"""),45155.66666666667)</f>
        <v>45155.66667</v>
      </c>
      <c r="B725" s="1">
        <f>IFERROR(__xludf.DUMMYFUNCTION("""COMPUTED_VALUE"""),133.98)</f>
        <v>133.98</v>
      </c>
    </row>
    <row r="726">
      <c r="A726" s="2">
        <f>IFERROR(__xludf.DUMMYFUNCTION("""COMPUTED_VALUE"""),45156.66666666667)</f>
        <v>45156.66667</v>
      </c>
      <c r="B726" s="1">
        <f>IFERROR(__xludf.DUMMYFUNCTION("""COMPUTED_VALUE"""),133.22)</f>
        <v>133.22</v>
      </c>
    </row>
    <row r="727">
      <c r="A727" s="2">
        <f>IFERROR(__xludf.DUMMYFUNCTION("""COMPUTED_VALUE"""),45159.66666666667)</f>
        <v>45159.66667</v>
      </c>
      <c r="B727" s="1">
        <f>IFERROR(__xludf.DUMMYFUNCTION("""COMPUTED_VALUE"""),134.68)</f>
        <v>134.68</v>
      </c>
    </row>
    <row r="728">
      <c r="A728" s="2">
        <f>IFERROR(__xludf.DUMMYFUNCTION("""COMPUTED_VALUE"""),45160.66666666667)</f>
        <v>45160.66667</v>
      </c>
      <c r="B728" s="1">
        <f>IFERROR(__xludf.DUMMYFUNCTION("""COMPUTED_VALUE"""),134.25)</f>
        <v>134.25</v>
      </c>
    </row>
    <row r="729">
      <c r="A729" s="2">
        <f>IFERROR(__xludf.DUMMYFUNCTION("""COMPUTED_VALUE"""),45161.66666666667)</f>
        <v>45161.66667</v>
      </c>
      <c r="B729" s="1">
        <f>IFERROR(__xludf.DUMMYFUNCTION("""COMPUTED_VALUE"""),135.52)</f>
        <v>135.52</v>
      </c>
    </row>
    <row r="730">
      <c r="A730" s="2">
        <f>IFERROR(__xludf.DUMMYFUNCTION("""COMPUTED_VALUE"""),45162.66666666667)</f>
        <v>45162.66667</v>
      </c>
      <c r="B730" s="1">
        <f>IFERROR(__xludf.DUMMYFUNCTION("""COMPUTED_VALUE"""),131.84)</f>
        <v>131.84</v>
      </c>
    </row>
    <row r="731">
      <c r="A731" s="2">
        <f>IFERROR(__xludf.DUMMYFUNCTION("""COMPUTED_VALUE"""),45163.66666666667)</f>
        <v>45163.66667</v>
      </c>
      <c r="B731" s="1">
        <f>IFERROR(__xludf.DUMMYFUNCTION("""COMPUTED_VALUE"""),133.26)</f>
        <v>133.26</v>
      </c>
    </row>
    <row r="732">
      <c r="A732" s="2">
        <f>IFERROR(__xludf.DUMMYFUNCTION("""COMPUTED_VALUE"""),45166.66666666667)</f>
        <v>45166.66667</v>
      </c>
      <c r="B732" s="1">
        <f>IFERROR(__xludf.DUMMYFUNCTION("""COMPUTED_VALUE"""),133.14)</f>
        <v>133.14</v>
      </c>
    </row>
    <row r="733">
      <c r="A733" s="2">
        <f>IFERROR(__xludf.DUMMYFUNCTION("""COMPUTED_VALUE"""),45167.66666666667)</f>
        <v>45167.66667</v>
      </c>
      <c r="B733" s="1">
        <f>IFERROR(__xludf.DUMMYFUNCTION("""COMPUTED_VALUE"""),134.91)</f>
        <v>134.91</v>
      </c>
    </row>
    <row r="734">
      <c r="A734" s="2">
        <f>IFERROR(__xludf.DUMMYFUNCTION("""COMPUTED_VALUE"""),45168.66666666667)</f>
        <v>45168.66667</v>
      </c>
      <c r="B734" s="1">
        <f>IFERROR(__xludf.DUMMYFUNCTION("""COMPUTED_VALUE"""),135.07)</f>
        <v>135.07</v>
      </c>
    </row>
    <row r="735">
      <c r="A735" s="2">
        <f>IFERROR(__xludf.DUMMYFUNCTION("""COMPUTED_VALUE"""),45169.66666666667)</f>
        <v>45169.66667</v>
      </c>
      <c r="B735" s="1">
        <f>IFERROR(__xludf.DUMMYFUNCTION("""COMPUTED_VALUE"""),138.01)</f>
        <v>138.01</v>
      </c>
    </row>
    <row r="736">
      <c r="A736" s="2">
        <f>IFERROR(__xludf.DUMMYFUNCTION("""COMPUTED_VALUE"""),45170.66666666667)</f>
        <v>45170.66667</v>
      </c>
      <c r="B736" s="1">
        <f>IFERROR(__xludf.DUMMYFUNCTION("""COMPUTED_VALUE"""),138.12)</f>
        <v>138.12</v>
      </c>
    </row>
    <row r="737">
      <c r="A737" s="2">
        <f>IFERROR(__xludf.DUMMYFUNCTION("""COMPUTED_VALUE"""),45174.66666666667)</f>
        <v>45174.66667</v>
      </c>
      <c r="B737" s="1">
        <f>IFERROR(__xludf.DUMMYFUNCTION("""COMPUTED_VALUE"""),137.27)</f>
        <v>137.27</v>
      </c>
    </row>
    <row r="738">
      <c r="A738" s="2">
        <f>IFERROR(__xludf.DUMMYFUNCTION("""COMPUTED_VALUE"""),45175.66666666667)</f>
        <v>45175.66667</v>
      </c>
      <c r="B738" s="1">
        <f>IFERROR(__xludf.DUMMYFUNCTION("""COMPUTED_VALUE"""),135.36)</f>
        <v>135.36</v>
      </c>
    </row>
    <row r="739">
      <c r="A739" s="2">
        <f>IFERROR(__xludf.DUMMYFUNCTION("""COMPUTED_VALUE"""),45176.66666666667)</f>
        <v>45176.66667</v>
      </c>
      <c r="B739" s="1">
        <f>IFERROR(__xludf.DUMMYFUNCTION("""COMPUTED_VALUE"""),137.85)</f>
        <v>137.85</v>
      </c>
    </row>
    <row r="740">
      <c r="A740" s="2">
        <f>IFERROR(__xludf.DUMMYFUNCTION("""COMPUTED_VALUE"""),45177.66666666667)</f>
        <v>45177.66667</v>
      </c>
      <c r="B740" s="1">
        <f>IFERROR(__xludf.DUMMYFUNCTION("""COMPUTED_VALUE"""),138.23)</f>
        <v>138.23</v>
      </c>
    </row>
    <row r="741">
      <c r="A741" s="2">
        <f>IFERROR(__xludf.DUMMYFUNCTION("""COMPUTED_VALUE"""),45180.66666666667)</f>
        <v>45180.66667</v>
      </c>
      <c r="B741" s="1">
        <f>IFERROR(__xludf.DUMMYFUNCTION("""COMPUTED_VALUE"""),143.1)</f>
        <v>143.1</v>
      </c>
    </row>
    <row r="742">
      <c r="A742" s="2">
        <f>IFERROR(__xludf.DUMMYFUNCTION("""COMPUTED_VALUE"""),45181.66666666667)</f>
        <v>45181.66667</v>
      </c>
      <c r="B742" s="1">
        <f>IFERROR(__xludf.DUMMYFUNCTION("""COMPUTED_VALUE"""),141.23)</f>
        <v>141.23</v>
      </c>
    </row>
    <row r="743">
      <c r="A743" s="2">
        <f>IFERROR(__xludf.DUMMYFUNCTION("""COMPUTED_VALUE"""),45182.66666666667)</f>
        <v>45182.66667</v>
      </c>
      <c r="B743" s="1">
        <f>IFERROR(__xludf.DUMMYFUNCTION("""COMPUTED_VALUE"""),144.85)</f>
        <v>144.85</v>
      </c>
    </row>
    <row r="744">
      <c r="A744" s="2">
        <f>IFERROR(__xludf.DUMMYFUNCTION("""COMPUTED_VALUE"""),45183.66666666667)</f>
        <v>45183.66667</v>
      </c>
      <c r="B744" s="1">
        <f>IFERROR(__xludf.DUMMYFUNCTION("""COMPUTED_VALUE"""),144.72)</f>
        <v>144.72</v>
      </c>
    </row>
    <row r="745">
      <c r="A745" s="2">
        <f>IFERROR(__xludf.DUMMYFUNCTION("""COMPUTED_VALUE"""),45184.66666666667)</f>
        <v>45184.66667</v>
      </c>
      <c r="B745" s="1">
        <f>IFERROR(__xludf.DUMMYFUNCTION("""COMPUTED_VALUE"""),140.39)</f>
        <v>140.39</v>
      </c>
    </row>
    <row r="746">
      <c r="A746" s="2">
        <f>IFERROR(__xludf.DUMMYFUNCTION("""COMPUTED_VALUE"""),45187.66666666667)</f>
        <v>45187.66667</v>
      </c>
      <c r="B746" s="1">
        <f>IFERROR(__xludf.DUMMYFUNCTION("""COMPUTED_VALUE"""),139.98)</f>
        <v>139.98</v>
      </c>
    </row>
    <row r="747">
      <c r="A747" s="2">
        <f>IFERROR(__xludf.DUMMYFUNCTION("""COMPUTED_VALUE"""),45188.66666666667)</f>
        <v>45188.66667</v>
      </c>
      <c r="B747" s="1">
        <f>IFERROR(__xludf.DUMMYFUNCTION("""COMPUTED_VALUE"""),137.63)</f>
        <v>137.63</v>
      </c>
    </row>
    <row r="748">
      <c r="A748" s="2">
        <f>IFERROR(__xludf.DUMMYFUNCTION("""COMPUTED_VALUE"""),45189.66666666667)</f>
        <v>45189.66667</v>
      </c>
      <c r="B748" s="1">
        <f>IFERROR(__xludf.DUMMYFUNCTION("""COMPUTED_VALUE"""),135.29)</f>
        <v>135.29</v>
      </c>
    </row>
    <row r="749">
      <c r="A749" s="2">
        <f>IFERROR(__xludf.DUMMYFUNCTION("""COMPUTED_VALUE"""),45190.66666666667)</f>
        <v>45190.66667</v>
      </c>
      <c r="B749" s="1">
        <f>IFERROR(__xludf.DUMMYFUNCTION("""COMPUTED_VALUE"""),129.33)</f>
        <v>129.33</v>
      </c>
    </row>
    <row r="750">
      <c r="A750" s="2">
        <f>IFERROR(__xludf.DUMMYFUNCTION("""COMPUTED_VALUE"""),45191.66666666667)</f>
        <v>45191.66667</v>
      </c>
      <c r="B750" s="1">
        <f>IFERROR(__xludf.DUMMYFUNCTION("""COMPUTED_VALUE"""),129.12)</f>
        <v>129.12</v>
      </c>
    </row>
    <row r="751">
      <c r="A751" s="2">
        <f>IFERROR(__xludf.DUMMYFUNCTION("""COMPUTED_VALUE"""),45194.66666666667)</f>
        <v>45194.66667</v>
      </c>
      <c r="B751" s="1">
        <f>IFERROR(__xludf.DUMMYFUNCTION("""COMPUTED_VALUE"""),131.27)</f>
        <v>131.27</v>
      </c>
    </row>
    <row r="752">
      <c r="A752" s="2">
        <f>IFERROR(__xludf.DUMMYFUNCTION("""COMPUTED_VALUE"""),45195.66666666667)</f>
        <v>45195.66667</v>
      </c>
      <c r="B752" s="1">
        <f>IFERROR(__xludf.DUMMYFUNCTION("""COMPUTED_VALUE"""),125.98)</f>
        <v>125.98</v>
      </c>
    </row>
    <row r="753">
      <c r="A753" s="2">
        <f>IFERROR(__xludf.DUMMYFUNCTION("""COMPUTED_VALUE"""),45196.66666666667)</f>
        <v>45196.66667</v>
      </c>
      <c r="B753" s="1">
        <f>IFERROR(__xludf.DUMMYFUNCTION("""COMPUTED_VALUE"""),125.98)</f>
        <v>125.98</v>
      </c>
    </row>
    <row r="754">
      <c r="A754" s="2">
        <f>IFERROR(__xludf.DUMMYFUNCTION("""COMPUTED_VALUE"""),45197.66666666667)</f>
        <v>45197.66667</v>
      </c>
      <c r="B754" s="1">
        <f>IFERROR(__xludf.DUMMYFUNCTION("""COMPUTED_VALUE"""),125.98)</f>
        <v>125.98</v>
      </c>
    </row>
    <row r="755">
      <c r="A755" s="2">
        <f>IFERROR(__xludf.DUMMYFUNCTION("""COMPUTED_VALUE"""),45198.66666666667)</f>
        <v>45198.66667</v>
      </c>
      <c r="B755" s="1">
        <f>IFERROR(__xludf.DUMMYFUNCTION("""COMPUTED_VALUE"""),127.12)</f>
        <v>127.12</v>
      </c>
    </row>
    <row r="756">
      <c r="A756" s="2">
        <f>IFERROR(__xludf.DUMMYFUNCTION("""COMPUTED_VALUE"""),45201.66666666667)</f>
        <v>45201.66667</v>
      </c>
      <c r="B756" s="1">
        <f>IFERROR(__xludf.DUMMYFUNCTION("""COMPUTED_VALUE"""),129.46)</f>
        <v>129.46</v>
      </c>
    </row>
    <row r="757">
      <c r="A757" s="2">
        <f>IFERROR(__xludf.DUMMYFUNCTION("""COMPUTED_VALUE"""),45202.66666666667)</f>
        <v>45202.66667</v>
      </c>
      <c r="B757" s="1">
        <f>IFERROR(__xludf.DUMMYFUNCTION("""COMPUTED_VALUE"""),124.72)</f>
        <v>124.72</v>
      </c>
    </row>
    <row r="758">
      <c r="A758" s="2">
        <f>IFERROR(__xludf.DUMMYFUNCTION("""COMPUTED_VALUE"""),45203.66666666667)</f>
        <v>45203.66667</v>
      </c>
      <c r="B758" s="1">
        <f>IFERROR(__xludf.DUMMYFUNCTION("""COMPUTED_VALUE"""),127.0)</f>
        <v>127</v>
      </c>
    </row>
    <row r="759">
      <c r="A759" s="2">
        <f>IFERROR(__xludf.DUMMYFUNCTION("""COMPUTED_VALUE"""),45204.66666666667)</f>
        <v>45204.66667</v>
      </c>
      <c r="B759" s="1">
        <f>IFERROR(__xludf.DUMMYFUNCTION("""COMPUTED_VALUE"""),125.96)</f>
        <v>125.96</v>
      </c>
    </row>
    <row r="760">
      <c r="A760" s="2">
        <f>IFERROR(__xludf.DUMMYFUNCTION("""COMPUTED_VALUE"""),45205.66666666667)</f>
        <v>45205.66667</v>
      </c>
      <c r="B760" s="1">
        <f>IFERROR(__xludf.DUMMYFUNCTION("""COMPUTED_VALUE"""),127.96)</f>
        <v>127.96</v>
      </c>
    </row>
    <row r="761">
      <c r="A761" s="2">
        <f>IFERROR(__xludf.DUMMYFUNCTION("""COMPUTED_VALUE"""),45208.66666666667)</f>
        <v>45208.66667</v>
      </c>
      <c r="B761" s="1">
        <f>IFERROR(__xludf.DUMMYFUNCTION("""COMPUTED_VALUE"""),128.26)</f>
        <v>128.26</v>
      </c>
    </row>
    <row r="762">
      <c r="A762" s="2">
        <f>IFERROR(__xludf.DUMMYFUNCTION("""COMPUTED_VALUE"""),45209.66666666667)</f>
        <v>45209.66667</v>
      </c>
      <c r="B762" s="1">
        <f>IFERROR(__xludf.DUMMYFUNCTION("""COMPUTED_VALUE"""),129.48)</f>
        <v>129.48</v>
      </c>
    </row>
    <row r="763">
      <c r="A763" s="2">
        <f>IFERROR(__xludf.DUMMYFUNCTION("""COMPUTED_VALUE"""),45210.66666666667)</f>
        <v>45210.66667</v>
      </c>
      <c r="B763" s="1">
        <f>IFERROR(__xludf.DUMMYFUNCTION("""COMPUTED_VALUE"""),131.83)</f>
        <v>131.83</v>
      </c>
    </row>
    <row r="764">
      <c r="A764" s="2">
        <f>IFERROR(__xludf.DUMMYFUNCTION("""COMPUTED_VALUE"""),45211.66666666667)</f>
        <v>45211.66667</v>
      </c>
      <c r="B764" s="1">
        <f>IFERROR(__xludf.DUMMYFUNCTION("""COMPUTED_VALUE"""),132.33)</f>
        <v>132.33</v>
      </c>
    </row>
    <row r="765">
      <c r="A765" s="2">
        <f>IFERROR(__xludf.DUMMYFUNCTION("""COMPUTED_VALUE"""),45212.66666666667)</f>
        <v>45212.66667</v>
      </c>
      <c r="B765" s="1">
        <f>IFERROR(__xludf.DUMMYFUNCTION("""COMPUTED_VALUE"""),129.79)</f>
        <v>129.79</v>
      </c>
    </row>
    <row r="766">
      <c r="A766" s="2">
        <f>IFERROR(__xludf.DUMMYFUNCTION("""COMPUTED_VALUE"""),45215.66666666667)</f>
        <v>45215.66667</v>
      </c>
      <c r="B766" s="1">
        <f>IFERROR(__xludf.DUMMYFUNCTION("""COMPUTED_VALUE"""),132.55)</f>
        <v>132.55</v>
      </c>
    </row>
    <row r="767">
      <c r="A767" s="2">
        <f>IFERROR(__xludf.DUMMYFUNCTION("""COMPUTED_VALUE"""),45216.66666666667)</f>
        <v>45216.66667</v>
      </c>
      <c r="B767" s="1">
        <f>IFERROR(__xludf.DUMMYFUNCTION("""COMPUTED_VALUE"""),131.47)</f>
        <v>131.47</v>
      </c>
    </row>
    <row r="768">
      <c r="A768" s="2">
        <f>IFERROR(__xludf.DUMMYFUNCTION("""COMPUTED_VALUE"""),45217.66666666667)</f>
        <v>45217.66667</v>
      </c>
      <c r="B768" s="1">
        <f>IFERROR(__xludf.DUMMYFUNCTION("""COMPUTED_VALUE"""),128.13)</f>
        <v>128.13</v>
      </c>
    </row>
    <row r="769">
      <c r="A769" s="2">
        <f>IFERROR(__xludf.DUMMYFUNCTION("""COMPUTED_VALUE"""),45218.66666666667)</f>
        <v>45218.66667</v>
      </c>
      <c r="B769" s="1">
        <f>IFERROR(__xludf.DUMMYFUNCTION("""COMPUTED_VALUE"""),128.4)</f>
        <v>128.4</v>
      </c>
    </row>
    <row r="770">
      <c r="A770" s="2">
        <f>IFERROR(__xludf.DUMMYFUNCTION("""COMPUTED_VALUE"""),45219.66666666667)</f>
        <v>45219.66667</v>
      </c>
      <c r="B770" s="1">
        <f>IFERROR(__xludf.DUMMYFUNCTION("""COMPUTED_VALUE"""),125.17)</f>
        <v>125.17</v>
      </c>
    </row>
    <row r="771">
      <c r="A771" s="2">
        <f>IFERROR(__xludf.DUMMYFUNCTION("""COMPUTED_VALUE"""),45222.66666666667)</f>
        <v>45222.66667</v>
      </c>
      <c r="B771" s="1">
        <f>IFERROR(__xludf.DUMMYFUNCTION("""COMPUTED_VALUE"""),126.56)</f>
        <v>126.56</v>
      </c>
    </row>
    <row r="772">
      <c r="A772" s="2">
        <f>IFERROR(__xludf.DUMMYFUNCTION("""COMPUTED_VALUE"""),45223.66666666667)</f>
        <v>45223.66667</v>
      </c>
      <c r="B772" s="1">
        <f>IFERROR(__xludf.DUMMYFUNCTION("""COMPUTED_VALUE"""),128.56)</f>
        <v>128.56</v>
      </c>
    </row>
    <row r="773">
      <c r="A773" s="2">
        <f>IFERROR(__xludf.DUMMYFUNCTION("""COMPUTED_VALUE"""),45224.66666666667)</f>
        <v>45224.66667</v>
      </c>
      <c r="B773" s="1">
        <f>IFERROR(__xludf.DUMMYFUNCTION("""COMPUTED_VALUE"""),121.39)</f>
        <v>121.39</v>
      </c>
    </row>
    <row r="774">
      <c r="A774" s="2">
        <f>IFERROR(__xludf.DUMMYFUNCTION("""COMPUTED_VALUE"""),45225.66666666667)</f>
        <v>45225.66667</v>
      </c>
      <c r="B774" s="1">
        <f>IFERROR(__xludf.DUMMYFUNCTION("""COMPUTED_VALUE"""),119.57)</f>
        <v>119.57</v>
      </c>
    </row>
    <row r="775">
      <c r="A775" s="2">
        <f>IFERROR(__xludf.DUMMYFUNCTION("""COMPUTED_VALUE"""),45226.66666666667)</f>
        <v>45226.66667</v>
      </c>
      <c r="B775" s="1">
        <f>IFERROR(__xludf.DUMMYFUNCTION("""COMPUTED_VALUE"""),127.74)</f>
        <v>127.74</v>
      </c>
    </row>
    <row r="776">
      <c r="A776" s="2">
        <f>IFERROR(__xludf.DUMMYFUNCTION("""COMPUTED_VALUE"""),45229.66666666667)</f>
        <v>45229.66667</v>
      </c>
      <c r="B776" s="1">
        <f>IFERROR(__xludf.DUMMYFUNCTION("""COMPUTED_VALUE"""),132.71)</f>
        <v>132.71</v>
      </c>
    </row>
    <row r="777">
      <c r="A777" s="2">
        <f>IFERROR(__xludf.DUMMYFUNCTION("""COMPUTED_VALUE"""),45230.66666666667)</f>
        <v>45230.66667</v>
      </c>
      <c r="B777" s="1">
        <f>IFERROR(__xludf.DUMMYFUNCTION("""COMPUTED_VALUE"""),133.09)</f>
        <v>133.09</v>
      </c>
    </row>
    <row r="778">
      <c r="A778" s="2">
        <f>IFERROR(__xludf.DUMMYFUNCTION("""COMPUTED_VALUE"""),45231.66666666667)</f>
        <v>45231.66667</v>
      </c>
      <c r="B778" s="1">
        <f>IFERROR(__xludf.DUMMYFUNCTION("""COMPUTED_VALUE"""),137.0)</f>
        <v>137</v>
      </c>
    </row>
    <row r="779">
      <c r="A779" s="2">
        <f>IFERROR(__xludf.DUMMYFUNCTION("""COMPUTED_VALUE"""),45232.66666666667)</f>
        <v>45232.66667</v>
      </c>
      <c r="B779" s="1">
        <f>IFERROR(__xludf.DUMMYFUNCTION("""COMPUTED_VALUE"""),138.07)</f>
        <v>138.07</v>
      </c>
    </row>
    <row r="780">
      <c r="A780" s="2">
        <f>IFERROR(__xludf.DUMMYFUNCTION("""COMPUTED_VALUE"""),45233.66666666667)</f>
        <v>45233.66667</v>
      </c>
      <c r="B780" s="1">
        <f>IFERROR(__xludf.DUMMYFUNCTION("""COMPUTED_VALUE"""),138.6)</f>
        <v>138.6</v>
      </c>
    </row>
    <row r="781">
      <c r="A781" s="2">
        <f>IFERROR(__xludf.DUMMYFUNCTION("""COMPUTED_VALUE"""),45236.66666666667)</f>
        <v>45236.66667</v>
      </c>
      <c r="B781" s="1">
        <f>IFERROR(__xludf.DUMMYFUNCTION("""COMPUTED_VALUE"""),139.74)</f>
        <v>139.74</v>
      </c>
    </row>
    <row r="782">
      <c r="A782" s="2">
        <f>IFERROR(__xludf.DUMMYFUNCTION("""COMPUTED_VALUE"""),45237.66666666667)</f>
        <v>45237.66667</v>
      </c>
      <c r="B782" s="1">
        <f>IFERROR(__xludf.DUMMYFUNCTION("""COMPUTED_VALUE"""),142.71)</f>
        <v>142.71</v>
      </c>
    </row>
    <row r="783">
      <c r="A783" s="2">
        <f>IFERROR(__xludf.DUMMYFUNCTION("""COMPUTED_VALUE"""),45238.66666666667)</f>
        <v>45238.66667</v>
      </c>
      <c r="B783" s="1">
        <f>IFERROR(__xludf.DUMMYFUNCTION("""COMPUTED_VALUE"""),142.08)</f>
        <v>142.08</v>
      </c>
    </row>
    <row r="784">
      <c r="A784" s="2">
        <f>IFERROR(__xludf.DUMMYFUNCTION("""COMPUTED_VALUE"""),45239.66666666667)</f>
        <v>45239.66667</v>
      </c>
      <c r="B784" s="1">
        <f>IFERROR(__xludf.DUMMYFUNCTION("""COMPUTED_VALUE"""),140.6)</f>
        <v>140.6</v>
      </c>
    </row>
    <row r="785">
      <c r="A785" s="2">
        <f>IFERROR(__xludf.DUMMYFUNCTION("""COMPUTED_VALUE"""),45240.66666666667)</f>
        <v>45240.66667</v>
      </c>
      <c r="B785" s="1">
        <f>IFERROR(__xludf.DUMMYFUNCTION("""COMPUTED_VALUE"""),143.56)</f>
        <v>143.56</v>
      </c>
    </row>
    <row r="786">
      <c r="A786" s="2">
        <f>IFERROR(__xludf.DUMMYFUNCTION("""COMPUTED_VALUE"""),45243.66666666667)</f>
        <v>45243.66667</v>
      </c>
      <c r="B786" s="1">
        <f>IFERROR(__xludf.DUMMYFUNCTION("""COMPUTED_VALUE"""),142.59)</f>
        <v>142.59</v>
      </c>
    </row>
    <row r="787">
      <c r="A787" s="2">
        <f>IFERROR(__xludf.DUMMYFUNCTION("""COMPUTED_VALUE"""),45244.66666666667)</f>
        <v>45244.66667</v>
      </c>
      <c r="B787" s="1">
        <f>IFERROR(__xludf.DUMMYFUNCTION("""COMPUTED_VALUE"""),145.8)</f>
        <v>145.8</v>
      </c>
    </row>
    <row r="788">
      <c r="A788" s="2">
        <f>IFERROR(__xludf.DUMMYFUNCTION("""COMPUTED_VALUE"""),45245.66666666667)</f>
        <v>45245.66667</v>
      </c>
      <c r="B788" s="1">
        <f>IFERROR(__xludf.DUMMYFUNCTION("""COMPUTED_VALUE"""),143.2)</f>
        <v>143.2</v>
      </c>
    </row>
    <row r="789">
      <c r="A789" s="2">
        <f>IFERROR(__xludf.DUMMYFUNCTION("""COMPUTED_VALUE"""),45246.66666666667)</f>
        <v>45246.66667</v>
      </c>
      <c r="B789" s="1">
        <f>IFERROR(__xludf.DUMMYFUNCTION("""COMPUTED_VALUE"""),142.83)</f>
        <v>142.83</v>
      </c>
    </row>
    <row r="790">
      <c r="A790" s="2">
        <f>IFERROR(__xludf.DUMMYFUNCTION("""COMPUTED_VALUE"""),45247.66666666667)</f>
        <v>45247.66667</v>
      </c>
      <c r="B790" s="1">
        <f>IFERROR(__xludf.DUMMYFUNCTION("""COMPUTED_VALUE"""),145.18)</f>
        <v>145.18</v>
      </c>
    </row>
    <row r="791">
      <c r="A791" s="2">
        <f>IFERROR(__xludf.DUMMYFUNCTION("""COMPUTED_VALUE"""),45250.66666666667)</f>
        <v>45250.66667</v>
      </c>
      <c r="B791" s="1">
        <f>IFERROR(__xludf.DUMMYFUNCTION("""COMPUTED_VALUE"""),146.13)</f>
        <v>146.13</v>
      </c>
    </row>
    <row r="792">
      <c r="A792" s="2">
        <f>IFERROR(__xludf.DUMMYFUNCTION("""COMPUTED_VALUE"""),45251.66666666667)</f>
        <v>45251.66667</v>
      </c>
      <c r="B792" s="1">
        <f>IFERROR(__xludf.DUMMYFUNCTION("""COMPUTED_VALUE"""),143.9)</f>
        <v>143.9</v>
      </c>
    </row>
    <row r="793">
      <c r="A793" s="2">
        <f>IFERROR(__xludf.DUMMYFUNCTION("""COMPUTED_VALUE"""),45252.66666666667)</f>
        <v>45252.66667</v>
      </c>
      <c r="B793" s="1">
        <f>IFERROR(__xludf.DUMMYFUNCTION("""COMPUTED_VALUE"""),146.71)</f>
        <v>146.71</v>
      </c>
    </row>
    <row r="794">
      <c r="A794" s="2">
        <f>IFERROR(__xludf.DUMMYFUNCTION("""COMPUTED_VALUE"""),45254.54513888889)</f>
        <v>45254.54514</v>
      </c>
      <c r="B794" s="1">
        <f>IFERROR(__xludf.DUMMYFUNCTION("""COMPUTED_VALUE"""),146.74)</f>
        <v>146.74</v>
      </c>
    </row>
    <row r="795">
      <c r="A795" s="2">
        <f>IFERROR(__xludf.DUMMYFUNCTION("""COMPUTED_VALUE"""),45257.66666666667)</f>
        <v>45257.66667</v>
      </c>
      <c r="B795" s="1">
        <f>IFERROR(__xludf.DUMMYFUNCTION("""COMPUTED_VALUE"""),147.73)</f>
        <v>147.73</v>
      </c>
    </row>
    <row r="796">
      <c r="A796" s="2">
        <f>IFERROR(__xludf.DUMMYFUNCTION("""COMPUTED_VALUE"""),45258.66666666667)</f>
        <v>45258.66667</v>
      </c>
      <c r="B796" s="1">
        <f>IFERROR(__xludf.DUMMYFUNCTION("""COMPUTED_VALUE"""),147.03)</f>
        <v>147.03</v>
      </c>
    </row>
    <row r="797">
      <c r="A797" s="2">
        <f>IFERROR(__xludf.DUMMYFUNCTION("""COMPUTED_VALUE"""),45259.66666666667)</f>
        <v>45259.66667</v>
      </c>
      <c r="B797" s="1">
        <f>IFERROR(__xludf.DUMMYFUNCTION("""COMPUTED_VALUE"""),146.32)</f>
        <v>146.32</v>
      </c>
    </row>
    <row r="798">
      <c r="A798" s="2">
        <f>IFERROR(__xludf.DUMMYFUNCTION("""COMPUTED_VALUE"""),45260.66666666667)</f>
        <v>45260.66667</v>
      </c>
      <c r="B798" s="1">
        <f>IFERROR(__xludf.DUMMYFUNCTION("""COMPUTED_VALUE"""),146.09)</f>
        <v>146.09</v>
      </c>
    </row>
    <row r="799">
      <c r="A799" s="2">
        <f>IFERROR(__xludf.DUMMYFUNCTION("""COMPUTED_VALUE"""),45261.66666666667)</f>
        <v>45261.66667</v>
      </c>
      <c r="B799" s="1">
        <f>IFERROR(__xludf.DUMMYFUNCTION("""COMPUTED_VALUE"""),147.03)</f>
        <v>147.03</v>
      </c>
    </row>
    <row r="800">
      <c r="A800" s="2">
        <f>IFERROR(__xludf.DUMMYFUNCTION("""COMPUTED_VALUE"""),45264.66666666667)</f>
        <v>45264.66667</v>
      </c>
      <c r="B800" s="1">
        <f>IFERROR(__xludf.DUMMYFUNCTION("""COMPUTED_VALUE"""),144.84)</f>
        <v>144.84</v>
      </c>
    </row>
    <row r="801">
      <c r="A801" s="2">
        <f>IFERROR(__xludf.DUMMYFUNCTION("""COMPUTED_VALUE"""),45265.66666666667)</f>
        <v>45265.66667</v>
      </c>
      <c r="B801" s="1">
        <f>IFERROR(__xludf.DUMMYFUNCTION("""COMPUTED_VALUE"""),146.88)</f>
        <v>146.88</v>
      </c>
    </row>
    <row r="802">
      <c r="A802" s="2">
        <f>IFERROR(__xludf.DUMMYFUNCTION("""COMPUTED_VALUE"""),45266.66666666667)</f>
        <v>45266.66667</v>
      </c>
      <c r="B802" s="1">
        <f>IFERROR(__xludf.DUMMYFUNCTION("""COMPUTED_VALUE"""),144.52)</f>
        <v>144.52</v>
      </c>
    </row>
    <row r="803">
      <c r="A803" s="2">
        <f>IFERROR(__xludf.DUMMYFUNCTION("""COMPUTED_VALUE"""),45267.66666666667)</f>
        <v>45267.66667</v>
      </c>
      <c r="B803" s="1">
        <f>IFERROR(__xludf.DUMMYFUNCTION("""COMPUTED_VALUE"""),146.88)</f>
        <v>146.88</v>
      </c>
    </row>
    <row r="804">
      <c r="A804" s="2">
        <f>IFERROR(__xludf.DUMMYFUNCTION("""COMPUTED_VALUE"""),45268.66666666667)</f>
        <v>45268.66667</v>
      </c>
      <c r="B804" s="1">
        <f>IFERROR(__xludf.DUMMYFUNCTION("""COMPUTED_VALUE"""),147.42)</f>
        <v>147.42</v>
      </c>
    </row>
    <row r="805">
      <c r="A805" s="2">
        <f>IFERROR(__xludf.DUMMYFUNCTION("""COMPUTED_VALUE"""),45271.66666666667)</f>
        <v>45271.66667</v>
      </c>
      <c r="B805" s="1">
        <f>IFERROR(__xludf.DUMMYFUNCTION("""COMPUTED_VALUE"""),145.89)</f>
        <v>145.89</v>
      </c>
    </row>
    <row r="806">
      <c r="A806" s="2">
        <f>IFERROR(__xludf.DUMMYFUNCTION("""COMPUTED_VALUE"""),45272.66666666667)</f>
        <v>45272.66667</v>
      </c>
      <c r="B806" s="1">
        <f>IFERROR(__xludf.DUMMYFUNCTION("""COMPUTED_VALUE"""),147.48)</f>
        <v>147.48</v>
      </c>
    </row>
    <row r="807">
      <c r="A807" s="2">
        <f>IFERROR(__xludf.DUMMYFUNCTION("""COMPUTED_VALUE"""),45273.66666666667)</f>
        <v>45273.66667</v>
      </c>
      <c r="B807" s="1">
        <f>IFERROR(__xludf.DUMMYFUNCTION("""COMPUTED_VALUE"""),148.84)</f>
        <v>148.84</v>
      </c>
    </row>
    <row r="808">
      <c r="A808" s="2">
        <f>IFERROR(__xludf.DUMMYFUNCTION("""COMPUTED_VALUE"""),45274.66666666667)</f>
        <v>45274.66667</v>
      </c>
      <c r="B808" s="1">
        <f>IFERROR(__xludf.DUMMYFUNCTION("""COMPUTED_VALUE"""),147.42)</f>
        <v>147.42</v>
      </c>
    </row>
    <row r="809">
      <c r="A809" s="2">
        <f>IFERROR(__xludf.DUMMYFUNCTION("""COMPUTED_VALUE"""),45275.66666666667)</f>
        <v>45275.66667</v>
      </c>
      <c r="B809" s="1">
        <f>IFERROR(__xludf.DUMMYFUNCTION("""COMPUTED_VALUE"""),149.97)</f>
        <v>149.97</v>
      </c>
    </row>
    <row r="810">
      <c r="A810" s="2">
        <f>IFERROR(__xludf.DUMMYFUNCTION("""COMPUTED_VALUE"""),45278.66666666667)</f>
        <v>45278.66667</v>
      </c>
      <c r="B810" s="1">
        <f>IFERROR(__xludf.DUMMYFUNCTION("""COMPUTED_VALUE"""),154.07)</f>
        <v>154.07</v>
      </c>
    </row>
    <row r="811">
      <c r="A811" s="2">
        <f>IFERROR(__xludf.DUMMYFUNCTION("""COMPUTED_VALUE"""),45279.66666666667)</f>
        <v>45279.66667</v>
      </c>
      <c r="B811" s="1">
        <f>IFERROR(__xludf.DUMMYFUNCTION("""COMPUTED_VALUE"""),153.79)</f>
        <v>153.79</v>
      </c>
    </row>
    <row r="812">
      <c r="A812" s="2">
        <f>IFERROR(__xludf.DUMMYFUNCTION("""COMPUTED_VALUE"""),45280.66666666667)</f>
        <v>45280.66667</v>
      </c>
      <c r="B812" s="1">
        <f>IFERROR(__xludf.DUMMYFUNCTION("""COMPUTED_VALUE"""),152.12)</f>
        <v>152.12</v>
      </c>
    </row>
    <row r="813">
      <c r="A813" s="2">
        <f>IFERROR(__xludf.DUMMYFUNCTION("""COMPUTED_VALUE"""),45281.66666666667)</f>
        <v>45281.66667</v>
      </c>
      <c r="B813" s="1">
        <f>IFERROR(__xludf.DUMMYFUNCTION("""COMPUTED_VALUE"""),153.84)</f>
        <v>153.84</v>
      </c>
    </row>
    <row r="814">
      <c r="A814" s="2">
        <f>IFERROR(__xludf.DUMMYFUNCTION("""COMPUTED_VALUE"""),45282.66666666667)</f>
        <v>45282.66667</v>
      </c>
      <c r="B814" s="1">
        <f>IFERROR(__xludf.DUMMYFUNCTION("""COMPUTED_VALUE"""),153.42)</f>
        <v>153.42</v>
      </c>
    </row>
    <row r="815">
      <c r="A815" s="2">
        <f>IFERROR(__xludf.DUMMYFUNCTION("""COMPUTED_VALUE"""),45286.66666666667)</f>
        <v>45286.66667</v>
      </c>
      <c r="B815" s="1">
        <f>IFERROR(__xludf.DUMMYFUNCTION("""COMPUTED_VALUE"""),153.41)</f>
        <v>153.41</v>
      </c>
    </row>
    <row r="816">
      <c r="A816" s="2">
        <f>IFERROR(__xludf.DUMMYFUNCTION("""COMPUTED_VALUE"""),45287.66666666667)</f>
        <v>45287.66667</v>
      </c>
      <c r="B816" s="1">
        <f>IFERROR(__xludf.DUMMYFUNCTION("""COMPUTED_VALUE"""),153.34)</f>
        <v>153.34</v>
      </c>
    </row>
    <row r="817">
      <c r="A817" s="2">
        <f>IFERROR(__xludf.DUMMYFUNCTION("""COMPUTED_VALUE"""),45288.66666666667)</f>
        <v>45288.66667</v>
      </c>
      <c r="B817" s="1">
        <f>IFERROR(__xludf.DUMMYFUNCTION("""COMPUTED_VALUE"""),153.38)</f>
        <v>153.38</v>
      </c>
    </row>
    <row r="818">
      <c r="A818" s="2">
        <f>IFERROR(__xludf.DUMMYFUNCTION("""COMPUTED_VALUE"""),45289.66666666667)</f>
        <v>45289.66667</v>
      </c>
      <c r="B818" s="1">
        <f>IFERROR(__xludf.DUMMYFUNCTION("""COMPUTED_VALUE"""),151.94)</f>
        <v>151.94</v>
      </c>
    </row>
    <row r="819">
      <c r="A819" s="2">
        <f>IFERROR(__xludf.DUMMYFUNCTION("""COMPUTED_VALUE"""),45293.66666666667)</f>
        <v>45293.66667</v>
      </c>
      <c r="B819" s="1">
        <f>IFERROR(__xludf.DUMMYFUNCTION("""COMPUTED_VALUE"""),149.93)</f>
        <v>149.93</v>
      </c>
    </row>
    <row r="820">
      <c r="A820" s="2">
        <f>IFERROR(__xludf.DUMMYFUNCTION("""COMPUTED_VALUE"""),45294.66666666667)</f>
        <v>45294.66667</v>
      </c>
      <c r="B820" s="1">
        <f>IFERROR(__xludf.DUMMYFUNCTION("""COMPUTED_VALUE"""),148.47)</f>
        <v>148.47</v>
      </c>
    </row>
    <row r="821">
      <c r="A821" s="2">
        <f>IFERROR(__xludf.DUMMYFUNCTION("""COMPUTED_VALUE"""),45295.66666666667)</f>
        <v>45295.66667</v>
      </c>
      <c r="B821" s="1">
        <f>IFERROR(__xludf.DUMMYFUNCTION("""COMPUTED_VALUE"""),144.57)</f>
        <v>144.57</v>
      </c>
    </row>
    <row r="822">
      <c r="A822" s="2">
        <f>IFERROR(__xludf.DUMMYFUNCTION("""COMPUTED_VALUE"""),45296.66666666667)</f>
        <v>45296.66667</v>
      </c>
      <c r="B822" s="1">
        <f>IFERROR(__xludf.DUMMYFUNCTION("""COMPUTED_VALUE"""),145.24)</f>
        <v>145.24</v>
      </c>
    </row>
    <row r="823">
      <c r="A823" s="2">
        <f>IFERROR(__xludf.DUMMYFUNCTION("""COMPUTED_VALUE"""),45299.66666666667)</f>
        <v>45299.66667</v>
      </c>
      <c r="B823" s="1">
        <f>IFERROR(__xludf.DUMMYFUNCTION("""COMPUTED_VALUE"""),149.1)</f>
        <v>149.1</v>
      </c>
    </row>
    <row r="824">
      <c r="A824" s="2">
        <f>IFERROR(__xludf.DUMMYFUNCTION("""COMPUTED_VALUE"""),45300.66666666667)</f>
        <v>45300.66667</v>
      </c>
      <c r="B824" s="1">
        <f>IFERROR(__xludf.DUMMYFUNCTION("""COMPUTED_VALUE"""),151.37)</f>
        <v>151.37</v>
      </c>
    </row>
    <row r="825">
      <c r="A825" s="2">
        <f>IFERROR(__xludf.DUMMYFUNCTION("""COMPUTED_VALUE"""),45301.66666666667)</f>
        <v>45301.66667</v>
      </c>
      <c r="B825" s="1">
        <f>IFERROR(__xludf.DUMMYFUNCTION("""COMPUTED_VALUE"""),153.73)</f>
        <v>153.73</v>
      </c>
    </row>
    <row r="826">
      <c r="A826" s="2">
        <f>IFERROR(__xludf.DUMMYFUNCTION("""COMPUTED_VALUE"""),45302.66666666667)</f>
        <v>45302.66667</v>
      </c>
      <c r="B826" s="1">
        <f>IFERROR(__xludf.DUMMYFUNCTION("""COMPUTED_VALUE"""),155.18)</f>
        <v>155.18</v>
      </c>
    </row>
    <row r="827">
      <c r="A827" s="2">
        <f>IFERROR(__xludf.DUMMYFUNCTION("""COMPUTED_VALUE"""),45303.66666666667)</f>
        <v>45303.66667</v>
      </c>
      <c r="B827" s="1">
        <f>IFERROR(__xludf.DUMMYFUNCTION("""COMPUTED_VALUE"""),154.62)</f>
        <v>154.62</v>
      </c>
    </row>
    <row r="828">
      <c r="A828" s="2">
        <f>IFERROR(__xludf.DUMMYFUNCTION("""COMPUTED_VALUE"""),45307.66666666667)</f>
        <v>45307.66667</v>
      </c>
      <c r="B828" s="1">
        <f>IFERROR(__xludf.DUMMYFUNCTION("""COMPUTED_VALUE"""),153.16)</f>
        <v>153.16</v>
      </c>
    </row>
    <row r="829">
      <c r="A829" s="2">
        <f>IFERROR(__xludf.DUMMYFUNCTION("""COMPUTED_VALUE"""),45308.66666666667)</f>
        <v>45308.66667</v>
      </c>
      <c r="B829" s="1">
        <f>IFERROR(__xludf.DUMMYFUNCTION("""COMPUTED_VALUE"""),151.71)</f>
        <v>151.71</v>
      </c>
    </row>
    <row r="830">
      <c r="A830" s="2">
        <f>IFERROR(__xludf.DUMMYFUNCTION("""COMPUTED_VALUE"""),45309.66666666667)</f>
        <v>45309.66667</v>
      </c>
      <c r="B830" s="1">
        <f>IFERROR(__xludf.DUMMYFUNCTION("""COMPUTED_VALUE"""),153.5)</f>
        <v>153.5</v>
      </c>
    </row>
    <row r="831">
      <c r="A831" s="2">
        <f>IFERROR(__xludf.DUMMYFUNCTION("""COMPUTED_VALUE"""),45310.66666666667)</f>
        <v>45310.66667</v>
      </c>
      <c r="B831" s="1">
        <f>IFERROR(__xludf.DUMMYFUNCTION("""COMPUTED_VALUE"""),155.34)</f>
        <v>155.34</v>
      </c>
    </row>
    <row r="832">
      <c r="A832" s="2">
        <f>IFERROR(__xludf.DUMMYFUNCTION("""COMPUTED_VALUE"""),45313.66666666667)</f>
        <v>45313.66667</v>
      </c>
      <c r="B832" s="1">
        <f>IFERROR(__xludf.DUMMYFUNCTION("""COMPUTED_VALUE"""),154.78)</f>
        <v>154.78</v>
      </c>
    </row>
    <row r="833">
      <c r="A833" s="2">
        <f>IFERROR(__xludf.DUMMYFUNCTION("""COMPUTED_VALUE"""),45314.66666666667)</f>
        <v>45314.66667</v>
      </c>
      <c r="B833" s="1">
        <f>IFERROR(__xludf.DUMMYFUNCTION("""COMPUTED_VALUE"""),156.02)</f>
        <v>156.02</v>
      </c>
    </row>
    <row r="834">
      <c r="A834" s="2">
        <f>IFERROR(__xludf.DUMMYFUNCTION("""COMPUTED_VALUE"""),45315.66666666667)</f>
        <v>45315.66667</v>
      </c>
      <c r="B834" s="1">
        <f>IFERROR(__xludf.DUMMYFUNCTION("""COMPUTED_VALUE"""),156.87)</f>
        <v>156.87</v>
      </c>
    </row>
    <row r="835">
      <c r="A835" s="2">
        <f>IFERROR(__xludf.DUMMYFUNCTION("""COMPUTED_VALUE"""),45316.66666666667)</f>
        <v>45316.66667</v>
      </c>
      <c r="B835" s="1">
        <f>IFERROR(__xludf.DUMMYFUNCTION("""COMPUTED_VALUE"""),157.75)</f>
        <v>157.75</v>
      </c>
    </row>
    <row r="836">
      <c r="A836" s="2">
        <f>IFERROR(__xludf.DUMMYFUNCTION("""COMPUTED_VALUE"""),45317.66666666667)</f>
        <v>45317.66667</v>
      </c>
      <c r="B836" s="1">
        <f>IFERROR(__xludf.DUMMYFUNCTION("""COMPUTED_VALUE"""),159.12)</f>
        <v>159.12</v>
      </c>
    </row>
    <row r="837">
      <c r="A837" s="2">
        <f>IFERROR(__xludf.DUMMYFUNCTION("""COMPUTED_VALUE"""),45320.66666666667)</f>
        <v>45320.66667</v>
      </c>
      <c r="B837" s="1">
        <f>IFERROR(__xludf.DUMMYFUNCTION("""COMPUTED_VALUE"""),161.26)</f>
        <v>161.26</v>
      </c>
    </row>
    <row r="838">
      <c r="A838" s="2">
        <f>IFERROR(__xludf.DUMMYFUNCTION("""COMPUTED_VALUE"""),45321.66666666667)</f>
        <v>45321.66667</v>
      </c>
      <c r="B838" s="1">
        <f>IFERROR(__xludf.DUMMYFUNCTION("""COMPUTED_VALUE"""),159.0)</f>
        <v>159</v>
      </c>
    </row>
    <row r="839">
      <c r="A839" s="2">
        <f>IFERROR(__xludf.DUMMYFUNCTION("""COMPUTED_VALUE"""),45322.66666666667)</f>
        <v>45322.66667</v>
      </c>
      <c r="B839" s="1">
        <f>IFERROR(__xludf.DUMMYFUNCTION("""COMPUTED_VALUE"""),155.2)</f>
        <v>155.2</v>
      </c>
    </row>
    <row r="840">
      <c r="A840" s="2">
        <f>IFERROR(__xludf.DUMMYFUNCTION("""COMPUTED_VALUE"""),45323.66666666667)</f>
        <v>45323.66667</v>
      </c>
      <c r="B840" s="1">
        <f>IFERROR(__xludf.DUMMYFUNCTION("""COMPUTED_VALUE"""),159.28)</f>
        <v>159.28</v>
      </c>
    </row>
    <row r="841">
      <c r="A841" s="2">
        <f>IFERROR(__xludf.DUMMYFUNCTION("""COMPUTED_VALUE"""),45324.66666666667)</f>
        <v>45324.66667</v>
      </c>
      <c r="B841" s="1">
        <f>IFERROR(__xludf.DUMMYFUNCTION("""COMPUTED_VALUE"""),171.81)</f>
        <v>171.81</v>
      </c>
    </row>
    <row r="842">
      <c r="A842" s="2">
        <f>IFERROR(__xludf.DUMMYFUNCTION("""COMPUTED_VALUE"""),45327.66666666667)</f>
        <v>45327.66667</v>
      </c>
      <c r="B842" s="1">
        <f>IFERROR(__xludf.DUMMYFUNCTION("""COMPUTED_VALUE"""),170.31)</f>
        <v>170.31</v>
      </c>
    </row>
    <row r="843">
      <c r="A843" s="2">
        <f>IFERROR(__xludf.DUMMYFUNCTION("""COMPUTED_VALUE"""),45328.66666666667)</f>
        <v>45328.66667</v>
      </c>
      <c r="B843" s="1">
        <f>IFERROR(__xludf.DUMMYFUNCTION("""COMPUTED_VALUE"""),169.15)</f>
        <v>169.15</v>
      </c>
    </row>
    <row r="844">
      <c r="A844" s="2">
        <f>IFERROR(__xludf.DUMMYFUNCTION("""COMPUTED_VALUE"""),45329.66666666667)</f>
        <v>45329.66667</v>
      </c>
      <c r="B844" s="1">
        <f>IFERROR(__xludf.DUMMYFUNCTION("""COMPUTED_VALUE"""),170.53)</f>
        <v>170.53</v>
      </c>
    </row>
    <row r="845">
      <c r="A845" s="2">
        <f>IFERROR(__xludf.DUMMYFUNCTION("""COMPUTED_VALUE"""),45330.66666666667)</f>
        <v>45330.66667</v>
      </c>
      <c r="B845" s="1">
        <f>IFERROR(__xludf.DUMMYFUNCTION("""COMPUTED_VALUE"""),169.84)</f>
        <v>169.84</v>
      </c>
    </row>
    <row r="846">
      <c r="A846" s="2">
        <f>IFERROR(__xludf.DUMMYFUNCTION("""COMPUTED_VALUE"""),45331.66666666667)</f>
        <v>45331.66667</v>
      </c>
      <c r="B846" s="1">
        <f>IFERROR(__xludf.DUMMYFUNCTION("""COMPUTED_VALUE"""),174.45)</f>
        <v>174.45</v>
      </c>
    </row>
    <row r="847">
      <c r="A847" s="2">
        <f>IFERROR(__xludf.DUMMYFUNCTION("""COMPUTED_VALUE"""),45334.66666666667)</f>
        <v>45334.66667</v>
      </c>
      <c r="B847" s="1">
        <f>IFERROR(__xludf.DUMMYFUNCTION("""COMPUTED_VALUE"""),172.34)</f>
        <v>172.34</v>
      </c>
    </row>
    <row r="848">
      <c r="A848" s="2">
        <f>IFERROR(__xludf.DUMMYFUNCTION("""COMPUTED_VALUE"""),45335.66666666667)</f>
        <v>45335.66667</v>
      </c>
      <c r="B848" s="1">
        <f>IFERROR(__xludf.DUMMYFUNCTION("""COMPUTED_VALUE"""),168.64)</f>
        <v>168.64</v>
      </c>
    </row>
    <row r="849">
      <c r="A849" s="2">
        <f>IFERROR(__xludf.DUMMYFUNCTION("""COMPUTED_VALUE"""),45336.66666666667)</f>
        <v>45336.66667</v>
      </c>
      <c r="B849" s="1">
        <f>IFERROR(__xludf.DUMMYFUNCTION("""COMPUTED_VALUE"""),170.98)</f>
        <v>170.98</v>
      </c>
    </row>
    <row r="850">
      <c r="A850" s="2">
        <f>IFERROR(__xludf.DUMMYFUNCTION("""COMPUTED_VALUE"""),45337.66666666667)</f>
        <v>45337.66667</v>
      </c>
      <c r="B850" s="1">
        <f>IFERROR(__xludf.DUMMYFUNCTION("""COMPUTED_VALUE"""),169.8)</f>
        <v>169.8</v>
      </c>
    </row>
    <row r="851">
      <c r="A851" s="2">
        <f>IFERROR(__xludf.DUMMYFUNCTION("""COMPUTED_VALUE"""),45338.66666666667)</f>
        <v>45338.66667</v>
      </c>
      <c r="B851" s="1">
        <f>IFERROR(__xludf.DUMMYFUNCTION("""COMPUTED_VALUE"""),169.51)</f>
        <v>169.51</v>
      </c>
    </row>
    <row r="852">
      <c r="A852" s="2">
        <f>IFERROR(__xludf.DUMMYFUNCTION("""COMPUTED_VALUE"""),45342.66666666667)</f>
        <v>45342.66667</v>
      </c>
      <c r="B852" s="1">
        <f>IFERROR(__xludf.DUMMYFUNCTION("""COMPUTED_VALUE"""),167.08)</f>
        <v>167.08</v>
      </c>
    </row>
    <row r="853">
      <c r="A853" s="2">
        <f>IFERROR(__xludf.DUMMYFUNCTION("""COMPUTED_VALUE"""),45343.66666666667)</f>
        <v>45343.66667</v>
      </c>
      <c r="B853" s="1">
        <f>IFERROR(__xludf.DUMMYFUNCTION("""COMPUTED_VALUE"""),168.59)</f>
        <v>168.59</v>
      </c>
    </row>
    <row r="854">
      <c r="A854" s="2">
        <f>IFERROR(__xludf.DUMMYFUNCTION("""COMPUTED_VALUE"""),45344.66666666667)</f>
        <v>45344.66667</v>
      </c>
      <c r="B854" s="1">
        <f>IFERROR(__xludf.DUMMYFUNCTION("""COMPUTED_VALUE"""),174.58)</f>
        <v>174.58</v>
      </c>
    </row>
    <row r="855">
      <c r="A855" s="2">
        <f>IFERROR(__xludf.DUMMYFUNCTION("""COMPUTED_VALUE"""),45345.66666666667)</f>
        <v>45345.66667</v>
      </c>
      <c r="B855" s="1">
        <f>IFERROR(__xludf.DUMMYFUNCTION("""COMPUTED_VALUE"""),174.99)</f>
        <v>174.99</v>
      </c>
    </row>
    <row r="856">
      <c r="A856" s="2">
        <f>IFERROR(__xludf.DUMMYFUNCTION("""COMPUTED_VALUE"""),45348.66666666667)</f>
        <v>45348.66667</v>
      </c>
      <c r="B856" s="1">
        <f>IFERROR(__xludf.DUMMYFUNCTION("""COMPUTED_VALUE"""),174.73)</f>
        <v>174.73</v>
      </c>
    </row>
    <row r="857">
      <c r="A857" s="2">
        <f>IFERROR(__xludf.DUMMYFUNCTION("""COMPUTED_VALUE"""),45349.66666666667)</f>
        <v>45349.66667</v>
      </c>
      <c r="B857" s="1">
        <f>IFERROR(__xludf.DUMMYFUNCTION("""COMPUTED_VALUE"""),173.54)</f>
        <v>173.54</v>
      </c>
    </row>
    <row r="858">
      <c r="A858" s="2">
        <f>IFERROR(__xludf.DUMMYFUNCTION("""COMPUTED_VALUE"""),45350.66666666667)</f>
        <v>45350.66667</v>
      </c>
      <c r="B858" s="1">
        <f>IFERROR(__xludf.DUMMYFUNCTION("""COMPUTED_VALUE"""),173.16)</f>
        <v>173.16</v>
      </c>
    </row>
    <row r="859">
      <c r="A859" s="2">
        <f>IFERROR(__xludf.DUMMYFUNCTION("""COMPUTED_VALUE"""),45351.66666666667)</f>
        <v>45351.66667</v>
      </c>
      <c r="B859" s="1">
        <f>IFERROR(__xludf.DUMMYFUNCTION("""COMPUTED_VALUE"""),176.76)</f>
        <v>176.76</v>
      </c>
    </row>
    <row r="860">
      <c r="A860" s="2">
        <f>IFERROR(__xludf.DUMMYFUNCTION("""COMPUTED_VALUE"""),45352.66666666667)</f>
        <v>45352.66667</v>
      </c>
      <c r="B860" s="1">
        <f>IFERROR(__xludf.DUMMYFUNCTION("""COMPUTED_VALUE"""),178.22)</f>
        <v>178.22</v>
      </c>
    </row>
    <row r="861">
      <c r="A861" s="2">
        <f>IFERROR(__xludf.DUMMYFUNCTION("""COMPUTED_VALUE"""),45355.66666666667)</f>
        <v>45355.66667</v>
      </c>
      <c r="B861" s="1">
        <f>IFERROR(__xludf.DUMMYFUNCTION("""COMPUTED_VALUE"""),177.58)</f>
        <v>177.58</v>
      </c>
    </row>
    <row r="862">
      <c r="A862" s="2">
        <f>IFERROR(__xludf.DUMMYFUNCTION("""COMPUTED_VALUE"""),45356.66666666667)</f>
        <v>45356.66667</v>
      </c>
      <c r="B862" s="1">
        <f>IFERROR(__xludf.DUMMYFUNCTION("""COMPUTED_VALUE"""),174.12)</f>
        <v>174.12</v>
      </c>
    </row>
    <row r="863">
      <c r="A863" s="2">
        <f>IFERROR(__xludf.DUMMYFUNCTION("""COMPUTED_VALUE"""),45357.66666666667)</f>
        <v>45357.66667</v>
      </c>
      <c r="B863" s="1">
        <f>IFERROR(__xludf.DUMMYFUNCTION("""COMPUTED_VALUE"""),173.51)</f>
        <v>173.51</v>
      </c>
    </row>
    <row r="864">
      <c r="A864" s="2">
        <f>IFERROR(__xludf.DUMMYFUNCTION("""COMPUTED_VALUE"""),45358.66666666667)</f>
        <v>45358.66667</v>
      </c>
      <c r="B864" s="1">
        <f>IFERROR(__xludf.DUMMYFUNCTION("""COMPUTED_VALUE"""),176.82)</f>
        <v>176.82</v>
      </c>
    </row>
    <row r="865">
      <c r="A865" s="2">
        <f>IFERROR(__xludf.DUMMYFUNCTION("""COMPUTED_VALUE"""),45359.66666666667)</f>
        <v>45359.66667</v>
      </c>
      <c r="B865" s="1">
        <f>IFERROR(__xludf.DUMMYFUNCTION("""COMPUTED_VALUE"""),175.35)</f>
        <v>175.35</v>
      </c>
    </row>
    <row r="866">
      <c r="A866" s="2">
        <f>IFERROR(__xludf.DUMMYFUNCTION("""COMPUTED_VALUE"""),45362.66666666667)</f>
        <v>45362.66667</v>
      </c>
      <c r="B866" s="1">
        <f>IFERROR(__xludf.DUMMYFUNCTION("""COMPUTED_VALUE"""),171.96)</f>
        <v>171.96</v>
      </c>
    </row>
    <row r="867">
      <c r="A867" s="2">
        <f>IFERROR(__xludf.DUMMYFUNCTION("""COMPUTED_VALUE"""),45363.66666666667)</f>
        <v>45363.66667</v>
      </c>
      <c r="B867" s="1">
        <f>IFERROR(__xludf.DUMMYFUNCTION("""COMPUTED_VALUE"""),175.39)</f>
        <v>175.39</v>
      </c>
    </row>
    <row r="868">
      <c r="A868" s="2">
        <f>IFERROR(__xludf.DUMMYFUNCTION("""COMPUTED_VALUE"""),45364.66666666667)</f>
        <v>45364.66667</v>
      </c>
      <c r="B868" s="1">
        <f>IFERROR(__xludf.DUMMYFUNCTION("""COMPUTED_VALUE"""),176.56)</f>
        <v>176.56</v>
      </c>
    </row>
    <row r="869">
      <c r="A869" s="2">
        <f>IFERROR(__xludf.DUMMYFUNCTION("""COMPUTED_VALUE"""),45365.66666666667)</f>
        <v>45365.66667</v>
      </c>
      <c r="B869" s="1">
        <f>IFERROR(__xludf.DUMMYFUNCTION("""COMPUTED_VALUE"""),178.75)</f>
        <v>178.75</v>
      </c>
    </row>
    <row r="870">
      <c r="A870" s="2">
        <f>IFERROR(__xludf.DUMMYFUNCTION("""COMPUTED_VALUE"""),45366.66666666667)</f>
        <v>45366.66667</v>
      </c>
      <c r="B870" s="1">
        <f>IFERROR(__xludf.DUMMYFUNCTION("""COMPUTED_VALUE"""),174.42)</f>
        <v>174.42</v>
      </c>
    </row>
    <row r="871">
      <c r="A871" s="2">
        <f>IFERROR(__xludf.DUMMYFUNCTION("""COMPUTED_VALUE"""),45369.66666666667)</f>
        <v>45369.66667</v>
      </c>
      <c r="B871" s="1">
        <f>IFERROR(__xludf.DUMMYFUNCTION("""COMPUTED_VALUE"""),174.48)</f>
        <v>174.48</v>
      </c>
    </row>
    <row r="872">
      <c r="A872" s="2">
        <f>IFERROR(__xludf.DUMMYFUNCTION("""COMPUTED_VALUE"""),45370.66666666667)</f>
        <v>45370.66667</v>
      </c>
      <c r="B872" s="1">
        <f>IFERROR(__xludf.DUMMYFUNCTION("""COMPUTED_VALUE"""),175.9)</f>
        <v>175.9</v>
      </c>
    </row>
    <row r="873">
      <c r="A873" s="2">
        <f>IFERROR(__xludf.DUMMYFUNCTION("""COMPUTED_VALUE"""),45371.66666666667)</f>
        <v>45371.66667</v>
      </c>
      <c r="B873" s="1">
        <f>IFERROR(__xludf.DUMMYFUNCTION("""COMPUTED_VALUE"""),178.15)</f>
        <v>178.15</v>
      </c>
    </row>
    <row r="874">
      <c r="A874" s="2">
        <f>IFERROR(__xludf.DUMMYFUNCTION("""COMPUTED_VALUE"""),45372.66666666667)</f>
        <v>45372.66667</v>
      </c>
      <c r="B874" s="1">
        <f>IFERROR(__xludf.DUMMYFUNCTION("""COMPUTED_VALUE"""),178.15)</f>
        <v>178.15</v>
      </c>
    </row>
    <row r="875">
      <c r="A875" s="2">
        <f>IFERROR(__xludf.DUMMYFUNCTION("""COMPUTED_VALUE"""),45373.66666666667)</f>
        <v>45373.66667</v>
      </c>
      <c r="B875" s="1">
        <f>IFERROR(__xludf.DUMMYFUNCTION("""COMPUTED_VALUE"""),178.87)</f>
        <v>178.87</v>
      </c>
    </row>
    <row r="876">
      <c r="A876" s="2">
        <f>IFERROR(__xludf.DUMMYFUNCTION("""COMPUTED_VALUE"""),45376.66666666667)</f>
        <v>45376.66667</v>
      </c>
      <c r="B876" s="1">
        <f>IFERROR(__xludf.DUMMYFUNCTION("""COMPUTED_VALUE"""),179.71)</f>
        <v>179.71</v>
      </c>
    </row>
    <row r="877">
      <c r="A877" s="2">
        <f>IFERROR(__xludf.DUMMYFUNCTION("""COMPUTED_VALUE"""),45377.66666666667)</f>
        <v>45377.66667</v>
      </c>
      <c r="B877" s="1">
        <f>IFERROR(__xludf.DUMMYFUNCTION("""COMPUTED_VALUE"""),178.3)</f>
        <v>178.3</v>
      </c>
    </row>
    <row r="878">
      <c r="A878" s="2">
        <f>IFERROR(__xludf.DUMMYFUNCTION("""COMPUTED_VALUE"""),45378.66666666667)</f>
        <v>45378.66667</v>
      </c>
      <c r="B878" s="1">
        <f>IFERROR(__xludf.DUMMYFUNCTION("""COMPUTED_VALUE"""),179.83)</f>
        <v>179.83</v>
      </c>
    </row>
    <row r="879">
      <c r="A879" s="2">
        <f>IFERROR(__xludf.DUMMYFUNCTION("""COMPUTED_VALUE"""),45379.66666666667)</f>
        <v>45379.66667</v>
      </c>
      <c r="B879" s="1">
        <f>IFERROR(__xludf.DUMMYFUNCTION("""COMPUTED_VALUE"""),180.38)</f>
        <v>180.38</v>
      </c>
    </row>
    <row r="880">
      <c r="A880" s="2">
        <f>IFERROR(__xludf.DUMMYFUNCTION("""COMPUTED_VALUE"""),45383.66666666667)</f>
        <v>45383.66667</v>
      </c>
      <c r="B880" s="1">
        <f>IFERROR(__xludf.DUMMYFUNCTION("""COMPUTED_VALUE"""),180.97)</f>
        <v>180.97</v>
      </c>
    </row>
    <row r="881">
      <c r="A881" s="2">
        <f>IFERROR(__xludf.DUMMYFUNCTION("""COMPUTED_VALUE"""),45384.66666666667)</f>
        <v>45384.66667</v>
      </c>
      <c r="B881" s="1">
        <f>IFERROR(__xludf.DUMMYFUNCTION("""COMPUTED_VALUE"""),180.69)</f>
        <v>180.69</v>
      </c>
    </row>
    <row r="882">
      <c r="A882" s="2">
        <f>IFERROR(__xludf.DUMMYFUNCTION("""COMPUTED_VALUE"""),45385.66666666667)</f>
        <v>45385.66667</v>
      </c>
      <c r="B882" s="1">
        <f>IFERROR(__xludf.DUMMYFUNCTION("""COMPUTED_VALUE"""),182.41)</f>
        <v>182.41</v>
      </c>
    </row>
    <row r="883">
      <c r="A883" s="2">
        <f>IFERROR(__xludf.DUMMYFUNCTION("""COMPUTED_VALUE"""),45386.66666666667)</f>
        <v>45386.66667</v>
      </c>
      <c r="B883" s="1">
        <f>IFERROR(__xludf.DUMMYFUNCTION("""COMPUTED_VALUE"""),180.0)</f>
        <v>180</v>
      </c>
    </row>
    <row r="884">
      <c r="A884" s="2">
        <f>IFERROR(__xludf.DUMMYFUNCTION("""COMPUTED_VALUE"""),45387.66666666667)</f>
        <v>45387.66667</v>
      </c>
      <c r="B884" s="1">
        <f>IFERROR(__xludf.DUMMYFUNCTION("""COMPUTED_VALUE"""),185.07)</f>
        <v>185.07</v>
      </c>
    </row>
    <row r="885">
      <c r="A885" s="2">
        <f>IFERROR(__xludf.DUMMYFUNCTION("""COMPUTED_VALUE"""),45390.66666666667)</f>
        <v>45390.66667</v>
      </c>
      <c r="B885" s="1">
        <f>IFERROR(__xludf.DUMMYFUNCTION("""COMPUTED_VALUE"""),185.19)</f>
        <v>185.19</v>
      </c>
    </row>
    <row r="886">
      <c r="A886" s="2">
        <f>IFERROR(__xludf.DUMMYFUNCTION("""COMPUTED_VALUE"""),45391.66666666667)</f>
        <v>45391.66667</v>
      </c>
      <c r="B886" s="1">
        <f>IFERROR(__xludf.DUMMYFUNCTION("""COMPUTED_VALUE"""),185.67)</f>
        <v>185.67</v>
      </c>
    </row>
    <row r="887">
      <c r="A887" s="2">
        <f>IFERROR(__xludf.DUMMYFUNCTION("""COMPUTED_VALUE"""),45392.66666666667)</f>
        <v>45392.66667</v>
      </c>
      <c r="B887" s="1">
        <f>IFERROR(__xludf.DUMMYFUNCTION("""COMPUTED_VALUE"""),185.95)</f>
        <v>185.95</v>
      </c>
    </row>
    <row r="888">
      <c r="A888" s="2">
        <f>IFERROR(__xludf.DUMMYFUNCTION("""COMPUTED_VALUE"""),45393.66666666667)</f>
        <v>45393.66667</v>
      </c>
      <c r="B888" s="1">
        <f>IFERROR(__xludf.DUMMYFUNCTION("""COMPUTED_VALUE"""),189.05)</f>
        <v>189.05</v>
      </c>
    </row>
    <row r="889">
      <c r="A889" s="2">
        <f>IFERROR(__xludf.DUMMYFUNCTION("""COMPUTED_VALUE"""),45394.66666666667)</f>
        <v>45394.66667</v>
      </c>
      <c r="B889" s="1">
        <f>IFERROR(__xludf.DUMMYFUNCTION("""COMPUTED_VALUE"""),186.13)</f>
        <v>186.13</v>
      </c>
    </row>
    <row r="890">
      <c r="A890" s="2">
        <f>IFERROR(__xludf.DUMMYFUNCTION("""COMPUTED_VALUE"""),45397.66666666667)</f>
        <v>45397.66667</v>
      </c>
      <c r="B890" s="1">
        <f>IFERROR(__xludf.DUMMYFUNCTION("""COMPUTED_VALUE"""),183.62)</f>
        <v>183.62</v>
      </c>
    </row>
    <row r="891">
      <c r="A891" s="2">
        <f>IFERROR(__xludf.DUMMYFUNCTION("""COMPUTED_VALUE"""),45398.66666666667)</f>
        <v>45398.66667</v>
      </c>
      <c r="B891" s="1">
        <f>IFERROR(__xludf.DUMMYFUNCTION("""COMPUTED_VALUE"""),183.32)</f>
        <v>183.32</v>
      </c>
    </row>
    <row r="892">
      <c r="A892" s="2">
        <f>IFERROR(__xludf.DUMMYFUNCTION("""COMPUTED_VALUE"""),45399.66666666667)</f>
        <v>45399.66667</v>
      </c>
      <c r="B892" s="1">
        <f>IFERROR(__xludf.DUMMYFUNCTION("""COMPUTED_VALUE"""),181.28)</f>
        <v>181.28</v>
      </c>
    </row>
    <row r="893">
      <c r="A893" s="2">
        <f>IFERROR(__xludf.DUMMYFUNCTION("""COMPUTED_VALUE"""),45400.66666666667)</f>
        <v>45400.66667</v>
      </c>
      <c r="B893" s="1">
        <f>IFERROR(__xludf.DUMMYFUNCTION("""COMPUTED_VALUE"""),179.22)</f>
        <v>179.22</v>
      </c>
    </row>
    <row r="894">
      <c r="A894" s="2">
        <f>IFERROR(__xludf.DUMMYFUNCTION("""COMPUTED_VALUE"""),45401.66666666667)</f>
        <v>45401.66667</v>
      </c>
      <c r="B894" s="1">
        <f>IFERROR(__xludf.DUMMYFUNCTION("""COMPUTED_VALUE"""),174.63)</f>
        <v>174.63</v>
      </c>
    </row>
    <row r="895">
      <c r="A895" s="2">
        <f>IFERROR(__xludf.DUMMYFUNCTION("""COMPUTED_VALUE"""),45404.66666666667)</f>
        <v>45404.66667</v>
      </c>
      <c r="B895" s="1">
        <f>IFERROR(__xludf.DUMMYFUNCTION("""COMPUTED_VALUE"""),177.23)</f>
        <v>177.23</v>
      </c>
    </row>
    <row r="896">
      <c r="A896" s="2">
        <f>IFERROR(__xludf.DUMMYFUNCTION("""COMPUTED_VALUE"""),45405.66666666667)</f>
        <v>45405.66667</v>
      </c>
      <c r="B896" s="1">
        <f>IFERROR(__xludf.DUMMYFUNCTION("""COMPUTED_VALUE"""),179.54)</f>
        <v>179.54</v>
      </c>
    </row>
    <row r="897">
      <c r="A897" s="2">
        <f>IFERROR(__xludf.DUMMYFUNCTION("""COMPUTED_VALUE"""),45406.66666666667)</f>
        <v>45406.66667</v>
      </c>
      <c r="B897" s="1">
        <f>IFERROR(__xludf.DUMMYFUNCTION("""COMPUTED_VALUE"""),176.59)</f>
        <v>176.59</v>
      </c>
    </row>
    <row r="898">
      <c r="A898" s="2">
        <f>IFERROR(__xludf.DUMMYFUNCTION("""COMPUTED_VALUE"""),45407.66666666667)</f>
        <v>45407.66667</v>
      </c>
      <c r="B898" s="1">
        <f>IFERROR(__xludf.DUMMYFUNCTION("""COMPUTED_VALUE"""),173.67)</f>
        <v>173.67</v>
      </c>
    </row>
    <row r="899">
      <c r="A899" s="2">
        <f>IFERROR(__xludf.DUMMYFUNCTION("""COMPUTED_VALUE"""),45408.66666666667)</f>
        <v>45408.66667</v>
      </c>
      <c r="B899" s="1">
        <f>IFERROR(__xludf.DUMMYFUNCTION("""COMPUTED_VALUE"""),179.62)</f>
        <v>179.62</v>
      </c>
    </row>
    <row r="900">
      <c r="A900" s="2">
        <f>IFERROR(__xludf.DUMMYFUNCTION("""COMPUTED_VALUE"""),45411.66666666667)</f>
        <v>45411.66667</v>
      </c>
      <c r="B900" s="1">
        <f>IFERROR(__xludf.DUMMYFUNCTION("""COMPUTED_VALUE"""),180.96)</f>
        <v>180.96</v>
      </c>
    </row>
    <row r="901">
      <c r="A901" s="2">
        <f>IFERROR(__xludf.DUMMYFUNCTION("""COMPUTED_VALUE"""),45412.66666666667)</f>
        <v>45412.66667</v>
      </c>
      <c r="B901" s="1">
        <f>IFERROR(__xludf.DUMMYFUNCTION("""COMPUTED_VALUE"""),175.0)</f>
        <v>175</v>
      </c>
    </row>
    <row r="902">
      <c r="A902" s="2">
        <f>IFERROR(__xludf.DUMMYFUNCTION("""COMPUTED_VALUE"""),45413.66666666667)</f>
        <v>45413.66667</v>
      </c>
      <c r="B902" s="1">
        <f>IFERROR(__xludf.DUMMYFUNCTION("""COMPUTED_VALUE"""),179.0)</f>
        <v>179</v>
      </c>
    </row>
    <row r="903">
      <c r="A903" s="2">
        <f>IFERROR(__xludf.DUMMYFUNCTION("""COMPUTED_VALUE"""),45414.66666666667)</f>
        <v>45414.66667</v>
      </c>
      <c r="B903" s="1">
        <f>IFERROR(__xludf.DUMMYFUNCTION("""COMPUTED_VALUE"""),184.72)</f>
        <v>184.72</v>
      </c>
    </row>
    <row r="904">
      <c r="A904" s="2">
        <f>IFERROR(__xludf.DUMMYFUNCTION("""COMPUTED_VALUE"""),45415.66666666667)</f>
        <v>45415.66667</v>
      </c>
      <c r="B904" s="1">
        <f>IFERROR(__xludf.DUMMYFUNCTION("""COMPUTED_VALUE"""),186.21)</f>
        <v>186.21</v>
      </c>
    </row>
    <row r="905">
      <c r="A905" s="2">
        <f>IFERROR(__xludf.DUMMYFUNCTION("""COMPUTED_VALUE"""),45418.66666666667)</f>
        <v>45418.66667</v>
      </c>
      <c r="B905" s="1">
        <f>IFERROR(__xludf.DUMMYFUNCTION("""COMPUTED_VALUE"""),188.7)</f>
        <v>188.7</v>
      </c>
    </row>
    <row r="906">
      <c r="A906" s="2">
        <f>IFERROR(__xludf.DUMMYFUNCTION("""COMPUTED_VALUE"""),45419.66666666667)</f>
        <v>45419.66667</v>
      </c>
      <c r="B906" s="1">
        <f>IFERROR(__xludf.DUMMYFUNCTION("""COMPUTED_VALUE"""),188.76)</f>
        <v>188.76</v>
      </c>
    </row>
    <row r="907">
      <c r="A907" s="2">
        <f>IFERROR(__xludf.DUMMYFUNCTION("""COMPUTED_VALUE"""),45420.66666666667)</f>
        <v>45420.66667</v>
      </c>
      <c r="B907" s="1">
        <f>IFERROR(__xludf.DUMMYFUNCTION("""COMPUTED_VALUE"""),188.0)</f>
        <v>188</v>
      </c>
    </row>
    <row r="908">
      <c r="A908" s="2">
        <f>IFERROR(__xludf.DUMMYFUNCTION("""COMPUTED_VALUE"""),45421.66666666667)</f>
        <v>45421.66667</v>
      </c>
      <c r="B908" s="1">
        <f>IFERROR(__xludf.DUMMYFUNCTION("""COMPUTED_VALUE"""),189.5)</f>
        <v>189.5</v>
      </c>
    </row>
    <row r="909">
      <c r="A909" s="2">
        <f>IFERROR(__xludf.DUMMYFUNCTION("""COMPUTED_VALUE"""),45422.66666666667)</f>
        <v>45422.66667</v>
      </c>
      <c r="B909" s="1">
        <f>IFERROR(__xludf.DUMMYFUNCTION("""COMPUTED_VALUE"""),187.48)</f>
        <v>187.48</v>
      </c>
    </row>
    <row r="910">
      <c r="A910" s="2">
        <f>IFERROR(__xludf.DUMMYFUNCTION("""COMPUTED_VALUE"""),45425.66666666667)</f>
        <v>45425.66667</v>
      </c>
      <c r="B910" s="1">
        <f>IFERROR(__xludf.DUMMYFUNCTION("""COMPUTED_VALUE"""),186.57)</f>
        <v>186.57</v>
      </c>
    </row>
    <row r="911">
      <c r="A911" s="2">
        <f>IFERROR(__xludf.DUMMYFUNCTION("""COMPUTED_VALUE"""),45426.66666666667)</f>
        <v>45426.66667</v>
      </c>
      <c r="B911" s="1">
        <f>IFERROR(__xludf.DUMMYFUNCTION("""COMPUTED_VALUE"""),187.07)</f>
        <v>187.07</v>
      </c>
    </row>
    <row r="912">
      <c r="A912" s="2">
        <f>IFERROR(__xludf.DUMMYFUNCTION("""COMPUTED_VALUE"""),45427.66666666667)</f>
        <v>45427.66667</v>
      </c>
      <c r="B912" s="1">
        <f>IFERROR(__xludf.DUMMYFUNCTION("""COMPUTED_VALUE"""),185.99)</f>
        <v>185.99</v>
      </c>
    </row>
    <row r="913">
      <c r="A913" s="2">
        <f>IFERROR(__xludf.DUMMYFUNCTION("""COMPUTED_VALUE"""),45428.66666666667)</f>
        <v>45428.66667</v>
      </c>
      <c r="B913" s="1">
        <f>IFERROR(__xludf.DUMMYFUNCTION("""COMPUTED_VALUE"""),183.63)</f>
        <v>183.63</v>
      </c>
    </row>
    <row r="914">
      <c r="A914" s="2">
        <f>IFERROR(__xludf.DUMMYFUNCTION("""COMPUTED_VALUE"""),45429.66666666667)</f>
        <v>45429.66667</v>
      </c>
      <c r="B914" s="1">
        <f>IFERROR(__xludf.DUMMYFUNCTION("""COMPUTED_VALUE"""),184.7)</f>
        <v>184.7</v>
      </c>
    </row>
    <row r="915">
      <c r="A915" s="2">
        <f>IFERROR(__xludf.DUMMYFUNCTION("""COMPUTED_VALUE"""),45432.66666666667)</f>
        <v>45432.66667</v>
      </c>
      <c r="B915" s="1">
        <f>IFERROR(__xludf.DUMMYFUNCTION("""COMPUTED_VALUE"""),183.54)</f>
        <v>183.54</v>
      </c>
    </row>
    <row r="916">
      <c r="A916" s="2">
        <f>IFERROR(__xludf.DUMMYFUNCTION("""COMPUTED_VALUE"""),45433.66666666667)</f>
        <v>45433.66667</v>
      </c>
      <c r="B916" s="1">
        <f>IFERROR(__xludf.DUMMYFUNCTION("""COMPUTED_VALUE"""),183.15)</f>
        <v>183.15</v>
      </c>
    </row>
    <row r="917">
      <c r="A917" s="2">
        <f>IFERROR(__xludf.DUMMYFUNCTION("""COMPUTED_VALUE"""),45434.66666666667)</f>
        <v>45434.66667</v>
      </c>
      <c r="B917" s="1">
        <f>IFERROR(__xludf.DUMMYFUNCTION("""COMPUTED_VALUE"""),183.13)</f>
        <v>183.13</v>
      </c>
    </row>
    <row r="918">
      <c r="A918" s="2">
        <f>IFERROR(__xludf.DUMMYFUNCTION("""COMPUTED_VALUE"""),45435.66666666667)</f>
        <v>45435.66667</v>
      </c>
      <c r="B918" s="1">
        <f>IFERROR(__xludf.DUMMYFUNCTION("""COMPUTED_VALUE"""),181.05)</f>
        <v>181.05</v>
      </c>
    </row>
    <row r="919">
      <c r="A919" s="2">
        <f>IFERROR(__xludf.DUMMYFUNCTION("""COMPUTED_VALUE"""),45436.66666666667)</f>
        <v>45436.66667</v>
      </c>
      <c r="B919" s="1">
        <f>IFERROR(__xludf.DUMMYFUNCTION("""COMPUTED_VALUE"""),180.75)</f>
        <v>180.75</v>
      </c>
    </row>
    <row r="920">
      <c r="A920" s="2">
        <f>IFERROR(__xludf.DUMMYFUNCTION("""COMPUTED_VALUE"""),45440.66666666667)</f>
        <v>45440.66667</v>
      </c>
      <c r="B920" s="1">
        <f>IFERROR(__xludf.DUMMYFUNCTION("""COMPUTED_VALUE"""),182.15)</f>
        <v>182.15</v>
      </c>
    </row>
    <row r="921">
      <c r="A921" s="2">
        <f>IFERROR(__xludf.DUMMYFUNCTION("""COMPUTED_VALUE"""),45441.66666666667)</f>
        <v>45441.66667</v>
      </c>
      <c r="B921" s="1">
        <f>IFERROR(__xludf.DUMMYFUNCTION("""COMPUTED_VALUE"""),182.02)</f>
        <v>182.02</v>
      </c>
    </row>
    <row r="922">
      <c r="A922" s="2">
        <f>IFERROR(__xludf.DUMMYFUNCTION("""COMPUTED_VALUE"""),45442.66666666667)</f>
        <v>45442.66667</v>
      </c>
      <c r="B922" s="1">
        <f>IFERROR(__xludf.DUMMYFUNCTION("""COMPUTED_VALUE"""),179.32)</f>
        <v>179.32</v>
      </c>
    </row>
    <row r="923">
      <c r="A923" s="2">
        <f>IFERROR(__xludf.DUMMYFUNCTION("""COMPUTED_VALUE"""),45443.66666666667)</f>
        <v>45443.66667</v>
      </c>
      <c r="B923" s="1">
        <f>IFERROR(__xludf.DUMMYFUNCTION("""COMPUTED_VALUE"""),176.44)</f>
        <v>176.44</v>
      </c>
    </row>
    <row r="924">
      <c r="A924" s="2">
        <f>IFERROR(__xludf.DUMMYFUNCTION("""COMPUTED_VALUE"""),45446.66666666667)</f>
        <v>45446.66667</v>
      </c>
      <c r="B924" s="1">
        <f>IFERROR(__xludf.DUMMYFUNCTION("""COMPUTED_VALUE"""),178.34)</f>
        <v>178.34</v>
      </c>
    </row>
    <row r="925">
      <c r="A925" s="2">
        <f>IFERROR(__xludf.DUMMYFUNCTION("""COMPUTED_VALUE"""),45447.66666666667)</f>
        <v>45447.66667</v>
      </c>
      <c r="B925" s="1">
        <f>IFERROR(__xludf.DUMMYFUNCTION("""COMPUTED_VALUE"""),179.34)</f>
        <v>179.34</v>
      </c>
    </row>
    <row r="926">
      <c r="A926" s="2">
        <f>IFERROR(__xludf.DUMMYFUNCTION("""COMPUTED_VALUE"""),45448.66666666667)</f>
        <v>45448.66667</v>
      </c>
      <c r="B926" s="1">
        <f>IFERROR(__xludf.DUMMYFUNCTION("""COMPUTED_VALUE"""),181.28)</f>
        <v>181.28</v>
      </c>
    </row>
    <row r="927">
      <c r="A927" s="2">
        <f>IFERROR(__xludf.DUMMYFUNCTION("""COMPUTED_VALUE"""),45449.66666666667)</f>
        <v>45449.66667</v>
      </c>
      <c r="B927" s="1">
        <f>IFERROR(__xludf.DUMMYFUNCTION("""COMPUTED_VALUE"""),185.0)</f>
        <v>185</v>
      </c>
    </row>
    <row r="928">
      <c r="A928" s="2">
        <f>IFERROR(__xludf.DUMMYFUNCTION("""COMPUTED_VALUE"""),45450.66666666667)</f>
        <v>45450.66667</v>
      </c>
      <c r="B928" s="1">
        <f>IFERROR(__xludf.DUMMYFUNCTION("""COMPUTED_VALUE"""),184.3)</f>
        <v>184.3</v>
      </c>
    </row>
    <row r="929">
      <c r="A929" s="2">
        <f>IFERROR(__xludf.DUMMYFUNCTION("""COMPUTED_VALUE"""),45453.66666666667)</f>
        <v>45453.66667</v>
      </c>
      <c r="B929" s="1">
        <f>IFERROR(__xludf.DUMMYFUNCTION("""COMPUTED_VALUE"""),187.06)</f>
        <v>187.06</v>
      </c>
    </row>
    <row r="930">
      <c r="A930" s="2">
        <f>IFERROR(__xludf.DUMMYFUNCTION("""COMPUTED_VALUE"""),45454.66666666667)</f>
        <v>45454.66667</v>
      </c>
      <c r="B930" s="1">
        <f>IFERROR(__xludf.DUMMYFUNCTION("""COMPUTED_VALUE"""),187.23)</f>
        <v>187.23</v>
      </c>
    </row>
    <row r="931">
      <c r="A931" s="2">
        <f>IFERROR(__xludf.DUMMYFUNCTION("""COMPUTED_VALUE"""),45455.66666666667)</f>
        <v>45455.66667</v>
      </c>
      <c r="B931" s="1">
        <f>IFERROR(__xludf.DUMMYFUNCTION("""COMPUTED_VALUE"""),186.89)</f>
        <v>186.89</v>
      </c>
    </row>
    <row r="932">
      <c r="A932" s="2">
        <f>IFERROR(__xludf.DUMMYFUNCTION("""COMPUTED_VALUE"""),45456.66666666667)</f>
        <v>45456.66667</v>
      </c>
      <c r="B932" s="1">
        <f>IFERROR(__xludf.DUMMYFUNCTION("""COMPUTED_VALUE"""),183.83)</f>
        <v>183.83</v>
      </c>
    </row>
    <row r="933">
      <c r="A933" s="2">
        <f>IFERROR(__xludf.DUMMYFUNCTION("""COMPUTED_VALUE"""),45457.66666666667)</f>
        <v>45457.66667</v>
      </c>
      <c r="B933" s="1">
        <f>IFERROR(__xludf.DUMMYFUNCTION("""COMPUTED_VALUE"""),183.66)</f>
        <v>183.66</v>
      </c>
    </row>
    <row r="934">
      <c r="A934" s="2">
        <f>IFERROR(__xludf.DUMMYFUNCTION("""COMPUTED_VALUE"""),45460.66666666667)</f>
        <v>45460.66667</v>
      </c>
      <c r="B934" s="1">
        <f>IFERROR(__xludf.DUMMYFUNCTION("""COMPUTED_VALUE"""),184.06)</f>
        <v>184.06</v>
      </c>
    </row>
    <row r="935">
      <c r="A935" s="2">
        <f>IFERROR(__xludf.DUMMYFUNCTION("""COMPUTED_VALUE"""),45461.66666666667)</f>
        <v>45461.66667</v>
      </c>
      <c r="B935" s="1">
        <f>IFERROR(__xludf.DUMMYFUNCTION("""COMPUTED_VALUE"""),182.81)</f>
        <v>182.81</v>
      </c>
    </row>
    <row r="936">
      <c r="A936" s="2">
        <f>IFERROR(__xludf.DUMMYFUNCTION("""COMPUTED_VALUE"""),45463.66666666667)</f>
        <v>45463.66667</v>
      </c>
      <c r="B936" s="1">
        <f>IFERROR(__xludf.DUMMYFUNCTION("""COMPUTED_VALUE"""),186.1)</f>
        <v>186.1</v>
      </c>
    </row>
    <row r="937">
      <c r="A937" s="2">
        <f>IFERROR(__xludf.DUMMYFUNCTION("""COMPUTED_VALUE"""),45464.66666666667)</f>
        <v>45464.66667</v>
      </c>
      <c r="B937" s="1">
        <f>IFERROR(__xludf.DUMMYFUNCTION("""COMPUTED_VALUE"""),189.08)</f>
        <v>189.08</v>
      </c>
    </row>
    <row r="938">
      <c r="A938" s="2">
        <f>IFERROR(__xludf.DUMMYFUNCTION("""COMPUTED_VALUE"""),45467.66666666667)</f>
        <v>45467.66667</v>
      </c>
      <c r="B938" s="1">
        <f>IFERROR(__xludf.DUMMYFUNCTION("""COMPUTED_VALUE"""),185.57)</f>
        <v>185.57</v>
      </c>
    </row>
    <row r="939">
      <c r="A939" s="2">
        <f>IFERROR(__xludf.DUMMYFUNCTION("""COMPUTED_VALUE"""),45468.66666666667)</f>
        <v>45468.66667</v>
      </c>
      <c r="B939" s="1">
        <f>IFERROR(__xludf.DUMMYFUNCTION("""COMPUTED_VALUE"""),186.34)</f>
        <v>186.34</v>
      </c>
    </row>
    <row r="940">
      <c r="A940" s="2">
        <f>IFERROR(__xludf.DUMMYFUNCTION("""COMPUTED_VALUE"""),45469.66666666667)</f>
        <v>45469.66667</v>
      </c>
      <c r="B940" s="1">
        <f>IFERROR(__xludf.DUMMYFUNCTION("""COMPUTED_VALUE"""),193.61)</f>
        <v>193.61</v>
      </c>
    </row>
    <row r="941">
      <c r="A941" s="2">
        <f>IFERROR(__xludf.DUMMYFUNCTION("""COMPUTED_VALUE"""),45470.66666666667)</f>
        <v>45470.66667</v>
      </c>
      <c r="B941" s="1">
        <f>IFERROR(__xludf.DUMMYFUNCTION("""COMPUTED_VALUE"""),197.85)</f>
        <v>197.85</v>
      </c>
    </row>
    <row r="942">
      <c r="A942" s="2">
        <f>IFERROR(__xludf.DUMMYFUNCTION("""COMPUTED_VALUE"""),45471.66666666667)</f>
        <v>45471.66667</v>
      </c>
      <c r="B942" s="1">
        <f>IFERROR(__xludf.DUMMYFUNCTION("""COMPUTED_VALUE"""),193.25)</f>
        <v>193.25</v>
      </c>
    </row>
    <row r="943">
      <c r="A943" s="2">
        <f>IFERROR(__xludf.DUMMYFUNCTION("""COMPUTED_VALUE"""),45474.66666666667)</f>
        <v>45474.66667</v>
      </c>
      <c r="B943" s="1">
        <f>IFERROR(__xludf.DUMMYFUNCTION("""COMPUTED_VALUE"""),197.2)</f>
        <v>197.2</v>
      </c>
    </row>
    <row r="944">
      <c r="A944" s="2">
        <f>IFERROR(__xludf.DUMMYFUNCTION("""COMPUTED_VALUE"""),45475.66666666667)</f>
        <v>45475.66667</v>
      </c>
      <c r="B944" s="1">
        <f>IFERROR(__xludf.DUMMYFUNCTION("""COMPUTED_VALUE"""),200.0)</f>
        <v>200</v>
      </c>
    </row>
    <row r="945">
      <c r="A945" s="2">
        <f>IFERROR(__xludf.DUMMYFUNCTION("""COMPUTED_VALUE"""),45476.54513888889)</f>
        <v>45476.54514</v>
      </c>
      <c r="B945" s="1">
        <f>IFERROR(__xludf.DUMMYFUNCTION("""COMPUTED_VALUE"""),197.59)</f>
        <v>197.59</v>
      </c>
    </row>
    <row r="946">
      <c r="A946" s="2">
        <f>IFERROR(__xludf.DUMMYFUNCTION("""COMPUTED_VALUE"""),45478.66666666667)</f>
        <v>45478.66667</v>
      </c>
      <c r="B946" s="1">
        <f>IFERROR(__xludf.DUMMYFUNCTION("""COMPUTED_VALUE"""),200.0)</f>
        <v>200</v>
      </c>
    </row>
    <row r="947">
      <c r="A947" s="2">
        <f>IFERROR(__xludf.DUMMYFUNCTION("""COMPUTED_VALUE"""),45481.66666666667)</f>
        <v>45481.66667</v>
      </c>
      <c r="B947" s="1">
        <f>IFERROR(__xludf.DUMMYFUNCTION("""COMPUTED_VALUE"""),199.29)</f>
        <v>199.29</v>
      </c>
    </row>
    <row r="948">
      <c r="A948" s="2">
        <f>IFERROR(__xludf.DUMMYFUNCTION("""COMPUTED_VALUE"""),45482.66666666667)</f>
        <v>45482.66667</v>
      </c>
      <c r="B948" s="1">
        <f>IFERROR(__xludf.DUMMYFUNCTION("""COMPUTED_VALUE"""),199.34)</f>
        <v>199.34</v>
      </c>
    </row>
    <row r="949">
      <c r="A949" s="2">
        <f>IFERROR(__xludf.DUMMYFUNCTION("""COMPUTED_VALUE"""),45483.66666666667)</f>
        <v>45483.66667</v>
      </c>
      <c r="B949" s="1">
        <f>IFERROR(__xludf.DUMMYFUNCTION("""COMPUTED_VALUE"""),199.79)</f>
        <v>199.79</v>
      </c>
    </row>
    <row r="950">
      <c r="A950" s="2">
        <f>IFERROR(__xludf.DUMMYFUNCTION("""COMPUTED_VALUE"""),45484.66666666667)</f>
        <v>45484.66667</v>
      </c>
      <c r="B950" s="1">
        <f>IFERROR(__xludf.DUMMYFUNCTION("""COMPUTED_VALUE"""),195.05)</f>
        <v>195.05</v>
      </c>
    </row>
    <row r="951">
      <c r="A951" s="2">
        <f>IFERROR(__xludf.DUMMYFUNCTION("""COMPUTED_VALUE"""),45485.66666666667)</f>
        <v>45485.66667</v>
      </c>
      <c r="B951" s="1">
        <f>IFERROR(__xludf.DUMMYFUNCTION("""COMPUTED_VALUE"""),194.49)</f>
        <v>194.49</v>
      </c>
    </row>
    <row r="952">
      <c r="A952" s="2">
        <f>IFERROR(__xludf.DUMMYFUNCTION("""COMPUTED_VALUE"""),45488.66666666667)</f>
        <v>45488.66667</v>
      </c>
      <c r="B952" s="1">
        <f>IFERROR(__xludf.DUMMYFUNCTION("""COMPUTED_VALUE"""),192.72)</f>
        <v>192.72</v>
      </c>
    </row>
    <row r="953">
      <c r="A953" s="2">
        <f>IFERROR(__xludf.DUMMYFUNCTION("""COMPUTED_VALUE"""),45489.66666666667)</f>
        <v>45489.66667</v>
      </c>
      <c r="B953" s="1">
        <f>IFERROR(__xludf.DUMMYFUNCTION("""COMPUTED_VALUE"""),193.02)</f>
        <v>193.02</v>
      </c>
    </row>
    <row r="954">
      <c r="A954" s="2">
        <f>IFERROR(__xludf.DUMMYFUNCTION("""COMPUTED_VALUE"""),45490.66666666667)</f>
        <v>45490.66667</v>
      </c>
      <c r="B954" s="1">
        <f>IFERROR(__xludf.DUMMYFUNCTION("""COMPUTED_VALUE"""),187.93)</f>
        <v>187.93</v>
      </c>
    </row>
    <row r="955">
      <c r="A955" s="2">
        <f>IFERROR(__xludf.DUMMYFUNCTION("""COMPUTED_VALUE"""),45491.66666666667)</f>
        <v>45491.66667</v>
      </c>
      <c r="B955" s="1">
        <f>IFERROR(__xludf.DUMMYFUNCTION("""COMPUTED_VALUE"""),183.75)</f>
        <v>183.75</v>
      </c>
    </row>
    <row r="956">
      <c r="A956" s="2">
        <f>IFERROR(__xludf.DUMMYFUNCTION("""COMPUTED_VALUE"""),45492.66666666667)</f>
        <v>45492.66667</v>
      </c>
      <c r="B956" s="1">
        <f>IFERROR(__xludf.DUMMYFUNCTION("""COMPUTED_VALUE"""),183.13)</f>
        <v>183.13</v>
      </c>
    </row>
    <row r="957">
      <c r="A957" s="2">
        <f>IFERROR(__xludf.DUMMYFUNCTION("""COMPUTED_VALUE"""),45495.66666666667)</f>
        <v>45495.66667</v>
      </c>
      <c r="B957" s="1">
        <f>IFERROR(__xludf.DUMMYFUNCTION("""COMPUTED_VALUE"""),182.55)</f>
        <v>182.55</v>
      </c>
    </row>
    <row r="958">
      <c r="A958" s="2">
        <f>IFERROR(__xludf.DUMMYFUNCTION("""COMPUTED_VALUE"""),45496.66666666667)</f>
        <v>45496.66667</v>
      </c>
      <c r="B958" s="1">
        <f>IFERROR(__xludf.DUMMYFUNCTION("""COMPUTED_VALUE"""),186.41)</f>
        <v>186.41</v>
      </c>
    </row>
    <row r="959">
      <c r="A959" s="2">
        <f>IFERROR(__xludf.DUMMYFUNCTION("""COMPUTED_VALUE"""),45497.66666666667)</f>
        <v>45497.66667</v>
      </c>
      <c r="B959" s="1">
        <f>IFERROR(__xludf.DUMMYFUNCTION("""COMPUTED_VALUE"""),180.83)</f>
        <v>180.83</v>
      </c>
    </row>
    <row r="960">
      <c r="A960" s="2">
        <f>IFERROR(__xludf.DUMMYFUNCTION("""COMPUTED_VALUE"""),45498.66666666667)</f>
        <v>45498.66667</v>
      </c>
      <c r="B960" s="1">
        <f>IFERROR(__xludf.DUMMYFUNCTION("""COMPUTED_VALUE"""),179.85)</f>
        <v>179.85</v>
      </c>
    </row>
    <row r="961">
      <c r="A961" s="2">
        <f>IFERROR(__xludf.DUMMYFUNCTION("""COMPUTED_VALUE"""),45499.66666666667)</f>
        <v>45499.66667</v>
      </c>
      <c r="B961" s="1">
        <f>IFERROR(__xludf.DUMMYFUNCTION("""COMPUTED_VALUE"""),182.5)</f>
        <v>182.5</v>
      </c>
    </row>
    <row r="962">
      <c r="A962" s="2">
        <f>IFERROR(__xludf.DUMMYFUNCTION("""COMPUTED_VALUE"""),45502.66666666667)</f>
        <v>45502.66667</v>
      </c>
      <c r="B962" s="1">
        <f>IFERROR(__xludf.DUMMYFUNCTION("""COMPUTED_VALUE"""),183.2)</f>
        <v>183.2</v>
      </c>
    </row>
    <row r="963">
      <c r="A963" s="2">
        <f>IFERROR(__xludf.DUMMYFUNCTION("""COMPUTED_VALUE"""),45503.66666666667)</f>
        <v>45503.66667</v>
      </c>
      <c r="B963" s="1">
        <f>IFERROR(__xludf.DUMMYFUNCTION("""COMPUTED_VALUE"""),181.71)</f>
        <v>181.71</v>
      </c>
    </row>
    <row r="964">
      <c r="A964" s="2">
        <f>IFERROR(__xludf.DUMMYFUNCTION("""COMPUTED_VALUE"""),45504.66666666667)</f>
        <v>45504.66667</v>
      </c>
      <c r="B964" s="1">
        <f>IFERROR(__xludf.DUMMYFUNCTION("""COMPUTED_VALUE"""),186.98)</f>
        <v>186.98</v>
      </c>
    </row>
    <row r="965">
      <c r="A965" s="2">
        <f>IFERROR(__xludf.DUMMYFUNCTION("""COMPUTED_VALUE"""),45505.66666666667)</f>
        <v>45505.66667</v>
      </c>
      <c r="B965" s="1">
        <f>IFERROR(__xludf.DUMMYFUNCTION("""COMPUTED_VALUE"""),184.07)</f>
        <v>184.07</v>
      </c>
    </row>
    <row r="966">
      <c r="A966" s="2">
        <f>IFERROR(__xludf.DUMMYFUNCTION("""COMPUTED_VALUE"""),45506.66666666667)</f>
        <v>45506.66667</v>
      </c>
      <c r="B966" s="1">
        <f>IFERROR(__xludf.DUMMYFUNCTION("""COMPUTED_VALUE"""),167.9)</f>
        <v>167.9</v>
      </c>
    </row>
    <row r="967">
      <c r="A967" s="2">
        <f>IFERROR(__xludf.DUMMYFUNCTION("""COMPUTED_VALUE"""),45509.66666666667)</f>
        <v>45509.66667</v>
      </c>
      <c r="B967" s="1">
        <f>IFERROR(__xludf.DUMMYFUNCTION("""COMPUTED_VALUE"""),161.02)</f>
        <v>161.02</v>
      </c>
    </row>
    <row r="968">
      <c r="A968" s="2">
        <f>IFERROR(__xludf.DUMMYFUNCTION("""COMPUTED_VALUE"""),45510.66666666667)</f>
        <v>45510.66667</v>
      </c>
      <c r="B968" s="1">
        <f>IFERROR(__xludf.DUMMYFUNCTION("""COMPUTED_VALUE"""),161.93)</f>
        <v>161.93</v>
      </c>
    </row>
    <row r="969">
      <c r="A969" s="2">
        <f>IFERROR(__xludf.DUMMYFUNCTION("""COMPUTED_VALUE"""),45511.66666666667)</f>
        <v>45511.66667</v>
      </c>
      <c r="B969" s="1">
        <f>IFERROR(__xludf.DUMMYFUNCTION("""COMPUTED_VALUE"""),162.77)</f>
        <v>162.77</v>
      </c>
    </row>
    <row r="970">
      <c r="A970" s="2">
        <f>IFERROR(__xludf.DUMMYFUNCTION("""COMPUTED_VALUE"""),45512.66666666667)</f>
        <v>45512.66667</v>
      </c>
      <c r="B970" s="1">
        <f>IFERROR(__xludf.DUMMYFUNCTION("""COMPUTED_VALUE"""),165.8)</f>
        <v>165.8</v>
      </c>
    </row>
    <row r="971">
      <c r="A971" s="2">
        <f>IFERROR(__xludf.DUMMYFUNCTION("""COMPUTED_VALUE"""),45513.66666666667)</f>
        <v>45513.66667</v>
      </c>
      <c r="B971" s="1">
        <f>IFERROR(__xludf.DUMMYFUNCTION("""COMPUTED_VALUE"""),166.94)</f>
        <v>166.94</v>
      </c>
    </row>
    <row r="972">
      <c r="A972" s="2">
        <f>IFERROR(__xludf.DUMMYFUNCTION("""COMPUTED_VALUE"""),45516.66666666667)</f>
        <v>45516.66667</v>
      </c>
      <c r="B972" s="1">
        <f>IFERROR(__xludf.DUMMYFUNCTION("""COMPUTED_VALUE"""),166.8)</f>
        <v>166.8</v>
      </c>
    </row>
    <row r="973">
      <c r="A973" s="2">
        <f>IFERROR(__xludf.DUMMYFUNCTION("""COMPUTED_VALUE"""),45517.66666666667)</f>
        <v>45517.66667</v>
      </c>
      <c r="B973" s="1">
        <f>IFERROR(__xludf.DUMMYFUNCTION("""COMPUTED_VALUE"""),170.23)</f>
        <v>170.23</v>
      </c>
    </row>
    <row r="974">
      <c r="A974" s="2">
        <f>IFERROR(__xludf.DUMMYFUNCTION("""COMPUTED_VALUE"""),45518.66666666667)</f>
        <v>45518.66667</v>
      </c>
      <c r="B974" s="1">
        <f>IFERROR(__xludf.DUMMYFUNCTION("""COMPUTED_VALUE"""),170.1)</f>
        <v>170.1</v>
      </c>
    </row>
    <row r="975">
      <c r="A975" s="2">
        <f>IFERROR(__xludf.DUMMYFUNCTION("""COMPUTED_VALUE"""),45519.66666666667)</f>
        <v>45519.66667</v>
      </c>
      <c r="B975" s="1">
        <f>IFERROR(__xludf.DUMMYFUNCTION("""COMPUTED_VALUE"""),177.59)</f>
        <v>177.59</v>
      </c>
    </row>
    <row r="976">
      <c r="A976" s="2">
        <f>IFERROR(__xludf.DUMMYFUNCTION("""COMPUTED_VALUE"""),45520.66666666667)</f>
        <v>45520.66667</v>
      </c>
      <c r="B976" s="1">
        <f>IFERROR(__xludf.DUMMYFUNCTION("""COMPUTED_VALUE"""),177.06)</f>
        <v>177.06</v>
      </c>
    </row>
    <row r="977">
      <c r="A977" s="2">
        <f>IFERROR(__xludf.DUMMYFUNCTION("""COMPUTED_VALUE"""),45523.66666666667)</f>
        <v>45523.66667</v>
      </c>
      <c r="B977" s="1">
        <f>IFERROR(__xludf.DUMMYFUNCTION("""COMPUTED_VALUE"""),178.22)</f>
        <v>178.22</v>
      </c>
    </row>
    <row r="978">
      <c r="A978" s="2">
        <f>IFERROR(__xludf.DUMMYFUNCTION("""COMPUTED_VALUE"""),45524.66666666667)</f>
        <v>45524.66667</v>
      </c>
      <c r="B978" s="1">
        <f>IFERROR(__xludf.DUMMYFUNCTION("""COMPUTED_VALUE"""),178.88)</f>
        <v>178.88</v>
      </c>
    </row>
    <row r="979">
      <c r="A979" s="2">
        <f>IFERROR(__xludf.DUMMYFUNCTION("""COMPUTED_VALUE"""),45525.66666666667)</f>
        <v>45525.66667</v>
      </c>
      <c r="B979" s="1">
        <f>IFERROR(__xludf.DUMMYFUNCTION("""COMPUTED_VALUE"""),180.11)</f>
        <v>180.11</v>
      </c>
    </row>
    <row r="980">
      <c r="A980" s="2">
        <f>IFERROR(__xludf.DUMMYFUNCTION("""COMPUTED_VALUE"""),45526.66666666667)</f>
        <v>45526.66667</v>
      </c>
      <c r="B980" s="1">
        <f>IFERROR(__xludf.DUMMYFUNCTION("""COMPUTED_VALUE"""),176.13)</f>
        <v>176.13</v>
      </c>
    </row>
    <row r="981">
      <c r="A981" s="2">
        <f>IFERROR(__xludf.DUMMYFUNCTION("""COMPUTED_VALUE"""),45527.66666666667)</f>
        <v>45527.66667</v>
      </c>
      <c r="B981" s="1">
        <f>IFERROR(__xludf.DUMMYFUNCTION("""COMPUTED_VALUE"""),177.04)</f>
        <v>177.04</v>
      </c>
    </row>
    <row r="982">
      <c r="A982" s="2">
        <f>IFERROR(__xludf.DUMMYFUNCTION("""COMPUTED_VALUE"""),45530.66666666667)</f>
        <v>45530.66667</v>
      </c>
      <c r="B982" s="1">
        <f>IFERROR(__xludf.DUMMYFUNCTION("""COMPUTED_VALUE"""),175.5)</f>
        <v>175.5</v>
      </c>
    </row>
    <row r="983">
      <c r="A983" s="2">
        <f>IFERROR(__xludf.DUMMYFUNCTION("""COMPUTED_VALUE"""),45531.66666666667)</f>
        <v>45531.66667</v>
      </c>
      <c r="B983" s="1">
        <f>IFERROR(__xludf.DUMMYFUNCTION("""COMPUTED_VALUE"""),173.12)</f>
        <v>173.12</v>
      </c>
    </row>
    <row r="984">
      <c r="A984" s="2">
        <f>IFERROR(__xludf.DUMMYFUNCTION("""COMPUTED_VALUE"""),45532.66666666667)</f>
        <v>45532.66667</v>
      </c>
      <c r="B984" s="1">
        <f>IFERROR(__xludf.DUMMYFUNCTION("""COMPUTED_VALUE"""),170.8)</f>
        <v>170.8</v>
      </c>
    </row>
    <row r="985">
      <c r="A985" s="2">
        <f>IFERROR(__xludf.DUMMYFUNCTION("""COMPUTED_VALUE"""),45533.66666666667)</f>
        <v>45533.66667</v>
      </c>
      <c r="B985" s="1">
        <f>IFERROR(__xludf.DUMMYFUNCTION("""COMPUTED_VALUE"""),172.12)</f>
        <v>172.12</v>
      </c>
    </row>
    <row r="986">
      <c r="A986" s="2">
        <f>IFERROR(__xludf.DUMMYFUNCTION("""COMPUTED_VALUE"""),45534.66666666667)</f>
        <v>45534.66667</v>
      </c>
      <c r="B986" s="1">
        <f>IFERROR(__xludf.DUMMYFUNCTION("""COMPUTED_VALUE"""),178.5)</f>
        <v>178.5</v>
      </c>
    </row>
    <row r="987">
      <c r="A987" s="2">
        <f>IFERROR(__xludf.DUMMYFUNCTION("""COMPUTED_VALUE"""),45538.66666666667)</f>
        <v>45538.66667</v>
      </c>
      <c r="B987" s="1">
        <f>IFERROR(__xludf.DUMMYFUNCTION("""COMPUTED_VALUE"""),176.25)</f>
        <v>176.25</v>
      </c>
    </row>
    <row r="988">
      <c r="A988" s="2">
        <f>IFERROR(__xludf.DUMMYFUNCTION("""COMPUTED_VALUE"""),45539.66666666667)</f>
        <v>45539.66667</v>
      </c>
      <c r="B988" s="1">
        <f>IFERROR(__xludf.DUMMYFUNCTION("""COMPUTED_VALUE"""),173.33)</f>
        <v>173.33</v>
      </c>
    </row>
    <row r="989">
      <c r="A989" s="2">
        <f>IFERROR(__xludf.DUMMYFUNCTION("""COMPUTED_VALUE"""),45540.66666666667)</f>
        <v>45540.66667</v>
      </c>
      <c r="B989" s="1">
        <f>IFERROR(__xludf.DUMMYFUNCTION("""COMPUTED_VALUE"""),177.89)</f>
        <v>177.89</v>
      </c>
    </row>
    <row r="990">
      <c r="A990" s="2">
        <f>IFERROR(__xludf.DUMMYFUNCTION("""COMPUTED_VALUE"""),45541.66666666667)</f>
        <v>45541.66667</v>
      </c>
      <c r="B990" s="1">
        <f>IFERROR(__xludf.DUMMYFUNCTION("""COMPUTED_VALUE"""),171.39)</f>
        <v>171.39</v>
      </c>
    </row>
    <row r="991">
      <c r="A991" s="2">
        <f>IFERROR(__xludf.DUMMYFUNCTION("""COMPUTED_VALUE"""),45544.66666666667)</f>
        <v>45544.66667</v>
      </c>
      <c r="B991" s="1">
        <f>IFERROR(__xludf.DUMMYFUNCTION("""COMPUTED_VALUE"""),175.4)</f>
        <v>175.4</v>
      </c>
    </row>
    <row r="992">
      <c r="A992" s="2">
        <f>IFERROR(__xludf.DUMMYFUNCTION("""COMPUTED_VALUE"""),45545.66666666667)</f>
        <v>45545.66667</v>
      </c>
      <c r="B992" s="1">
        <f>IFERROR(__xludf.DUMMYFUNCTION("""COMPUTED_VALUE"""),179.55)</f>
        <v>179.55</v>
      </c>
    </row>
    <row r="993">
      <c r="A993" s="2">
        <f>IFERROR(__xludf.DUMMYFUNCTION("""COMPUTED_VALUE"""),45546.66666666667)</f>
        <v>45546.66667</v>
      </c>
      <c r="B993" s="1">
        <f>IFERROR(__xludf.DUMMYFUNCTION("""COMPUTED_VALUE"""),184.52)</f>
        <v>184.52</v>
      </c>
    </row>
    <row r="994">
      <c r="A994" s="2">
        <f>IFERROR(__xludf.DUMMYFUNCTION("""COMPUTED_VALUE"""),45547.66666666667)</f>
        <v>45547.66667</v>
      </c>
      <c r="B994" s="1">
        <f>IFERROR(__xludf.DUMMYFUNCTION("""COMPUTED_VALUE"""),187.0)</f>
        <v>187</v>
      </c>
    </row>
    <row r="995">
      <c r="A995" s="2">
        <f>IFERROR(__xludf.DUMMYFUNCTION("""COMPUTED_VALUE"""),45548.66666666667)</f>
        <v>45548.66667</v>
      </c>
      <c r="B995" s="1">
        <f>IFERROR(__xludf.DUMMYFUNCTION("""COMPUTED_VALUE"""),186.49)</f>
        <v>186.49</v>
      </c>
    </row>
    <row r="996">
      <c r="A996" s="2">
        <f>IFERROR(__xludf.DUMMYFUNCTION("""COMPUTED_VALUE"""),45551.66666666667)</f>
        <v>45551.66667</v>
      </c>
      <c r="B996" s="1">
        <f>IFERROR(__xludf.DUMMYFUNCTION("""COMPUTED_VALUE"""),184.89)</f>
        <v>184.89</v>
      </c>
    </row>
    <row r="997">
      <c r="A997" s="2">
        <f>IFERROR(__xludf.DUMMYFUNCTION("""COMPUTED_VALUE"""),45552.66666666667)</f>
        <v>45552.66667</v>
      </c>
      <c r="B997" s="1">
        <f>IFERROR(__xludf.DUMMYFUNCTION("""COMPUTED_VALUE"""),186.88)</f>
        <v>186.88</v>
      </c>
    </row>
    <row r="998">
      <c r="A998" s="2">
        <f>IFERROR(__xludf.DUMMYFUNCTION("""COMPUTED_VALUE"""),45553.66666666667)</f>
        <v>45553.66667</v>
      </c>
      <c r="B998" s="1">
        <f>IFERROR(__xludf.DUMMYFUNCTION("""COMPUTED_VALUE"""),186.43)</f>
        <v>186.43</v>
      </c>
    </row>
    <row r="999">
      <c r="A999" s="2">
        <f>IFERROR(__xludf.DUMMYFUNCTION("""COMPUTED_VALUE"""),45554.66666666667)</f>
        <v>45554.66667</v>
      </c>
      <c r="B999" s="1">
        <f>IFERROR(__xludf.DUMMYFUNCTION("""COMPUTED_VALUE"""),189.87)</f>
        <v>189.87</v>
      </c>
    </row>
    <row r="1000">
      <c r="A1000" s="2">
        <f>IFERROR(__xludf.DUMMYFUNCTION("""COMPUTED_VALUE"""),45555.66666666667)</f>
        <v>45555.66667</v>
      </c>
      <c r="B1000" s="1">
        <f>IFERROR(__xludf.DUMMYFUNCTION("""COMPUTED_VALUE"""),191.6)</f>
        <v>191.6</v>
      </c>
    </row>
    <row r="1001">
      <c r="A1001" s="2">
        <f>IFERROR(__xludf.DUMMYFUNCTION("""COMPUTED_VALUE"""),45558.66666666667)</f>
        <v>45558.66667</v>
      </c>
      <c r="B1001" s="1">
        <f>IFERROR(__xludf.DUMMYFUNCTION("""COMPUTED_VALUE"""),193.88)</f>
        <v>193.88</v>
      </c>
    </row>
    <row r="1002">
      <c r="A1002" s="2">
        <f>IFERROR(__xludf.DUMMYFUNCTION("""COMPUTED_VALUE"""),45559.66666666667)</f>
        <v>45559.66667</v>
      </c>
      <c r="B1002" s="1">
        <f>IFERROR(__xludf.DUMMYFUNCTION("""COMPUTED_VALUE"""),193.96)</f>
        <v>193.96</v>
      </c>
    </row>
    <row r="1003">
      <c r="A1003" s="2">
        <f>IFERROR(__xludf.DUMMYFUNCTION("""COMPUTED_VALUE"""),45560.66666666667)</f>
        <v>45560.66667</v>
      </c>
      <c r="B1003" s="1">
        <f>IFERROR(__xludf.DUMMYFUNCTION("""COMPUTED_VALUE"""),192.53)</f>
        <v>192.53</v>
      </c>
    </row>
    <row r="1004">
      <c r="A1004" s="2">
        <f>IFERROR(__xludf.DUMMYFUNCTION("""COMPUTED_VALUE"""),45561.66666666667)</f>
        <v>45561.66667</v>
      </c>
      <c r="B1004" s="1">
        <f>IFERROR(__xludf.DUMMYFUNCTION("""COMPUTED_VALUE"""),191.16)</f>
        <v>191.16</v>
      </c>
    </row>
    <row r="1005">
      <c r="A1005" s="2">
        <f>IFERROR(__xludf.DUMMYFUNCTION("""COMPUTED_VALUE"""),45562.66666666667)</f>
        <v>45562.66667</v>
      </c>
      <c r="B1005" s="1">
        <f>IFERROR(__xludf.DUMMYFUNCTION("""COMPUTED_VALUE"""),187.97)</f>
        <v>187.97</v>
      </c>
    </row>
    <row r="1006">
      <c r="A1006" s="2">
        <f>IFERROR(__xludf.DUMMYFUNCTION("""COMPUTED_VALUE"""),45565.66666666667)</f>
        <v>45565.66667</v>
      </c>
      <c r="B1006" s="1">
        <f>IFERROR(__xludf.DUMMYFUNCTION("""COMPUTED_VALUE"""),186.33)</f>
        <v>186.33</v>
      </c>
    </row>
    <row r="1007">
      <c r="A1007" s="2">
        <f>IFERROR(__xludf.DUMMYFUNCTION("""COMPUTED_VALUE"""),45566.66666666667)</f>
        <v>45566.66667</v>
      </c>
      <c r="B1007" s="1">
        <f>IFERROR(__xludf.DUMMYFUNCTION("""COMPUTED_VALUE"""),185.13)</f>
        <v>185.13</v>
      </c>
    </row>
    <row r="1008">
      <c r="A1008" s="2">
        <f>IFERROR(__xludf.DUMMYFUNCTION("""COMPUTED_VALUE"""),45567.66666666667)</f>
        <v>45567.66667</v>
      </c>
      <c r="B1008" s="1">
        <f>IFERROR(__xludf.DUMMYFUNCTION("""COMPUTED_VALUE"""),184.76)</f>
        <v>184.76</v>
      </c>
    </row>
    <row r="1009">
      <c r="A1009" s="2">
        <f>IFERROR(__xludf.DUMMYFUNCTION("""COMPUTED_VALUE"""),45568.66666666667)</f>
        <v>45568.66667</v>
      </c>
      <c r="B1009" s="1">
        <f>IFERROR(__xludf.DUMMYFUNCTION("""COMPUTED_VALUE"""),181.96)</f>
        <v>181.96</v>
      </c>
    </row>
    <row r="1010">
      <c r="A1010" s="2">
        <f>IFERROR(__xludf.DUMMYFUNCTION("""COMPUTED_VALUE"""),45569.66666666667)</f>
        <v>45569.66667</v>
      </c>
      <c r="B1010" s="1">
        <f>IFERROR(__xludf.DUMMYFUNCTION("""COMPUTED_VALUE"""),186.51)</f>
        <v>186.51</v>
      </c>
    </row>
    <row r="1011">
      <c r="A1011" s="2">
        <f>IFERROR(__xludf.DUMMYFUNCTION("""COMPUTED_VALUE"""),45572.66666666667)</f>
        <v>45572.66667</v>
      </c>
      <c r="B1011" s="1">
        <f>IFERROR(__xludf.DUMMYFUNCTION("""COMPUTED_VALUE"""),180.8)</f>
        <v>180.8</v>
      </c>
    </row>
    <row r="1012">
      <c r="A1012" s="2">
        <f>IFERROR(__xludf.DUMMYFUNCTION("""COMPUTED_VALUE"""),45573.66666666667)</f>
        <v>45573.66667</v>
      </c>
      <c r="B1012" s="1">
        <f>IFERROR(__xludf.DUMMYFUNCTION("""COMPUTED_VALUE"""),182.72)</f>
        <v>182.72</v>
      </c>
    </row>
    <row r="1013">
      <c r="A1013" s="2">
        <f>IFERROR(__xludf.DUMMYFUNCTION("""COMPUTED_VALUE"""),45574.66666666667)</f>
        <v>45574.66667</v>
      </c>
      <c r="B1013" s="1">
        <f>IFERROR(__xludf.DUMMYFUNCTION("""COMPUTED_VALUE"""),185.17)</f>
        <v>185.17</v>
      </c>
    </row>
    <row r="1014">
      <c r="A1014" s="2">
        <f>IFERROR(__xludf.DUMMYFUNCTION("""COMPUTED_VALUE"""),45575.66666666667)</f>
        <v>45575.66667</v>
      </c>
      <c r="B1014" s="1">
        <f>IFERROR(__xludf.DUMMYFUNCTION("""COMPUTED_VALUE"""),186.65)</f>
        <v>186.65</v>
      </c>
    </row>
    <row r="1015">
      <c r="A1015" s="2">
        <f>IFERROR(__xludf.DUMMYFUNCTION("""COMPUTED_VALUE"""),45576.66666666667)</f>
        <v>45576.66667</v>
      </c>
      <c r="B1015" s="1">
        <f>IFERROR(__xludf.DUMMYFUNCTION("""COMPUTED_VALUE"""),188.82)</f>
        <v>188.82</v>
      </c>
    </row>
    <row r="1016">
      <c r="A1016" s="2">
        <f>IFERROR(__xludf.DUMMYFUNCTION("""COMPUTED_VALUE"""),45579.66666666667)</f>
        <v>45579.66667</v>
      </c>
      <c r="B1016" s="1">
        <f>IFERROR(__xludf.DUMMYFUNCTION("""COMPUTED_VALUE"""),187.54)</f>
        <v>187.54</v>
      </c>
    </row>
    <row r="1017">
      <c r="A1017" s="2">
        <f>IFERROR(__xludf.DUMMYFUNCTION("""COMPUTED_VALUE"""),45580.66666666667)</f>
        <v>45580.66667</v>
      </c>
      <c r="B1017" s="1">
        <f>IFERROR(__xludf.DUMMYFUNCTION("""COMPUTED_VALUE"""),187.69)</f>
        <v>187.69</v>
      </c>
    </row>
    <row r="1018">
      <c r="A1018" s="2">
        <f>IFERROR(__xludf.DUMMYFUNCTION("""COMPUTED_VALUE"""),45581.66666666667)</f>
        <v>45581.66667</v>
      </c>
      <c r="B1018" s="1">
        <f>IFERROR(__xludf.DUMMYFUNCTION("""COMPUTED_VALUE"""),186.89)</f>
        <v>186.89</v>
      </c>
    </row>
    <row r="1019">
      <c r="A1019" s="2">
        <f>IFERROR(__xludf.DUMMYFUNCTION("""COMPUTED_VALUE"""),45582.66666666667)</f>
        <v>45582.66667</v>
      </c>
      <c r="B1019" s="1">
        <f>IFERROR(__xludf.DUMMYFUNCTION("""COMPUTED_VALUE"""),187.53)</f>
        <v>187.53</v>
      </c>
    </row>
    <row r="1020">
      <c r="A1020" s="2">
        <f>IFERROR(__xludf.DUMMYFUNCTION("""COMPUTED_VALUE"""),45583.66666666667)</f>
        <v>45583.66667</v>
      </c>
      <c r="B1020" s="1">
        <f>IFERROR(__xludf.DUMMYFUNCTION("""COMPUTED_VALUE"""),188.99)</f>
        <v>188.99</v>
      </c>
    </row>
    <row r="1021">
      <c r="A1021" s="2">
        <f>IFERROR(__xludf.DUMMYFUNCTION("""COMPUTED_VALUE"""),45586.66666666667)</f>
        <v>45586.66667</v>
      </c>
      <c r="B1021" s="1">
        <f>IFERROR(__xludf.DUMMYFUNCTION("""COMPUTED_VALUE"""),189.07)</f>
        <v>189.07</v>
      </c>
    </row>
    <row r="1022">
      <c r="A1022" s="2">
        <f>IFERROR(__xludf.DUMMYFUNCTION("""COMPUTED_VALUE"""),45587.66666666667)</f>
        <v>45587.66667</v>
      </c>
      <c r="B1022" s="1">
        <f>IFERROR(__xludf.DUMMYFUNCTION("""COMPUTED_VALUE"""),189.7)</f>
        <v>189.7</v>
      </c>
    </row>
    <row r="1023">
      <c r="A1023" s="2">
        <f>IFERROR(__xludf.DUMMYFUNCTION("""COMPUTED_VALUE"""),45588.66666666667)</f>
        <v>45588.66667</v>
      </c>
      <c r="B1023" s="1">
        <f>IFERROR(__xludf.DUMMYFUNCTION("""COMPUTED_VALUE"""),184.71)</f>
        <v>184.71</v>
      </c>
    </row>
    <row r="1024">
      <c r="A1024" s="2">
        <f>IFERROR(__xludf.DUMMYFUNCTION("""COMPUTED_VALUE"""),45589.66666666667)</f>
        <v>45589.66667</v>
      </c>
      <c r="B1024" s="1">
        <f>IFERROR(__xludf.DUMMYFUNCTION("""COMPUTED_VALUE"""),186.38)</f>
        <v>186.38</v>
      </c>
    </row>
    <row r="1025">
      <c r="A1025" s="2">
        <f>IFERROR(__xludf.DUMMYFUNCTION("""COMPUTED_VALUE"""),45590.66666666667)</f>
        <v>45590.66667</v>
      </c>
      <c r="B1025" s="1">
        <f>IFERROR(__xludf.DUMMYFUNCTION("""COMPUTED_VALUE"""),187.83)</f>
        <v>187.83</v>
      </c>
    </row>
    <row r="1026">
      <c r="A1026" s="2">
        <f>IFERROR(__xludf.DUMMYFUNCTION("""COMPUTED_VALUE"""),45593.66666666667)</f>
        <v>45593.66667</v>
      </c>
      <c r="B1026" s="1">
        <f>IFERROR(__xludf.DUMMYFUNCTION("""COMPUTED_VALUE"""),188.39)</f>
        <v>188.39</v>
      </c>
    </row>
    <row r="1027">
      <c r="A1027" s="2">
        <f>IFERROR(__xludf.DUMMYFUNCTION("""COMPUTED_VALUE"""),45594.66666666667)</f>
        <v>45594.66667</v>
      </c>
      <c r="B1027" s="1">
        <f>IFERROR(__xludf.DUMMYFUNCTION("""COMPUTED_VALUE"""),190.83)</f>
        <v>190.83</v>
      </c>
    </row>
    <row r="1028">
      <c r="A1028" s="2">
        <f>IFERROR(__xludf.DUMMYFUNCTION("""COMPUTED_VALUE"""),45595.66666666667)</f>
        <v>45595.66667</v>
      </c>
      <c r="B1028" s="1">
        <f>IFERROR(__xludf.DUMMYFUNCTION("""COMPUTED_VALUE"""),192.73)</f>
        <v>192.73</v>
      </c>
    </row>
    <row r="1029">
      <c r="A1029" s="2">
        <f>IFERROR(__xludf.DUMMYFUNCTION("""COMPUTED_VALUE"""),45596.66666666667)</f>
        <v>45596.66667</v>
      </c>
      <c r="B1029" s="1">
        <f>IFERROR(__xludf.DUMMYFUNCTION("""COMPUTED_VALUE"""),186.4)</f>
        <v>186.4</v>
      </c>
    </row>
    <row r="1030">
      <c r="A1030" s="2">
        <f>IFERROR(__xludf.DUMMYFUNCTION("""COMPUTED_VALUE"""),45597.66666666667)</f>
        <v>45597.66667</v>
      </c>
      <c r="B1030" s="1">
        <f>IFERROR(__xludf.DUMMYFUNCTION("""COMPUTED_VALUE"""),197.93)</f>
        <v>197.93</v>
      </c>
    </row>
    <row r="1031">
      <c r="A1031" s="2">
        <f>IFERROR(__xludf.DUMMYFUNCTION("""COMPUTED_VALUE"""),45600.66666666667)</f>
        <v>45600.66667</v>
      </c>
      <c r="B1031" s="1">
        <f>IFERROR(__xludf.DUMMYFUNCTION("""COMPUTED_VALUE"""),195.78)</f>
        <v>195.78</v>
      </c>
    </row>
    <row r="1032">
      <c r="A1032" s="2">
        <f>IFERROR(__xludf.DUMMYFUNCTION("""COMPUTED_VALUE"""),45601.66666666667)</f>
        <v>45601.66667</v>
      </c>
      <c r="B1032" s="1">
        <f>IFERROR(__xludf.DUMMYFUNCTION("""COMPUTED_VALUE"""),199.5)</f>
        <v>199.5</v>
      </c>
    </row>
    <row r="1033">
      <c r="A1033" s="2">
        <f>IFERROR(__xludf.DUMMYFUNCTION("""COMPUTED_VALUE"""),45602.66666666667)</f>
        <v>45602.66667</v>
      </c>
      <c r="B1033" s="1">
        <f>IFERROR(__xludf.DUMMYFUNCTION("""COMPUTED_VALUE"""),207.09)</f>
        <v>207.09</v>
      </c>
    </row>
    <row r="1034">
      <c r="A1034" s="2">
        <f>IFERROR(__xludf.DUMMYFUNCTION("""COMPUTED_VALUE"""),45603.66666666667)</f>
        <v>45603.66667</v>
      </c>
      <c r="B1034" s="1">
        <f>IFERROR(__xludf.DUMMYFUNCTION("""COMPUTED_VALUE"""),210.05)</f>
        <v>210.05</v>
      </c>
    </row>
    <row r="1035">
      <c r="A1035" s="2">
        <f>IFERROR(__xludf.DUMMYFUNCTION("""COMPUTED_VALUE"""),45604.66666666667)</f>
        <v>45604.66667</v>
      </c>
      <c r="B1035" s="1">
        <f>IFERROR(__xludf.DUMMYFUNCTION("""COMPUTED_VALUE"""),208.18)</f>
        <v>208.18</v>
      </c>
    </row>
    <row r="1036">
      <c r="A1036" s="2">
        <f>IFERROR(__xludf.DUMMYFUNCTION("""COMPUTED_VALUE"""),45607.66666666667)</f>
        <v>45607.66667</v>
      </c>
      <c r="B1036" s="1">
        <f>IFERROR(__xludf.DUMMYFUNCTION("""COMPUTED_VALUE"""),206.84)</f>
        <v>206.84</v>
      </c>
    </row>
    <row r="1037">
      <c r="A1037" s="2">
        <f>IFERROR(__xludf.DUMMYFUNCTION("""COMPUTED_VALUE"""),45608.66666666667)</f>
        <v>45608.66667</v>
      </c>
      <c r="B1037" s="1">
        <f>IFERROR(__xludf.DUMMYFUNCTION("""COMPUTED_VALUE"""),208.91)</f>
        <v>208.91</v>
      </c>
    </row>
    <row r="1038">
      <c r="A1038" s="2">
        <f>IFERROR(__xludf.DUMMYFUNCTION("""COMPUTED_VALUE"""),45609.66666666667)</f>
        <v>45609.66667</v>
      </c>
      <c r="B1038" s="1">
        <f>IFERROR(__xludf.DUMMYFUNCTION("""COMPUTED_VALUE"""),214.1)</f>
        <v>214.1</v>
      </c>
    </row>
    <row r="1039">
      <c r="A1039" s="2">
        <f>IFERROR(__xludf.DUMMYFUNCTION("""COMPUTED_VALUE"""),45610.66666666667)</f>
        <v>45610.66667</v>
      </c>
      <c r="B1039" s="1">
        <f>IFERROR(__xludf.DUMMYFUNCTION("""COMPUTED_VALUE"""),211.48)</f>
        <v>211.48</v>
      </c>
    </row>
    <row r="1040">
      <c r="A1040" s="2">
        <f>IFERROR(__xludf.DUMMYFUNCTION("""COMPUTED_VALUE"""),45611.66666666667)</f>
        <v>45611.66667</v>
      </c>
      <c r="B1040" s="1">
        <f>IFERROR(__xludf.DUMMYFUNCTION("""COMPUTED_VALUE"""),202.61)</f>
        <v>202.61</v>
      </c>
    </row>
    <row r="1041">
      <c r="A1041" s="2">
        <f>IFERROR(__xludf.DUMMYFUNCTION("""COMPUTED_VALUE"""),45614.66666666667)</f>
        <v>45614.66667</v>
      </c>
      <c r="B1041" s="1">
        <f>IFERROR(__xludf.DUMMYFUNCTION("""COMPUTED_VALUE"""),201.7)</f>
        <v>201.7</v>
      </c>
    </row>
    <row r="1042">
      <c r="A1042" s="2">
        <f>IFERROR(__xludf.DUMMYFUNCTION("""COMPUTED_VALUE"""),45615.66666666667)</f>
        <v>45615.66667</v>
      </c>
      <c r="B1042" s="1">
        <f>IFERROR(__xludf.DUMMYFUNCTION("""COMPUTED_VALUE"""),204.61)</f>
        <v>204.61</v>
      </c>
    </row>
    <row r="1043">
      <c r="A1043" s="2">
        <f>IFERROR(__xludf.DUMMYFUNCTION("""COMPUTED_VALUE"""),45616.66666666667)</f>
        <v>45616.66667</v>
      </c>
      <c r="B1043" s="1">
        <f>IFERROR(__xludf.DUMMYFUNCTION("""COMPUTED_VALUE"""),202.88)</f>
        <v>202.88</v>
      </c>
    </row>
    <row r="1044">
      <c r="A1044" s="2">
        <f>IFERROR(__xludf.DUMMYFUNCTION("""COMPUTED_VALUE"""),45617.66666666667)</f>
        <v>45617.66667</v>
      </c>
      <c r="B1044" s="1">
        <f>IFERROR(__xludf.DUMMYFUNCTION("""COMPUTED_VALUE"""),198.38)</f>
        <v>198.38</v>
      </c>
    </row>
    <row r="1045">
      <c r="A1045" s="2">
        <f>IFERROR(__xludf.DUMMYFUNCTION("""COMPUTED_VALUE"""),45618.66666666667)</f>
        <v>45618.66667</v>
      </c>
      <c r="B1045" s="1">
        <f>IFERROR(__xludf.DUMMYFUNCTION("""COMPUTED_VALUE"""),197.12)</f>
        <v>197.12</v>
      </c>
    </row>
    <row r="1046">
      <c r="A1046" s="2">
        <f>IFERROR(__xludf.DUMMYFUNCTION("""COMPUTED_VALUE"""),45621.66666666667)</f>
        <v>45621.66667</v>
      </c>
      <c r="B1046" s="1">
        <f>IFERROR(__xludf.DUMMYFUNCTION("""COMPUTED_VALUE"""),201.45)</f>
        <v>201.45</v>
      </c>
    </row>
    <row r="1047">
      <c r="A1047" s="2">
        <f>IFERROR(__xludf.DUMMYFUNCTION("""COMPUTED_VALUE"""),45622.66666666667)</f>
        <v>45622.66667</v>
      </c>
      <c r="B1047" s="1">
        <f>IFERROR(__xludf.DUMMYFUNCTION("""COMPUTED_VALUE"""),207.86)</f>
        <v>207.86</v>
      </c>
    </row>
    <row r="1048">
      <c r="A1048" s="2">
        <f>IFERROR(__xludf.DUMMYFUNCTION("""COMPUTED_VALUE"""),45623.66666666667)</f>
        <v>45623.66667</v>
      </c>
      <c r="B1048" s="1">
        <f>IFERROR(__xludf.DUMMYFUNCTION("""COMPUTED_VALUE"""),205.74)</f>
        <v>205.74</v>
      </c>
    </row>
    <row r="1049">
      <c r="A1049" s="2">
        <f>IFERROR(__xludf.DUMMYFUNCTION("""COMPUTED_VALUE"""),45625.54513888889)</f>
        <v>45625.54514</v>
      </c>
      <c r="B1049" s="1">
        <f>IFERROR(__xludf.DUMMYFUNCTION("""COMPUTED_VALUE"""),207.89)</f>
        <v>207.89</v>
      </c>
    </row>
    <row r="1050">
      <c r="A1050" s="2">
        <f>IFERROR(__xludf.DUMMYFUNCTION("""COMPUTED_VALUE"""),45628.66666666667)</f>
        <v>45628.66667</v>
      </c>
      <c r="B1050" s="1">
        <f>IFERROR(__xludf.DUMMYFUNCTION("""COMPUTED_VALUE"""),210.71)</f>
        <v>210.71</v>
      </c>
    </row>
    <row r="1051">
      <c r="A1051" s="2">
        <f>IFERROR(__xludf.DUMMYFUNCTION("""COMPUTED_VALUE"""),45629.66666666667)</f>
        <v>45629.66667</v>
      </c>
      <c r="B1051" s="1">
        <f>IFERROR(__xludf.DUMMYFUNCTION("""COMPUTED_VALUE"""),213.44)</f>
        <v>213.44</v>
      </c>
    </row>
    <row r="1052">
      <c r="A1052" s="2">
        <f>IFERROR(__xludf.DUMMYFUNCTION("""COMPUTED_VALUE"""),45630.66666666667)</f>
        <v>45630.66667</v>
      </c>
      <c r="B1052" s="1">
        <f>IFERROR(__xludf.DUMMYFUNCTION("""COMPUTED_VALUE"""),218.16)</f>
        <v>218.16</v>
      </c>
    </row>
    <row r="1053">
      <c r="A1053" s="2">
        <f>IFERROR(__xludf.DUMMYFUNCTION("""COMPUTED_VALUE"""),45631.66666666667)</f>
        <v>45631.66667</v>
      </c>
      <c r="B1053" s="1">
        <f>IFERROR(__xludf.DUMMYFUNCTION("""COMPUTED_VALUE"""),220.55)</f>
        <v>220.55</v>
      </c>
    </row>
    <row r="1054">
      <c r="A1054" s="2">
        <f>IFERROR(__xludf.DUMMYFUNCTION("""COMPUTED_VALUE"""),45632.66666666667)</f>
        <v>45632.66667</v>
      </c>
      <c r="B1054" s="1">
        <f>IFERROR(__xludf.DUMMYFUNCTION("""COMPUTED_VALUE"""),227.03)</f>
        <v>227.03</v>
      </c>
    </row>
    <row r="1055">
      <c r="A1055" s="2">
        <f>IFERROR(__xludf.DUMMYFUNCTION("""COMPUTED_VALUE"""),45635.66666666667)</f>
        <v>45635.66667</v>
      </c>
      <c r="B1055" s="1">
        <f>IFERROR(__xludf.DUMMYFUNCTION("""COMPUTED_VALUE"""),226.09)</f>
        <v>226.09</v>
      </c>
    </row>
    <row r="1056">
      <c r="A1056" s="2">
        <f>IFERROR(__xludf.DUMMYFUNCTION("""COMPUTED_VALUE"""),45636.66666666667)</f>
        <v>45636.66667</v>
      </c>
      <c r="B1056" s="1">
        <f>IFERROR(__xludf.DUMMYFUNCTION("""COMPUTED_VALUE"""),225.04)</f>
        <v>225.04</v>
      </c>
    </row>
    <row r="1057">
      <c r="A1057" s="2">
        <f>IFERROR(__xludf.DUMMYFUNCTION("""COMPUTED_VALUE"""),45637.66666666667)</f>
        <v>45637.66667</v>
      </c>
      <c r="B1057" s="1">
        <f>IFERROR(__xludf.DUMMYFUNCTION("""COMPUTED_VALUE"""),230.26)</f>
        <v>230.26</v>
      </c>
    </row>
    <row r="1058">
      <c r="A1058" s="2">
        <f>IFERROR(__xludf.DUMMYFUNCTION("""COMPUTED_VALUE"""),45638.66666666667)</f>
        <v>45638.66667</v>
      </c>
      <c r="B1058" s="1">
        <f>IFERROR(__xludf.DUMMYFUNCTION("""COMPUTED_VALUE"""),228.97)</f>
        <v>228.97</v>
      </c>
    </row>
    <row r="1059">
      <c r="A1059" s="2">
        <f>IFERROR(__xludf.DUMMYFUNCTION("""COMPUTED_VALUE"""),45639.66666666667)</f>
        <v>45639.66667</v>
      </c>
      <c r="B1059" s="1">
        <f>IFERROR(__xludf.DUMMYFUNCTION("""COMPUTED_VALUE"""),227.46)</f>
        <v>227.46</v>
      </c>
    </row>
    <row r="1060">
      <c r="A1060" s="2">
        <f>IFERROR(__xludf.DUMMYFUNCTION("""COMPUTED_VALUE"""),45642.66666666667)</f>
        <v>45642.66667</v>
      </c>
      <c r="B1060" s="1">
        <f>IFERROR(__xludf.DUMMYFUNCTION("""COMPUTED_VALUE"""),232.93)</f>
        <v>232.93</v>
      </c>
    </row>
    <row r="1061">
      <c r="A1061" s="2">
        <f>IFERROR(__xludf.DUMMYFUNCTION("""COMPUTED_VALUE"""),45643.66666666667)</f>
        <v>45643.66667</v>
      </c>
      <c r="B1061" s="1">
        <f>IFERROR(__xludf.DUMMYFUNCTION("""COMPUTED_VALUE"""),231.15)</f>
        <v>231.15</v>
      </c>
    </row>
    <row r="1062">
      <c r="A1062" s="2">
        <f>IFERROR(__xludf.DUMMYFUNCTION("""COMPUTED_VALUE"""),45644.66666666667)</f>
        <v>45644.66667</v>
      </c>
      <c r="B1062" s="1">
        <f>IFERROR(__xludf.DUMMYFUNCTION("""COMPUTED_VALUE"""),220.52)</f>
        <v>220.52</v>
      </c>
    </row>
    <row r="1063">
      <c r="A1063" s="2">
        <f>IFERROR(__xludf.DUMMYFUNCTION("""COMPUTED_VALUE"""),45645.66666666667)</f>
        <v>45645.66667</v>
      </c>
      <c r="B1063" s="1">
        <f>IFERROR(__xludf.DUMMYFUNCTION("""COMPUTED_VALUE"""),223.29)</f>
        <v>223.29</v>
      </c>
    </row>
    <row r="1064">
      <c r="A1064" s="2">
        <f>IFERROR(__xludf.DUMMYFUNCTION("""COMPUTED_VALUE"""),45646.66666666667)</f>
        <v>45646.66667</v>
      </c>
      <c r="B1064" s="1">
        <f>IFERROR(__xludf.DUMMYFUNCTION("""COMPUTED_VALUE"""),224.92)</f>
        <v>224.92</v>
      </c>
    </row>
    <row r="1065">
      <c r="A1065" s="2">
        <f>IFERROR(__xludf.DUMMYFUNCTION("""COMPUTED_VALUE"""),45649.66666666667)</f>
        <v>45649.66667</v>
      </c>
      <c r="B1065" s="1">
        <f>IFERROR(__xludf.DUMMYFUNCTION("""COMPUTED_VALUE"""),225.06)</f>
        <v>225.06</v>
      </c>
    </row>
    <row r="1066">
      <c r="A1066" s="2">
        <f>IFERROR(__xludf.DUMMYFUNCTION("""COMPUTED_VALUE"""),45650.54513888889)</f>
        <v>45650.54514</v>
      </c>
      <c r="B1066" s="1">
        <f>IFERROR(__xludf.DUMMYFUNCTION("""COMPUTED_VALUE"""),229.05)</f>
        <v>229.05</v>
      </c>
    </row>
    <row r="1067">
      <c r="A1067" s="2">
        <f>IFERROR(__xludf.DUMMYFUNCTION("""COMPUTED_VALUE"""),45652.66666666667)</f>
        <v>45652.66667</v>
      </c>
      <c r="B1067" s="1">
        <f>IFERROR(__xludf.DUMMYFUNCTION("""COMPUTED_VALUE"""),227.05)</f>
        <v>227.05</v>
      </c>
    </row>
    <row r="1068">
      <c r="A1068" s="2">
        <f>IFERROR(__xludf.DUMMYFUNCTION("""COMPUTED_VALUE"""),45653.66666666667)</f>
        <v>45653.66667</v>
      </c>
      <c r="B1068" s="1">
        <f>IFERROR(__xludf.DUMMYFUNCTION("""COMPUTED_VALUE"""),223.75)</f>
        <v>223.75</v>
      </c>
    </row>
    <row r="1069">
      <c r="A1069" s="2">
        <f>IFERROR(__xludf.DUMMYFUNCTION("""COMPUTED_VALUE"""),45656.66666666667)</f>
        <v>45656.66667</v>
      </c>
      <c r="B1069" s="1">
        <f>IFERROR(__xludf.DUMMYFUNCTION("""COMPUTED_VALUE"""),221.3)</f>
        <v>221.3</v>
      </c>
    </row>
    <row r="1070">
      <c r="A1070" s="2">
        <f>IFERROR(__xludf.DUMMYFUNCTION("""COMPUTED_VALUE"""),45657.66666666667)</f>
        <v>45657.66667</v>
      </c>
      <c r="B1070" s="1">
        <f>IFERROR(__xludf.DUMMYFUNCTION("""COMPUTED_VALUE"""),219.39)</f>
        <v>219.39</v>
      </c>
    </row>
    <row r="1071">
      <c r="A1071" s="2">
        <f>IFERROR(__xludf.DUMMYFUNCTION("""COMPUTED_VALUE"""),45659.66666666667)</f>
        <v>45659.66667</v>
      </c>
      <c r="B1071" s="1">
        <f>IFERROR(__xludf.DUMMYFUNCTION("""COMPUTED_VALUE"""),220.22)</f>
        <v>220.22</v>
      </c>
    </row>
    <row r="1072">
      <c r="A1072" s="2">
        <f>IFERROR(__xludf.DUMMYFUNCTION("""COMPUTED_VALUE"""),45660.66666666667)</f>
        <v>45660.66667</v>
      </c>
      <c r="B1072" s="1">
        <f>IFERROR(__xludf.DUMMYFUNCTION("""COMPUTED_VALUE"""),224.19)</f>
        <v>224.19</v>
      </c>
    </row>
    <row r="1073">
      <c r="A1073" s="2">
        <f>IFERROR(__xludf.DUMMYFUNCTION("""COMPUTED_VALUE"""),45663.66666666667)</f>
        <v>45663.66667</v>
      </c>
      <c r="B1073" s="1">
        <f>IFERROR(__xludf.DUMMYFUNCTION("""COMPUTED_VALUE"""),227.61)</f>
        <v>227.61</v>
      </c>
    </row>
    <row r="1074">
      <c r="A1074" s="2">
        <f>IFERROR(__xludf.DUMMYFUNCTION("""COMPUTED_VALUE"""),45664.66666666667)</f>
        <v>45664.66667</v>
      </c>
      <c r="B1074" s="1">
        <f>IFERROR(__xludf.DUMMYFUNCTION("""COMPUTED_VALUE"""),222.11)</f>
        <v>222.11</v>
      </c>
    </row>
    <row r="1075">
      <c r="A1075" s="2">
        <f>IFERROR(__xludf.DUMMYFUNCTION("""COMPUTED_VALUE"""),45665.66666666667)</f>
        <v>45665.66667</v>
      </c>
      <c r="B1075" s="1">
        <f>IFERROR(__xludf.DUMMYFUNCTION("""COMPUTED_VALUE"""),222.13)</f>
        <v>222.13</v>
      </c>
    </row>
    <row r="1076">
      <c r="A1076" s="2">
        <f>IFERROR(__xludf.DUMMYFUNCTION("""COMPUTED_VALUE"""),45667.66666666667)</f>
        <v>45667.66667</v>
      </c>
      <c r="B1076" s="1">
        <f>IFERROR(__xludf.DUMMYFUNCTION("""COMPUTED_VALUE"""),218.94)</f>
        <v>218.94</v>
      </c>
    </row>
    <row r="1077">
      <c r="A1077" s="2">
        <f>IFERROR(__xludf.DUMMYFUNCTION("""COMPUTED_VALUE"""),45670.66666666667)</f>
        <v>45670.66667</v>
      </c>
      <c r="B1077" s="1">
        <f>IFERROR(__xludf.DUMMYFUNCTION("""COMPUTED_VALUE"""),218.46)</f>
        <v>218.46</v>
      </c>
    </row>
    <row r="1078">
      <c r="A1078" s="2">
        <f>IFERROR(__xludf.DUMMYFUNCTION("""COMPUTED_VALUE"""),45671.66666666667)</f>
        <v>45671.66667</v>
      </c>
      <c r="B1078" s="1">
        <f>IFERROR(__xludf.DUMMYFUNCTION("""COMPUTED_VALUE"""),217.76)</f>
        <v>217.76</v>
      </c>
    </row>
    <row r="1079">
      <c r="A1079" s="2">
        <f>IFERROR(__xludf.DUMMYFUNCTION("""COMPUTED_VALUE"""),45672.66666666667)</f>
        <v>45672.66667</v>
      </c>
      <c r="B1079" s="1">
        <f>IFERROR(__xludf.DUMMYFUNCTION("""COMPUTED_VALUE"""),223.35)</f>
        <v>223.35</v>
      </c>
    </row>
    <row r="1080">
      <c r="A1080" s="2">
        <f>IFERROR(__xludf.DUMMYFUNCTION("""COMPUTED_VALUE"""),45673.66666666667)</f>
        <v>45673.66667</v>
      </c>
      <c r="B1080" s="1">
        <f>IFERROR(__xludf.DUMMYFUNCTION("""COMPUTED_VALUE"""),220.66)</f>
        <v>220.66</v>
      </c>
    </row>
    <row r="1081">
      <c r="A1081" s="2">
        <f>IFERROR(__xludf.DUMMYFUNCTION("""COMPUTED_VALUE"""),45674.66666666667)</f>
        <v>45674.66667</v>
      </c>
      <c r="B1081" s="1">
        <f>IFERROR(__xludf.DUMMYFUNCTION("""COMPUTED_VALUE"""),225.94)</f>
        <v>225.94</v>
      </c>
    </row>
    <row r="1082">
      <c r="A1082" s="2">
        <f>IFERROR(__xludf.DUMMYFUNCTION("""COMPUTED_VALUE"""),45678.66666666667)</f>
        <v>45678.66667</v>
      </c>
      <c r="B1082" s="1">
        <f>IFERROR(__xludf.DUMMYFUNCTION("""COMPUTED_VALUE"""),230.71)</f>
        <v>230.71</v>
      </c>
    </row>
    <row r="1083">
      <c r="A1083" s="2">
        <f>IFERROR(__xludf.DUMMYFUNCTION("""COMPUTED_VALUE"""),45679.66666666667)</f>
        <v>45679.66667</v>
      </c>
      <c r="B1083" s="1">
        <f>IFERROR(__xludf.DUMMYFUNCTION("""COMPUTED_VALUE"""),235.01)</f>
        <v>235.01</v>
      </c>
    </row>
    <row r="1084">
      <c r="A1084" s="2">
        <f>IFERROR(__xludf.DUMMYFUNCTION("""COMPUTED_VALUE"""),45680.66666666667)</f>
        <v>45680.66667</v>
      </c>
      <c r="B1084" s="1">
        <f>IFERROR(__xludf.DUMMYFUNCTION("""COMPUTED_VALUE"""),235.42)</f>
        <v>235.42</v>
      </c>
    </row>
    <row r="1085">
      <c r="A1085" s="2">
        <f>IFERROR(__xludf.DUMMYFUNCTION("""COMPUTED_VALUE"""),45681.66666666667)</f>
        <v>45681.66667</v>
      </c>
      <c r="B1085" s="1">
        <f>IFERROR(__xludf.DUMMYFUNCTION("""COMPUTED_VALUE"""),234.85)</f>
        <v>234.85</v>
      </c>
    </row>
    <row r="1086">
      <c r="A1086" s="2">
        <f>IFERROR(__xludf.DUMMYFUNCTION("""COMPUTED_VALUE"""),45684.66666666667)</f>
        <v>45684.66667</v>
      </c>
      <c r="B1086" s="1">
        <f>IFERROR(__xludf.DUMMYFUNCTION("""COMPUTED_VALUE"""),235.42)</f>
        <v>235.42</v>
      </c>
    </row>
    <row r="1087">
      <c r="A1087" s="2">
        <f>IFERROR(__xludf.DUMMYFUNCTION("""COMPUTED_VALUE"""),45685.66666666667)</f>
        <v>45685.66667</v>
      </c>
      <c r="B1087" s="1">
        <f>IFERROR(__xludf.DUMMYFUNCTION("""COMPUTED_VALUE"""),238.15)</f>
        <v>238.15</v>
      </c>
    </row>
    <row r="1088">
      <c r="A1088" s="2">
        <f>IFERROR(__xludf.DUMMYFUNCTION("""COMPUTED_VALUE"""),45686.66666666667)</f>
        <v>45686.66667</v>
      </c>
      <c r="B1088" s="1">
        <f>IFERROR(__xludf.DUMMYFUNCTION("""COMPUTED_VALUE"""),237.07)</f>
        <v>237.07</v>
      </c>
    </row>
    <row r="1089">
      <c r="A1089" s="2">
        <f>IFERROR(__xludf.DUMMYFUNCTION("""COMPUTED_VALUE"""),45687.66666666667)</f>
        <v>45687.66667</v>
      </c>
      <c r="B1089" s="1">
        <f>IFERROR(__xludf.DUMMYFUNCTION("""COMPUTED_VALUE"""),234.64)</f>
        <v>234.64</v>
      </c>
    </row>
    <row r="1090">
      <c r="A1090" s="2">
        <f>IFERROR(__xludf.DUMMYFUNCTION("""COMPUTED_VALUE"""),45688.66666666667)</f>
        <v>45688.66667</v>
      </c>
      <c r="B1090" s="1">
        <f>IFERROR(__xludf.DUMMYFUNCTION("""COMPUTED_VALUE"""),237.68)</f>
        <v>237.68</v>
      </c>
    </row>
    <row r="1091">
      <c r="A1091" s="2">
        <f>IFERROR(__xludf.DUMMYFUNCTION("""COMPUTED_VALUE"""),45691.66666666667)</f>
        <v>45691.66667</v>
      </c>
      <c r="B1091" s="1">
        <f>IFERROR(__xludf.DUMMYFUNCTION("""COMPUTED_VALUE"""),237.42)</f>
        <v>237.42</v>
      </c>
    </row>
    <row r="1092">
      <c r="A1092" s="2">
        <f>IFERROR(__xludf.DUMMYFUNCTION("""COMPUTED_VALUE"""),45692.66666666667)</f>
        <v>45692.66667</v>
      </c>
      <c r="B1092" s="1">
        <f>IFERROR(__xludf.DUMMYFUNCTION("""COMPUTED_VALUE"""),242.06)</f>
        <v>242.06</v>
      </c>
    </row>
    <row r="1093">
      <c r="A1093" s="2">
        <f>IFERROR(__xludf.DUMMYFUNCTION("""COMPUTED_VALUE"""),45693.66666666667)</f>
        <v>45693.66667</v>
      </c>
      <c r="B1093" s="1">
        <f>IFERROR(__xludf.DUMMYFUNCTION("""COMPUTED_VALUE"""),236.17)</f>
        <v>236.17</v>
      </c>
    </row>
    <row r="1094">
      <c r="A1094" s="2">
        <f>IFERROR(__xludf.DUMMYFUNCTION("""COMPUTED_VALUE"""),45694.66666666667)</f>
        <v>45694.66667</v>
      </c>
      <c r="B1094" s="1">
        <f>IFERROR(__xludf.DUMMYFUNCTION("""COMPUTED_VALUE"""),238.83)</f>
        <v>238.83</v>
      </c>
    </row>
    <row r="1095">
      <c r="A1095" s="2">
        <f>IFERROR(__xludf.DUMMYFUNCTION("""COMPUTED_VALUE"""),45695.66666666667)</f>
        <v>45695.66667</v>
      </c>
      <c r="B1095" s="1">
        <f>IFERROR(__xludf.DUMMYFUNCTION("""COMPUTED_VALUE"""),229.15)</f>
        <v>229.15</v>
      </c>
    </row>
    <row r="1096">
      <c r="A1096" s="2">
        <f>IFERROR(__xludf.DUMMYFUNCTION("""COMPUTED_VALUE"""),45698.66666666667)</f>
        <v>45698.66667</v>
      </c>
      <c r="B1096" s="1">
        <f>IFERROR(__xludf.DUMMYFUNCTION("""COMPUTED_VALUE"""),233.14)</f>
        <v>233.14</v>
      </c>
    </row>
    <row r="1097">
      <c r="A1097" s="2">
        <f>IFERROR(__xludf.DUMMYFUNCTION("""COMPUTED_VALUE"""),45699.66666666667)</f>
        <v>45699.66667</v>
      </c>
      <c r="B1097" s="1">
        <f>IFERROR(__xludf.DUMMYFUNCTION("""COMPUTED_VALUE"""),232.76)</f>
        <v>232.76</v>
      </c>
    </row>
    <row r="1098">
      <c r="A1098" s="2">
        <f>IFERROR(__xludf.DUMMYFUNCTION("""COMPUTED_VALUE"""),45700.66666666667)</f>
        <v>45700.66667</v>
      </c>
      <c r="B1098" s="1">
        <f>IFERROR(__xludf.DUMMYFUNCTION("""COMPUTED_VALUE"""),228.93)</f>
        <v>228.93</v>
      </c>
    </row>
    <row r="1099">
      <c r="A1099" s="2">
        <f>IFERROR(__xludf.DUMMYFUNCTION("""COMPUTED_VALUE"""),45701.66666666667)</f>
        <v>45701.66667</v>
      </c>
      <c r="B1099" s="1">
        <f>IFERROR(__xludf.DUMMYFUNCTION("""COMPUTED_VALUE"""),230.37)</f>
        <v>230.37</v>
      </c>
    </row>
    <row r="1100">
      <c r="A1100" s="2">
        <f>IFERROR(__xludf.DUMMYFUNCTION("""COMPUTED_VALUE"""),45702.66666666667)</f>
        <v>45702.66667</v>
      </c>
      <c r="B1100" s="1">
        <f>IFERROR(__xludf.DUMMYFUNCTION("""COMPUTED_VALUE"""),228.68)</f>
        <v>228.68</v>
      </c>
    </row>
    <row r="1101">
      <c r="A1101" s="2">
        <f>IFERROR(__xludf.DUMMYFUNCTION("""COMPUTED_VALUE"""),45706.66666666667)</f>
        <v>45706.66667</v>
      </c>
      <c r="B1101" s="1">
        <f>IFERROR(__xludf.DUMMYFUNCTION("""COMPUTED_VALUE"""),226.65)</f>
        <v>226.65</v>
      </c>
    </row>
    <row r="1102">
      <c r="A1102" s="2">
        <f>IFERROR(__xludf.DUMMYFUNCTION("""COMPUTED_VALUE"""),45707.66666666667)</f>
        <v>45707.66667</v>
      </c>
      <c r="B1102" s="1">
        <f>IFERROR(__xludf.DUMMYFUNCTION("""COMPUTED_VALUE"""),226.63)</f>
        <v>226.63</v>
      </c>
    </row>
    <row r="1103">
      <c r="A1103" s="2">
        <f>IFERROR(__xludf.DUMMYFUNCTION("""COMPUTED_VALUE"""),45708.66666666667)</f>
        <v>45708.66667</v>
      </c>
      <c r="B1103" s="1">
        <f>IFERROR(__xludf.DUMMYFUNCTION("""COMPUTED_VALUE"""),222.88)</f>
        <v>222.88</v>
      </c>
    </row>
    <row r="1104">
      <c r="A1104" s="2">
        <f>IFERROR(__xludf.DUMMYFUNCTION("""COMPUTED_VALUE"""),45709.66666666667)</f>
        <v>45709.66667</v>
      </c>
      <c r="B1104" s="1">
        <f>IFERROR(__xludf.DUMMYFUNCTION("""COMPUTED_VALUE"""),216.58)</f>
        <v>216.58</v>
      </c>
    </row>
    <row r="1105">
      <c r="A1105" s="2">
        <f>IFERROR(__xludf.DUMMYFUNCTION("""COMPUTED_VALUE"""),45712.66666666667)</f>
        <v>45712.66667</v>
      </c>
      <c r="B1105" s="1">
        <f>IFERROR(__xludf.DUMMYFUNCTION("""COMPUTED_VALUE"""),212.71)</f>
        <v>212.71</v>
      </c>
    </row>
    <row r="1106">
      <c r="A1106" s="2">
        <f>IFERROR(__xludf.DUMMYFUNCTION("""COMPUTED_VALUE"""),45713.66666666667)</f>
        <v>45713.66667</v>
      </c>
      <c r="B1106" s="1">
        <f>IFERROR(__xludf.DUMMYFUNCTION("""COMPUTED_VALUE"""),212.8)</f>
        <v>212.8</v>
      </c>
    </row>
    <row r="1107">
      <c r="A1107" s="2">
        <f>IFERROR(__xludf.DUMMYFUNCTION("""COMPUTED_VALUE"""),45714.66666666667)</f>
        <v>45714.66667</v>
      </c>
      <c r="B1107" s="1">
        <f>IFERROR(__xludf.DUMMYFUNCTION("""COMPUTED_VALUE"""),214.35)</f>
        <v>214.35</v>
      </c>
    </row>
    <row r="1108">
      <c r="A1108" s="2">
        <f>IFERROR(__xludf.DUMMYFUNCTION("""COMPUTED_VALUE"""),45715.66666666667)</f>
        <v>45715.66667</v>
      </c>
      <c r="B1108" s="1">
        <f>IFERROR(__xludf.DUMMYFUNCTION("""COMPUTED_VALUE"""),208.74)</f>
        <v>208.74</v>
      </c>
    </row>
    <row r="1109">
      <c r="A1109" s="2">
        <f>IFERROR(__xludf.DUMMYFUNCTION("""COMPUTED_VALUE"""),45716.66666666667)</f>
        <v>45716.66667</v>
      </c>
      <c r="B1109" s="1">
        <f>IFERROR(__xludf.DUMMYFUNCTION("""COMPUTED_VALUE"""),212.28)</f>
        <v>212.28</v>
      </c>
    </row>
    <row r="1110">
      <c r="A1110" s="2">
        <f>IFERROR(__xludf.DUMMYFUNCTION("""COMPUTED_VALUE"""),45719.66666666667)</f>
        <v>45719.66667</v>
      </c>
      <c r="B1110" s="1">
        <f>IFERROR(__xludf.DUMMYFUNCTION("""COMPUTED_VALUE"""),205.02)</f>
        <v>205.02</v>
      </c>
    </row>
    <row r="1111">
      <c r="A1111" s="2">
        <f>IFERROR(__xludf.DUMMYFUNCTION("""COMPUTED_VALUE"""),45720.66666666667)</f>
        <v>45720.66667</v>
      </c>
      <c r="B1111" s="1">
        <f>IFERROR(__xludf.DUMMYFUNCTION("""COMPUTED_VALUE"""),203.8)</f>
        <v>203.8</v>
      </c>
    </row>
    <row r="1112">
      <c r="A1112" s="2">
        <f>IFERROR(__xludf.DUMMYFUNCTION("""COMPUTED_VALUE"""),45721.66666666667)</f>
        <v>45721.66667</v>
      </c>
      <c r="B1112" s="1">
        <f>IFERROR(__xludf.DUMMYFUNCTION("""COMPUTED_VALUE"""),208.36)</f>
        <v>208.36</v>
      </c>
    </row>
    <row r="1113">
      <c r="A1113" s="2">
        <f>IFERROR(__xludf.DUMMYFUNCTION("""COMPUTED_VALUE"""),45722.66666666667)</f>
        <v>45722.66667</v>
      </c>
      <c r="B1113" s="1">
        <f>IFERROR(__xludf.DUMMYFUNCTION("""COMPUTED_VALUE"""),200.7)</f>
        <v>200.7</v>
      </c>
    </row>
    <row r="1114">
      <c r="A1114" s="2">
        <f>IFERROR(__xludf.DUMMYFUNCTION("""COMPUTED_VALUE"""),45723.66666666667)</f>
        <v>45723.66667</v>
      </c>
      <c r="B1114" s="1">
        <f>IFERROR(__xludf.DUMMYFUNCTION("""COMPUTED_VALUE"""),199.25)</f>
        <v>199.25</v>
      </c>
    </row>
    <row r="1115">
      <c r="A1115" s="2">
        <f>IFERROR(__xludf.DUMMYFUNCTION("""COMPUTED_VALUE"""),45726.66666666667)</f>
        <v>45726.66667</v>
      </c>
      <c r="B1115" s="1">
        <f>IFERROR(__xludf.DUMMYFUNCTION("""COMPUTED_VALUE"""),194.54)</f>
        <v>194.54</v>
      </c>
    </row>
    <row r="1116">
      <c r="A1116" s="2">
        <f>IFERROR(__xludf.DUMMYFUNCTION("""COMPUTED_VALUE"""),45727.66666666667)</f>
        <v>45727.66667</v>
      </c>
      <c r="B1116" s="1">
        <f>IFERROR(__xludf.DUMMYFUNCTION("""COMPUTED_VALUE"""),196.59)</f>
        <v>196.59</v>
      </c>
    </row>
    <row r="1117">
      <c r="A1117" s="2">
        <f>IFERROR(__xludf.DUMMYFUNCTION("""COMPUTED_VALUE"""),45728.66666666667)</f>
        <v>45728.66667</v>
      </c>
      <c r="B1117" s="1">
        <f>IFERROR(__xludf.DUMMYFUNCTION("""COMPUTED_VALUE"""),198.89)</f>
        <v>198.89</v>
      </c>
    </row>
    <row r="1118">
      <c r="A1118" s="2">
        <f>IFERROR(__xludf.DUMMYFUNCTION("""COMPUTED_VALUE"""),45729.66666666667)</f>
        <v>45729.66667</v>
      </c>
      <c r="B1118" s="1">
        <f>IFERROR(__xludf.DUMMYFUNCTION("""COMPUTED_VALUE"""),193.89)</f>
        <v>193.89</v>
      </c>
    </row>
    <row r="1119">
      <c r="A1119" s="2">
        <f>IFERROR(__xludf.DUMMYFUNCTION("""COMPUTED_VALUE"""),45730.66666666667)</f>
        <v>45730.66667</v>
      </c>
      <c r="B1119" s="1">
        <f>IFERROR(__xludf.DUMMYFUNCTION("""COMPUTED_VALUE"""),197.95)</f>
        <v>197.95</v>
      </c>
    </row>
    <row r="1120">
      <c r="A1120" s="2">
        <f>IFERROR(__xludf.DUMMYFUNCTION("""COMPUTED_VALUE"""),45733.66666666667)</f>
        <v>45733.66667</v>
      </c>
      <c r="B1120" s="1">
        <f>IFERROR(__xludf.DUMMYFUNCTION("""COMPUTED_VALUE"""),195.74)</f>
        <v>195.74</v>
      </c>
    </row>
    <row r="1121">
      <c r="A1121" s="2">
        <f>IFERROR(__xludf.DUMMYFUNCTION("""COMPUTED_VALUE"""),45734.66666666667)</f>
        <v>45734.66667</v>
      </c>
      <c r="B1121" s="1">
        <f>IFERROR(__xludf.DUMMYFUNCTION("""COMPUTED_VALUE"""),192.82)</f>
        <v>192.82</v>
      </c>
    </row>
    <row r="1122">
      <c r="A1122" s="2">
        <f>IFERROR(__xludf.DUMMYFUNCTION("""COMPUTED_VALUE"""),45735.66666666667)</f>
        <v>45735.66667</v>
      </c>
      <c r="B1122" s="1">
        <f>IFERROR(__xludf.DUMMYFUNCTION("""COMPUTED_VALUE"""),195.54)</f>
        <v>195.54</v>
      </c>
    </row>
    <row r="1123">
      <c r="A1123" s="2">
        <f>IFERROR(__xludf.DUMMYFUNCTION("""COMPUTED_VALUE"""),45736.66666666667)</f>
        <v>45736.66667</v>
      </c>
      <c r="B1123" s="1">
        <f>IFERROR(__xludf.DUMMYFUNCTION("""COMPUTED_VALUE"""),194.95)</f>
        <v>194.95</v>
      </c>
    </row>
    <row r="1124">
      <c r="A1124" s="2">
        <f>IFERROR(__xludf.DUMMYFUNCTION("""COMPUTED_VALUE"""),45737.66666666667)</f>
        <v>45737.66667</v>
      </c>
      <c r="B1124" s="1">
        <f>IFERROR(__xludf.DUMMYFUNCTION("""COMPUTED_VALUE"""),196.21)</f>
        <v>196.21</v>
      </c>
    </row>
    <row r="1125">
      <c r="A1125" s="2">
        <f>IFERROR(__xludf.DUMMYFUNCTION("""COMPUTED_VALUE"""),45740.66666666667)</f>
        <v>45740.66667</v>
      </c>
      <c r="B1125" s="1">
        <f>IFERROR(__xludf.DUMMYFUNCTION("""COMPUTED_VALUE"""),203.26)</f>
        <v>203.26</v>
      </c>
    </row>
    <row r="1126">
      <c r="A1126" s="2">
        <f>IFERROR(__xludf.DUMMYFUNCTION("""COMPUTED_VALUE"""),45741.66666666667)</f>
        <v>45741.66667</v>
      </c>
      <c r="B1126" s="1">
        <f>IFERROR(__xludf.DUMMYFUNCTION("""COMPUTED_VALUE"""),205.71)</f>
        <v>205.71</v>
      </c>
    </row>
    <row r="1127">
      <c r="A1127" s="2">
        <f>IFERROR(__xludf.DUMMYFUNCTION("""COMPUTED_VALUE"""),45742.66666666667)</f>
        <v>45742.66667</v>
      </c>
      <c r="B1127" s="1">
        <f>IFERROR(__xludf.DUMMYFUNCTION("""COMPUTED_VALUE"""),201.13)</f>
        <v>201.13</v>
      </c>
    </row>
    <row r="1128">
      <c r="A1128" s="2">
        <f>IFERROR(__xludf.DUMMYFUNCTION("""COMPUTED_VALUE"""),45743.66666666667)</f>
        <v>45743.66667</v>
      </c>
      <c r="B1128" s="1">
        <f>IFERROR(__xludf.DUMMYFUNCTION("""COMPUTED_VALUE"""),201.36)</f>
        <v>201.36</v>
      </c>
    </row>
    <row r="1129">
      <c r="A1129" s="2">
        <f>IFERROR(__xludf.DUMMYFUNCTION("""COMPUTED_VALUE"""),45744.66666666667)</f>
        <v>45744.66667</v>
      </c>
      <c r="B1129" s="1">
        <f>IFERROR(__xludf.DUMMYFUNCTION("""COMPUTED_VALUE"""),192.72)</f>
        <v>192.72</v>
      </c>
    </row>
    <row r="1130">
      <c r="A1130" s="2">
        <f>IFERROR(__xludf.DUMMYFUNCTION("""COMPUTED_VALUE"""),45747.66666666667)</f>
        <v>45747.66667</v>
      </c>
      <c r="B1130" s="1">
        <f>IFERROR(__xludf.DUMMYFUNCTION("""COMPUTED_VALUE"""),190.26)</f>
        <v>190.26</v>
      </c>
    </row>
    <row r="1131">
      <c r="A1131" s="2">
        <f>IFERROR(__xludf.DUMMYFUNCTION("""COMPUTED_VALUE"""),45748.66666666667)</f>
        <v>45748.66667</v>
      </c>
      <c r="B1131" s="1">
        <f>IFERROR(__xludf.DUMMYFUNCTION("""COMPUTED_VALUE"""),192.17)</f>
        <v>192.17</v>
      </c>
    </row>
    <row r="1132">
      <c r="A1132" s="2">
        <f>IFERROR(__xludf.DUMMYFUNCTION("""COMPUTED_VALUE"""),45749.66666666667)</f>
        <v>45749.66667</v>
      </c>
      <c r="B1132" s="1">
        <f>IFERROR(__xludf.DUMMYFUNCTION("""COMPUTED_VALUE"""),196.01)</f>
        <v>196.01</v>
      </c>
    </row>
    <row r="1133">
      <c r="A1133" s="2">
        <f>IFERROR(__xludf.DUMMYFUNCTION("""COMPUTED_VALUE"""),45750.66666666667)</f>
        <v>45750.66667</v>
      </c>
      <c r="B1133" s="1">
        <f>IFERROR(__xludf.DUMMYFUNCTION("""COMPUTED_VALUE"""),178.41)</f>
        <v>178.41</v>
      </c>
    </row>
    <row r="1134">
      <c r="A1134" s="2">
        <f>IFERROR(__xludf.DUMMYFUNCTION("""COMPUTED_VALUE"""),45751.66666666667)</f>
        <v>45751.66667</v>
      </c>
      <c r="B1134" s="1">
        <f>IFERROR(__xludf.DUMMYFUNCTION("""COMPUTED_VALUE"""),171.0)</f>
        <v>171</v>
      </c>
    </row>
    <row r="1135">
      <c r="A1135" s="2">
        <f>IFERROR(__xludf.DUMMYFUNCTION("""COMPUTED_VALUE"""),45754.66666666667)</f>
        <v>45754.66667</v>
      </c>
      <c r="B1135" s="1">
        <f>IFERROR(__xludf.DUMMYFUNCTION("""COMPUTED_VALUE"""),175.26)</f>
        <v>175.26</v>
      </c>
    </row>
    <row r="1136">
      <c r="A1136" s="2">
        <f>IFERROR(__xludf.DUMMYFUNCTION("""COMPUTED_VALUE"""),45755.66666666667)</f>
        <v>45755.66667</v>
      </c>
      <c r="B1136" s="1">
        <f>IFERROR(__xludf.DUMMYFUNCTION("""COMPUTED_VALUE"""),170.66)</f>
        <v>170.66</v>
      </c>
    </row>
    <row r="1137">
      <c r="A1137" s="2">
        <f>IFERROR(__xludf.DUMMYFUNCTION("""COMPUTED_VALUE"""),45756.66666666667)</f>
        <v>45756.66667</v>
      </c>
      <c r="B1137" s="1">
        <f>IFERROR(__xludf.DUMMYFUNCTION("""COMPUTED_VALUE"""),191.1)</f>
        <v>191.1</v>
      </c>
    </row>
    <row r="1138">
      <c r="A1138" s="2">
        <f>IFERROR(__xludf.DUMMYFUNCTION("""COMPUTED_VALUE"""),45757.66666666667)</f>
        <v>45757.66667</v>
      </c>
      <c r="B1138" s="1">
        <f>IFERROR(__xludf.DUMMYFUNCTION("""COMPUTED_VALUE"""),181.22)</f>
        <v>181.22</v>
      </c>
    </row>
    <row r="1139">
      <c r="A1139" s="2">
        <f>IFERROR(__xludf.DUMMYFUNCTION("""COMPUTED_VALUE"""),45758.66666666667)</f>
        <v>45758.66667</v>
      </c>
      <c r="B1139" s="1">
        <f>IFERROR(__xludf.DUMMYFUNCTION("""COMPUTED_VALUE"""),184.87)</f>
        <v>184.87</v>
      </c>
    </row>
    <row r="1140">
      <c r="A1140" s="2">
        <f>IFERROR(__xludf.DUMMYFUNCTION("""COMPUTED_VALUE"""),45761.66666666667)</f>
        <v>45761.66667</v>
      </c>
      <c r="B1140" s="1">
        <f>IFERROR(__xludf.DUMMYFUNCTION("""COMPUTED_VALUE"""),182.12)</f>
        <v>182.12</v>
      </c>
    </row>
    <row r="1141">
      <c r="A1141" s="2">
        <f>IFERROR(__xludf.DUMMYFUNCTION("""COMPUTED_VALUE"""),45762.66666666667)</f>
        <v>45762.66667</v>
      </c>
      <c r="B1141" s="1">
        <f>IFERROR(__xludf.DUMMYFUNCTION("""COMPUTED_VALUE"""),179.59)</f>
        <v>179.59</v>
      </c>
    </row>
    <row r="1142">
      <c r="A1142" s="2">
        <f>IFERROR(__xludf.DUMMYFUNCTION("""COMPUTED_VALUE"""),45763.66666666667)</f>
        <v>45763.66667</v>
      </c>
      <c r="B1142" s="1">
        <f>IFERROR(__xludf.DUMMYFUNCTION("""COMPUTED_VALUE"""),174.33)</f>
        <v>174.33</v>
      </c>
    </row>
    <row r="1143">
      <c r="A1143" s="2">
        <f>IFERROR(__xludf.DUMMYFUNCTION("""COMPUTED_VALUE"""),45764.66666666667)</f>
        <v>45764.66667</v>
      </c>
      <c r="B1143" s="1">
        <f>IFERROR(__xludf.DUMMYFUNCTION("""COMPUTED_VALUE"""),172.61)</f>
        <v>172.61</v>
      </c>
    </row>
    <row r="1144">
      <c r="A1144" s="2">
        <f>IFERROR(__xludf.DUMMYFUNCTION("""COMPUTED_VALUE"""),45768.66666666667)</f>
        <v>45768.66667</v>
      </c>
      <c r="B1144" s="1">
        <f>IFERROR(__xludf.DUMMYFUNCTION("""COMPUTED_VALUE"""),167.32)</f>
        <v>167.32</v>
      </c>
    </row>
    <row r="1145">
      <c r="A1145" s="2">
        <f>IFERROR(__xludf.DUMMYFUNCTION("""COMPUTED_VALUE"""),45769.66666666667)</f>
        <v>45769.66667</v>
      </c>
      <c r="B1145" s="1">
        <f>IFERROR(__xludf.DUMMYFUNCTION("""COMPUTED_VALUE"""),173.18)</f>
        <v>173.18</v>
      </c>
    </row>
    <row r="1146">
      <c r="A1146" s="2">
        <f>IFERROR(__xludf.DUMMYFUNCTION("""COMPUTED_VALUE"""),45770.66666666667)</f>
        <v>45770.66667</v>
      </c>
      <c r="B1146" s="1">
        <f>IFERROR(__xludf.DUMMYFUNCTION("""COMPUTED_VALUE"""),180.6)</f>
        <v>180.6</v>
      </c>
    </row>
    <row r="1147">
      <c r="A1147" s="2">
        <f>IFERROR(__xludf.DUMMYFUNCTION("""COMPUTED_VALUE"""),45771.66666666667)</f>
        <v>45771.66667</v>
      </c>
      <c r="B1147" s="1">
        <f>IFERROR(__xludf.DUMMYFUNCTION("""COMPUTED_VALUE"""),186.54)</f>
        <v>186.54</v>
      </c>
    </row>
    <row r="1148">
      <c r="A1148" s="2">
        <f>IFERROR(__xludf.DUMMYFUNCTION("""COMPUTED_VALUE"""),45772.66666666667)</f>
        <v>45772.66667</v>
      </c>
      <c r="B1148" s="1">
        <f>IFERROR(__xludf.DUMMYFUNCTION("""COMPUTED_VALUE"""),188.99)</f>
        <v>188.99</v>
      </c>
    </row>
    <row r="1149">
      <c r="A1149" s="2">
        <f>IFERROR(__xludf.DUMMYFUNCTION("""COMPUTED_VALUE"""),45775.66666666667)</f>
        <v>45775.66667</v>
      </c>
      <c r="B1149" s="1">
        <f>IFERROR(__xludf.DUMMYFUNCTION("""COMPUTED_VALUE"""),187.7)</f>
        <v>187.7</v>
      </c>
    </row>
    <row r="1150">
      <c r="A1150" s="2">
        <f>IFERROR(__xludf.DUMMYFUNCTION("""COMPUTED_VALUE"""),45776.66666666667)</f>
        <v>45776.66667</v>
      </c>
      <c r="B1150" s="1">
        <f>IFERROR(__xludf.DUMMYFUNCTION("""COMPUTED_VALUE"""),187.39)</f>
        <v>187.39</v>
      </c>
    </row>
    <row r="1151">
      <c r="A1151" s="2">
        <f>IFERROR(__xludf.DUMMYFUNCTION("""COMPUTED_VALUE"""),45777.66666666667)</f>
        <v>45777.66667</v>
      </c>
      <c r="B1151" s="1">
        <f>IFERROR(__xludf.DUMMYFUNCTION("""COMPUTED_VALUE"""),184.42)</f>
        <v>184.42</v>
      </c>
    </row>
    <row r="1152">
      <c r="A1152" s="2">
        <f>IFERROR(__xludf.DUMMYFUNCTION("""COMPUTED_VALUE"""),45778.66666666667)</f>
        <v>45778.66667</v>
      </c>
      <c r="B1152" s="1">
        <f>IFERROR(__xludf.DUMMYFUNCTION("""COMPUTED_VALUE"""),190.2)</f>
        <v>190.2</v>
      </c>
    </row>
    <row r="1153">
      <c r="A1153" s="2">
        <f>IFERROR(__xludf.DUMMYFUNCTION("""COMPUTED_VALUE"""),45779.66666666667)</f>
        <v>45779.66667</v>
      </c>
      <c r="B1153" s="1">
        <f>IFERROR(__xludf.DUMMYFUNCTION("""COMPUTED_VALUE"""),189.98)</f>
        <v>189.98</v>
      </c>
    </row>
    <row r="1154">
      <c r="A1154" s="2">
        <f>IFERROR(__xludf.DUMMYFUNCTION("""COMPUTED_VALUE"""),45782.66666666667)</f>
        <v>45782.66667</v>
      </c>
      <c r="B1154" s="1">
        <f>IFERROR(__xludf.DUMMYFUNCTION("""COMPUTED_VALUE"""),186.35)</f>
        <v>186.35</v>
      </c>
    </row>
    <row r="1155">
      <c r="A1155" s="2">
        <f>IFERROR(__xludf.DUMMYFUNCTION("""COMPUTED_VALUE"""),45783.66666666667)</f>
        <v>45783.66667</v>
      </c>
      <c r="B1155" s="1">
        <f>IFERROR(__xludf.DUMMYFUNCTION("""COMPUTED_VALUE"""),185.01)</f>
        <v>185.01</v>
      </c>
    </row>
    <row r="1156">
      <c r="A1156" s="2">
        <f>IFERROR(__xludf.DUMMYFUNCTION("""COMPUTED_VALUE"""),45784.66666666667)</f>
        <v>45784.66667</v>
      </c>
      <c r="B1156" s="1">
        <f>IFERROR(__xludf.DUMMYFUNCTION("""COMPUTED_VALUE"""),188.71)</f>
        <v>188.71</v>
      </c>
    </row>
    <row r="1157">
      <c r="A1157" s="2">
        <f>IFERROR(__xludf.DUMMYFUNCTION("""COMPUTED_VALUE"""),45785.66666666667)</f>
        <v>45785.66667</v>
      </c>
      <c r="B1157" s="1">
        <f>IFERROR(__xludf.DUMMYFUNCTION("""COMPUTED_VALUE"""),192.08)</f>
        <v>192.08</v>
      </c>
    </row>
    <row r="1158">
      <c r="A1158" s="2">
        <f>IFERROR(__xludf.DUMMYFUNCTION("""COMPUTED_VALUE"""),45786.66666666667)</f>
        <v>45786.66667</v>
      </c>
      <c r="B1158" s="1">
        <f>IFERROR(__xludf.DUMMYFUNCTION("""COMPUTED_VALUE"""),193.06)</f>
        <v>193.06</v>
      </c>
    </row>
    <row r="1159">
      <c r="A1159" s="2">
        <f>IFERROR(__xludf.DUMMYFUNCTION("""COMPUTED_VALUE"""),45789.66666666667)</f>
        <v>45789.66667</v>
      </c>
      <c r="B1159" s="1">
        <f>IFERROR(__xludf.DUMMYFUNCTION("""COMPUTED_VALUE"""),208.64)</f>
        <v>208.64</v>
      </c>
    </row>
    <row r="1160">
      <c r="A1160" s="2">
        <f>IFERROR(__xludf.DUMMYFUNCTION("""COMPUTED_VALUE"""),45790.66666666667)</f>
        <v>45790.66667</v>
      </c>
      <c r="B1160" s="1">
        <f>IFERROR(__xludf.DUMMYFUNCTION("""COMPUTED_VALUE"""),211.37)</f>
        <v>211.37</v>
      </c>
    </row>
    <row r="1161">
      <c r="A1161" s="2">
        <f>IFERROR(__xludf.DUMMYFUNCTION("""COMPUTED_VALUE"""),45791.66666666667)</f>
        <v>45791.66667</v>
      </c>
      <c r="B1161" s="1">
        <f>IFERROR(__xludf.DUMMYFUNCTION("""COMPUTED_VALUE"""),210.25)</f>
        <v>210.25</v>
      </c>
    </row>
    <row r="1162">
      <c r="A1162" s="2">
        <f>IFERROR(__xludf.DUMMYFUNCTION("""COMPUTED_VALUE"""),45792.66666666667)</f>
        <v>45792.66667</v>
      </c>
      <c r="B1162" s="1">
        <f>IFERROR(__xludf.DUMMYFUNCTION("""COMPUTED_VALUE"""),205.17)</f>
        <v>205.17</v>
      </c>
    </row>
    <row r="1163">
      <c r="A1163" s="2">
        <f>IFERROR(__xludf.DUMMYFUNCTION("""COMPUTED_VALUE"""),45793.66666666667)</f>
        <v>45793.66667</v>
      </c>
      <c r="B1163" s="1">
        <f>IFERROR(__xludf.DUMMYFUNCTION("""COMPUTED_VALUE"""),205.59)</f>
        <v>205.59</v>
      </c>
    </row>
    <row r="1164">
      <c r="A1164" s="2">
        <f>IFERROR(__xludf.DUMMYFUNCTION("""COMPUTED_VALUE"""),45796.66666666667)</f>
        <v>45796.66667</v>
      </c>
      <c r="B1164" s="1">
        <f>IFERROR(__xludf.DUMMYFUNCTION("""COMPUTED_VALUE"""),206.16)</f>
        <v>206.16</v>
      </c>
    </row>
    <row r="1165">
      <c r="A1165" s="2">
        <f>IFERROR(__xludf.DUMMYFUNCTION("""COMPUTED_VALUE"""),45797.66666666667)</f>
        <v>45797.66667</v>
      </c>
      <c r="B1165" s="1">
        <f>IFERROR(__xludf.DUMMYFUNCTION("""COMPUTED_VALUE"""),204.07)</f>
        <v>204.07</v>
      </c>
    </row>
    <row r="1166">
      <c r="A1166" s="2">
        <f>IFERROR(__xludf.DUMMYFUNCTION("""COMPUTED_VALUE"""),45798.66666666667)</f>
        <v>45798.66667</v>
      </c>
      <c r="B1166" s="1">
        <f>IFERROR(__xludf.DUMMYFUNCTION("""COMPUTED_VALUE"""),201.12)</f>
        <v>201.12</v>
      </c>
    </row>
    <row r="1167">
      <c r="A1167" s="2">
        <f>IFERROR(__xludf.DUMMYFUNCTION("""COMPUTED_VALUE"""),45799.66666666667)</f>
        <v>45799.66667</v>
      </c>
      <c r="B1167" s="1">
        <f>IFERROR(__xludf.DUMMYFUNCTION("""COMPUTED_VALUE"""),201.12)</f>
        <v>201.12</v>
      </c>
    </row>
    <row r="1168">
      <c r="A1168" s="2">
        <f>IFERROR(__xludf.DUMMYFUNCTION("""COMPUTED_VALUE"""),45800.66666666667)</f>
        <v>45800.66667</v>
      </c>
      <c r="B1168" s="1">
        <f>IFERROR(__xludf.DUMMYFUNCTION("""COMPUTED_VALUE"""),200.99)</f>
        <v>200.99</v>
      </c>
    </row>
    <row r="1169">
      <c r="A1169" s="2">
        <f>IFERROR(__xludf.DUMMYFUNCTION("""COMPUTED_VALUE"""),45804.66666666667)</f>
        <v>45804.66667</v>
      </c>
      <c r="B1169" s="1">
        <f>IFERROR(__xludf.DUMMYFUNCTION("""COMPUTED_VALUE"""),206.02)</f>
        <v>206.02</v>
      </c>
    </row>
    <row r="1170">
      <c r="A1170" s="2">
        <f>IFERROR(__xludf.DUMMYFUNCTION("""COMPUTED_VALUE"""),45805.66666666667)</f>
        <v>45805.66667</v>
      </c>
      <c r="B1170" s="1">
        <f>IFERROR(__xludf.DUMMYFUNCTION("""COMPUTED_VALUE"""),204.72)</f>
        <v>204.72</v>
      </c>
    </row>
    <row r="1171">
      <c r="A1171" s="2">
        <f>IFERROR(__xludf.DUMMYFUNCTION("""COMPUTED_VALUE"""),45806.66666666667)</f>
        <v>45806.66667</v>
      </c>
      <c r="B1171" s="1">
        <f>IFERROR(__xludf.DUMMYFUNCTION("""COMPUTED_VALUE"""),205.7)</f>
        <v>205.7</v>
      </c>
    </row>
    <row r="1172">
      <c r="A1172" s="2">
        <f>IFERROR(__xludf.DUMMYFUNCTION("""COMPUTED_VALUE"""),45807.66666666667)</f>
        <v>45807.66667</v>
      </c>
      <c r="B1172" s="1">
        <f>IFERROR(__xludf.DUMMYFUNCTION("""COMPUTED_VALUE"""),205.01)</f>
        <v>205.01</v>
      </c>
    </row>
    <row r="1173">
      <c r="A1173" s="2">
        <f>IFERROR(__xludf.DUMMYFUNCTION("""COMPUTED_VALUE"""),45810.66666666667)</f>
        <v>45810.66667</v>
      </c>
      <c r="B1173" s="1">
        <f>IFERROR(__xludf.DUMMYFUNCTION("""COMPUTED_VALUE"""),206.65)</f>
        <v>206.65</v>
      </c>
    </row>
    <row r="1174">
      <c r="A1174" s="2">
        <f>IFERROR(__xludf.DUMMYFUNCTION("""COMPUTED_VALUE"""),45811.66666666667)</f>
        <v>45811.66667</v>
      </c>
      <c r="B1174" s="1">
        <f>IFERROR(__xludf.DUMMYFUNCTION("""COMPUTED_VALUE"""),205.71)</f>
        <v>205.71</v>
      </c>
    </row>
    <row r="1175">
      <c r="A1175" s="2">
        <f>IFERROR(__xludf.DUMMYFUNCTION("""COMPUTED_VALUE"""),45812.66666666667)</f>
        <v>45812.66667</v>
      </c>
      <c r="B1175" s="1">
        <f>IFERROR(__xludf.DUMMYFUNCTION("""COMPUTED_VALUE"""),207.23)</f>
        <v>207.23</v>
      </c>
    </row>
    <row r="1176">
      <c r="A1176" s="2">
        <f>IFERROR(__xludf.DUMMYFUNCTION("""COMPUTED_VALUE"""),45813.66666666667)</f>
        <v>45813.66667</v>
      </c>
      <c r="B1176" s="1">
        <f>IFERROR(__xludf.DUMMYFUNCTION("""COMPUTED_VALUE"""),207.91)</f>
        <v>207.91</v>
      </c>
    </row>
    <row r="1177">
      <c r="A1177" s="2">
        <f>IFERROR(__xludf.DUMMYFUNCTION("""COMPUTED_VALUE"""),45814.66666666667)</f>
        <v>45814.66667</v>
      </c>
      <c r="B1177" s="1">
        <f>IFERROR(__xludf.DUMMYFUNCTION("""COMPUTED_VALUE"""),213.57)</f>
        <v>213.57</v>
      </c>
    </row>
    <row r="1178">
      <c r="A1178" s="2">
        <f>IFERROR(__xludf.DUMMYFUNCTION("""COMPUTED_VALUE"""),45817.66666666667)</f>
        <v>45817.66667</v>
      </c>
      <c r="B1178" s="1">
        <f>IFERROR(__xludf.DUMMYFUNCTION("""COMPUTED_VALUE"""),216.98)</f>
        <v>216.98</v>
      </c>
    </row>
    <row r="1179">
      <c r="A1179" s="2">
        <f>IFERROR(__xludf.DUMMYFUNCTION("""COMPUTED_VALUE"""),45818.66666666667)</f>
        <v>45818.66667</v>
      </c>
      <c r="B1179" s="1">
        <f>IFERROR(__xludf.DUMMYFUNCTION("""COMPUTED_VALUE"""),217.61)</f>
        <v>217.61</v>
      </c>
    </row>
    <row r="1180">
      <c r="A1180" s="2">
        <f>IFERROR(__xludf.DUMMYFUNCTION("""COMPUTED_VALUE"""),45819.66666666667)</f>
        <v>45819.66667</v>
      </c>
      <c r="B1180" s="1">
        <f>IFERROR(__xludf.DUMMYFUNCTION("""COMPUTED_VALUE"""),213.2)</f>
        <v>213.2</v>
      </c>
    </row>
    <row r="1181">
      <c r="A1181" s="2">
        <f>IFERROR(__xludf.DUMMYFUNCTION("""COMPUTED_VALUE"""),45820.66666666667)</f>
        <v>45820.66667</v>
      </c>
      <c r="B1181" s="1">
        <f>IFERROR(__xludf.DUMMYFUNCTION("""COMPUTED_VALUE"""),213.24)</f>
        <v>213.24</v>
      </c>
    </row>
    <row r="1182">
      <c r="A1182" s="2">
        <f>IFERROR(__xludf.DUMMYFUNCTION("""COMPUTED_VALUE"""),45821.66666666667)</f>
        <v>45821.66667</v>
      </c>
      <c r="B1182" s="1">
        <f>IFERROR(__xludf.DUMMYFUNCTION("""COMPUTED_VALUE"""),212.1)</f>
        <v>212.1</v>
      </c>
    </row>
    <row r="1183">
      <c r="A1183" s="2">
        <f>IFERROR(__xludf.DUMMYFUNCTION("""COMPUTED_VALUE"""),45824.66666666667)</f>
        <v>45824.66667</v>
      </c>
      <c r="B1183" s="1">
        <f>IFERROR(__xludf.DUMMYFUNCTION("""COMPUTED_VALUE"""),216.1)</f>
        <v>216.1</v>
      </c>
    </row>
    <row r="1184">
      <c r="A1184" s="2">
        <f>IFERROR(__xludf.DUMMYFUNCTION("""COMPUTED_VALUE"""),45825.66666666667)</f>
        <v>45825.66667</v>
      </c>
      <c r="B1184" s="1">
        <f>IFERROR(__xludf.DUMMYFUNCTION("""COMPUTED_VALUE"""),214.82)</f>
        <v>214.82</v>
      </c>
    </row>
    <row r="1185">
      <c r="A1185" s="2">
        <f>IFERROR(__xludf.DUMMYFUNCTION("""COMPUTED_VALUE"""),45826.66666666667)</f>
        <v>45826.66667</v>
      </c>
      <c r="B1185" s="1">
        <f>IFERROR(__xludf.DUMMYFUNCTION("""COMPUTED_VALUE"""),212.52)</f>
        <v>212.52</v>
      </c>
    </row>
    <row r="1186">
      <c r="A1186" s="2">
        <f>IFERROR(__xludf.DUMMYFUNCTION("""COMPUTED_VALUE"""),45828.66666666667)</f>
        <v>45828.66667</v>
      </c>
      <c r="B1186" s="1">
        <f>IFERROR(__xludf.DUMMYFUNCTION("""COMPUTED_VALUE"""),209.69)</f>
        <v>209.69</v>
      </c>
    </row>
    <row r="1187">
      <c r="A1187" s="2">
        <f>IFERROR(__xludf.DUMMYFUNCTION("""COMPUTED_VALUE"""),45831.66666666667)</f>
        <v>45831.66667</v>
      </c>
      <c r="B1187" s="1">
        <f>IFERROR(__xludf.DUMMYFUNCTION("""COMPUTED_VALUE"""),208.47)</f>
        <v>208.47</v>
      </c>
    </row>
    <row r="1188">
      <c r="A1188" s="2">
        <f>IFERROR(__xludf.DUMMYFUNCTION("""COMPUTED_VALUE"""),45832.66666666667)</f>
        <v>45832.66667</v>
      </c>
      <c r="B1188" s="1">
        <f>IFERROR(__xludf.DUMMYFUNCTION("""COMPUTED_VALUE"""),212.77)</f>
        <v>212.77</v>
      </c>
    </row>
    <row r="1189">
      <c r="A1189" s="2">
        <f>IFERROR(__xludf.DUMMYFUNCTION("""COMPUTED_VALUE"""),45833.66666666667)</f>
        <v>45833.66667</v>
      </c>
      <c r="B1189" s="1">
        <f>IFERROR(__xludf.DUMMYFUNCTION("""COMPUTED_VALUE"""),211.99)</f>
        <v>211.99</v>
      </c>
    </row>
    <row r="1190">
      <c r="A1190" s="2">
        <f>IFERROR(__xludf.DUMMYFUNCTION("""COMPUTED_VALUE"""),45834.66666666667)</f>
        <v>45834.66667</v>
      </c>
      <c r="B1190" s="1">
        <f>IFERROR(__xludf.DUMMYFUNCTION("""COMPUTED_VALUE"""),217.12)</f>
        <v>217.12</v>
      </c>
    </row>
    <row r="1191">
      <c r="A1191" s="2">
        <f>IFERROR(__xludf.DUMMYFUNCTION("""COMPUTED_VALUE"""),45835.66666666667)</f>
        <v>45835.66667</v>
      </c>
      <c r="B1191" s="1">
        <f>IFERROR(__xludf.DUMMYFUNCTION("""COMPUTED_VALUE"""),223.3)</f>
        <v>223.3</v>
      </c>
    </row>
    <row r="1192">
      <c r="A1192" s="2">
        <f>IFERROR(__xludf.DUMMYFUNCTION("""COMPUTED_VALUE"""),45838.66666666667)</f>
        <v>45838.66667</v>
      </c>
      <c r="B1192" s="1">
        <f>IFERROR(__xludf.DUMMYFUNCTION("""COMPUTED_VALUE"""),219.39)</f>
        <v>219.39</v>
      </c>
    </row>
    <row r="1193">
      <c r="A1193" s="2">
        <f>IFERROR(__xludf.DUMMYFUNCTION("""COMPUTED_VALUE"""),45839.66666666667)</f>
        <v>45839.66667</v>
      </c>
      <c r="B1193" s="1">
        <f>IFERROR(__xludf.DUMMYFUNCTION("""COMPUTED_VALUE"""),220.46)</f>
        <v>220.46</v>
      </c>
    </row>
    <row r="1194">
      <c r="A1194" s="2">
        <f>IFERROR(__xludf.DUMMYFUNCTION("""COMPUTED_VALUE"""),45840.66666666667)</f>
        <v>45840.66667</v>
      </c>
      <c r="B1194" s="1">
        <f>IFERROR(__xludf.DUMMYFUNCTION("""COMPUTED_VALUE"""),219.92)</f>
        <v>219.92</v>
      </c>
    </row>
    <row r="1195">
      <c r="A1195" s="2">
        <f>IFERROR(__xludf.DUMMYFUNCTION("""COMPUTED_VALUE"""),45841.54513888889)</f>
        <v>45841.54514</v>
      </c>
      <c r="B1195" s="1">
        <f>IFERROR(__xludf.DUMMYFUNCTION("""COMPUTED_VALUE"""),223.41)</f>
        <v>223.41</v>
      </c>
    </row>
    <row r="1196">
      <c r="A1196" s="2">
        <f>IFERROR(__xludf.DUMMYFUNCTION("""COMPUTED_VALUE"""),45845.66666666667)</f>
        <v>45845.66667</v>
      </c>
      <c r="B1196" s="1">
        <f>IFERROR(__xludf.DUMMYFUNCTION("""COMPUTED_VALUE"""),223.47)</f>
        <v>223.47</v>
      </c>
    </row>
    <row r="1197">
      <c r="A1197" s="2">
        <f>IFERROR(__xludf.DUMMYFUNCTION("""COMPUTED_VALUE"""),45846.66666666667)</f>
        <v>45846.66667</v>
      </c>
      <c r="B1197" s="1">
        <f>IFERROR(__xludf.DUMMYFUNCTION("""COMPUTED_VALUE"""),219.36)</f>
        <v>219.36</v>
      </c>
    </row>
    <row r="1198">
      <c r="A1198" s="2">
        <f>IFERROR(__xludf.DUMMYFUNCTION("""COMPUTED_VALUE"""),45847.66666666667)</f>
        <v>45847.66667</v>
      </c>
      <c r="B1198" s="1">
        <f>IFERROR(__xludf.DUMMYFUNCTION("""COMPUTED_VALUE"""),222.54)</f>
        <v>222.54</v>
      </c>
    </row>
    <row r="1199">
      <c r="A1199" s="2">
        <f>IFERROR(__xludf.DUMMYFUNCTION("""COMPUTED_VALUE"""),45848.66666666667)</f>
        <v>45848.66667</v>
      </c>
      <c r="B1199" s="1">
        <f>IFERROR(__xludf.DUMMYFUNCTION("""COMPUTED_VALUE"""),222.26)</f>
        <v>222.26</v>
      </c>
    </row>
    <row r="1200">
      <c r="A1200" s="2">
        <f>IFERROR(__xludf.DUMMYFUNCTION("""COMPUTED_VALUE"""),45849.66666666667)</f>
        <v>45849.66667</v>
      </c>
      <c r="B1200" s="1">
        <f>IFERROR(__xludf.DUMMYFUNCTION("""COMPUTED_VALUE"""),225.02)</f>
        <v>225.02</v>
      </c>
    </row>
    <row r="1201">
      <c r="A1201" s="2">
        <f>IFERROR(__xludf.DUMMYFUNCTION("""COMPUTED_VALUE"""),45852.66666666667)</f>
        <v>45852.66667</v>
      </c>
      <c r="B1201" s="1">
        <f>IFERROR(__xludf.DUMMYFUNCTION("""COMPUTED_VALUE"""),225.69)</f>
        <v>225.69</v>
      </c>
    </row>
    <row r="1202">
      <c r="A1202" s="2">
        <f>IFERROR(__xludf.DUMMYFUNCTION("""COMPUTED_VALUE"""),45853.66666666667)</f>
        <v>45853.66667</v>
      </c>
      <c r="B1202" s="1">
        <f>IFERROR(__xludf.DUMMYFUNCTION("""COMPUTED_VALUE"""),226.35)</f>
        <v>226.35</v>
      </c>
    </row>
    <row r="1203">
      <c r="A1203" s="2">
        <f>IFERROR(__xludf.DUMMYFUNCTION("""COMPUTED_VALUE"""),45854.66666666667)</f>
        <v>45854.66667</v>
      </c>
      <c r="B1203" s="1">
        <f>IFERROR(__xludf.DUMMYFUNCTION("""COMPUTED_VALUE"""),223.19)</f>
        <v>223.19</v>
      </c>
    </row>
    <row r="1204">
      <c r="A1204" s="2">
        <f>IFERROR(__xludf.DUMMYFUNCTION("""COMPUTED_VALUE"""),45855.66666666667)</f>
        <v>45855.66667</v>
      </c>
      <c r="B1204" s="1">
        <f>IFERROR(__xludf.DUMMYFUNCTION("""COMPUTED_VALUE"""),223.88)</f>
        <v>223.88</v>
      </c>
    </row>
    <row r="1205">
      <c r="A1205" s="2">
        <f>IFERROR(__xludf.DUMMYFUNCTION("""COMPUTED_VALUE"""),45856.66666666667)</f>
        <v>45856.66667</v>
      </c>
      <c r="B1205" s="1">
        <f>IFERROR(__xludf.DUMMYFUNCTION("""COMPUTED_VALUE"""),226.13)</f>
        <v>226.13</v>
      </c>
    </row>
    <row r="1206">
      <c r="A1206" s="2">
        <f>IFERROR(__xludf.DUMMYFUNCTION("""COMPUTED_VALUE"""),45859.66666666667)</f>
        <v>45859.66667</v>
      </c>
      <c r="B1206" s="1">
        <f>IFERROR(__xludf.DUMMYFUNCTION("""COMPUTED_VALUE"""),229.3)</f>
        <v>229.3</v>
      </c>
    </row>
    <row r="1207">
      <c r="A1207" s="2">
        <f>IFERROR(__xludf.DUMMYFUNCTION("""COMPUTED_VALUE"""),45860.66666666667)</f>
        <v>45860.66667</v>
      </c>
      <c r="B1207" s="1">
        <f>IFERROR(__xludf.DUMMYFUNCTION("""COMPUTED_VALUE"""),227.47)</f>
        <v>227.47</v>
      </c>
    </row>
    <row r="1208">
      <c r="A1208" s="2">
        <f>IFERROR(__xludf.DUMMYFUNCTION("""COMPUTED_VALUE"""),45861.66666666667)</f>
        <v>45861.66667</v>
      </c>
      <c r="B1208" s="1">
        <f>IFERROR(__xludf.DUMMYFUNCTION("""COMPUTED_VALUE"""),228.29)</f>
        <v>228.29</v>
      </c>
    </row>
    <row r="1209">
      <c r="A1209" s="2">
        <f>IFERROR(__xludf.DUMMYFUNCTION("""COMPUTED_VALUE"""),45862.66666666667)</f>
        <v>45862.66667</v>
      </c>
      <c r="B1209" s="1">
        <f>IFERROR(__xludf.DUMMYFUNCTION("""COMPUTED_VALUE"""),232.23)</f>
        <v>232.23</v>
      </c>
    </row>
    <row r="1210">
      <c r="A1210" s="2">
        <f>IFERROR(__xludf.DUMMYFUNCTION("""COMPUTED_VALUE"""),45863.66666666667)</f>
        <v>45863.66667</v>
      </c>
      <c r="B1210" s="1">
        <f>IFERROR(__xludf.DUMMYFUNCTION("""COMPUTED_VALUE"""),231.44)</f>
        <v>231.44</v>
      </c>
    </row>
    <row r="1211">
      <c r="A1211" s="2">
        <f>IFERROR(__xludf.DUMMYFUNCTION("""COMPUTED_VALUE"""),45866.66666666667)</f>
        <v>45866.66667</v>
      </c>
      <c r="B1211" s="1">
        <f>IFERROR(__xludf.DUMMYFUNCTION("""COMPUTED_VALUE"""),232.79)</f>
        <v>232.79</v>
      </c>
    </row>
    <row r="1212">
      <c r="A1212" s="2">
        <f>IFERROR(__xludf.DUMMYFUNCTION("""COMPUTED_VALUE"""),45867.66666666667)</f>
        <v>45867.66667</v>
      </c>
      <c r="B1212" s="1">
        <f>IFERROR(__xludf.DUMMYFUNCTION("""COMPUTED_VALUE"""),231.01)</f>
        <v>231.01</v>
      </c>
    </row>
    <row r="1213">
      <c r="A1213" s="2">
        <f>IFERROR(__xludf.DUMMYFUNCTION("""COMPUTED_VALUE"""),45868.66666666667)</f>
        <v>45868.66667</v>
      </c>
      <c r="B1213" s="1">
        <f>IFERROR(__xludf.DUMMYFUNCTION("""COMPUTED_VALUE"""),230.19)</f>
        <v>230.19</v>
      </c>
    </row>
    <row r="1214">
      <c r="A1214" s="2">
        <f>IFERROR(__xludf.DUMMYFUNCTION("""COMPUTED_VALUE"""),45869.66666666667)</f>
        <v>45869.66667</v>
      </c>
      <c r="B1214" s="1">
        <f>IFERROR(__xludf.DUMMYFUNCTION("""COMPUTED_VALUE"""),234.11)</f>
        <v>234.11</v>
      </c>
    </row>
    <row r="1215">
      <c r="A1215" s="2">
        <f>IFERROR(__xludf.DUMMYFUNCTION("""COMPUTED_VALUE"""),45870.66666666667)</f>
        <v>45870.66667</v>
      </c>
      <c r="B1215" s="1">
        <f>IFERROR(__xludf.DUMMYFUNCTION("""COMPUTED_VALUE"""),214.75)</f>
        <v>214.75</v>
      </c>
    </row>
    <row r="1216">
      <c r="A1216" s="2">
        <f>IFERROR(__xludf.DUMMYFUNCTION("""COMPUTED_VALUE"""),45873.66666666667)</f>
        <v>45873.66667</v>
      </c>
      <c r="B1216" s="1">
        <f>IFERROR(__xludf.DUMMYFUNCTION("""COMPUTED_VALUE"""),211.65)</f>
        <v>211.65</v>
      </c>
    </row>
    <row r="1217">
      <c r="A1217" s="2">
        <f>IFERROR(__xludf.DUMMYFUNCTION("""COMPUTED_VALUE"""),45874.66666666667)</f>
        <v>45874.66667</v>
      </c>
      <c r="B1217" s="1">
        <f>IFERROR(__xludf.DUMMYFUNCTION("""COMPUTED_VALUE"""),213.75)</f>
        <v>213.75</v>
      </c>
    </row>
    <row r="1218">
      <c r="A1218" s="2">
        <f>IFERROR(__xludf.DUMMYFUNCTION("""COMPUTED_VALUE"""),45875.66666666667)</f>
        <v>45875.66667</v>
      </c>
      <c r="B1218" s="1">
        <f>IFERROR(__xludf.DUMMYFUNCTION("""COMPUTED_VALUE"""),222.31)</f>
        <v>222.31</v>
      </c>
    </row>
    <row r="1219">
      <c r="A1219" s="2">
        <f>IFERROR(__xludf.DUMMYFUNCTION("""COMPUTED_VALUE"""),45876.66666666667)</f>
        <v>45876.66667</v>
      </c>
      <c r="B1219" s="1">
        <f>IFERROR(__xludf.DUMMYFUNCTION("""COMPUTED_VALUE"""),223.13)</f>
        <v>223.13</v>
      </c>
    </row>
    <row r="1220">
      <c r="A1220" s="2">
        <f>IFERROR(__xludf.DUMMYFUNCTION("""COMPUTED_VALUE"""),45877.66666666667)</f>
        <v>45877.66667</v>
      </c>
      <c r="B1220" s="1">
        <f>IFERROR(__xludf.DUMMYFUNCTION("""COMPUTED_VALUE"""),222.69)</f>
        <v>222.69</v>
      </c>
    </row>
    <row r="1221">
      <c r="A1221" s="2">
        <f>IFERROR(__xludf.DUMMYFUNCTION("""COMPUTED_VALUE"""),45880.66666666667)</f>
        <v>45880.66667</v>
      </c>
      <c r="B1221" s="1">
        <f>IFERROR(__xludf.DUMMYFUNCTION("""COMPUTED_VALUE"""),221.3)</f>
        <v>221.3</v>
      </c>
    </row>
    <row r="1222">
      <c r="A1222" s="2">
        <f>IFERROR(__xludf.DUMMYFUNCTION("""COMPUTED_VALUE"""),45881.66666666667)</f>
        <v>45881.66667</v>
      </c>
      <c r="B1222" s="1">
        <f>IFERROR(__xludf.DUMMYFUNCTION("""COMPUTED_VALUE"""),221.47)</f>
        <v>221.47</v>
      </c>
    </row>
    <row r="1223">
      <c r="A1223" s="2">
        <f>IFERROR(__xludf.DUMMYFUNCTION("""COMPUTED_VALUE"""),45882.66666666667)</f>
        <v>45882.66667</v>
      </c>
      <c r="B1223" s="1">
        <f>IFERROR(__xludf.DUMMYFUNCTION("""COMPUTED_VALUE"""),224.56)</f>
        <v>224.56</v>
      </c>
    </row>
    <row r="1224">
      <c r="A1224" s="2">
        <f>IFERROR(__xludf.DUMMYFUNCTION("""COMPUTED_VALUE"""),45883.66666666667)</f>
        <v>45883.66667</v>
      </c>
      <c r="B1224" s="1">
        <f>IFERROR(__xludf.DUMMYFUNCTION("""COMPUTED_VALUE"""),230.98)</f>
        <v>230.98</v>
      </c>
    </row>
    <row r="1225">
      <c r="A1225" s="2">
        <f>IFERROR(__xludf.DUMMYFUNCTION("""COMPUTED_VALUE"""),45884.66666666667)</f>
        <v>45884.66667</v>
      </c>
      <c r="B1225" s="1">
        <f>IFERROR(__xludf.DUMMYFUNCTION("""COMPUTED_VALUE"""),231.03)</f>
        <v>231.03</v>
      </c>
    </row>
    <row r="1226">
      <c r="A1226" s="2">
        <f>IFERROR(__xludf.DUMMYFUNCTION("""COMPUTED_VALUE"""),45887.66666666667)</f>
        <v>45887.66667</v>
      </c>
      <c r="B1226" s="1">
        <f>IFERROR(__xludf.DUMMYFUNCTION("""COMPUTED_VALUE"""),231.49)</f>
        <v>231.49</v>
      </c>
    </row>
    <row r="1227">
      <c r="A1227" s="2">
        <f>IFERROR(__xludf.DUMMYFUNCTION("""COMPUTED_VALUE"""),45888.66666666667)</f>
        <v>45888.66667</v>
      </c>
      <c r="B1227" s="1">
        <f>IFERROR(__xludf.DUMMYFUNCTION("""COMPUTED_VALUE"""),228.01)</f>
        <v>228.01</v>
      </c>
    </row>
    <row r="1228">
      <c r="A1228" s="2">
        <f>IFERROR(__xludf.DUMMYFUNCTION("""COMPUTED_VALUE"""),45889.66666666667)</f>
        <v>45889.66667</v>
      </c>
      <c r="B1228" s="1">
        <f>IFERROR(__xludf.DUMMYFUNCTION("""COMPUTED_VALUE"""),223.81)</f>
        <v>223.81</v>
      </c>
    </row>
    <row r="1229">
      <c r="A1229" s="2">
        <f>IFERROR(__xludf.DUMMYFUNCTION("""COMPUTED_VALUE"""),45890.66666666667)</f>
        <v>45890.66667</v>
      </c>
      <c r="B1229" s="1">
        <f>IFERROR(__xludf.DUMMYFUNCTION("""COMPUTED_VALUE"""),221.95)</f>
        <v>221.95</v>
      </c>
    </row>
    <row r="1230">
      <c r="A1230" s="2">
        <f>IFERROR(__xludf.DUMMYFUNCTION("""COMPUTED_VALUE"""),45891.66666666667)</f>
        <v>45891.66667</v>
      </c>
      <c r="B1230" s="1">
        <f>IFERROR(__xludf.DUMMYFUNCTION("""COMPUTED_VALUE"""),228.84)</f>
        <v>228.84</v>
      </c>
    </row>
    <row r="1231">
      <c r="A1231" s="2">
        <f>IFERROR(__xludf.DUMMYFUNCTION("""COMPUTED_VALUE"""),45894.66666666667)</f>
        <v>45894.66667</v>
      </c>
      <c r="B1231" s="1">
        <f>IFERROR(__xludf.DUMMYFUNCTION("""COMPUTED_VALUE"""),227.94)</f>
        <v>227.94</v>
      </c>
    </row>
    <row r="1232">
      <c r="A1232" s="2">
        <f>IFERROR(__xludf.DUMMYFUNCTION("""COMPUTED_VALUE"""),45895.66666666667)</f>
        <v>45895.66667</v>
      </c>
      <c r="B1232" s="1">
        <f>IFERROR(__xludf.DUMMYFUNCTION("""COMPUTED_VALUE"""),228.71)</f>
        <v>228.71</v>
      </c>
    </row>
    <row r="1233">
      <c r="A1233" s="2">
        <f>IFERROR(__xludf.DUMMYFUNCTION("""COMPUTED_VALUE"""),45896.66666666667)</f>
        <v>45896.66667</v>
      </c>
      <c r="B1233" s="1">
        <f>IFERROR(__xludf.DUMMYFUNCTION("""COMPUTED_VALUE"""),229.12)</f>
        <v>229.12</v>
      </c>
    </row>
    <row r="1234">
      <c r="A1234" s="2">
        <f>IFERROR(__xludf.DUMMYFUNCTION("""COMPUTED_VALUE"""),45897.66666666667)</f>
        <v>45897.66667</v>
      </c>
      <c r="B1234" s="1">
        <f>IFERROR(__xludf.DUMMYFUNCTION("""COMPUTED_VALUE"""),231.6)</f>
        <v>231.6</v>
      </c>
    </row>
    <row r="1235">
      <c r="A1235" s="2">
        <f>IFERROR(__xludf.DUMMYFUNCTION("""COMPUTED_VALUE"""),45898.66666666667)</f>
        <v>45898.66667</v>
      </c>
      <c r="B1235" s="1">
        <f>IFERROR(__xludf.DUMMYFUNCTION("""COMPUTED_VALUE"""),229.0)</f>
        <v>229</v>
      </c>
    </row>
    <row r="1236">
      <c r="A1236" s="2">
        <f>IFERROR(__xludf.DUMMYFUNCTION("""COMPUTED_VALUE"""),45902.66666666667)</f>
        <v>45902.66667</v>
      </c>
      <c r="B1236" s="1">
        <f>IFERROR(__xludf.DUMMYFUNCTION("""COMPUTED_VALUE"""),225.34)</f>
        <v>225.34</v>
      </c>
    </row>
    <row r="1237">
      <c r="A1237" s="2">
        <f>IFERROR(__xludf.DUMMYFUNCTION("""COMPUTED_VALUE"""),45903.66666666667)</f>
        <v>45903.66667</v>
      </c>
      <c r="B1237" s="1">
        <f>IFERROR(__xludf.DUMMYFUNCTION("""COMPUTED_VALUE"""),225.99)</f>
        <v>225.99</v>
      </c>
    </row>
    <row r="1238">
      <c r="A1238" s="2">
        <f>IFERROR(__xludf.DUMMYFUNCTION("""COMPUTED_VALUE"""),45904.66666666667)</f>
        <v>45904.66667</v>
      </c>
      <c r="B1238" s="1">
        <f>IFERROR(__xludf.DUMMYFUNCTION("""COMPUTED_VALUE"""),235.68)</f>
        <v>235.68</v>
      </c>
    </row>
    <row r="1239">
      <c r="A1239" s="2">
        <f>IFERROR(__xludf.DUMMYFUNCTION("""COMPUTED_VALUE"""),45905.66666666667)</f>
        <v>45905.66667</v>
      </c>
      <c r="B1239" s="1">
        <f>IFERROR(__xludf.DUMMYFUNCTION("""COMPUTED_VALUE"""),232.33)</f>
        <v>232.33</v>
      </c>
    </row>
    <row r="1240">
      <c r="A1240" s="2">
        <f>IFERROR(__xludf.DUMMYFUNCTION("""COMPUTED_VALUE"""),45908.66666666667)</f>
        <v>45908.66667</v>
      </c>
      <c r="B1240" s="1">
        <f>IFERROR(__xludf.DUMMYFUNCTION("""COMPUTED_VALUE"""),235.84)</f>
        <v>235.84</v>
      </c>
    </row>
    <row r="1241">
      <c r="A1241" s="2">
        <f>IFERROR(__xludf.DUMMYFUNCTION("""COMPUTED_VALUE"""),45909.66666666667)</f>
        <v>45909.66667</v>
      </c>
      <c r="B1241" s="1">
        <f>IFERROR(__xludf.DUMMYFUNCTION("""COMPUTED_VALUE"""),238.24)</f>
        <v>238.24</v>
      </c>
    </row>
    <row r="1242">
      <c r="A1242" s="2">
        <f>IFERROR(__xludf.DUMMYFUNCTION("""COMPUTED_VALUE"""),45910.66666666667)</f>
        <v>45910.66667</v>
      </c>
      <c r="B1242" s="1">
        <f>IFERROR(__xludf.DUMMYFUNCTION("""COMPUTED_VALUE"""),230.33)</f>
        <v>230.33</v>
      </c>
    </row>
    <row r="1243">
      <c r="A1243" s="2">
        <f>IFERROR(__xludf.DUMMYFUNCTION("""COMPUTED_VALUE"""),45911.66666666667)</f>
        <v>45911.66667</v>
      </c>
      <c r="B1243" s="1">
        <f>IFERROR(__xludf.DUMMYFUNCTION("""COMPUTED_VALUE"""),229.95)</f>
        <v>229.95</v>
      </c>
    </row>
    <row r="1244">
      <c r="A1244" s="2">
        <f>IFERROR(__xludf.DUMMYFUNCTION("""COMPUTED_VALUE"""),45912.66666666667)</f>
        <v>45912.66667</v>
      </c>
      <c r="B1244" s="1">
        <f>IFERROR(__xludf.DUMMYFUNCTION("""COMPUTED_VALUE"""),228.15)</f>
        <v>228.15</v>
      </c>
    </row>
    <row r="1245">
      <c r="A1245" s="2">
        <f>IFERROR(__xludf.DUMMYFUNCTION("""COMPUTED_VALUE"""),45915.66666666667)</f>
        <v>45915.66667</v>
      </c>
      <c r="B1245" s="1">
        <f>IFERROR(__xludf.DUMMYFUNCTION("""COMPUTED_VALUE"""),231.43)</f>
        <v>231.43</v>
      </c>
    </row>
    <row r="1246">
      <c r="A1246" s="2">
        <f>IFERROR(__xludf.DUMMYFUNCTION("""COMPUTED_VALUE"""),45916.66666666667)</f>
        <v>45916.66667</v>
      </c>
      <c r="B1246" s="1">
        <f>IFERROR(__xludf.DUMMYFUNCTION("""COMPUTED_VALUE"""),234.05)</f>
        <v>234.05</v>
      </c>
    </row>
    <row r="1247">
      <c r="A1247" s="2">
        <f>IFERROR(__xludf.DUMMYFUNCTION("""COMPUTED_VALUE"""),45917.66666666667)</f>
        <v>45917.66667</v>
      </c>
      <c r="B1247" s="1">
        <f>IFERROR(__xludf.DUMMYFUNCTION("""COMPUTED_VALUE"""),231.62)</f>
        <v>231.62</v>
      </c>
    </row>
    <row r="1248">
      <c r="A1248" s="2">
        <f>IFERROR(__xludf.DUMMYFUNCTION("""COMPUTED_VALUE"""),45918.66666666667)</f>
        <v>45918.66667</v>
      </c>
      <c r="B1248" s="1">
        <f>IFERROR(__xludf.DUMMYFUNCTION("""COMPUTED_VALUE"""),231.23)</f>
        <v>231.23</v>
      </c>
    </row>
    <row r="1249">
      <c r="A1249" s="2">
        <f>IFERROR(__xludf.DUMMYFUNCTION("""COMPUTED_VALUE"""),45919.66666666667)</f>
        <v>45919.66667</v>
      </c>
      <c r="B1249" s="1">
        <f>IFERROR(__xludf.DUMMYFUNCTION("""COMPUTED_VALUE"""),231.48)</f>
        <v>231.48</v>
      </c>
    </row>
    <row r="1250">
      <c r="A1250" s="2">
        <f>IFERROR(__xludf.DUMMYFUNCTION("""COMPUTED_VALUE"""),45922.66666666667)</f>
        <v>45922.66667</v>
      </c>
      <c r="B1250" s="1">
        <f>IFERROR(__xludf.DUMMYFUNCTION("""COMPUTED_VALUE"""),227.63)</f>
        <v>227.63</v>
      </c>
    </row>
    <row r="1251">
      <c r="A1251" s="2">
        <f>IFERROR(__xludf.DUMMYFUNCTION("""COMPUTED_VALUE"""),45923.66666666667)</f>
        <v>45923.66667</v>
      </c>
      <c r="B1251" s="1">
        <f>IFERROR(__xludf.DUMMYFUNCTION("""COMPUTED_VALUE"""),220.71)</f>
        <v>220.71</v>
      </c>
    </row>
    <row r="1252">
      <c r="A1252" s="2">
        <f>IFERROR(__xludf.DUMMYFUNCTION("""COMPUTED_VALUE"""),45924.66666666667)</f>
        <v>45924.66667</v>
      </c>
      <c r="B1252" s="1">
        <f>IFERROR(__xludf.DUMMYFUNCTION("""COMPUTED_VALUE"""),220.21)</f>
        <v>220.21</v>
      </c>
    </row>
    <row r="1253">
      <c r="A1253" s="2">
        <f>IFERROR(__xludf.DUMMYFUNCTION("""COMPUTED_VALUE"""),45925.66666666667)</f>
        <v>45925.66667</v>
      </c>
      <c r="B1253" s="1">
        <f>IFERROR(__xludf.DUMMYFUNCTION("""COMPUTED_VALUE"""),218.15)</f>
        <v>218.15</v>
      </c>
    </row>
    <row r="1254">
      <c r="A1254" s="2">
        <f>IFERROR(__xludf.DUMMYFUNCTION("""COMPUTED_VALUE"""),45926.66666666667)</f>
        <v>45926.66667</v>
      </c>
      <c r="B1254" s="1">
        <f>IFERROR(__xludf.DUMMYFUNCTION("""COMPUTED_VALUE"""),219.78)</f>
        <v>219.78</v>
      </c>
    </row>
    <row r="1255">
      <c r="A1255" s="2">
        <f>IFERROR(__xludf.DUMMYFUNCTION("""COMPUTED_VALUE"""),45929.66666666667)</f>
        <v>45929.66667</v>
      </c>
      <c r="B1255" s="1">
        <f>IFERROR(__xludf.DUMMYFUNCTION("""COMPUTED_VALUE"""),222.17)</f>
        <v>222.17</v>
      </c>
    </row>
    <row r="1256">
      <c r="A1256" s="2">
        <f>IFERROR(__xludf.DUMMYFUNCTION("""COMPUTED_VALUE"""),45930.66666666667)</f>
        <v>45930.66667</v>
      </c>
      <c r="B1256" s="1">
        <f>IFERROR(__xludf.DUMMYFUNCTION("""COMPUTED_VALUE"""),219.57)</f>
        <v>219.57</v>
      </c>
    </row>
    <row r="1257">
      <c r="A1257" s="2">
        <f>IFERROR(__xludf.DUMMYFUNCTION("""COMPUTED_VALUE"""),45931.66666666667)</f>
        <v>45931.66667</v>
      </c>
      <c r="B1257" s="1">
        <f>IFERROR(__xludf.DUMMYFUNCTION("""COMPUTED_VALUE"""),220.63)</f>
        <v>220.63</v>
      </c>
    </row>
    <row r="1258">
      <c r="A1258" s="2">
        <f>IFERROR(__xludf.DUMMYFUNCTION("""COMPUTED_VALUE"""),45932.66666666667)</f>
        <v>45932.66667</v>
      </c>
      <c r="B1258" s="1">
        <f>IFERROR(__xludf.DUMMYFUNCTION("""COMPUTED_VALUE"""),222.41)</f>
        <v>222.41</v>
      </c>
    </row>
    <row r="1259">
      <c r="A1259" s="2">
        <f>IFERROR(__xludf.DUMMYFUNCTION("""COMPUTED_VALUE"""),45933.66666666667)</f>
        <v>45933.66667</v>
      </c>
      <c r="B1259" s="1">
        <f>IFERROR(__xludf.DUMMYFUNCTION("""COMPUTED_VALUE"""),219.51)</f>
        <v>219.51</v>
      </c>
    </row>
    <row r="1260">
      <c r="A1260" s="2">
        <f>IFERROR(__xludf.DUMMYFUNCTION("""COMPUTED_VALUE"""),45936.66666666667)</f>
        <v>45936.66667</v>
      </c>
      <c r="B1260" s="1">
        <f>IFERROR(__xludf.DUMMYFUNCTION("""COMPUTED_VALUE"""),220.9)</f>
        <v>220.9</v>
      </c>
    </row>
    <row r="1261">
      <c r="A1261" s="2">
        <f>IFERROR(__xludf.DUMMYFUNCTION("""COMPUTED_VALUE"""),45937.66666666667)</f>
        <v>45937.66667</v>
      </c>
      <c r="B1261" s="1">
        <f>IFERROR(__xludf.DUMMYFUNCTION("""COMPUTED_VALUE"""),221.78)</f>
        <v>221.78</v>
      </c>
    </row>
    <row r="1262">
      <c r="A1262" s="2">
        <f>IFERROR(__xludf.DUMMYFUNCTION("""COMPUTED_VALUE"""),45938.66666666667)</f>
        <v>45938.66667</v>
      </c>
      <c r="B1262" s="1">
        <f>IFERROR(__xludf.DUMMYFUNCTION("""COMPUTED_VALUE"""),225.22)</f>
        <v>225.22</v>
      </c>
    </row>
    <row r="1263">
      <c r="A1263" s="2">
        <f>IFERROR(__xludf.DUMMYFUNCTION("""COMPUTED_VALUE"""),45939.66666666667)</f>
        <v>45939.66667</v>
      </c>
      <c r="B1263" s="1">
        <f>IFERROR(__xludf.DUMMYFUNCTION("""COMPUTED_VALUE"""),227.74)</f>
        <v>227.74</v>
      </c>
    </row>
    <row r="1264">
      <c r="A1264" s="2">
        <f>IFERROR(__xludf.DUMMYFUNCTION("""COMPUTED_VALUE"""),45940.66666666667)</f>
        <v>45940.66667</v>
      </c>
      <c r="B1264" s="1">
        <f>IFERROR(__xludf.DUMMYFUNCTION("""COMPUTED_VALUE"""),216.37)</f>
        <v>216.37</v>
      </c>
    </row>
    <row r="1265">
      <c r="A1265" s="2">
        <f>IFERROR(__xludf.DUMMYFUNCTION("""COMPUTED_VALUE"""),45943.66666666667)</f>
        <v>45943.66667</v>
      </c>
      <c r="B1265" s="1">
        <f>IFERROR(__xludf.DUMMYFUNCTION("""COMPUTED_VALUE"""),220.07)</f>
        <v>220.07</v>
      </c>
    </row>
    <row r="1266">
      <c r="A1266" s="2">
        <f>IFERROR(__xludf.DUMMYFUNCTION("""COMPUTED_VALUE"""),45944.66666666667)</f>
        <v>45944.66667</v>
      </c>
      <c r="B1266" s="1">
        <f>IFERROR(__xludf.DUMMYFUNCTION("""COMPUTED_VALUE"""),216.39)</f>
        <v>216.39</v>
      </c>
    </row>
    <row r="1267">
      <c r="A1267" s="2">
        <f>IFERROR(__xludf.DUMMYFUNCTION("""COMPUTED_VALUE"""),45945.66666666667)</f>
        <v>45945.66667</v>
      </c>
      <c r="B1267" s="1">
        <f>IFERROR(__xludf.DUMMYFUNCTION("""COMPUTED_VALUE"""),215.57)</f>
        <v>215.57</v>
      </c>
    </row>
    <row r="1268">
      <c r="A1268" s="2">
        <f>IFERROR(__xludf.DUMMYFUNCTION("""COMPUTED_VALUE"""),45946.66666666667)</f>
        <v>45946.66667</v>
      </c>
      <c r="B1268" s="1">
        <f>IFERROR(__xludf.DUMMYFUNCTION("""COMPUTED_VALUE"""),214.47)</f>
        <v>214.47</v>
      </c>
    </row>
    <row r="1269">
      <c r="A1269" s="2">
        <f>IFERROR(__xludf.DUMMYFUNCTION("""COMPUTED_VALUE"""),45947.66666666667)</f>
        <v>45947.66667</v>
      </c>
      <c r="B1269" s="1">
        <f>IFERROR(__xludf.DUMMYFUNCTION("""COMPUTED_VALUE"""),213.04)</f>
        <v>213.04</v>
      </c>
    </row>
    <row r="1270">
      <c r="A1270" s="2">
        <f>IFERROR(__xludf.DUMMYFUNCTION("""COMPUTED_VALUE"""),45950.66666666667)</f>
        <v>45950.66667</v>
      </c>
      <c r="B1270" s="1">
        <f>IFERROR(__xludf.DUMMYFUNCTION("""COMPUTED_VALUE"""),216.48)</f>
        <v>216.48</v>
      </c>
    </row>
    <row r="1271">
      <c r="A1271" s="2">
        <f>IFERROR(__xludf.DUMMYFUNCTION("""COMPUTED_VALUE"""),45951.66666666667)</f>
        <v>45951.66667</v>
      </c>
      <c r="B1271" s="1">
        <f>IFERROR(__xludf.DUMMYFUNCTION("""COMPUTED_VALUE"""),222.03)</f>
        <v>222.03</v>
      </c>
    </row>
    <row r="1272">
      <c r="A1272" s="2">
        <f>IFERROR(__xludf.DUMMYFUNCTION("""COMPUTED_VALUE"""),45952.66666666667)</f>
        <v>45952.66667</v>
      </c>
      <c r="B1272" s="1">
        <f>IFERROR(__xludf.DUMMYFUNCTION("""COMPUTED_VALUE"""),217.95)</f>
        <v>217.95</v>
      </c>
    </row>
    <row r="1273">
      <c r="A1273" s="2">
        <f>IFERROR(__xludf.DUMMYFUNCTION("""COMPUTED_VALUE"""),45953.66666666667)</f>
        <v>45953.66667</v>
      </c>
      <c r="B1273" s="1">
        <f>IFERROR(__xludf.DUMMYFUNCTION("""COMPUTED_VALUE"""),221.09)</f>
        <v>221.09</v>
      </c>
    </row>
    <row r="1274">
      <c r="A1274" s="2">
        <f>IFERROR(__xludf.DUMMYFUNCTION("""COMPUTED_VALUE"""),45954.66666666667)</f>
        <v>45954.66667</v>
      </c>
      <c r="B1274" s="1">
        <f>IFERROR(__xludf.DUMMYFUNCTION("""COMPUTED_VALUE"""),224.21)</f>
        <v>224.21</v>
      </c>
    </row>
    <row r="1275">
      <c r="A1275" s="2">
        <f>IFERROR(__xludf.DUMMYFUNCTION("""COMPUTED_VALUE"""),45957.66666666667)</f>
        <v>45957.66667</v>
      </c>
      <c r="B1275" s="1">
        <f>IFERROR(__xludf.DUMMYFUNCTION("""COMPUTED_VALUE"""),226.97)</f>
        <v>226.97</v>
      </c>
    </row>
    <row r="1276">
      <c r="A1276" s="2">
        <f>IFERROR(__xludf.DUMMYFUNCTION("""COMPUTED_VALUE"""),45958.66666666667)</f>
        <v>45958.66667</v>
      </c>
      <c r="B1276" s="1">
        <f>IFERROR(__xludf.DUMMYFUNCTION("""COMPUTED_VALUE"""),229.25)</f>
        <v>229.25</v>
      </c>
    </row>
    <row r="1277">
      <c r="A1277" s="2">
        <f>IFERROR(__xludf.DUMMYFUNCTION("""COMPUTED_VALUE"""),45959.66666666667)</f>
        <v>45959.66667</v>
      </c>
      <c r="B1277" s="1">
        <f>IFERROR(__xludf.DUMMYFUNCTION("""COMPUTED_VALUE"""),230.3)</f>
        <v>230.3</v>
      </c>
    </row>
    <row r="1278">
      <c r="A1278" s="2">
        <f>IFERROR(__xludf.DUMMYFUNCTION("""COMPUTED_VALUE"""),45960.66666666667)</f>
        <v>45960.66667</v>
      </c>
      <c r="B1278" s="1">
        <f>IFERROR(__xludf.DUMMYFUNCTION("""COMPUTED_VALUE"""),222.86)</f>
        <v>222.86</v>
      </c>
    </row>
    <row r="1279">
      <c r="A1279" s="2">
        <f>IFERROR(__xludf.DUMMYFUNCTION("""COMPUTED_VALUE"""),45961.66666666667)</f>
        <v>45961.66667</v>
      </c>
      <c r="B1279" s="1">
        <f>IFERROR(__xludf.DUMMYFUNCTION("""COMPUTED_VALUE"""),244.22)</f>
        <v>244.22</v>
      </c>
    </row>
    <row r="1280">
      <c r="A1280" s="2">
        <f>IFERROR(__xludf.DUMMYFUNCTION("""COMPUTED_VALUE"""),45964.66666666667)</f>
        <v>45964.66667</v>
      </c>
      <c r="B1280" s="1">
        <f>IFERROR(__xludf.DUMMYFUNCTION("""COMPUTED_VALUE"""),254.0)</f>
        <v>254</v>
      </c>
    </row>
    <row r="1281">
      <c r="A1281" s="2">
        <f>IFERROR(__xludf.DUMMYFUNCTION("""COMPUTED_VALUE"""),45965.66666666667)</f>
        <v>45965.66667</v>
      </c>
      <c r="B1281" s="1">
        <f>IFERROR(__xludf.DUMMYFUNCTION("""COMPUTED_VALUE"""),249.32)</f>
        <v>249.32</v>
      </c>
    </row>
    <row r="1282">
      <c r="A1282" s="2">
        <f>IFERROR(__xludf.DUMMYFUNCTION("""COMPUTED_VALUE"""),45966.66666666667)</f>
        <v>45966.66667</v>
      </c>
      <c r="B1282" s="1">
        <f>IFERROR(__xludf.DUMMYFUNCTION("""COMPUTED_VALUE"""),250.2)</f>
        <v>250.2</v>
      </c>
    </row>
    <row r="1283">
      <c r="A1283" s="2">
        <f>IFERROR(__xludf.DUMMYFUNCTION("""COMPUTED_VALUE"""),45967.66666666667)</f>
        <v>45967.66667</v>
      </c>
      <c r="B1283" s="1">
        <f>IFERROR(__xludf.DUMMYFUNCTION("""COMPUTED_VALUE"""),243.04)</f>
        <v>243.04</v>
      </c>
    </row>
    <row r="1284">
      <c r="A1284" s="2">
        <f>IFERROR(__xludf.DUMMYFUNCTION("""COMPUTED_VALUE"""),45968.66666666667)</f>
        <v>45968.66667</v>
      </c>
      <c r="B1284" s="1">
        <f>IFERROR(__xludf.DUMMYFUNCTION("""COMPUTED_VALUE"""),244.41)</f>
        <v>244.41</v>
      </c>
    </row>
    <row r="1285">
      <c r="A1285" s="2">
        <f>IFERROR(__xludf.DUMMYFUNCTION("""COMPUTED_VALUE"""),45971.66666666667)</f>
        <v>45971.66667</v>
      </c>
      <c r="B1285" s="1">
        <f>IFERROR(__xludf.DUMMYFUNCTION("""COMPUTED_VALUE"""),248.4)</f>
        <v>248.4</v>
      </c>
    </row>
    <row r="1286">
      <c r="A1286" s="2">
        <f>IFERROR(__xludf.DUMMYFUNCTION("""COMPUTED_VALUE"""),45972.66666666667)</f>
        <v>45972.66667</v>
      </c>
      <c r="B1286" s="1">
        <f>IFERROR(__xludf.DUMMYFUNCTION("""COMPUTED_VALUE"""),249.1)</f>
        <v>249.1</v>
      </c>
    </row>
    <row r="1287">
      <c r="A1287" s="2">
        <f>IFERROR(__xludf.DUMMYFUNCTION("""COMPUTED_VALUE"""),45973.66666666667)</f>
        <v>45973.66667</v>
      </c>
      <c r="B1287" s="1">
        <f>IFERROR(__xludf.DUMMYFUNCTION("""COMPUTED_VALUE"""),244.2)</f>
        <v>244.2</v>
      </c>
    </row>
    <row r="1288">
      <c r="A1288" s="2">
        <f>IFERROR(__xludf.DUMMYFUNCTION("""COMPUTED_VALUE"""),45974.66666666667)</f>
        <v>45974.66667</v>
      </c>
      <c r="B1288" s="1">
        <f>IFERROR(__xludf.DUMMYFUNCTION("""COMPUTED_VALUE"""),237.58)</f>
        <v>237.58</v>
      </c>
    </row>
    <row r="1289">
      <c r="A1289" s="2">
        <f>IFERROR(__xludf.DUMMYFUNCTION("""COMPUTED_VALUE"""),45975.66666666667)</f>
        <v>45975.66667</v>
      </c>
      <c r="B1289" s="1">
        <f>IFERROR(__xludf.DUMMYFUNCTION("""COMPUTED_VALUE"""),234.69)</f>
        <v>234.69</v>
      </c>
    </row>
    <row r="1290">
      <c r="A1290" s="2">
        <f>IFERROR(__xludf.DUMMYFUNCTION("""COMPUTED_VALUE"""),45978.66666666667)</f>
        <v>45978.66667</v>
      </c>
      <c r="B1290" s="1">
        <f>IFERROR(__xludf.DUMMYFUNCTION("""COMPUTED_VALUE"""),232.87)</f>
        <v>232.87</v>
      </c>
    </row>
    <row r="1291">
      <c r="A1291" s="2">
        <f>IFERROR(__xludf.DUMMYFUNCTION("""COMPUTED_VALUE"""),45979.66666666667)</f>
        <v>45979.66667</v>
      </c>
      <c r="B1291" s="1">
        <f>IFERROR(__xludf.DUMMYFUNCTION("""COMPUTED_VALUE"""),222.55)</f>
        <v>222.55</v>
      </c>
    </row>
    <row r="1292">
      <c r="A1292" s="2">
        <f>IFERROR(__xludf.DUMMYFUNCTION("""COMPUTED_VALUE"""),45980.66666666667)</f>
        <v>45980.66667</v>
      </c>
      <c r="B1292" s="1">
        <f>IFERROR(__xludf.DUMMYFUNCTION("""COMPUTED_VALUE"""),222.69)</f>
        <v>222.69</v>
      </c>
    </row>
    <row r="1293">
      <c r="A1293" s="2">
        <f>IFERROR(__xludf.DUMMYFUNCTION("""COMPUTED_VALUE"""),45981.66666666667)</f>
        <v>45981.66667</v>
      </c>
      <c r="B1293" s="1">
        <f>IFERROR(__xludf.DUMMYFUNCTION("""COMPUTED_VALUE"""),217.14)</f>
        <v>217.14</v>
      </c>
    </row>
    <row r="1294">
      <c r="A1294" s="2">
        <f>IFERROR(__xludf.DUMMYFUNCTION("""COMPUTED_VALUE"""),45982.66666666667)</f>
        <v>45982.66667</v>
      </c>
      <c r="B1294" s="1">
        <f>IFERROR(__xludf.DUMMYFUNCTION("""COMPUTED_VALUE"""),220.69)</f>
        <v>220.69</v>
      </c>
    </row>
    <row r="1295">
      <c r="A1295" s="2">
        <f>IFERROR(__xludf.DUMMYFUNCTION("""COMPUTED_VALUE"""),45985.66666666667)</f>
        <v>45985.66667</v>
      </c>
      <c r="B1295" s="1">
        <f>IFERROR(__xludf.DUMMYFUNCTION("""COMPUTED_VALUE"""),226.28)</f>
        <v>226.28</v>
      </c>
    </row>
    <row r="1296">
      <c r="A1296" s="2">
        <f>IFERROR(__xludf.DUMMYFUNCTION("""COMPUTED_VALUE"""),45986.66666666667)</f>
        <v>45986.66667</v>
      </c>
      <c r="B1296" s="1">
        <f>IFERROR(__xludf.DUMMYFUNCTION("""COMPUTED_VALUE"""),229.67)</f>
        <v>229.67</v>
      </c>
    </row>
    <row r="1297">
      <c r="A1297" s="2">
        <f>IFERROR(__xludf.DUMMYFUNCTION("""COMPUTED_VALUE"""),45987.66666666667)</f>
        <v>45987.66667</v>
      </c>
      <c r="B1297" s="1">
        <f>IFERROR(__xludf.DUMMYFUNCTION("""COMPUTED_VALUE"""),229.16)</f>
        <v>229.16</v>
      </c>
    </row>
    <row r="1298">
      <c r="A1298" s="2">
        <f>IFERROR(__xludf.DUMMYFUNCTION("""COMPUTED_VALUE"""),45989.54513888889)</f>
        <v>45989.54514</v>
      </c>
      <c r="B1298" s="1">
        <f>IFERROR(__xludf.DUMMYFUNCTION("""COMPUTED_VALUE"""),233.22)</f>
        <v>233.22</v>
      </c>
    </row>
    <row r="1299">
      <c r="A1299" s="2">
        <f>IFERROR(__xludf.DUMMYFUNCTION("""COMPUTED_VALUE"""),45992.66666666667)</f>
        <v>45992.66667</v>
      </c>
      <c r="B1299" s="1">
        <f>IFERROR(__xludf.DUMMYFUNCTION("""COMPUTED_VALUE"""),233.88)</f>
        <v>233.88</v>
      </c>
    </row>
    <row r="1300">
      <c r="A1300" s="2">
        <f>IFERROR(__xludf.DUMMYFUNCTION("""COMPUTED_VALUE"""),45993.66666666667)</f>
        <v>45993.66667</v>
      </c>
      <c r="B1300" s="1">
        <f>IFERROR(__xludf.DUMMYFUNCTION("""COMPUTED_VALUE"""),234.42)</f>
        <v>234.42</v>
      </c>
    </row>
    <row r="1301">
      <c r="A1301" s="2">
        <f>IFERROR(__xludf.DUMMYFUNCTION("""COMPUTED_VALUE"""),45994.66666666667)</f>
        <v>45994.66667</v>
      </c>
      <c r="B1301" s="1">
        <f>IFERROR(__xludf.DUMMYFUNCTION("""COMPUTED_VALUE"""),232.38)</f>
        <v>232.38</v>
      </c>
    </row>
    <row r="1302">
      <c r="A1302" s="2">
        <f>IFERROR(__xludf.DUMMYFUNCTION("""COMPUTED_VALUE"""),45995.66666666667)</f>
        <v>45995.66667</v>
      </c>
      <c r="B1302" s="1">
        <f>IFERROR(__xludf.DUMMYFUNCTION("""COMPUTED_VALUE"""),229.11)</f>
        <v>229.11</v>
      </c>
    </row>
    <row r="1303">
      <c r="A1303" s="2">
        <f>IFERROR(__xludf.DUMMYFUNCTION("""COMPUTED_VALUE"""),45996.66666666667)</f>
        <v>45996.66667</v>
      </c>
      <c r="B1303" s="1">
        <f>IFERROR(__xludf.DUMMYFUNCTION("""COMPUTED_VALUE"""),229.53)</f>
        <v>229.53</v>
      </c>
    </row>
    <row r="1304">
      <c r="A1304" s="2">
        <f>IFERROR(__xludf.DUMMYFUNCTION("""COMPUTED_VALUE"""),45999.66666666667)</f>
        <v>45999.66667</v>
      </c>
      <c r="B1304" s="1">
        <f>IFERROR(__xludf.DUMMYFUNCTION("""COMPUTED_VALUE"""),226.89)</f>
        <v>226.89</v>
      </c>
    </row>
    <row r="1305">
      <c r="A1305" s="2">
        <f>IFERROR(__xludf.DUMMYFUNCTION("""COMPUTED_VALUE"""),46000.66666666667)</f>
        <v>46000.66667</v>
      </c>
      <c r="B1305" s="1">
        <f>IFERROR(__xludf.DUMMYFUNCTION("""COMPUTED_VALUE"""),227.92)</f>
        <v>227.92</v>
      </c>
    </row>
    <row r="1306">
      <c r="A1306" s="2">
        <f>IFERROR(__xludf.DUMMYFUNCTION("""COMPUTED_VALUE"""),46001.66666666667)</f>
        <v>46001.66667</v>
      </c>
      <c r="B1306" s="1">
        <f>IFERROR(__xludf.DUMMYFUNCTION("""COMPUTED_VALUE"""),231.78)</f>
        <v>231.78</v>
      </c>
    </row>
    <row r="1307">
      <c r="A1307" s="2">
        <f>IFERROR(__xludf.DUMMYFUNCTION("""COMPUTED_VALUE"""),46002.66666666667)</f>
        <v>46002.66667</v>
      </c>
      <c r="B1307" s="1">
        <f>IFERROR(__xludf.DUMMYFUNCTION("""COMPUTED_VALUE"""),230.28)</f>
        <v>230.28</v>
      </c>
    </row>
    <row r="1308">
      <c r="A1308" s="2">
        <f>IFERROR(__xludf.DUMMYFUNCTION("""COMPUTED_VALUE"""),46003.66666666667)</f>
        <v>46003.66667</v>
      </c>
      <c r="B1308" s="1">
        <f>IFERROR(__xludf.DUMMYFUNCTION("""COMPUTED_VALUE"""),226.19)</f>
        <v>226.19</v>
      </c>
    </row>
    <row r="1309">
      <c r="A1309" s="2">
        <f>IFERROR(__xludf.DUMMYFUNCTION("""COMPUTED_VALUE"""),46006.66666666667)</f>
        <v>46006.66667</v>
      </c>
      <c r="B1309" s="1">
        <f>IFERROR(__xludf.DUMMYFUNCTION("""COMPUTED_VALUE"""),222.54)</f>
        <v>222.54</v>
      </c>
    </row>
    <row r="1310">
      <c r="A1310" s="2">
        <f>IFERROR(__xludf.DUMMYFUNCTION("""COMPUTED_VALUE"""),46007.66666666667)</f>
        <v>46007.66667</v>
      </c>
      <c r="B1310" s="1">
        <f>IFERROR(__xludf.DUMMYFUNCTION("""COMPUTED_VALUE"""),222.56)</f>
        <v>222.56</v>
      </c>
    </row>
    <row r="1311">
      <c r="A1311" s="2">
        <f>IFERROR(__xludf.DUMMYFUNCTION("""COMPUTED_VALUE"""),46008.66666666667)</f>
        <v>46008.66667</v>
      </c>
      <c r="B1311" s="1">
        <f>IFERROR(__xludf.DUMMYFUNCTION("""COMPUTED_VALUE"""),221.27)</f>
        <v>221.27</v>
      </c>
    </row>
    <row r="1312">
      <c r="A1312" s="2">
        <f>IFERROR(__xludf.DUMMYFUNCTION("""COMPUTED_VALUE"""),46009.66666666667)</f>
        <v>46009.66667</v>
      </c>
      <c r="B1312" s="1">
        <f>IFERROR(__xludf.DUMMYFUNCTION("""COMPUTED_VALUE"""),226.76)</f>
        <v>226.76</v>
      </c>
    </row>
    <row r="1313">
      <c r="A1313" s="2">
        <f>IFERROR(__xludf.DUMMYFUNCTION("""COMPUTED_VALUE"""),46010.66666666667)</f>
        <v>46010.66667</v>
      </c>
      <c r="B1313" s="1">
        <f>IFERROR(__xludf.DUMMYFUNCTION("""COMPUTED_VALUE"""),227.35)</f>
        <v>227.35</v>
      </c>
    </row>
    <row r="1314">
      <c r="A1314" s="2">
        <f>IFERROR(__xludf.DUMMYFUNCTION("""COMPUTED_VALUE"""),46013.66666666667)</f>
        <v>46013.66667</v>
      </c>
      <c r="B1314" s="1">
        <f>IFERROR(__xludf.DUMMYFUNCTION("""COMPUTED_VALUE"""),228.43)</f>
        <v>228.43</v>
      </c>
    </row>
    <row r="1315">
      <c r="A1315" s="2">
        <f>IFERROR(__xludf.DUMMYFUNCTION("""COMPUTED_VALUE"""),46014.66666666667)</f>
        <v>46014.66667</v>
      </c>
      <c r="B1315" s="1">
        <f>IFERROR(__xludf.DUMMYFUNCTION("""COMPUTED_VALUE"""),232.14)</f>
        <v>232.14</v>
      </c>
    </row>
    <row r="1316">
      <c r="A1316" s="2">
        <f>IFERROR(__xludf.DUMMYFUNCTION("""COMPUTED_VALUE"""),46015.54513888889)</f>
        <v>46015.54514</v>
      </c>
      <c r="B1316" s="1">
        <f>IFERROR(__xludf.DUMMYFUNCTION("""COMPUTED_VALUE"""),232.38)</f>
        <v>232.38</v>
      </c>
    </row>
    <row r="1317">
      <c r="A1317" s="2">
        <f>IFERROR(__xludf.DUMMYFUNCTION("""COMPUTED_VALUE"""),46017.66666666667)</f>
        <v>46017.66667</v>
      </c>
      <c r="B1317" s="1">
        <f>IFERROR(__xludf.DUMMYFUNCTION("""COMPUTED_VALUE"""),232.52)</f>
        <v>232.52</v>
      </c>
    </row>
    <row r="1318">
      <c r="A1318" s="2">
        <f>IFERROR(__xludf.DUMMYFUNCTION("""COMPUTED_VALUE"""),46020.66666666667)</f>
        <v>46020.66667</v>
      </c>
      <c r="B1318" s="1">
        <f>IFERROR(__xludf.DUMMYFUNCTION("""COMPUTED_VALUE"""),232.07)</f>
        <v>232.07</v>
      </c>
    </row>
    <row r="1319">
      <c r="A1319" s="2">
        <f>IFERROR(__xludf.DUMMYFUNCTION("""COMPUTED_VALUE"""),46021.66666666667)</f>
        <v>46021.66667</v>
      </c>
      <c r="B1319" s="1">
        <f>IFERROR(__xludf.DUMMYFUNCTION("""COMPUTED_VALUE"""),232.53)</f>
        <v>232.53</v>
      </c>
    </row>
    <row r="1320">
      <c r="A1320" s="2">
        <f>IFERROR(__xludf.DUMMYFUNCTION("""COMPUTED_VALUE"""),46022.66666666667)</f>
        <v>46022.66667</v>
      </c>
      <c r="B1320" s="1">
        <f>IFERROR(__xludf.DUMMYFUNCTION("""COMPUTED_VALUE"""),230.82)</f>
        <v>230.82</v>
      </c>
    </row>
    <row r="1321">
      <c r="A1321" s="2">
        <f>IFERROR(__xludf.DUMMYFUNCTION("""COMPUTED_VALUE"""),46024.66666666667)</f>
        <v>46024.66667</v>
      </c>
      <c r="B1321" s="1">
        <f>IFERROR(__xludf.DUMMYFUNCTION("""COMPUTED_VALUE"""),226.5)</f>
        <v>226.5</v>
      </c>
    </row>
    <row r="1322">
      <c r="A1322" s="2">
        <f>IFERROR(__xludf.DUMMYFUNCTION("""COMPUTED_VALUE"""),46027.66666666667)</f>
        <v>46027.66667</v>
      </c>
      <c r="B1322" s="1">
        <f>IFERROR(__xludf.DUMMYFUNCTION("""COMPUTED_VALUE"""),233.06)</f>
        <v>233.06</v>
      </c>
    </row>
    <row r="1323">
      <c r="A1323" s="2">
        <f>IFERROR(__xludf.DUMMYFUNCTION("""COMPUTED_VALUE"""),46028.66666666667)</f>
        <v>46028.66667</v>
      </c>
      <c r="B1323" s="1">
        <f>IFERROR(__xludf.DUMMYFUNCTION("""COMPUTED_VALUE"""),240.93)</f>
        <v>240.93</v>
      </c>
    </row>
    <row r="1324">
      <c r="A1324" s="2">
        <f>IFERROR(__xludf.DUMMYFUNCTION("""COMPUTED_VALUE"""),46029.66666666667)</f>
        <v>46029.66667</v>
      </c>
      <c r="B1324" s="1">
        <f>IFERROR(__xludf.DUMMYFUNCTION("""COMPUTED_VALUE"""),241.56)</f>
        <v>241.56</v>
      </c>
    </row>
    <row r="1325">
      <c r="A1325" s="2">
        <f>IFERROR(__xludf.DUMMYFUNCTION("""COMPUTED_VALUE"""),46030.66666666667)</f>
        <v>46030.66667</v>
      </c>
      <c r="B1325" s="1">
        <f>IFERROR(__xludf.DUMMYFUNCTION("""COMPUTED_VALUE"""),246.29)</f>
        <v>246.29</v>
      </c>
    </row>
    <row r="1326">
      <c r="A1326" s="2">
        <f>IFERROR(__xludf.DUMMYFUNCTION("""COMPUTED_VALUE"""),46031.66666666667)</f>
        <v>46031.66667</v>
      </c>
      <c r="B1326" s="1">
        <f>IFERROR(__xludf.DUMMYFUNCTION("""COMPUTED_VALUE"""),247.38)</f>
        <v>247.38</v>
      </c>
    </row>
    <row r="1327">
      <c r="A1327" s="2">
        <f>IFERROR(__xludf.DUMMYFUNCTION("""COMPUTED_VALUE"""),46034.66666666667)</f>
        <v>46034.66667</v>
      </c>
      <c r="B1327" s="1">
        <f>IFERROR(__xludf.DUMMYFUNCTION("""COMPUTED_VALUE"""),246.47)</f>
        <v>246.47</v>
      </c>
    </row>
    <row r="1328">
      <c r="A1328" s="2">
        <f>IFERROR(__xludf.DUMMYFUNCTION("""COMPUTED_VALUE"""),46035.66666666667)</f>
        <v>46035.66667</v>
      </c>
      <c r="B1328" s="1">
        <f>IFERROR(__xludf.DUMMYFUNCTION("""COMPUTED_VALUE"""),242.6)</f>
        <v>242.6</v>
      </c>
    </row>
    <row r="1329">
      <c r="A1329" s="2">
        <f>IFERROR(__xludf.DUMMYFUNCTION("""COMPUTED_VALUE"""),46036.66666666667)</f>
        <v>46036.66667</v>
      </c>
      <c r="B1329" s="1">
        <f>IFERROR(__xludf.DUMMYFUNCTION("""COMPUTED_VALUE"""),236.65)</f>
        <v>236.65</v>
      </c>
    </row>
    <row r="1330">
      <c r="A1330" s="2">
        <f>IFERROR(__xludf.DUMMYFUNCTION("""COMPUTED_VALUE"""),46037.66666666667)</f>
        <v>46037.66667</v>
      </c>
      <c r="B1330" s="1">
        <f>IFERROR(__xludf.DUMMYFUNCTION("""COMPUTED_VALUE"""),238.18)</f>
        <v>238.18</v>
      </c>
    </row>
    <row r="1331">
      <c r="A1331" s="2">
        <f>IFERROR(__xludf.DUMMYFUNCTION("""COMPUTED_VALUE"""),46038.66666666667)</f>
        <v>46038.66667</v>
      </c>
      <c r="B1331" s="1">
        <f>IFERROR(__xludf.DUMMYFUNCTION("""COMPUTED_VALUE"""),239.12)</f>
        <v>239.12</v>
      </c>
    </row>
    <row r="1332">
      <c r="A1332" s="2">
        <f>IFERROR(__xludf.DUMMYFUNCTION("""COMPUTED_VALUE"""),46042.66666666667)</f>
        <v>46042.66667</v>
      </c>
      <c r="B1332" s="1">
        <f>IFERROR(__xludf.DUMMYFUNCTION("""COMPUTED_VALUE"""),231.0)</f>
        <v>231</v>
      </c>
    </row>
    <row r="1333">
      <c r="A1333" s="2">
        <f>IFERROR(__xludf.DUMMYFUNCTION("""COMPUTED_VALUE"""),46043.66666666667)</f>
        <v>46043.66667</v>
      </c>
      <c r="B1333" s="1">
        <f>IFERROR(__xludf.DUMMYFUNCTION("""COMPUTED_VALUE"""),231.31)</f>
        <v>231.31</v>
      </c>
    </row>
    <row r="1334">
      <c r="A1334" s="2">
        <f>IFERROR(__xludf.DUMMYFUNCTION("""COMPUTED_VALUE"""),46044.66666666667)</f>
        <v>46044.66667</v>
      </c>
      <c r="B1334" s="1">
        <f>IFERROR(__xludf.DUMMYFUNCTION("""COMPUTED_VALUE"""),234.34)</f>
        <v>234.34</v>
      </c>
    </row>
    <row r="1335">
      <c r="A1335" s="2">
        <f>IFERROR(__xludf.DUMMYFUNCTION("""COMPUTED_VALUE"""),46045.66666666667)</f>
        <v>46045.66667</v>
      </c>
      <c r="B1335" s="1">
        <f>IFERROR(__xludf.DUMMYFUNCTION("""COMPUTED_VALUE"""),239.16)</f>
        <v>239.16</v>
      </c>
    </row>
    <row r="1336">
      <c r="A1336" s="2">
        <f>IFERROR(__xludf.DUMMYFUNCTION("""COMPUTED_VALUE"""),46048.66666666667)</f>
        <v>46048.66667</v>
      </c>
      <c r="B1336" s="1">
        <f>IFERROR(__xludf.DUMMYFUNCTION("""COMPUTED_VALUE"""),238.42)</f>
        <v>238.42</v>
      </c>
    </row>
    <row r="1337">
      <c r="A1337" s="2">
        <f>IFERROR(__xludf.DUMMYFUNCTION("""COMPUTED_VALUE"""),46049.66666666667)</f>
        <v>46049.66667</v>
      </c>
      <c r="B1337" s="1">
        <f>IFERROR(__xludf.DUMMYFUNCTION("""COMPUTED_VALUE"""),244.68)</f>
        <v>244.68</v>
      </c>
    </row>
    <row r="1338">
      <c r="A1338" s="2">
        <f>IFERROR(__xludf.DUMMYFUNCTION("""COMPUTED_VALUE"""),46050.66666666667)</f>
        <v>46050.66667</v>
      </c>
      <c r="B1338" s="1">
        <f>IFERROR(__xludf.DUMMYFUNCTION("""COMPUTED_VALUE"""),243.01)</f>
        <v>243.01</v>
      </c>
    </row>
    <row r="1339">
      <c r="A1339" s="2">
        <f>IFERROR(__xludf.DUMMYFUNCTION("""COMPUTED_VALUE"""),46051.66666666667)</f>
        <v>46051.66667</v>
      </c>
      <c r="B1339" s="1">
        <f>IFERROR(__xludf.DUMMYFUNCTION("""COMPUTED_VALUE"""),241.73)</f>
        <v>241.73</v>
      </c>
    </row>
    <row r="1340">
      <c r="A1340" s="2">
        <f>IFERROR(__xludf.DUMMYFUNCTION("""COMPUTED_VALUE"""),46052.66666666667)</f>
        <v>46052.66667</v>
      </c>
      <c r="B1340" s="1">
        <f>IFERROR(__xludf.DUMMYFUNCTION("""COMPUTED_VALUE"""),239.3)</f>
        <v>239.3</v>
      </c>
    </row>
    <row r="1341">
      <c r="A1341" s="2">
        <f>IFERROR(__xludf.DUMMYFUNCTION("""COMPUTED_VALUE"""),46055.66666666667)</f>
        <v>46055.66667</v>
      </c>
      <c r="B1341" s="1">
        <f>IFERROR(__xludf.DUMMYFUNCTION("""COMPUTED_VALUE"""),242.96)</f>
        <v>242.96</v>
      </c>
    </row>
    <row r="1342">
      <c r="A1342" s="2">
        <f>IFERROR(__xludf.DUMMYFUNCTION("""COMPUTED_VALUE"""),46056.66666666667)</f>
        <v>46056.66667</v>
      </c>
      <c r="B1342" s="1">
        <f>IFERROR(__xludf.DUMMYFUNCTION("""COMPUTED_VALUE"""),238.62)</f>
        <v>238.62</v>
      </c>
    </row>
    <row r="1343">
      <c r="A1343" s="2">
        <f>IFERROR(__xludf.DUMMYFUNCTION("""COMPUTED_VALUE"""),46057.66666666667)</f>
        <v>46057.66667</v>
      </c>
      <c r="B1343" s="1">
        <f>IFERROR(__xludf.DUMMYFUNCTION("""COMPUTED_VALUE"""),232.99)</f>
        <v>232.99</v>
      </c>
    </row>
    <row r="1344">
      <c r="A1344" s="2">
        <f>IFERROR(__xludf.DUMMYFUNCTION("""COMPUTED_VALUE"""),46058.66666666667)</f>
        <v>46058.66667</v>
      </c>
      <c r="B1344" s="1">
        <f>IFERROR(__xludf.DUMMYFUNCTION("""COMPUTED_VALUE"""),222.69)</f>
        <v>222.69</v>
      </c>
    </row>
    <row r="1345">
      <c r="A1345" s="2">
        <f>IFERROR(__xludf.DUMMYFUNCTION("""COMPUTED_VALUE"""),46059.66666666667)</f>
        <v>46059.66667</v>
      </c>
      <c r="B1345" s="1">
        <f>IFERROR(__xludf.DUMMYFUNCTION("""COMPUTED_VALUE"""),210.32)</f>
        <v>210.32</v>
      </c>
    </row>
    <row r="1346">
      <c r="A1346" s="2">
        <f>IFERROR(__xludf.DUMMYFUNCTION("""COMPUTED_VALUE"""),46062.66666666667)</f>
        <v>46062.66667</v>
      </c>
      <c r="B1346" s="1">
        <f>IFERROR(__xludf.DUMMYFUNCTION("""COMPUTED_VALUE"""),208.72)</f>
        <v>208.72</v>
      </c>
    </row>
    <row r="1347">
      <c r="A1347" s="2">
        <f>IFERROR(__xludf.DUMMYFUNCTION("""COMPUTED_VALUE"""),46063.66666666667)</f>
        <v>46063.66667</v>
      </c>
      <c r="B1347" s="1">
        <f>IFERROR(__xludf.DUMMYFUNCTION("""COMPUTED_VALUE"""),206.96)</f>
        <v>206.96</v>
      </c>
    </row>
    <row r="1348">
      <c r="A1348" s="2">
        <f>IFERROR(__xludf.DUMMYFUNCTION("""COMPUTED_VALUE"""),46064.66666666667)</f>
        <v>46064.66667</v>
      </c>
      <c r="B1348" s="1">
        <f>IFERROR(__xludf.DUMMYFUNCTION("""COMPUTED_VALUE"""),204.08)</f>
        <v>204.08</v>
      </c>
    </row>
    <row r="1349">
      <c r="A1349" s="2">
        <f>IFERROR(__xludf.DUMMYFUNCTION("""COMPUTED_VALUE"""),46065.66666666667)</f>
        <v>46065.66667</v>
      </c>
      <c r="B1349" s="1">
        <f>IFERROR(__xludf.DUMMYFUNCTION("""COMPUTED_VALUE"""),199.6)</f>
        <v>199.6</v>
      </c>
    </row>
    <row r="1350">
      <c r="A1350" s="2">
        <f>IFERROR(__xludf.DUMMYFUNCTION("""COMPUTED_VALUE"""),46066.66666666667)</f>
        <v>46066.66667</v>
      </c>
      <c r="B1350" s="1">
        <f>IFERROR(__xludf.DUMMYFUNCTION("""COMPUTED_VALUE"""),198.79)</f>
        <v>198.79</v>
      </c>
    </row>
    <row r="1351">
      <c r="A1351" s="2">
        <f>IFERROR(__xludf.DUMMYFUNCTION("""COMPUTED_VALUE"""),46070.66666666667)</f>
        <v>46070.66667</v>
      </c>
      <c r="B1351" s="1">
        <f>IFERROR(__xludf.DUMMYFUNCTION("""COMPUTED_VALUE"""),201.15)</f>
        <v>201.15</v>
      </c>
    </row>
    <row r="1352">
      <c r="A1352" s="2">
        <f>IFERROR(__xludf.DUMMYFUNCTION("""COMPUTED_VALUE"""),46071.66666666667)</f>
        <v>46071.66667</v>
      </c>
      <c r="B1352" s="1">
        <f>IFERROR(__xludf.DUMMYFUNCTION("""COMPUTED_VALUE"""),204.79)</f>
        <v>204.79</v>
      </c>
    </row>
    <row r="1353">
      <c r="A1353" s="2">
        <f>IFERROR(__xludf.DUMMYFUNCTION("""COMPUTED_VALUE"""),46072.66666666667)</f>
        <v>46072.66667</v>
      </c>
      <c r="B1353" s="1">
        <f>IFERROR(__xludf.DUMMYFUNCTION("""COMPUTED_VALUE"""),204.86)</f>
        <v>204.86</v>
      </c>
    </row>
    <row r="1354">
      <c r="A1354" s="2">
        <f>IFERROR(__xludf.DUMMYFUNCTION("""COMPUTED_VALUE"""),46073.66666666667)</f>
        <v>46073.66667</v>
      </c>
      <c r="B1354" s="1">
        <f>IFERROR(__xludf.DUMMYFUNCTION("""COMPUTED_VALUE"""),210.11)</f>
        <v>210.11</v>
      </c>
    </row>
    <row r="1355">
      <c r="A1355" s="2">
        <f>IFERROR(__xludf.DUMMYFUNCTION("""COMPUTED_VALUE"""),46076.66666666667)</f>
        <v>46076.66667</v>
      </c>
      <c r="B1355" s="1">
        <f>IFERROR(__xludf.DUMMYFUNCTION("""COMPUTED_VALUE"""),205.27)</f>
        <v>205.27</v>
      </c>
    </row>
    <row r="1356">
      <c r="A1356" s="2">
        <f>IFERROR(__xludf.DUMMYFUNCTION("""COMPUTED_VALUE"""),46077.66666666667)</f>
        <v>46077.66667</v>
      </c>
      <c r="B1356" s="1">
        <f>IFERROR(__xludf.DUMMYFUNCTION("""COMPUTED_VALUE"""),208.56)</f>
        <v>208.56</v>
      </c>
    </row>
    <row r="1357">
      <c r="A1357" s="2">
        <f>IFERROR(__xludf.DUMMYFUNCTION("""COMPUTED_VALUE"""),46078.66666666667)</f>
        <v>46078.66667</v>
      </c>
      <c r="B1357" s="1">
        <f>IFERROR(__xludf.DUMMYFUNCTION("""COMPUTED_VALUE"""),210.64)</f>
        <v>210.64</v>
      </c>
    </row>
    <row r="1358">
      <c r="A1358" s="2">
        <f>IFERROR(__xludf.DUMMYFUNCTION("""COMPUTED_VALUE"""),46079.66666666667)</f>
        <v>46079.66667</v>
      </c>
      <c r="B1358" s="1">
        <f>IFERROR(__xludf.DUMMYFUNCTION("""COMPUTED_VALUE"""),207.92)</f>
        <v>207.92</v>
      </c>
    </row>
    <row r="1359">
      <c r="A1359" s="2">
        <f>IFERROR(__xludf.DUMMYFUNCTION("""COMPUTED_VALUE"""),46080.66666666667)</f>
        <v>46080.66667</v>
      </c>
      <c r="B1359" s="1">
        <f>IFERROR(__xludf.DUMMYFUNCTION("""COMPUTED_VALUE"""),210.0)</f>
        <v>210</v>
      </c>
    </row>
    <row r="1360">
      <c r="A1360" s="2">
        <f>IFERROR(__xludf.DUMMYFUNCTION("""COMPUTED_VALUE"""),46083.66666666667)</f>
        <v>46083.66667</v>
      </c>
      <c r="B1360" s="1">
        <f>IFERROR(__xludf.DUMMYFUNCTION("""COMPUTED_VALUE"""),208.39)</f>
        <v>208.39</v>
      </c>
    </row>
    <row r="1361">
      <c r="A1361" s="2">
        <f>IFERROR(__xludf.DUMMYFUNCTION("""COMPUTED_VALUE"""),46084.66666666667)</f>
        <v>46084.66667</v>
      </c>
      <c r="B1361" s="1">
        <f>IFERROR(__xludf.DUMMYFUNCTION("""COMPUTED_VALUE"""),208.73)</f>
        <v>208.73</v>
      </c>
    </row>
    <row r="1362">
      <c r="A1362" s="2">
        <f>IFERROR(__xludf.DUMMYFUNCTION("""COMPUTED_VALUE"""),46085.66666666667)</f>
        <v>46085.66667</v>
      </c>
      <c r="B1362" s="1">
        <f>IFERROR(__xludf.DUMMYFUNCTION("""COMPUTED_VALUE"""),216.82)</f>
        <v>216.82</v>
      </c>
    </row>
    <row r="1363">
      <c r="A1363" s="2">
        <f>IFERROR(__xludf.DUMMYFUNCTION("""COMPUTED_VALUE"""),46086.66666666667)</f>
        <v>46086.66667</v>
      </c>
      <c r="B1363" s="1">
        <f>IFERROR(__xludf.DUMMYFUNCTION("""COMPUTED_VALUE"""),218.94)</f>
        <v>218.94</v>
      </c>
    </row>
    <row r="1364">
      <c r="A1364" s="2">
        <f>IFERROR(__xludf.DUMMYFUNCTION("""COMPUTED_VALUE"""),46087.66666666667)</f>
        <v>46087.66667</v>
      </c>
      <c r="B1364" s="1">
        <f>IFERROR(__xludf.DUMMYFUNCTION("""COMPUTED_VALUE"""),213.21)</f>
        <v>213.21</v>
      </c>
    </row>
    <row r="1365">
      <c r="A1365" s="2">
        <f>IFERROR(__xludf.DUMMYFUNCTION("""COMPUTED_VALUE"""),46090.66666666667)</f>
        <v>46090.66667</v>
      </c>
      <c r="B1365" s="1">
        <f>IFERROR(__xludf.DUMMYFUNCTION("""COMPUTED_VALUE"""),213.49)</f>
        <v>213.49</v>
      </c>
    </row>
    <row r="1366">
      <c r="A1366" s="2">
        <f>IFERROR(__xludf.DUMMYFUNCTION("""COMPUTED_VALUE"""),46091.66666666667)</f>
        <v>46091.66667</v>
      </c>
      <c r="B1366" s="1">
        <f>IFERROR(__xludf.DUMMYFUNCTION("""COMPUTED_VALUE"""),214.33)</f>
        <v>214.33</v>
      </c>
    </row>
    <row r="1367">
      <c r="A1367" s="2">
        <f>IFERROR(__xludf.DUMMYFUNCTION("""COMPUTED_VALUE"""),46092.66666666667)</f>
        <v>46092.66667</v>
      </c>
      <c r="B1367" s="1">
        <f>IFERROR(__xludf.DUMMYFUNCTION("""COMPUTED_VALUE"""),212.65)</f>
        <v>212.65</v>
      </c>
    </row>
    <row r="1368">
      <c r="A1368" s="2">
        <f>IFERROR(__xludf.DUMMYFUNCTION("""COMPUTED_VALUE"""),46093.66666666667)</f>
        <v>46093.66667</v>
      </c>
      <c r="B1368" s="1">
        <f>IFERROR(__xludf.DUMMYFUNCTION("""COMPUTED_VALUE"""),209.53)</f>
        <v>209.53</v>
      </c>
    </row>
    <row r="1369">
      <c r="A1369" s="2">
        <f>IFERROR(__xludf.DUMMYFUNCTION("""COMPUTED_VALUE"""),46094.66666666667)</f>
        <v>46094.66667</v>
      </c>
      <c r="B1369" s="1">
        <f>IFERROR(__xludf.DUMMYFUNCTION("""COMPUTED_VALUE"""),207.67)</f>
        <v>207.67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IFERROR(__xludf.DUMMYFUNCTION("GOOGLEFINANCE(""ARKK"",""close"",DATE(2020,10,1),TODAY(),""daily"")"),"Date")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IFERROR(__xludf.DUMMYFUNCTION("""COMPUTED_VALUE"""),45405.6875)</f>
        <v>45405.6875</v>
      </c>
      <c r="B2" s="1">
        <f>IFERROR(__xludf.DUMMYFUNCTION("""COMPUTED_VALUE"""),4.56)</f>
        <v>4.56</v>
      </c>
    </row>
    <row r="3">
      <c r="A3" s="2">
        <f>IFERROR(__xludf.DUMMYFUNCTION("""COMPUTED_VALUE"""),45406.6875)</f>
        <v>45406.6875</v>
      </c>
      <c r="B3" s="1">
        <f>IFERROR(__xludf.DUMMYFUNCTION("""COMPUTED_VALUE"""),4.56)</f>
        <v>4.56</v>
      </c>
    </row>
    <row r="4">
      <c r="A4" s="2">
        <f>IFERROR(__xludf.DUMMYFUNCTION("""COMPUTED_VALUE"""),45407.6875)</f>
        <v>45407.6875</v>
      </c>
      <c r="B4" s="1">
        <f>IFERROR(__xludf.DUMMYFUNCTION("""COMPUTED_VALUE"""),4.46)</f>
        <v>4.46</v>
      </c>
    </row>
    <row r="5">
      <c r="A5" s="2">
        <f>IFERROR(__xludf.DUMMYFUNCTION("""COMPUTED_VALUE"""),45408.6875)</f>
        <v>45408.6875</v>
      </c>
      <c r="B5" s="1">
        <f>IFERROR(__xludf.DUMMYFUNCTION("""COMPUTED_VALUE"""),4.54)</f>
        <v>4.54</v>
      </c>
    </row>
    <row r="6">
      <c r="A6" s="2">
        <f>IFERROR(__xludf.DUMMYFUNCTION("""COMPUTED_VALUE"""),45411.6875)</f>
        <v>45411.6875</v>
      </c>
      <c r="B6" s="1">
        <f>IFERROR(__xludf.DUMMYFUNCTION("""COMPUTED_VALUE"""),4.69)</f>
        <v>4.69</v>
      </c>
    </row>
    <row r="7">
      <c r="A7" s="2">
        <f>IFERROR(__xludf.DUMMYFUNCTION("""COMPUTED_VALUE"""),45412.6875)</f>
        <v>45412.6875</v>
      </c>
      <c r="B7" s="1">
        <f>IFERROR(__xludf.DUMMYFUNCTION("""COMPUTED_VALUE"""),4.58)</f>
        <v>4.58</v>
      </c>
    </row>
    <row r="8">
      <c r="A8" s="2">
        <f>IFERROR(__xludf.DUMMYFUNCTION("""COMPUTED_VALUE"""),45413.6875)</f>
        <v>45413.6875</v>
      </c>
      <c r="B8" s="1">
        <f>IFERROR(__xludf.DUMMYFUNCTION("""COMPUTED_VALUE"""),4.49)</f>
        <v>4.49</v>
      </c>
    </row>
    <row r="9">
      <c r="A9" s="2">
        <f>IFERROR(__xludf.DUMMYFUNCTION("""COMPUTED_VALUE"""),45415.6875)</f>
        <v>45415.6875</v>
      </c>
      <c r="B9" s="1">
        <f>IFERROR(__xludf.DUMMYFUNCTION("""COMPUTED_VALUE"""),4.71)</f>
        <v>4.71</v>
      </c>
    </row>
    <row r="10">
      <c r="A10" s="2">
        <f>IFERROR(__xludf.DUMMYFUNCTION("""COMPUTED_VALUE"""),45419.6875)</f>
        <v>45419.6875</v>
      </c>
      <c r="B10" s="1">
        <f>IFERROR(__xludf.DUMMYFUNCTION("""COMPUTED_VALUE"""),4.78)</f>
        <v>4.78</v>
      </c>
    </row>
    <row r="11">
      <c r="A11" s="2">
        <f>IFERROR(__xludf.DUMMYFUNCTION("""COMPUTED_VALUE"""),45420.6875)</f>
        <v>45420.6875</v>
      </c>
      <c r="B11" s="1">
        <f>IFERROR(__xludf.DUMMYFUNCTION("""COMPUTED_VALUE"""),4.64)</f>
        <v>4.64</v>
      </c>
    </row>
    <row r="12">
      <c r="A12" s="2">
        <f>IFERROR(__xludf.DUMMYFUNCTION("""COMPUTED_VALUE"""),45421.6875)</f>
        <v>45421.6875</v>
      </c>
      <c r="B12" s="1">
        <f>IFERROR(__xludf.DUMMYFUNCTION("""COMPUTED_VALUE"""),4.59)</f>
        <v>4.59</v>
      </c>
    </row>
    <row r="13">
      <c r="A13" s="2">
        <f>IFERROR(__xludf.DUMMYFUNCTION("""COMPUTED_VALUE"""),45422.6875)</f>
        <v>45422.6875</v>
      </c>
      <c r="B13" s="1">
        <f>IFERROR(__xludf.DUMMYFUNCTION("""COMPUTED_VALUE"""),4.51)</f>
        <v>4.51</v>
      </c>
    </row>
    <row r="14">
      <c r="A14" s="2">
        <f>IFERROR(__xludf.DUMMYFUNCTION("""COMPUTED_VALUE"""),45425.6875)</f>
        <v>45425.6875</v>
      </c>
      <c r="B14" s="1">
        <f>IFERROR(__xludf.DUMMYFUNCTION("""COMPUTED_VALUE"""),4.62)</f>
        <v>4.62</v>
      </c>
    </row>
    <row r="15">
      <c r="A15" s="2">
        <f>IFERROR(__xludf.DUMMYFUNCTION("""COMPUTED_VALUE"""),45426.6875)</f>
        <v>45426.6875</v>
      </c>
      <c r="B15" s="1">
        <f>IFERROR(__xludf.DUMMYFUNCTION("""COMPUTED_VALUE"""),4.78)</f>
        <v>4.78</v>
      </c>
    </row>
    <row r="16">
      <c r="A16" s="2">
        <f>IFERROR(__xludf.DUMMYFUNCTION("""COMPUTED_VALUE"""),45427.6875)</f>
        <v>45427.6875</v>
      </c>
      <c r="B16" s="1">
        <f>IFERROR(__xludf.DUMMYFUNCTION("""COMPUTED_VALUE"""),4.74)</f>
        <v>4.74</v>
      </c>
    </row>
    <row r="17">
      <c r="A17" s="2">
        <f>IFERROR(__xludf.DUMMYFUNCTION("""COMPUTED_VALUE"""),45428.6875)</f>
        <v>45428.6875</v>
      </c>
      <c r="B17" s="1">
        <f>IFERROR(__xludf.DUMMYFUNCTION("""COMPUTED_VALUE"""),4.72)</f>
        <v>4.72</v>
      </c>
    </row>
    <row r="18">
      <c r="A18" s="2">
        <f>IFERROR(__xludf.DUMMYFUNCTION("""COMPUTED_VALUE"""),45429.6875)</f>
        <v>45429.6875</v>
      </c>
      <c r="B18" s="1">
        <f>IFERROR(__xludf.DUMMYFUNCTION("""COMPUTED_VALUE"""),4.73)</f>
        <v>4.73</v>
      </c>
    </row>
    <row r="19">
      <c r="A19" s="2">
        <f>IFERROR(__xludf.DUMMYFUNCTION("""COMPUTED_VALUE"""),45432.6875)</f>
        <v>45432.6875</v>
      </c>
      <c r="B19" s="1">
        <f>IFERROR(__xludf.DUMMYFUNCTION("""COMPUTED_VALUE"""),4.72)</f>
        <v>4.72</v>
      </c>
    </row>
    <row r="20">
      <c r="A20" s="2">
        <f>IFERROR(__xludf.DUMMYFUNCTION("""COMPUTED_VALUE"""),45433.6875)</f>
        <v>45433.6875</v>
      </c>
      <c r="B20" s="1">
        <f>IFERROR(__xludf.DUMMYFUNCTION("""COMPUTED_VALUE"""),4.72)</f>
        <v>4.72</v>
      </c>
    </row>
    <row r="21">
      <c r="A21" s="2">
        <f>IFERROR(__xludf.DUMMYFUNCTION("""COMPUTED_VALUE"""),45435.6875)</f>
        <v>45435.6875</v>
      </c>
      <c r="B21" s="1">
        <f>IFERROR(__xludf.DUMMYFUNCTION("""COMPUTED_VALUE"""),4.62)</f>
        <v>4.62</v>
      </c>
    </row>
    <row r="22">
      <c r="A22" s="2">
        <f>IFERROR(__xludf.DUMMYFUNCTION("""COMPUTED_VALUE"""),45436.6875)</f>
        <v>45436.6875</v>
      </c>
      <c r="B22" s="1">
        <f>IFERROR(__xludf.DUMMYFUNCTION("""COMPUTED_VALUE"""),4.63)</f>
        <v>4.63</v>
      </c>
    </row>
    <row r="23">
      <c r="A23" s="2">
        <f>IFERROR(__xludf.DUMMYFUNCTION("""COMPUTED_VALUE"""),45440.6875)</f>
        <v>45440.6875</v>
      </c>
      <c r="B23" s="1">
        <f>IFERROR(__xludf.DUMMYFUNCTION("""COMPUTED_VALUE"""),4.62)</f>
        <v>4.62</v>
      </c>
    </row>
    <row r="24">
      <c r="A24" s="2">
        <f>IFERROR(__xludf.DUMMYFUNCTION("""COMPUTED_VALUE"""),45441.6875)</f>
        <v>45441.6875</v>
      </c>
      <c r="B24" s="1">
        <f>IFERROR(__xludf.DUMMYFUNCTION("""COMPUTED_VALUE"""),4.53)</f>
        <v>4.53</v>
      </c>
    </row>
    <row r="25">
      <c r="A25" s="2">
        <f>IFERROR(__xludf.DUMMYFUNCTION("""COMPUTED_VALUE"""),45442.6875)</f>
        <v>45442.6875</v>
      </c>
      <c r="B25" s="1">
        <f>IFERROR(__xludf.DUMMYFUNCTION("""COMPUTED_VALUE"""),4.47)</f>
        <v>4.47</v>
      </c>
    </row>
    <row r="26">
      <c r="A26" s="2">
        <f>IFERROR(__xludf.DUMMYFUNCTION("""COMPUTED_VALUE"""),45443.6875)</f>
        <v>45443.6875</v>
      </c>
      <c r="B26" s="1">
        <f>IFERROR(__xludf.DUMMYFUNCTION("""COMPUTED_VALUE"""),4.42)</f>
        <v>4.42</v>
      </c>
    </row>
    <row r="27">
      <c r="A27" s="2">
        <f>IFERROR(__xludf.DUMMYFUNCTION("""COMPUTED_VALUE"""),45446.6875)</f>
        <v>45446.6875</v>
      </c>
      <c r="B27" s="1">
        <f>IFERROR(__xludf.DUMMYFUNCTION("""COMPUTED_VALUE"""),4.52)</f>
        <v>4.52</v>
      </c>
    </row>
    <row r="28">
      <c r="A28" s="2">
        <f>IFERROR(__xludf.DUMMYFUNCTION("""COMPUTED_VALUE"""),45447.6875)</f>
        <v>45447.6875</v>
      </c>
      <c r="B28" s="1">
        <f>IFERROR(__xludf.DUMMYFUNCTION("""COMPUTED_VALUE"""),4.5)</f>
        <v>4.5</v>
      </c>
    </row>
    <row r="29">
      <c r="A29" s="2">
        <f>IFERROR(__xludf.DUMMYFUNCTION("""COMPUTED_VALUE"""),45448.6875)</f>
        <v>45448.6875</v>
      </c>
      <c r="B29" s="1">
        <f>IFERROR(__xludf.DUMMYFUNCTION("""COMPUTED_VALUE"""),4.58)</f>
        <v>4.58</v>
      </c>
    </row>
    <row r="30">
      <c r="A30" s="2">
        <f>IFERROR(__xludf.DUMMYFUNCTION("""COMPUTED_VALUE"""),45449.6875)</f>
        <v>45449.6875</v>
      </c>
      <c r="B30" s="1">
        <f>IFERROR(__xludf.DUMMYFUNCTION("""COMPUTED_VALUE"""),4.66)</f>
        <v>4.66</v>
      </c>
    </row>
    <row r="31">
      <c r="A31" s="2">
        <f>IFERROR(__xludf.DUMMYFUNCTION("""COMPUTED_VALUE"""),45450.6875)</f>
        <v>45450.6875</v>
      </c>
      <c r="B31" s="1">
        <f>IFERROR(__xludf.DUMMYFUNCTION("""COMPUTED_VALUE"""),4.65)</f>
        <v>4.65</v>
      </c>
    </row>
    <row r="32">
      <c r="A32" s="2">
        <f>IFERROR(__xludf.DUMMYFUNCTION("""COMPUTED_VALUE"""),45453.6875)</f>
        <v>45453.6875</v>
      </c>
      <c r="B32" s="1">
        <f>IFERROR(__xludf.DUMMYFUNCTION("""COMPUTED_VALUE"""),4.58)</f>
        <v>4.58</v>
      </c>
    </row>
    <row r="33">
      <c r="A33" s="2">
        <f>IFERROR(__xludf.DUMMYFUNCTION("""COMPUTED_VALUE"""),45454.6875)</f>
        <v>45454.6875</v>
      </c>
      <c r="B33" s="1">
        <f>IFERROR(__xludf.DUMMYFUNCTION("""COMPUTED_VALUE"""),4.56)</f>
        <v>4.56</v>
      </c>
    </row>
    <row r="34">
      <c r="A34" s="2">
        <f>IFERROR(__xludf.DUMMYFUNCTION("""COMPUTED_VALUE"""),45455.6875)</f>
        <v>45455.6875</v>
      </c>
      <c r="B34" s="1">
        <f>IFERROR(__xludf.DUMMYFUNCTION("""COMPUTED_VALUE"""),4.78)</f>
        <v>4.78</v>
      </c>
    </row>
    <row r="35">
      <c r="A35" s="2">
        <f>IFERROR(__xludf.DUMMYFUNCTION("""COMPUTED_VALUE"""),45461.6875)</f>
        <v>45461.6875</v>
      </c>
      <c r="B35" s="1">
        <f>IFERROR(__xludf.DUMMYFUNCTION("""COMPUTED_VALUE"""),4.55)</f>
        <v>4.55</v>
      </c>
    </row>
    <row r="36">
      <c r="A36" s="2">
        <f>IFERROR(__xludf.DUMMYFUNCTION("""COMPUTED_VALUE"""),45462.6875)</f>
        <v>45462.6875</v>
      </c>
      <c r="B36" s="1">
        <f>IFERROR(__xludf.DUMMYFUNCTION("""COMPUTED_VALUE"""),4.54)</f>
        <v>4.54</v>
      </c>
    </row>
    <row r="37">
      <c r="A37" s="2">
        <f>IFERROR(__xludf.DUMMYFUNCTION("""COMPUTED_VALUE"""),45463.6875)</f>
        <v>45463.6875</v>
      </c>
      <c r="B37" s="1">
        <f>IFERROR(__xludf.DUMMYFUNCTION("""COMPUTED_VALUE"""),4.51)</f>
        <v>4.51</v>
      </c>
    </row>
    <row r="38">
      <c r="A38" s="2">
        <f>IFERROR(__xludf.DUMMYFUNCTION("""COMPUTED_VALUE"""),45464.6875)</f>
        <v>45464.6875</v>
      </c>
      <c r="B38" s="1">
        <f>IFERROR(__xludf.DUMMYFUNCTION("""COMPUTED_VALUE"""),4.47)</f>
        <v>4.47</v>
      </c>
    </row>
    <row r="39">
      <c r="A39" s="2">
        <f>IFERROR(__xludf.DUMMYFUNCTION("""COMPUTED_VALUE"""),45467.6875)</f>
        <v>45467.6875</v>
      </c>
      <c r="B39" s="1">
        <f>IFERROR(__xludf.DUMMYFUNCTION("""COMPUTED_VALUE"""),4.55)</f>
        <v>4.55</v>
      </c>
    </row>
    <row r="40">
      <c r="A40" s="2">
        <f>IFERROR(__xludf.DUMMYFUNCTION("""COMPUTED_VALUE"""),45468.6875)</f>
        <v>45468.6875</v>
      </c>
      <c r="B40" s="1">
        <f>IFERROR(__xludf.DUMMYFUNCTION("""COMPUTED_VALUE"""),4.53)</f>
        <v>4.53</v>
      </c>
    </row>
    <row r="41">
      <c r="A41" s="2">
        <f>IFERROR(__xludf.DUMMYFUNCTION("""COMPUTED_VALUE"""),45469.6875)</f>
        <v>45469.6875</v>
      </c>
      <c r="B41" s="1">
        <f>IFERROR(__xludf.DUMMYFUNCTION("""COMPUTED_VALUE"""),4.53)</f>
        <v>4.53</v>
      </c>
    </row>
    <row r="42">
      <c r="A42" s="2">
        <f>IFERROR(__xludf.DUMMYFUNCTION("""COMPUTED_VALUE"""),45471.6875)</f>
        <v>45471.6875</v>
      </c>
      <c r="B42" s="1">
        <f>IFERROR(__xludf.DUMMYFUNCTION("""COMPUTED_VALUE"""),4.58)</f>
        <v>4.58</v>
      </c>
    </row>
    <row r="43">
      <c r="A43" s="2">
        <f>IFERROR(__xludf.DUMMYFUNCTION("""COMPUTED_VALUE"""),45474.6875)</f>
        <v>45474.6875</v>
      </c>
      <c r="B43" s="1">
        <f>IFERROR(__xludf.DUMMYFUNCTION("""COMPUTED_VALUE"""),4.61)</f>
        <v>4.61</v>
      </c>
    </row>
    <row r="44">
      <c r="A44" s="2">
        <f>IFERROR(__xludf.DUMMYFUNCTION("""COMPUTED_VALUE"""),45475.6875)</f>
        <v>45475.6875</v>
      </c>
      <c r="B44" s="1">
        <f>IFERROR(__xludf.DUMMYFUNCTION("""COMPUTED_VALUE"""),4.63)</f>
        <v>4.63</v>
      </c>
    </row>
    <row r="45">
      <c r="A45" s="2">
        <f>IFERROR(__xludf.DUMMYFUNCTION("""COMPUTED_VALUE"""),45476.6875)</f>
        <v>45476.6875</v>
      </c>
      <c r="B45" s="1">
        <f>IFERROR(__xludf.DUMMYFUNCTION("""COMPUTED_VALUE"""),4.7)</f>
        <v>4.7</v>
      </c>
    </row>
    <row r="46">
      <c r="A46" s="2">
        <f>IFERROR(__xludf.DUMMYFUNCTION("""COMPUTED_VALUE"""),45481.6875)</f>
        <v>45481.6875</v>
      </c>
      <c r="B46" s="1">
        <f>IFERROR(__xludf.DUMMYFUNCTION("""COMPUTED_VALUE"""),4.75)</f>
        <v>4.75</v>
      </c>
    </row>
    <row r="47">
      <c r="A47" s="2">
        <f>IFERROR(__xludf.DUMMYFUNCTION("""COMPUTED_VALUE"""),45482.6875)</f>
        <v>45482.6875</v>
      </c>
      <c r="B47" s="1">
        <f>IFERROR(__xludf.DUMMYFUNCTION("""COMPUTED_VALUE"""),4.68)</f>
        <v>4.68</v>
      </c>
    </row>
    <row r="48">
      <c r="A48" s="2">
        <f>IFERROR(__xludf.DUMMYFUNCTION("""COMPUTED_VALUE"""),45483.6875)</f>
        <v>45483.6875</v>
      </c>
      <c r="B48" s="1">
        <f>IFERROR(__xludf.DUMMYFUNCTION("""COMPUTED_VALUE"""),4.69)</f>
        <v>4.69</v>
      </c>
    </row>
    <row r="49">
      <c r="A49" s="2">
        <f>IFERROR(__xludf.DUMMYFUNCTION("""COMPUTED_VALUE"""),45484.6875)</f>
        <v>45484.6875</v>
      </c>
      <c r="B49" s="1">
        <f>IFERROR(__xludf.DUMMYFUNCTION("""COMPUTED_VALUE"""),4.81)</f>
        <v>4.81</v>
      </c>
    </row>
    <row r="50">
      <c r="A50" s="2">
        <f>IFERROR(__xludf.DUMMYFUNCTION("""COMPUTED_VALUE"""),45485.6875)</f>
        <v>45485.6875</v>
      </c>
      <c r="B50" s="1">
        <f>IFERROR(__xludf.DUMMYFUNCTION("""COMPUTED_VALUE"""),4.82)</f>
        <v>4.82</v>
      </c>
    </row>
    <row r="51">
      <c r="A51" s="2">
        <f>IFERROR(__xludf.DUMMYFUNCTION("""COMPUTED_VALUE"""),45488.6875)</f>
        <v>45488.6875</v>
      </c>
      <c r="B51" s="1">
        <f>IFERROR(__xludf.DUMMYFUNCTION("""COMPUTED_VALUE"""),4.96)</f>
        <v>4.96</v>
      </c>
    </row>
    <row r="52">
      <c r="A52" s="2">
        <f>IFERROR(__xludf.DUMMYFUNCTION("""COMPUTED_VALUE"""),45489.6875)</f>
        <v>45489.6875</v>
      </c>
      <c r="B52" s="1">
        <f>IFERROR(__xludf.DUMMYFUNCTION("""COMPUTED_VALUE"""),5.03)</f>
        <v>5.03</v>
      </c>
    </row>
    <row r="53">
      <c r="A53" s="2">
        <f>IFERROR(__xludf.DUMMYFUNCTION("""COMPUTED_VALUE"""),45490.6875)</f>
        <v>45490.6875</v>
      </c>
      <c r="B53" s="1">
        <f>IFERROR(__xludf.DUMMYFUNCTION("""COMPUTED_VALUE"""),5.03)</f>
        <v>5.03</v>
      </c>
    </row>
    <row r="54">
      <c r="A54" s="2">
        <f>IFERROR(__xludf.DUMMYFUNCTION("""COMPUTED_VALUE"""),45491.6875)</f>
        <v>45491.6875</v>
      </c>
      <c r="B54" s="1">
        <f>IFERROR(__xludf.DUMMYFUNCTION("""COMPUTED_VALUE"""),4.9)</f>
        <v>4.9</v>
      </c>
    </row>
    <row r="55">
      <c r="A55" s="2">
        <f>IFERROR(__xludf.DUMMYFUNCTION("""COMPUTED_VALUE"""),45492.6875)</f>
        <v>45492.6875</v>
      </c>
      <c r="B55" s="1">
        <f>IFERROR(__xludf.DUMMYFUNCTION("""COMPUTED_VALUE"""),4.8)</f>
        <v>4.8</v>
      </c>
    </row>
    <row r="56">
      <c r="A56" s="2">
        <f>IFERROR(__xludf.DUMMYFUNCTION("""COMPUTED_VALUE"""),45495.6875)</f>
        <v>45495.6875</v>
      </c>
      <c r="B56" s="1">
        <f>IFERROR(__xludf.DUMMYFUNCTION("""COMPUTED_VALUE"""),4.83)</f>
        <v>4.83</v>
      </c>
    </row>
    <row r="57">
      <c r="A57" s="2">
        <f>IFERROR(__xludf.DUMMYFUNCTION("""COMPUTED_VALUE"""),45497.6875)</f>
        <v>45497.6875</v>
      </c>
      <c r="B57" s="1">
        <f>IFERROR(__xludf.DUMMYFUNCTION("""COMPUTED_VALUE"""),4.76)</f>
        <v>4.76</v>
      </c>
    </row>
    <row r="58">
      <c r="A58" s="2">
        <f>IFERROR(__xludf.DUMMYFUNCTION("""COMPUTED_VALUE"""),45498.6875)</f>
        <v>45498.6875</v>
      </c>
      <c r="B58" s="1">
        <f>IFERROR(__xludf.DUMMYFUNCTION("""COMPUTED_VALUE"""),4.71)</f>
        <v>4.71</v>
      </c>
    </row>
    <row r="59">
      <c r="A59" s="2">
        <f>IFERROR(__xludf.DUMMYFUNCTION("""COMPUTED_VALUE"""),45499.6875)</f>
        <v>45499.6875</v>
      </c>
      <c r="B59" s="1">
        <f>IFERROR(__xludf.DUMMYFUNCTION("""COMPUTED_VALUE"""),4.72)</f>
        <v>4.72</v>
      </c>
    </row>
    <row r="60">
      <c r="A60" s="2">
        <f>IFERROR(__xludf.DUMMYFUNCTION("""COMPUTED_VALUE"""),45502.6875)</f>
        <v>45502.6875</v>
      </c>
      <c r="B60" s="1">
        <f>IFERROR(__xludf.DUMMYFUNCTION("""COMPUTED_VALUE"""),4.73)</f>
        <v>4.73</v>
      </c>
    </row>
    <row r="61">
      <c r="A61" s="2">
        <f>IFERROR(__xludf.DUMMYFUNCTION("""COMPUTED_VALUE"""),45503.6875)</f>
        <v>45503.6875</v>
      </c>
      <c r="B61" s="1">
        <f>IFERROR(__xludf.DUMMYFUNCTION("""COMPUTED_VALUE"""),4.69)</f>
        <v>4.69</v>
      </c>
    </row>
    <row r="62">
      <c r="A62" s="2">
        <f>IFERROR(__xludf.DUMMYFUNCTION("""COMPUTED_VALUE"""),45504.6875)</f>
        <v>45504.6875</v>
      </c>
      <c r="B62" s="1">
        <f>IFERROR(__xludf.DUMMYFUNCTION("""COMPUTED_VALUE"""),4.73)</f>
        <v>4.73</v>
      </c>
    </row>
    <row r="63">
      <c r="A63" s="2">
        <f>IFERROR(__xludf.DUMMYFUNCTION("""COMPUTED_VALUE"""),45505.6875)</f>
        <v>45505.6875</v>
      </c>
      <c r="B63" s="1">
        <f>IFERROR(__xludf.DUMMYFUNCTION("""COMPUTED_VALUE"""),4.57)</f>
        <v>4.57</v>
      </c>
    </row>
    <row r="64">
      <c r="A64" s="2">
        <f>IFERROR(__xludf.DUMMYFUNCTION("""COMPUTED_VALUE"""),45506.6875)</f>
        <v>45506.6875</v>
      </c>
      <c r="B64" s="1">
        <f>IFERROR(__xludf.DUMMYFUNCTION("""COMPUTED_VALUE"""),4.25)</f>
        <v>4.25</v>
      </c>
    </row>
    <row r="65">
      <c r="A65" s="2">
        <f>IFERROR(__xludf.DUMMYFUNCTION("""COMPUTED_VALUE"""),45509.6875)</f>
        <v>45509.6875</v>
      </c>
      <c r="B65" s="1">
        <f>IFERROR(__xludf.DUMMYFUNCTION("""COMPUTED_VALUE"""),4.11)</f>
        <v>4.11</v>
      </c>
    </row>
    <row r="66">
      <c r="A66" s="2">
        <f>IFERROR(__xludf.DUMMYFUNCTION("""COMPUTED_VALUE"""),45510.6875)</f>
        <v>45510.6875</v>
      </c>
      <c r="B66" s="1">
        <f>IFERROR(__xludf.DUMMYFUNCTION("""COMPUTED_VALUE"""),4.14)</f>
        <v>4.14</v>
      </c>
    </row>
    <row r="67">
      <c r="A67" s="2">
        <f>IFERROR(__xludf.DUMMYFUNCTION("""COMPUTED_VALUE"""),45511.6875)</f>
        <v>45511.6875</v>
      </c>
      <c r="B67" s="1">
        <f>IFERROR(__xludf.DUMMYFUNCTION("""COMPUTED_VALUE"""),4.29)</f>
        <v>4.29</v>
      </c>
    </row>
    <row r="68">
      <c r="A68" s="2">
        <f>IFERROR(__xludf.DUMMYFUNCTION("""COMPUTED_VALUE"""),45512.6875)</f>
        <v>45512.6875</v>
      </c>
      <c r="B68" s="1">
        <f>IFERROR(__xludf.DUMMYFUNCTION("""COMPUTED_VALUE"""),4.26)</f>
        <v>4.26</v>
      </c>
    </row>
    <row r="69">
      <c r="A69" s="2">
        <f>IFERROR(__xludf.DUMMYFUNCTION("""COMPUTED_VALUE"""),45513.6875)</f>
        <v>45513.6875</v>
      </c>
      <c r="B69" s="1">
        <f>IFERROR(__xludf.DUMMYFUNCTION("""COMPUTED_VALUE"""),4.33)</f>
        <v>4.33</v>
      </c>
    </row>
    <row r="70">
      <c r="A70" s="2">
        <f>IFERROR(__xludf.DUMMYFUNCTION("""COMPUTED_VALUE"""),45516.6875)</f>
        <v>45516.6875</v>
      </c>
      <c r="B70" s="1">
        <f>IFERROR(__xludf.DUMMYFUNCTION("""COMPUTED_VALUE"""),4.27)</f>
        <v>4.27</v>
      </c>
    </row>
    <row r="71">
      <c r="A71" s="2">
        <f>IFERROR(__xludf.DUMMYFUNCTION("""COMPUTED_VALUE"""),45517.6875)</f>
        <v>45517.6875</v>
      </c>
      <c r="B71" s="1">
        <f>IFERROR(__xludf.DUMMYFUNCTION("""COMPUTED_VALUE"""),4.4)</f>
        <v>4.4</v>
      </c>
    </row>
    <row r="72">
      <c r="A72" s="2">
        <f>IFERROR(__xludf.DUMMYFUNCTION("""COMPUTED_VALUE"""),45519.6875)</f>
        <v>45519.6875</v>
      </c>
      <c r="B72" s="1">
        <f>IFERROR(__xludf.DUMMYFUNCTION("""COMPUTED_VALUE"""),4.55)</f>
        <v>4.55</v>
      </c>
    </row>
    <row r="73">
      <c r="A73" s="2">
        <f>IFERROR(__xludf.DUMMYFUNCTION("""COMPUTED_VALUE"""),45520.6875)</f>
        <v>45520.6875</v>
      </c>
      <c r="B73" s="1">
        <f>IFERROR(__xludf.DUMMYFUNCTION("""COMPUTED_VALUE"""),4.55)</f>
        <v>4.55</v>
      </c>
    </row>
    <row r="74">
      <c r="A74" s="2">
        <f>IFERROR(__xludf.DUMMYFUNCTION("""COMPUTED_VALUE"""),45524.6875)</f>
        <v>45524.6875</v>
      </c>
      <c r="B74" s="1">
        <f>IFERROR(__xludf.DUMMYFUNCTION("""COMPUTED_VALUE"""),4.62)</f>
        <v>4.62</v>
      </c>
    </row>
    <row r="75">
      <c r="A75" s="2">
        <f>IFERROR(__xludf.DUMMYFUNCTION("""COMPUTED_VALUE"""),45525.6875)</f>
        <v>45525.6875</v>
      </c>
      <c r="B75" s="1">
        <f>IFERROR(__xludf.DUMMYFUNCTION("""COMPUTED_VALUE"""),4.67)</f>
        <v>4.67</v>
      </c>
    </row>
    <row r="76">
      <c r="A76" s="2">
        <f>IFERROR(__xludf.DUMMYFUNCTION("""COMPUTED_VALUE"""),45526.6875)</f>
        <v>45526.6875</v>
      </c>
      <c r="B76" s="1">
        <f>IFERROR(__xludf.DUMMYFUNCTION("""COMPUTED_VALUE"""),4.68)</f>
        <v>4.68</v>
      </c>
    </row>
    <row r="77">
      <c r="A77" s="2">
        <f>IFERROR(__xludf.DUMMYFUNCTION("""COMPUTED_VALUE"""),45527.6875)</f>
        <v>45527.6875</v>
      </c>
      <c r="B77" s="1">
        <f>IFERROR(__xludf.DUMMYFUNCTION("""COMPUTED_VALUE"""),4.79)</f>
        <v>4.79</v>
      </c>
    </row>
    <row r="78">
      <c r="A78" s="2">
        <f>IFERROR(__xludf.DUMMYFUNCTION("""COMPUTED_VALUE"""),45531.6875)</f>
        <v>45531.6875</v>
      </c>
      <c r="B78" s="1">
        <f>IFERROR(__xludf.DUMMYFUNCTION("""COMPUTED_VALUE"""),4.7)</f>
        <v>4.7</v>
      </c>
    </row>
    <row r="79">
      <c r="A79" s="2">
        <f>IFERROR(__xludf.DUMMYFUNCTION("""COMPUTED_VALUE"""),45532.6875)</f>
        <v>45532.6875</v>
      </c>
      <c r="B79" s="1">
        <f>IFERROR(__xludf.DUMMYFUNCTION("""COMPUTED_VALUE"""),4.61)</f>
        <v>4.61</v>
      </c>
    </row>
    <row r="80">
      <c r="A80" s="2">
        <f>IFERROR(__xludf.DUMMYFUNCTION("""COMPUTED_VALUE"""),45534.6875)</f>
        <v>45534.6875</v>
      </c>
      <c r="B80" s="1">
        <f>IFERROR(__xludf.DUMMYFUNCTION("""COMPUTED_VALUE"""),4.61)</f>
        <v>4.61</v>
      </c>
    </row>
    <row r="81">
      <c r="A81" s="2">
        <f>IFERROR(__xludf.DUMMYFUNCTION("""COMPUTED_VALUE"""),45537.6875)</f>
        <v>45537.6875</v>
      </c>
      <c r="B81" s="1">
        <f>IFERROR(__xludf.DUMMYFUNCTION("""COMPUTED_VALUE"""),4.67)</f>
        <v>4.67</v>
      </c>
    </row>
    <row r="82">
      <c r="A82" s="2">
        <f>IFERROR(__xludf.DUMMYFUNCTION("""COMPUTED_VALUE"""),45538.6875)</f>
        <v>45538.6875</v>
      </c>
      <c r="B82" s="1">
        <f>IFERROR(__xludf.DUMMYFUNCTION("""COMPUTED_VALUE"""),4.58)</f>
        <v>4.58</v>
      </c>
    </row>
    <row r="83">
      <c r="A83" s="2">
        <f>IFERROR(__xludf.DUMMYFUNCTION("""COMPUTED_VALUE"""),45539.6875)</f>
        <v>45539.6875</v>
      </c>
      <c r="B83" s="1">
        <f>IFERROR(__xludf.DUMMYFUNCTION("""COMPUTED_VALUE"""),4.49)</f>
        <v>4.49</v>
      </c>
    </row>
    <row r="84">
      <c r="A84" s="2">
        <f>IFERROR(__xludf.DUMMYFUNCTION("""COMPUTED_VALUE"""),45540.6875)</f>
        <v>45540.6875</v>
      </c>
      <c r="B84" s="1">
        <f>IFERROR(__xludf.DUMMYFUNCTION("""COMPUTED_VALUE"""),4.47)</f>
        <v>4.47</v>
      </c>
    </row>
    <row r="85">
      <c r="A85" s="2">
        <f>IFERROR(__xludf.DUMMYFUNCTION("""COMPUTED_VALUE"""),45541.6875)</f>
        <v>45541.6875</v>
      </c>
      <c r="B85" s="1">
        <f>IFERROR(__xludf.DUMMYFUNCTION("""COMPUTED_VALUE"""),4.34)</f>
        <v>4.34</v>
      </c>
    </row>
    <row r="86">
      <c r="A86" s="2">
        <f>IFERROR(__xludf.DUMMYFUNCTION("""COMPUTED_VALUE"""),45544.6875)</f>
        <v>45544.6875</v>
      </c>
      <c r="B86" s="1">
        <f>IFERROR(__xludf.DUMMYFUNCTION("""COMPUTED_VALUE"""),4.39)</f>
        <v>4.39</v>
      </c>
    </row>
    <row r="87">
      <c r="A87" s="2">
        <f>IFERROR(__xludf.DUMMYFUNCTION("""COMPUTED_VALUE"""),45545.6875)</f>
        <v>45545.6875</v>
      </c>
      <c r="B87" s="1">
        <f>IFERROR(__xludf.DUMMYFUNCTION("""COMPUTED_VALUE"""),4.43)</f>
        <v>4.43</v>
      </c>
    </row>
    <row r="88">
      <c r="A88" s="2">
        <f>IFERROR(__xludf.DUMMYFUNCTION("""COMPUTED_VALUE"""),45546.6875)</f>
        <v>45546.6875</v>
      </c>
      <c r="B88" s="1">
        <f>IFERROR(__xludf.DUMMYFUNCTION("""COMPUTED_VALUE"""),4.45)</f>
        <v>4.45</v>
      </c>
    </row>
    <row r="89">
      <c r="A89" s="2">
        <f>IFERROR(__xludf.DUMMYFUNCTION("""COMPUTED_VALUE"""),45551.6875)</f>
        <v>45551.6875</v>
      </c>
      <c r="B89" s="1">
        <f>IFERROR(__xludf.DUMMYFUNCTION("""COMPUTED_VALUE"""),4.74)</f>
        <v>4.74</v>
      </c>
    </row>
    <row r="90">
      <c r="A90" s="2">
        <f>IFERROR(__xludf.DUMMYFUNCTION("""COMPUTED_VALUE"""),45552.6875)</f>
        <v>45552.6875</v>
      </c>
      <c r="B90" s="1">
        <f>IFERROR(__xludf.DUMMYFUNCTION("""COMPUTED_VALUE"""),4.84)</f>
        <v>4.84</v>
      </c>
    </row>
    <row r="91">
      <c r="A91" s="2">
        <f>IFERROR(__xludf.DUMMYFUNCTION("""COMPUTED_VALUE"""),45553.6875)</f>
        <v>45553.6875</v>
      </c>
      <c r="B91" s="1">
        <f>IFERROR(__xludf.DUMMYFUNCTION("""COMPUTED_VALUE"""),4.8)</f>
        <v>4.8</v>
      </c>
    </row>
    <row r="92">
      <c r="A92" s="2">
        <f>IFERROR(__xludf.DUMMYFUNCTION("""COMPUTED_VALUE"""),45554.6875)</f>
        <v>45554.6875</v>
      </c>
      <c r="B92" s="1">
        <f>IFERROR(__xludf.DUMMYFUNCTION("""COMPUTED_VALUE"""),4.98)</f>
        <v>4.98</v>
      </c>
    </row>
    <row r="93">
      <c r="A93" s="2">
        <f>IFERROR(__xludf.DUMMYFUNCTION("""COMPUTED_VALUE"""),45555.6875)</f>
        <v>45555.6875</v>
      </c>
      <c r="B93" s="1">
        <f>IFERROR(__xludf.DUMMYFUNCTION("""COMPUTED_VALUE"""),4.82)</f>
        <v>4.82</v>
      </c>
    </row>
    <row r="94">
      <c r="A94" s="2">
        <f>IFERROR(__xludf.DUMMYFUNCTION("""COMPUTED_VALUE"""),45558.6875)</f>
        <v>45558.6875</v>
      </c>
      <c r="B94" s="1">
        <f>IFERROR(__xludf.DUMMYFUNCTION("""COMPUTED_VALUE"""),4.86)</f>
        <v>4.86</v>
      </c>
    </row>
    <row r="95">
      <c r="A95" s="2">
        <f>IFERROR(__xludf.DUMMYFUNCTION("""COMPUTED_VALUE"""),45559.6875)</f>
        <v>45559.6875</v>
      </c>
      <c r="B95" s="1">
        <f>IFERROR(__xludf.DUMMYFUNCTION("""COMPUTED_VALUE"""),4.86)</f>
        <v>4.86</v>
      </c>
    </row>
    <row r="96">
      <c r="A96" s="2">
        <f>IFERROR(__xludf.DUMMYFUNCTION("""COMPUTED_VALUE"""),45560.6875)</f>
        <v>45560.6875</v>
      </c>
      <c r="B96" s="1">
        <f>IFERROR(__xludf.DUMMYFUNCTION("""COMPUTED_VALUE"""),4.88)</f>
        <v>4.88</v>
      </c>
    </row>
    <row r="97">
      <c r="A97" s="2">
        <f>IFERROR(__xludf.DUMMYFUNCTION("""COMPUTED_VALUE"""),45561.6875)</f>
        <v>45561.6875</v>
      </c>
      <c r="B97" s="1">
        <f>IFERROR(__xludf.DUMMYFUNCTION("""COMPUTED_VALUE"""),4.85)</f>
        <v>4.85</v>
      </c>
    </row>
    <row r="98">
      <c r="A98" s="2">
        <f>IFERROR(__xludf.DUMMYFUNCTION("""COMPUTED_VALUE"""),45562.6875)</f>
        <v>45562.6875</v>
      </c>
      <c r="B98" s="1">
        <f>IFERROR(__xludf.DUMMYFUNCTION("""COMPUTED_VALUE"""),4.94)</f>
        <v>4.94</v>
      </c>
    </row>
    <row r="99">
      <c r="A99" s="2">
        <f>IFERROR(__xludf.DUMMYFUNCTION("""COMPUTED_VALUE"""),45565.6875)</f>
        <v>45565.6875</v>
      </c>
      <c r="B99" s="1">
        <f>IFERROR(__xludf.DUMMYFUNCTION("""COMPUTED_VALUE"""),4.92)</f>
        <v>4.92</v>
      </c>
    </row>
    <row r="100">
      <c r="A100" s="2">
        <f>IFERROR(__xludf.DUMMYFUNCTION("""COMPUTED_VALUE"""),45566.6875)</f>
        <v>45566.6875</v>
      </c>
      <c r="B100" s="1">
        <f>IFERROR(__xludf.DUMMYFUNCTION("""COMPUTED_VALUE"""),4.75)</f>
        <v>4.75</v>
      </c>
    </row>
    <row r="101">
      <c r="A101" s="2">
        <f>IFERROR(__xludf.DUMMYFUNCTION("""COMPUTED_VALUE"""),45567.6875)</f>
        <v>45567.6875</v>
      </c>
      <c r="B101" s="1">
        <f>IFERROR(__xludf.DUMMYFUNCTION("""COMPUTED_VALUE"""),4.77)</f>
        <v>4.77</v>
      </c>
    </row>
    <row r="102">
      <c r="A102" s="2">
        <f>IFERROR(__xludf.DUMMYFUNCTION("""COMPUTED_VALUE"""),45568.6875)</f>
        <v>45568.6875</v>
      </c>
      <c r="B102" s="1">
        <f>IFERROR(__xludf.DUMMYFUNCTION("""COMPUTED_VALUE"""),4.71)</f>
        <v>4.71</v>
      </c>
    </row>
    <row r="103">
      <c r="A103" s="2">
        <f>IFERROR(__xludf.DUMMYFUNCTION("""COMPUTED_VALUE"""),45569.6875)</f>
        <v>45569.6875</v>
      </c>
      <c r="B103" s="1">
        <f>IFERROR(__xludf.DUMMYFUNCTION("""COMPUTED_VALUE"""),4.76)</f>
        <v>4.76</v>
      </c>
    </row>
    <row r="104">
      <c r="A104" s="2">
        <f>IFERROR(__xludf.DUMMYFUNCTION("""COMPUTED_VALUE"""),45572.6875)</f>
        <v>45572.6875</v>
      </c>
      <c r="B104" s="1">
        <f>IFERROR(__xludf.DUMMYFUNCTION("""COMPUTED_VALUE"""),4.79)</f>
        <v>4.79</v>
      </c>
    </row>
    <row r="105">
      <c r="A105" s="2">
        <f>IFERROR(__xludf.DUMMYFUNCTION("""COMPUTED_VALUE"""),45573.6875)</f>
        <v>45573.6875</v>
      </c>
      <c r="B105" s="1">
        <f>IFERROR(__xludf.DUMMYFUNCTION("""COMPUTED_VALUE"""),4.82)</f>
        <v>4.82</v>
      </c>
    </row>
    <row r="106">
      <c r="A106" s="2">
        <f>IFERROR(__xludf.DUMMYFUNCTION("""COMPUTED_VALUE"""),45574.6875)</f>
        <v>45574.6875</v>
      </c>
      <c r="B106" s="1">
        <f>IFERROR(__xludf.DUMMYFUNCTION("""COMPUTED_VALUE"""),4.87)</f>
        <v>4.87</v>
      </c>
    </row>
    <row r="107">
      <c r="A107" s="2">
        <f>IFERROR(__xludf.DUMMYFUNCTION("""COMPUTED_VALUE"""),45575.6875)</f>
        <v>45575.6875</v>
      </c>
      <c r="B107" s="1">
        <f>IFERROR(__xludf.DUMMYFUNCTION("""COMPUTED_VALUE"""),4.81)</f>
        <v>4.81</v>
      </c>
    </row>
    <row r="108">
      <c r="A108" s="2">
        <f>IFERROR(__xludf.DUMMYFUNCTION("""COMPUTED_VALUE"""),45576.6875)</f>
        <v>45576.6875</v>
      </c>
      <c r="B108" s="1">
        <f>IFERROR(__xludf.DUMMYFUNCTION("""COMPUTED_VALUE"""),4.85)</f>
        <v>4.85</v>
      </c>
    </row>
    <row r="109">
      <c r="A109" s="2">
        <f>IFERROR(__xludf.DUMMYFUNCTION("""COMPUTED_VALUE"""),45579.6875)</f>
        <v>45579.6875</v>
      </c>
      <c r="B109" s="1">
        <f>IFERROR(__xludf.DUMMYFUNCTION("""COMPUTED_VALUE"""),4.93)</f>
        <v>4.93</v>
      </c>
    </row>
    <row r="110">
      <c r="A110" s="2">
        <f>IFERROR(__xludf.DUMMYFUNCTION("""COMPUTED_VALUE"""),45580.6875)</f>
        <v>45580.6875</v>
      </c>
      <c r="B110" s="1">
        <f>IFERROR(__xludf.DUMMYFUNCTION("""COMPUTED_VALUE"""),4.95)</f>
        <v>4.95</v>
      </c>
    </row>
    <row r="111">
      <c r="A111" s="2">
        <f>IFERROR(__xludf.DUMMYFUNCTION("""COMPUTED_VALUE"""),45581.6875)</f>
        <v>45581.6875</v>
      </c>
      <c r="B111" s="1">
        <f>IFERROR(__xludf.DUMMYFUNCTION("""COMPUTED_VALUE"""),4.99)</f>
        <v>4.99</v>
      </c>
    </row>
    <row r="112">
      <c r="A112" s="2">
        <f>IFERROR(__xludf.DUMMYFUNCTION("""COMPUTED_VALUE"""),45582.6875)</f>
        <v>45582.6875</v>
      </c>
      <c r="B112" s="1">
        <f>IFERROR(__xludf.DUMMYFUNCTION("""COMPUTED_VALUE"""),4.94)</f>
        <v>4.94</v>
      </c>
    </row>
    <row r="113">
      <c r="A113" s="2">
        <f>IFERROR(__xludf.DUMMYFUNCTION("""COMPUTED_VALUE"""),45583.6875)</f>
        <v>45583.6875</v>
      </c>
      <c r="B113" s="1">
        <f>IFERROR(__xludf.DUMMYFUNCTION("""COMPUTED_VALUE"""),5.0)</f>
        <v>5</v>
      </c>
    </row>
    <row r="114">
      <c r="A114" s="2">
        <f>IFERROR(__xludf.DUMMYFUNCTION("""COMPUTED_VALUE"""),45586.6875)</f>
        <v>45586.6875</v>
      </c>
      <c r="B114" s="1">
        <f>IFERROR(__xludf.DUMMYFUNCTION("""COMPUTED_VALUE"""),4.93)</f>
        <v>4.93</v>
      </c>
    </row>
    <row r="115">
      <c r="A115" s="2">
        <f>IFERROR(__xludf.DUMMYFUNCTION("""COMPUTED_VALUE"""),45587.6875)</f>
        <v>45587.6875</v>
      </c>
      <c r="B115" s="1">
        <f>IFERROR(__xludf.DUMMYFUNCTION("""COMPUTED_VALUE"""),4.92)</f>
        <v>4.92</v>
      </c>
    </row>
    <row r="116">
      <c r="A116" s="2">
        <f>IFERROR(__xludf.DUMMYFUNCTION("""COMPUTED_VALUE"""),45588.6875)</f>
        <v>45588.6875</v>
      </c>
      <c r="B116" s="1">
        <f>IFERROR(__xludf.DUMMYFUNCTION("""COMPUTED_VALUE"""),4.87)</f>
        <v>4.87</v>
      </c>
    </row>
    <row r="117">
      <c r="A117" s="2">
        <f>IFERROR(__xludf.DUMMYFUNCTION("""COMPUTED_VALUE"""),45589.6875)</f>
        <v>45589.6875</v>
      </c>
      <c r="B117" s="1">
        <f>IFERROR(__xludf.DUMMYFUNCTION("""COMPUTED_VALUE"""),4.89)</f>
        <v>4.89</v>
      </c>
    </row>
    <row r="118">
      <c r="A118" s="2">
        <f>IFERROR(__xludf.DUMMYFUNCTION("""COMPUTED_VALUE"""),45590.6875)</f>
        <v>45590.6875</v>
      </c>
      <c r="B118" s="1">
        <f>IFERROR(__xludf.DUMMYFUNCTION("""COMPUTED_VALUE"""),4.98)</f>
        <v>4.98</v>
      </c>
    </row>
    <row r="119">
      <c r="A119" s="2">
        <f>IFERROR(__xludf.DUMMYFUNCTION("""COMPUTED_VALUE"""),45593.6875)</f>
        <v>45593.6875</v>
      </c>
      <c r="B119" s="1">
        <f>IFERROR(__xludf.DUMMYFUNCTION("""COMPUTED_VALUE"""),5.04)</f>
        <v>5.04</v>
      </c>
    </row>
    <row r="120">
      <c r="A120" s="2">
        <f>IFERROR(__xludf.DUMMYFUNCTION("""COMPUTED_VALUE"""),45594.6875)</f>
        <v>45594.6875</v>
      </c>
      <c r="B120" s="1">
        <f>IFERROR(__xludf.DUMMYFUNCTION("""COMPUTED_VALUE"""),5.02)</f>
        <v>5.02</v>
      </c>
    </row>
    <row r="121">
      <c r="A121" s="2">
        <f>IFERROR(__xludf.DUMMYFUNCTION("""COMPUTED_VALUE"""),45595.6875)</f>
        <v>45595.6875</v>
      </c>
      <c r="B121" s="1">
        <f>IFERROR(__xludf.DUMMYFUNCTION("""COMPUTED_VALUE"""),5.07)</f>
        <v>5.07</v>
      </c>
    </row>
    <row r="122">
      <c r="A122" s="2">
        <f>IFERROR(__xludf.DUMMYFUNCTION("""COMPUTED_VALUE"""),45596.6875)</f>
        <v>45596.6875</v>
      </c>
      <c r="B122" s="1">
        <f>IFERROR(__xludf.DUMMYFUNCTION("""COMPUTED_VALUE"""),4.8)</f>
        <v>4.8</v>
      </c>
    </row>
    <row r="123">
      <c r="A123" s="2">
        <f>IFERROR(__xludf.DUMMYFUNCTION("""COMPUTED_VALUE"""),45597.6875)</f>
        <v>45597.6875</v>
      </c>
      <c r="B123" s="1">
        <f>IFERROR(__xludf.DUMMYFUNCTION("""COMPUTED_VALUE"""),4.86)</f>
        <v>4.86</v>
      </c>
    </row>
    <row r="124">
      <c r="A124" s="2">
        <f>IFERROR(__xludf.DUMMYFUNCTION("""COMPUTED_VALUE"""),45600.6875)</f>
        <v>45600.6875</v>
      </c>
      <c r="B124" s="1">
        <f>IFERROR(__xludf.DUMMYFUNCTION("""COMPUTED_VALUE"""),4.87)</f>
        <v>4.87</v>
      </c>
    </row>
    <row r="125">
      <c r="A125" s="2">
        <f>IFERROR(__xludf.DUMMYFUNCTION("""COMPUTED_VALUE"""),45601.6875)</f>
        <v>45601.6875</v>
      </c>
      <c r="B125" s="1">
        <f>IFERROR(__xludf.DUMMYFUNCTION("""COMPUTED_VALUE"""),4.99)</f>
        <v>4.99</v>
      </c>
    </row>
    <row r="126">
      <c r="A126" s="2">
        <f>IFERROR(__xludf.DUMMYFUNCTION("""COMPUTED_VALUE"""),45602.6875)</f>
        <v>45602.6875</v>
      </c>
      <c r="B126" s="1">
        <f>IFERROR(__xludf.DUMMYFUNCTION("""COMPUTED_VALUE"""),5.31)</f>
        <v>5.31</v>
      </c>
    </row>
    <row r="127">
      <c r="A127" s="2">
        <f>IFERROR(__xludf.DUMMYFUNCTION("""COMPUTED_VALUE"""),45603.6875)</f>
        <v>45603.6875</v>
      </c>
      <c r="B127" s="1">
        <f>IFERROR(__xludf.DUMMYFUNCTION("""COMPUTED_VALUE"""),5.48)</f>
        <v>5.48</v>
      </c>
    </row>
    <row r="128">
      <c r="A128" s="2">
        <f>IFERROR(__xludf.DUMMYFUNCTION("""COMPUTED_VALUE"""),45604.6875)</f>
        <v>45604.6875</v>
      </c>
      <c r="B128" s="1">
        <f>IFERROR(__xludf.DUMMYFUNCTION("""COMPUTED_VALUE"""),5.52)</f>
        <v>5.52</v>
      </c>
    </row>
    <row r="129">
      <c r="A129" s="2">
        <f>IFERROR(__xludf.DUMMYFUNCTION("""COMPUTED_VALUE"""),45607.6875)</f>
        <v>45607.6875</v>
      </c>
      <c r="B129" s="1">
        <f>IFERROR(__xludf.DUMMYFUNCTION("""COMPUTED_VALUE"""),6.0)</f>
        <v>6</v>
      </c>
    </row>
    <row r="130">
      <c r="A130" s="2">
        <f>IFERROR(__xludf.DUMMYFUNCTION("""COMPUTED_VALUE"""),45608.6875)</f>
        <v>45608.6875</v>
      </c>
      <c r="B130" s="1">
        <f>IFERROR(__xludf.DUMMYFUNCTION("""COMPUTED_VALUE"""),5.93)</f>
        <v>5.93</v>
      </c>
    </row>
    <row r="131">
      <c r="A131" s="2">
        <f>IFERROR(__xludf.DUMMYFUNCTION("""COMPUTED_VALUE"""),45609.6875)</f>
        <v>45609.6875</v>
      </c>
      <c r="B131" s="1">
        <f>IFERROR(__xludf.DUMMYFUNCTION("""COMPUTED_VALUE"""),5.95)</f>
        <v>5.95</v>
      </c>
    </row>
    <row r="132">
      <c r="A132" s="2">
        <f>IFERROR(__xludf.DUMMYFUNCTION("""COMPUTED_VALUE"""),45610.6875)</f>
        <v>45610.6875</v>
      </c>
      <c r="B132" s="1">
        <f>IFERROR(__xludf.DUMMYFUNCTION("""COMPUTED_VALUE"""),5.68)</f>
        <v>5.68</v>
      </c>
    </row>
    <row r="133">
      <c r="A133" s="2">
        <f>IFERROR(__xludf.DUMMYFUNCTION("""COMPUTED_VALUE"""),45611.6875)</f>
        <v>45611.6875</v>
      </c>
      <c r="B133" s="1">
        <f>IFERROR(__xludf.DUMMYFUNCTION("""COMPUTED_VALUE"""),5.52)</f>
        <v>5.52</v>
      </c>
    </row>
    <row r="134">
      <c r="A134" s="2">
        <f>IFERROR(__xludf.DUMMYFUNCTION("""COMPUTED_VALUE"""),45614.6875)</f>
        <v>45614.6875</v>
      </c>
      <c r="B134" s="1">
        <f>IFERROR(__xludf.DUMMYFUNCTION("""COMPUTED_VALUE"""),5.62)</f>
        <v>5.62</v>
      </c>
    </row>
    <row r="135">
      <c r="A135" s="2">
        <f>IFERROR(__xludf.DUMMYFUNCTION("""COMPUTED_VALUE"""),45615.6875)</f>
        <v>45615.6875</v>
      </c>
      <c r="B135" s="1">
        <f>IFERROR(__xludf.DUMMYFUNCTION("""COMPUTED_VALUE"""),5.69)</f>
        <v>5.69</v>
      </c>
    </row>
    <row r="136">
      <c r="A136" s="2">
        <f>IFERROR(__xludf.DUMMYFUNCTION("""COMPUTED_VALUE"""),45616.6875)</f>
        <v>45616.6875</v>
      </c>
      <c r="B136" s="1">
        <f>IFERROR(__xludf.DUMMYFUNCTION("""COMPUTED_VALUE"""),5.63)</f>
        <v>5.63</v>
      </c>
    </row>
    <row r="137">
      <c r="A137" s="2">
        <f>IFERROR(__xludf.DUMMYFUNCTION("""COMPUTED_VALUE"""),45617.6875)</f>
        <v>45617.6875</v>
      </c>
      <c r="B137" s="1">
        <f>IFERROR(__xludf.DUMMYFUNCTION("""COMPUTED_VALUE"""),5.68)</f>
        <v>5.68</v>
      </c>
    </row>
    <row r="138">
      <c r="A138" s="2">
        <f>IFERROR(__xludf.DUMMYFUNCTION("""COMPUTED_VALUE"""),45618.6875)</f>
        <v>45618.6875</v>
      </c>
      <c r="B138" s="1">
        <f>IFERROR(__xludf.DUMMYFUNCTION("""COMPUTED_VALUE"""),5.77)</f>
        <v>5.77</v>
      </c>
    </row>
    <row r="139">
      <c r="A139" s="2">
        <f>IFERROR(__xludf.DUMMYFUNCTION("""COMPUTED_VALUE"""),45621.6875)</f>
        <v>45621.6875</v>
      </c>
      <c r="B139" s="1">
        <f>IFERROR(__xludf.DUMMYFUNCTION("""COMPUTED_VALUE"""),6.0)</f>
        <v>6</v>
      </c>
    </row>
    <row r="140">
      <c r="A140" s="2">
        <f>IFERROR(__xludf.DUMMYFUNCTION("""COMPUTED_VALUE"""),45622.6875)</f>
        <v>45622.6875</v>
      </c>
      <c r="B140" s="1">
        <f>IFERROR(__xludf.DUMMYFUNCTION("""COMPUTED_VALUE"""),5.87)</f>
        <v>5.87</v>
      </c>
    </row>
    <row r="141">
      <c r="A141" s="2">
        <f>IFERROR(__xludf.DUMMYFUNCTION("""COMPUTED_VALUE"""),45623.6875)</f>
        <v>45623.6875</v>
      </c>
      <c r="B141" s="1">
        <f>IFERROR(__xludf.DUMMYFUNCTION("""COMPUTED_VALUE"""),5.87)</f>
        <v>5.87</v>
      </c>
    </row>
    <row r="142">
      <c r="A142" s="2">
        <f>IFERROR(__xludf.DUMMYFUNCTION("""COMPUTED_VALUE"""),45624.6875)</f>
        <v>45624.6875</v>
      </c>
      <c r="B142" s="1">
        <f>IFERROR(__xludf.DUMMYFUNCTION("""COMPUTED_VALUE"""),5.96)</f>
        <v>5.96</v>
      </c>
    </row>
    <row r="143">
      <c r="A143" s="2">
        <f>IFERROR(__xludf.DUMMYFUNCTION("""COMPUTED_VALUE"""),45625.6875)</f>
        <v>45625.6875</v>
      </c>
      <c r="B143" s="1">
        <f>IFERROR(__xludf.DUMMYFUNCTION("""COMPUTED_VALUE"""),6.02)</f>
        <v>6.02</v>
      </c>
    </row>
    <row r="144">
      <c r="A144" s="2">
        <f>IFERROR(__xludf.DUMMYFUNCTION("""COMPUTED_VALUE"""),45628.6875)</f>
        <v>45628.6875</v>
      </c>
      <c r="B144" s="1">
        <f>IFERROR(__xludf.DUMMYFUNCTION("""COMPUTED_VALUE"""),6.13)</f>
        <v>6.13</v>
      </c>
    </row>
    <row r="145">
      <c r="A145" s="2">
        <f>IFERROR(__xludf.DUMMYFUNCTION("""COMPUTED_VALUE"""),45629.6875)</f>
        <v>45629.6875</v>
      </c>
      <c r="B145" s="1">
        <f>IFERROR(__xludf.DUMMYFUNCTION("""COMPUTED_VALUE"""),6.12)</f>
        <v>6.12</v>
      </c>
    </row>
    <row r="146">
      <c r="A146" s="2">
        <f>IFERROR(__xludf.DUMMYFUNCTION("""COMPUTED_VALUE"""),45630.6875)</f>
        <v>45630.6875</v>
      </c>
      <c r="B146" s="1">
        <f>IFERROR(__xludf.DUMMYFUNCTION("""COMPUTED_VALUE"""),6.26)</f>
        <v>6.26</v>
      </c>
    </row>
    <row r="147">
      <c r="A147" s="2">
        <f>IFERROR(__xludf.DUMMYFUNCTION("""COMPUTED_VALUE"""),45631.6875)</f>
        <v>45631.6875</v>
      </c>
      <c r="B147" s="1">
        <f>IFERROR(__xludf.DUMMYFUNCTION("""COMPUTED_VALUE"""),6.3)</f>
        <v>6.3</v>
      </c>
    </row>
    <row r="148">
      <c r="A148" s="2">
        <f>IFERROR(__xludf.DUMMYFUNCTION("""COMPUTED_VALUE"""),45632.6875)</f>
        <v>45632.6875</v>
      </c>
      <c r="B148" s="1">
        <f>IFERROR(__xludf.DUMMYFUNCTION("""COMPUTED_VALUE"""),6.42)</f>
        <v>6.42</v>
      </c>
    </row>
    <row r="149">
      <c r="A149" s="2">
        <f>IFERROR(__xludf.DUMMYFUNCTION("""COMPUTED_VALUE"""),45635.6875)</f>
        <v>45635.6875</v>
      </c>
      <c r="B149" s="1">
        <f>IFERROR(__xludf.DUMMYFUNCTION("""COMPUTED_VALUE"""),6.35)</f>
        <v>6.35</v>
      </c>
    </row>
    <row r="150">
      <c r="A150" s="2">
        <f>IFERROR(__xludf.DUMMYFUNCTION("""COMPUTED_VALUE"""),45636.6875)</f>
        <v>45636.6875</v>
      </c>
      <c r="B150" s="1">
        <f>IFERROR(__xludf.DUMMYFUNCTION("""COMPUTED_VALUE"""),6.32)</f>
        <v>6.32</v>
      </c>
    </row>
    <row r="151">
      <c r="A151" s="2">
        <f>IFERROR(__xludf.DUMMYFUNCTION("""COMPUTED_VALUE"""),45637.6875)</f>
        <v>45637.6875</v>
      </c>
      <c r="B151" s="1">
        <f>IFERROR(__xludf.DUMMYFUNCTION("""COMPUTED_VALUE"""),6.32)</f>
        <v>6.32</v>
      </c>
    </row>
    <row r="152">
      <c r="A152" s="2">
        <f>IFERROR(__xludf.DUMMYFUNCTION("""COMPUTED_VALUE"""),45638.6875)</f>
        <v>45638.6875</v>
      </c>
      <c r="B152" s="1">
        <f>IFERROR(__xludf.DUMMYFUNCTION("""COMPUTED_VALUE"""),6.31)</f>
        <v>6.31</v>
      </c>
    </row>
    <row r="153">
      <c r="A153" s="2">
        <f>IFERROR(__xludf.DUMMYFUNCTION("""COMPUTED_VALUE"""),45639.6875)</f>
        <v>45639.6875</v>
      </c>
      <c r="B153" s="1">
        <f>IFERROR(__xludf.DUMMYFUNCTION("""COMPUTED_VALUE"""),6.19)</f>
        <v>6.19</v>
      </c>
    </row>
    <row r="154">
      <c r="A154" s="2">
        <f>IFERROR(__xludf.DUMMYFUNCTION("""COMPUTED_VALUE"""),45642.6875)</f>
        <v>45642.6875</v>
      </c>
      <c r="B154" s="1">
        <f>IFERROR(__xludf.DUMMYFUNCTION("""COMPUTED_VALUE"""),6.4)</f>
        <v>6.4</v>
      </c>
    </row>
    <row r="155">
      <c r="A155" s="2">
        <f>IFERROR(__xludf.DUMMYFUNCTION("""COMPUTED_VALUE"""),45643.6875)</f>
        <v>45643.6875</v>
      </c>
      <c r="B155" s="1">
        <f>IFERROR(__xludf.DUMMYFUNCTION("""COMPUTED_VALUE"""),6.37)</f>
        <v>6.37</v>
      </c>
    </row>
    <row r="156">
      <c r="A156" s="2">
        <f>IFERROR(__xludf.DUMMYFUNCTION("""COMPUTED_VALUE"""),45644.6875)</f>
        <v>45644.6875</v>
      </c>
      <c r="B156" s="1">
        <f>IFERROR(__xludf.DUMMYFUNCTION("""COMPUTED_VALUE"""),6.36)</f>
        <v>6.36</v>
      </c>
    </row>
    <row r="157">
      <c r="A157" s="2">
        <f>IFERROR(__xludf.DUMMYFUNCTION("""COMPUTED_VALUE"""),45645.6875)</f>
        <v>45645.6875</v>
      </c>
      <c r="B157" s="1">
        <f>IFERROR(__xludf.DUMMYFUNCTION("""COMPUTED_VALUE"""),5.97)</f>
        <v>5.97</v>
      </c>
    </row>
    <row r="158">
      <c r="A158" s="2">
        <f>IFERROR(__xludf.DUMMYFUNCTION("""COMPUTED_VALUE"""),45646.6875)</f>
        <v>45646.6875</v>
      </c>
      <c r="B158" s="1">
        <f>IFERROR(__xludf.DUMMYFUNCTION("""COMPUTED_VALUE"""),6.05)</f>
        <v>6.05</v>
      </c>
    </row>
    <row r="159">
      <c r="A159" s="2">
        <f>IFERROR(__xludf.DUMMYFUNCTION("""COMPUTED_VALUE"""),45649.6875)</f>
        <v>45649.6875</v>
      </c>
      <c r="B159" s="1">
        <f>IFERROR(__xludf.DUMMYFUNCTION("""COMPUTED_VALUE"""),6.01)</f>
        <v>6.01</v>
      </c>
    </row>
    <row r="160">
      <c r="A160" s="2">
        <f>IFERROR(__xludf.DUMMYFUNCTION("""COMPUTED_VALUE"""),45650.52083333333)</f>
        <v>45650.52083</v>
      </c>
      <c r="B160" s="1">
        <f>IFERROR(__xludf.DUMMYFUNCTION("""COMPUTED_VALUE"""),6.04)</f>
        <v>6.04</v>
      </c>
    </row>
    <row r="161">
      <c r="A161" s="2">
        <f>IFERROR(__xludf.DUMMYFUNCTION("""COMPUTED_VALUE"""),45653.6875)</f>
        <v>45653.6875</v>
      </c>
      <c r="B161" s="1">
        <f>IFERROR(__xludf.DUMMYFUNCTION("""COMPUTED_VALUE"""),6.04)</f>
        <v>6.04</v>
      </c>
    </row>
    <row r="162">
      <c r="A162" s="2">
        <f>IFERROR(__xludf.DUMMYFUNCTION("""COMPUTED_VALUE"""),45656.6875)</f>
        <v>45656.6875</v>
      </c>
      <c r="B162" s="1">
        <f>IFERROR(__xludf.DUMMYFUNCTION("""COMPUTED_VALUE"""),5.86)</f>
        <v>5.86</v>
      </c>
    </row>
    <row r="163">
      <c r="A163" s="2">
        <f>IFERROR(__xludf.DUMMYFUNCTION("""COMPUTED_VALUE"""),45657.52083333333)</f>
        <v>45657.52083</v>
      </c>
      <c r="B163" s="1">
        <f>IFERROR(__xludf.DUMMYFUNCTION("""COMPUTED_VALUE"""),5.92)</f>
        <v>5.92</v>
      </c>
    </row>
    <row r="164">
      <c r="A164" s="2">
        <f>IFERROR(__xludf.DUMMYFUNCTION("""COMPUTED_VALUE"""),45659.6875)</f>
        <v>45659.6875</v>
      </c>
      <c r="B164" s="1">
        <f>IFERROR(__xludf.DUMMYFUNCTION("""COMPUTED_VALUE"""),5.88)</f>
        <v>5.88</v>
      </c>
    </row>
    <row r="165">
      <c r="A165" s="2">
        <f>IFERROR(__xludf.DUMMYFUNCTION("""COMPUTED_VALUE"""),45660.6875)</f>
        <v>45660.6875</v>
      </c>
      <c r="B165" s="1">
        <f>IFERROR(__xludf.DUMMYFUNCTION("""COMPUTED_VALUE"""),6.01)</f>
        <v>6.01</v>
      </c>
    </row>
    <row r="166">
      <c r="A166" s="2">
        <f>IFERROR(__xludf.DUMMYFUNCTION("""COMPUTED_VALUE"""),45663.6875)</f>
        <v>45663.6875</v>
      </c>
      <c r="B166" s="1">
        <f>IFERROR(__xludf.DUMMYFUNCTION("""COMPUTED_VALUE"""),6.36)</f>
        <v>6.36</v>
      </c>
    </row>
    <row r="167">
      <c r="A167" s="2">
        <f>IFERROR(__xludf.DUMMYFUNCTION("""COMPUTED_VALUE"""),45664.6875)</f>
        <v>45664.6875</v>
      </c>
      <c r="B167" s="1">
        <f>IFERROR(__xludf.DUMMYFUNCTION("""COMPUTED_VALUE"""),6.16)</f>
        <v>6.16</v>
      </c>
    </row>
    <row r="168">
      <c r="A168" s="2">
        <f>IFERROR(__xludf.DUMMYFUNCTION("""COMPUTED_VALUE"""),45665.6875)</f>
        <v>45665.6875</v>
      </c>
      <c r="B168" s="1">
        <f>IFERROR(__xludf.DUMMYFUNCTION("""COMPUTED_VALUE"""),5.99)</f>
        <v>5.99</v>
      </c>
    </row>
    <row r="169">
      <c r="A169" s="2">
        <f>IFERROR(__xludf.DUMMYFUNCTION("""COMPUTED_VALUE"""),45666.6875)</f>
        <v>45666.6875</v>
      </c>
      <c r="B169" s="1">
        <f>IFERROR(__xludf.DUMMYFUNCTION("""COMPUTED_VALUE"""),6.04)</f>
        <v>6.04</v>
      </c>
    </row>
    <row r="170">
      <c r="A170" s="2">
        <f>IFERROR(__xludf.DUMMYFUNCTION("""COMPUTED_VALUE"""),45667.6875)</f>
        <v>45667.6875</v>
      </c>
      <c r="B170" s="1">
        <f>IFERROR(__xludf.DUMMYFUNCTION("""COMPUTED_VALUE"""),5.83)</f>
        <v>5.83</v>
      </c>
    </row>
    <row r="171">
      <c r="A171" s="2">
        <f>IFERROR(__xludf.DUMMYFUNCTION("""COMPUTED_VALUE"""),45670.6875)</f>
        <v>45670.6875</v>
      </c>
      <c r="B171" s="1">
        <f>IFERROR(__xludf.DUMMYFUNCTION("""COMPUTED_VALUE"""),5.69)</f>
        <v>5.69</v>
      </c>
    </row>
    <row r="172">
      <c r="A172" s="2">
        <f>IFERROR(__xludf.DUMMYFUNCTION("""COMPUTED_VALUE"""),45671.6875)</f>
        <v>45671.6875</v>
      </c>
      <c r="B172" s="1">
        <f>IFERROR(__xludf.DUMMYFUNCTION("""COMPUTED_VALUE"""),5.8)</f>
        <v>5.8</v>
      </c>
    </row>
    <row r="173">
      <c r="A173" s="2">
        <f>IFERROR(__xludf.DUMMYFUNCTION("""COMPUTED_VALUE"""),45672.6875)</f>
        <v>45672.6875</v>
      </c>
      <c r="B173" s="1">
        <f>IFERROR(__xludf.DUMMYFUNCTION("""COMPUTED_VALUE"""),5.98)</f>
        <v>5.98</v>
      </c>
    </row>
    <row r="174">
      <c r="A174" s="2">
        <f>IFERROR(__xludf.DUMMYFUNCTION("""COMPUTED_VALUE"""),45673.6875)</f>
        <v>45673.6875</v>
      </c>
      <c r="B174" s="1">
        <f>IFERROR(__xludf.DUMMYFUNCTION("""COMPUTED_VALUE"""),6.02)</f>
        <v>6.02</v>
      </c>
    </row>
    <row r="175">
      <c r="A175" s="2">
        <f>IFERROR(__xludf.DUMMYFUNCTION("""COMPUTED_VALUE"""),45674.6875)</f>
        <v>45674.6875</v>
      </c>
      <c r="B175" s="1">
        <f>IFERROR(__xludf.DUMMYFUNCTION("""COMPUTED_VALUE"""),6.12)</f>
        <v>6.12</v>
      </c>
    </row>
    <row r="176">
      <c r="A176" s="2">
        <f>IFERROR(__xludf.DUMMYFUNCTION("""COMPUTED_VALUE"""),45677.6875)</f>
        <v>45677.6875</v>
      </c>
      <c r="B176" s="1">
        <f>IFERROR(__xludf.DUMMYFUNCTION("""COMPUTED_VALUE"""),6.16)</f>
        <v>6.16</v>
      </c>
    </row>
    <row r="177">
      <c r="A177" s="2">
        <f>IFERROR(__xludf.DUMMYFUNCTION("""COMPUTED_VALUE"""),45678.6875)</f>
        <v>45678.6875</v>
      </c>
      <c r="B177" s="1">
        <f>IFERROR(__xludf.DUMMYFUNCTION("""COMPUTED_VALUE"""),6.25)</f>
        <v>6.25</v>
      </c>
    </row>
    <row r="178">
      <c r="A178" s="2">
        <f>IFERROR(__xludf.DUMMYFUNCTION("""COMPUTED_VALUE"""),45679.6875)</f>
        <v>45679.6875</v>
      </c>
      <c r="B178" s="1">
        <f>IFERROR(__xludf.DUMMYFUNCTION("""COMPUTED_VALUE"""),6.32)</f>
        <v>6.32</v>
      </c>
    </row>
    <row r="179">
      <c r="A179" s="2">
        <f>IFERROR(__xludf.DUMMYFUNCTION("""COMPUTED_VALUE"""),45680.6875)</f>
        <v>45680.6875</v>
      </c>
      <c r="B179" s="1">
        <f>IFERROR(__xludf.DUMMYFUNCTION("""COMPUTED_VALUE"""),6.35)</f>
        <v>6.35</v>
      </c>
    </row>
    <row r="180">
      <c r="A180" s="2">
        <f>IFERROR(__xludf.DUMMYFUNCTION("""COMPUTED_VALUE"""),45681.6875)</f>
        <v>45681.6875</v>
      </c>
      <c r="B180" s="1">
        <f>IFERROR(__xludf.DUMMYFUNCTION("""COMPUTED_VALUE"""),6.5)</f>
        <v>6.5</v>
      </c>
    </row>
    <row r="181">
      <c r="A181" s="2">
        <f>IFERROR(__xludf.DUMMYFUNCTION("""COMPUTED_VALUE"""),45684.6875)</f>
        <v>45684.6875</v>
      </c>
      <c r="B181" s="1">
        <f>IFERROR(__xludf.DUMMYFUNCTION("""COMPUTED_VALUE"""),6.21)</f>
        <v>6.21</v>
      </c>
    </row>
    <row r="182">
      <c r="A182" s="2">
        <f>IFERROR(__xludf.DUMMYFUNCTION("""COMPUTED_VALUE"""),45685.6875)</f>
        <v>45685.6875</v>
      </c>
      <c r="B182" s="1">
        <f>IFERROR(__xludf.DUMMYFUNCTION("""COMPUTED_VALUE"""),6.27)</f>
        <v>6.27</v>
      </c>
    </row>
    <row r="183">
      <c r="A183" s="2">
        <f>IFERROR(__xludf.DUMMYFUNCTION("""COMPUTED_VALUE"""),45686.6875)</f>
        <v>45686.6875</v>
      </c>
      <c r="B183" s="1">
        <f>IFERROR(__xludf.DUMMYFUNCTION("""COMPUTED_VALUE"""),6.33)</f>
        <v>6.33</v>
      </c>
    </row>
    <row r="184">
      <c r="A184" s="2">
        <f>IFERROR(__xludf.DUMMYFUNCTION("""COMPUTED_VALUE"""),45687.6875)</f>
        <v>45687.6875</v>
      </c>
      <c r="B184" s="1">
        <f>IFERROR(__xludf.DUMMYFUNCTION("""COMPUTED_VALUE"""),6.43)</f>
        <v>6.43</v>
      </c>
    </row>
    <row r="185">
      <c r="A185" s="2">
        <f>IFERROR(__xludf.DUMMYFUNCTION("""COMPUTED_VALUE"""),45688.6875)</f>
        <v>45688.6875</v>
      </c>
      <c r="B185" s="1">
        <f>IFERROR(__xludf.DUMMYFUNCTION("""COMPUTED_VALUE"""),6.59)</f>
        <v>6.59</v>
      </c>
    </row>
    <row r="186">
      <c r="A186" s="2">
        <f>IFERROR(__xludf.DUMMYFUNCTION("""COMPUTED_VALUE"""),45691.6875)</f>
        <v>45691.6875</v>
      </c>
      <c r="B186" s="1">
        <f>IFERROR(__xludf.DUMMYFUNCTION("""COMPUTED_VALUE"""),6.34)</f>
        <v>6.34</v>
      </c>
    </row>
    <row r="187">
      <c r="A187" s="2">
        <f>IFERROR(__xludf.DUMMYFUNCTION("""COMPUTED_VALUE"""),45692.6875)</f>
        <v>45692.6875</v>
      </c>
      <c r="B187" s="1">
        <f>IFERROR(__xludf.DUMMYFUNCTION("""COMPUTED_VALUE"""),6.49)</f>
        <v>6.49</v>
      </c>
    </row>
    <row r="188">
      <c r="A188" s="2">
        <f>IFERROR(__xludf.DUMMYFUNCTION("""COMPUTED_VALUE"""),45693.6875)</f>
        <v>45693.6875</v>
      </c>
      <c r="B188" s="1">
        <f>IFERROR(__xludf.DUMMYFUNCTION("""COMPUTED_VALUE"""),6.53)</f>
        <v>6.53</v>
      </c>
    </row>
    <row r="189">
      <c r="A189" s="2">
        <f>IFERROR(__xludf.DUMMYFUNCTION("""COMPUTED_VALUE"""),45694.6875)</f>
        <v>45694.6875</v>
      </c>
      <c r="B189" s="1">
        <f>IFERROR(__xludf.DUMMYFUNCTION("""COMPUTED_VALUE"""),6.49)</f>
        <v>6.49</v>
      </c>
    </row>
    <row r="190">
      <c r="A190" s="2">
        <f>IFERROR(__xludf.DUMMYFUNCTION("""COMPUTED_VALUE"""),45695.6875)</f>
        <v>45695.6875</v>
      </c>
      <c r="B190" s="1">
        <f>IFERROR(__xludf.DUMMYFUNCTION("""COMPUTED_VALUE"""),6.47)</f>
        <v>6.47</v>
      </c>
    </row>
    <row r="191">
      <c r="A191" s="2">
        <f>IFERROR(__xludf.DUMMYFUNCTION("""COMPUTED_VALUE"""),45698.6875)</f>
        <v>45698.6875</v>
      </c>
      <c r="B191" s="1">
        <f>IFERROR(__xludf.DUMMYFUNCTION("""COMPUTED_VALUE"""),6.52)</f>
        <v>6.52</v>
      </c>
    </row>
    <row r="192">
      <c r="A192" s="2">
        <f>IFERROR(__xludf.DUMMYFUNCTION("""COMPUTED_VALUE"""),45699.6875)</f>
        <v>45699.6875</v>
      </c>
      <c r="B192" s="1">
        <f>IFERROR(__xludf.DUMMYFUNCTION("""COMPUTED_VALUE"""),6.37)</f>
        <v>6.37</v>
      </c>
    </row>
    <row r="193">
      <c r="A193" s="2">
        <f>IFERROR(__xludf.DUMMYFUNCTION("""COMPUTED_VALUE"""),45700.6875)</f>
        <v>45700.6875</v>
      </c>
      <c r="B193" s="1">
        <f>IFERROR(__xludf.DUMMYFUNCTION("""COMPUTED_VALUE"""),6.37)</f>
        <v>6.37</v>
      </c>
    </row>
    <row r="194">
      <c r="A194" s="2">
        <f>IFERROR(__xludf.DUMMYFUNCTION("""COMPUTED_VALUE"""),45701.6875)</f>
        <v>45701.6875</v>
      </c>
      <c r="B194" s="1">
        <f>IFERROR(__xludf.DUMMYFUNCTION("""COMPUTED_VALUE"""),6.58)</f>
        <v>6.58</v>
      </c>
    </row>
    <row r="195">
      <c r="A195" s="2">
        <f>IFERROR(__xludf.DUMMYFUNCTION("""COMPUTED_VALUE"""),45702.6875)</f>
        <v>45702.6875</v>
      </c>
      <c r="B195" s="1">
        <f>IFERROR(__xludf.DUMMYFUNCTION("""COMPUTED_VALUE"""),6.85)</f>
        <v>6.85</v>
      </c>
    </row>
    <row r="196">
      <c r="A196" s="2">
        <f>IFERROR(__xludf.DUMMYFUNCTION("""COMPUTED_VALUE"""),45705.6875)</f>
        <v>45705.6875</v>
      </c>
      <c r="B196" s="1">
        <f>IFERROR(__xludf.DUMMYFUNCTION("""COMPUTED_VALUE"""),6.89)</f>
        <v>6.89</v>
      </c>
    </row>
    <row r="197">
      <c r="A197" s="2">
        <f>IFERROR(__xludf.DUMMYFUNCTION("""COMPUTED_VALUE"""),45706.6875)</f>
        <v>45706.6875</v>
      </c>
      <c r="B197" s="1">
        <f>IFERROR(__xludf.DUMMYFUNCTION("""COMPUTED_VALUE"""),6.9)</f>
        <v>6.9</v>
      </c>
    </row>
    <row r="198">
      <c r="A198" s="2">
        <f>IFERROR(__xludf.DUMMYFUNCTION("""COMPUTED_VALUE"""),45707.6875)</f>
        <v>45707.6875</v>
      </c>
      <c r="B198" s="1">
        <f>IFERROR(__xludf.DUMMYFUNCTION("""COMPUTED_VALUE"""),6.86)</f>
        <v>6.86</v>
      </c>
    </row>
    <row r="199">
      <c r="A199" s="2">
        <f>IFERROR(__xludf.DUMMYFUNCTION("""COMPUTED_VALUE"""),45708.6875)</f>
        <v>45708.6875</v>
      </c>
      <c r="B199" s="1">
        <f>IFERROR(__xludf.DUMMYFUNCTION("""COMPUTED_VALUE"""),6.52)</f>
        <v>6.52</v>
      </c>
    </row>
    <row r="200">
      <c r="A200" s="2">
        <f>IFERROR(__xludf.DUMMYFUNCTION("""COMPUTED_VALUE"""),45709.6875)</f>
        <v>45709.6875</v>
      </c>
      <c r="B200" s="1">
        <f>IFERROR(__xludf.DUMMYFUNCTION("""COMPUTED_VALUE"""),6.43)</f>
        <v>6.43</v>
      </c>
    </row>
    <row r="201">
      <c r="A201" s="2">
        <f>IFERROR(__xludf.DUMMYFUNCTION("""COMPUTED_VALUE"""),45712.6875)</f>
        <v>45712.6875</v>
      </c>
      <c r="B201" s="1">
        <f>IFERROR(__xludf.DUMMYFUNCTION("""COMPUTED_VALUE"""),6.09)</f>
        <v>6.09</v>
      </c>
    </row>
    <row r="202">
      <c r="A202" s="2">
        <f>IFERROR(__xludf.DUMMYFUNCTION("""COMPUTED_VALUE"""),45713.6875)</f>
        <v>45713.6875</v>
      </c>
      <c r="B202" s="1">
        <f>IFERROR(__xludf.DUMMYFUNCTION("""COMPUTED_VALUE"""),5.76)</f>
        <v>5.76</v>
      </c>
    </row>
    <row r="203">
      <c r="A203" s="2">
        <f>IFERROR(__xludf.DUMMYFUNCTION("""COMPUTED_VALUE"""),45714.6875)</f>
        <v>45714.6875</v>
      </c>
      <c r="B203" s="1">
        <f>IFERROR(__xludf.DUMMYFUNCTION("""COMPUTED_VALUE"""),6.0)</f>
        <v>6</v>
      </c>
    </row>
    <row r="204">
      <c r="A204" s="2">
        <f>IFERROR(__xludf.DUMMYFUNCTION("""COMPUTED_VALUE"""),45715.6875)</f>
        <v>45715.6875</v>
      </c>
      <c r="B204" s="1">
        <f>IFERROR(__xludf.DUMMYFUNCTION("""COMPUTED_VALUE"""),5.91)</f>
        <v>5.91</v>
      </c>
    </row>
    <row r="205">
      <c r="A205" s="2">
        <f>IFERROR(__xludf.DUMMYFUNCTION("""COMPUTED_VALUE"""),45716.6875)</f>
        <v>45716.6875</v>
      </c>
      <c r="B205" s="1">
        <f>IFERROR(__xludf.DUMMYFUNCTION("""COMPUTED_VALUE"""),5.7)</f>
        <v>5.7</v>
      </c>
    </row>
    <row r="206">
      <c r="A206" s="2">
        <f>IFERROR(__xludf.DUMMYFUNCTION("""COMPUTED_VALUE"""),45719.6875)</f>
        <v>45719.6875</v>
      </c>
      <c r="B206" s="1">
        <f>IFERROR(__xludf.DUMMYFUNCTION("""COMPUTED_VALUE"""),5.74)</f>
        <v>5.74</v>
      </c>
    </row>
    <row r="207">
      <c r="A207" s="2">
        <f>IFERROR(__xludf.DUMMYFUNCTION("""COMPUTED_VALUE"""),45720.6875)</f>
        <v>45720.6875</v>
      </c>
      <c r="B207" s="1">
        <f>IFERROR(__xludf.DUMMYFUNCTION("""COMPUTED_VALUE"""),5.25)</f>
        <v>5.25</v>
      </c>
    </row>
    <row r="208">
      <c r="A208" s="2">
        <f>IFERROR(__xludf.DUMMYFUNCTION("""COMPUTED_VALUE"""),45721.6875)</f>
        <v>45721.6875</v>
      </c>
      <c r="B208" s="1">
        <f>IFERROR(__xludf.DUMMYFUNCTION("""COMPUTED_VALUE"""),5.49)</f>
        <v>5.49</v>
      </c>
    </row>
    <row r="209">
      <c r="A209" s="2">
        <f>IFERROR(__xludf.DUMMYFUNCTION("""COMPUTED_VALUE"""),45722.6875)</f>
        <v>45722.6875</v>
      </c>
      <c r="B209" s="1">
        <f>IFERROR(__xludf.DUMMYFUNCTION("""COMPUTED_VALUE"""),5.57)</f>
        <v>5.57</v>
      </c>
    </row>
    <row r="210">
      <c r="A210" s="2">
        <f>IFERROR(__xludf.DUMMYFUNCTION("""COMPUTED_VALUE"""),45723.6875)</f>
        <v>45723.6875</v>
      </c>
      <c r="B210" s="1">
        <f>IFERROR(__xludf.DUMMYFUNCTION("""COMPUTED_VALUE"""),5.22)</f>
        <v>5.22</v>
      </c>
    </row>
    <row r="211">
      <c r="A211" s="2">
        <f>IFERROR(__xludf.DUMMYFUNCTION("""COMPUTED_VALUE"""),45726.6875)</f>
        <v>45726.6875</v>
      </c>
      <c r="B211" s="1">
        <f>IFERROR(__xludf.DUMMYFUNCTION("""COMPUTED_VALUE"""),5.06)</f>
        <v>5.06</v>
      </c>
    </row>
    <row r="212">
      <c r="A212" s="2">
        <f>IFERROR(__xludf.DUMMYFUNCTION("""COMPUTED_VALUE"""),45727.6875)</f>
        <v>45727.6875</v>
      </c>
      <c r="B212" s="1">
        <f>IFERROR(__xludf.DUMMYFUNCTION("""COMPUTED_VALUE"""),4.97)</f>
        <v>4.97</v>
      </c>
    </row>
    <row r="213">
      <c r="A213" s="2">
        <f>IFERROR(__xludf.DUMMYFUNCTION("""COMPUTED_VALUE"""),45728.6875)</f>
        <v>45728.6875</v>
      </c>
      <c r="B213" s="1">
        <f>IFERROR(__xludf.DUMMYFUNCTION("""COMPUTED_VALUE"""),5.14)</f>
        <v>5.14</v>
      </c>
    </row>
    <row r="214">
      <c r="A214" s="2">
        <f>IFERROR(__xludf.DUMMYFUNCTION("""COMPUTED_VALUE"""),45729.6875)</f>
        <v>45729.6875</v>
      </c>
      <c r="B214" s="1">
        <f>IFERROR(__xludf.DUMMYFUNCTION("""COMPUTED_VALUE"""),4.92)</f>
        <v>4.92</v>
      </c>
    </row>
    <row r="215">
      <c r="A215" s="2">
        <f>IFERROR(__xludf.DUMMYFUNCTION("""COMPUTED_VALUE"""),45730.6875)</f>
        <v>45730.6875</v>
      </c>
      <c r="B215" s="1">
        <f>IFERROR(__xludf.DUMMYFUNCTION("""COMPUTED_VALUE"""),5.05)</f>
        <v>5.05</v>
      </c>
    </row>
    <row r="216">
      <c r="A216" s="2">
        <f>IFERROR(__xludf.DUMMYFUNCTION("""COMPUTED_VALUE"""),45733.6875)</f>
        <v>45733.6875</v>
      </c>
      <c r="B216" s="1">
        <f>IFERROR(__xludf.DUMMYFUNCTION("""COMPUTED_VALUE"""),5.09)</f>
        <v>5.09</v>
      </c>
    </row>
    <row r="217">
      <c r="A217" s="2">
        <f>IFERROR(__xludf.DUMMYFUNCTION("""COMPUTED_VALUE"""),45734.6875)</f>
        <v>45734.6875</v>
      </c>
      <c r="B217" s="1">
        <f>IFERROR(__xludf.DUMMYFUNCTION("""COMPUTED_VALUE"""),5.02)</f>
        <v>5.02</v>
      </c>
    </row>
    <row r="218">
      <c r="A218" s="2">
        <f>IFERROR(__xludf.DUMMYFUNCTION("""COMPUTED_VALUE"""),45735.6875)</f>
        <v>45735.6875</v>
      </c>
      <c r="B218" s="1">
        <f>IFERROR(__xludf.DUMMYFUNCTION("""COMPUTED_VALUE"""),5.15)</f>
        <v>5.15</v>
      </c>
    </row>
    <row r="219">
      <c r="A219" s="2">
        <f>IFERROR(__xludf.DUMMYFUNCTION("""COMPUTED_VALUE"""),45736.6875)</f>
        <v>45736.6875</v>
      </c>
      <c r="B219" s="1">
        <f>IFERROR(__xludf.DUMMYFUNCTION("""COMPUTED_VALUE"""),5.18)</f>
        <v>5.18</v>
      </c>
    </row>
    <row r="220">
      <c r="A220" s="2">
        <f>IFERROR(__xludf.DUMMYFUNCTION("""COMPUTED_VALUE"""),45737.6875)</f>
        <v>45737.6875</v>
      </c>
      <c r="B220" s="1">
        <f>IFERROR(__xludf.DUMMYFUNCTION("""COMPUTED_VALUE"""),5.25)</f>
        <v>5.25</v>
      </c>
    </row>
    <row r="221">
      <c r="A221" s="2">
        <f>IFERROR(__xludf.DUMMYFUNCTION("""COMPUTED_VALUE"""),45740.6875)</f>
        <v>45740.6875</v>
      </c>
      <c r="B221" s="1">
        <f>IFERROR(__xludf.DUMMYFUNCTION("""COMPUTED_VALUE"""),5.57)</f>
        <v>5.57</v>
      </c>
    </row>
    <row r="222">
      <c r="A222" s="2">
        <f>IFERROR(__xludf.DUMMYFUNCTION("""COMPUTED_VALUE"""),45741.6875)</f>
        <v>45741.6875</v>
      </c>
      <c r="B222" s="1">
        <f>IFERROR(__xludf.DUMMYFUNCTION("""COMPUTED_VALUE"""),5.55)</f>
        <v>5.55</v>
      </c>
    </row>
    <row r="223">
      <c r="A223" s="2">
        <f>IFERROR(__xludf.DUMMYFUNCTION("""COMPUTED_VALUE"""),45742.6875)</f>
        <v>45742.6875</v>
      </c>
      <c r="B223" s="1">
        <f>IFERROR(__xludf.DUMMYFUNCTION("""COMPUTED_VALUE"""),5.38)</f>
        <v>5.38</v>
      </c>
    </row>
    <row r="224">
      <c r="A224" s="2">
        <f>IFERROR(__xludf.DUMMYFUNCTION("""COMPUTED_VALUE"""),45743.6875)</f>
        <v>45743.6875</v>
      </c>
      <c r="B224" s="1">
        <f>IFERROR(__xludf.DUMMYFUNCTION("""COMPUTED_VALUE"""),5.32)</f>
        <v>5.32</v>
      </c>
    </row>
    <row r="225">
      <c r="A225" s="2">
        <f>IFERROR(__xludf.DUMMYFUNCTION("""COMPUTED_VALUE"""),45744.6875)</f>
        <v>45744.6875</v>
      </c>
      <c r="B225" s="1">
        <f>IFERROR(__xludf.DUMMYFUNCTION("""COMPUTED_VALUE"""),5.04)</f>
        <v>5.04</v>
      </c>
    </row>
    <row r="226">
      <c r="A226" s="2">
        <f>IFERROR(__xludf.DUMMYFUNCTION("""COMPUTED_VALUE"""),45747.6875)</f>
        <v>45747.6875</v>
      </c>
      <c r="B226" s="1">
        <f>IFERROR(__xludf.DUMMYFUNCTION("""COMPUTED_VALUE"""),4.85)</f>
        <v>4.85</v>
      </c>
    </row>
    <row r="227">
      <c r="A227" s="2">
        <f>IFERROR(__xludf.DUMMYFUNCTION("""COMPUTED_VALUE"""),45748.6875)</f>
        <v>45748.6875</v>
      </c>
      <c r="B227" s="1">
        <f>IFERROR(__xludf.DUMMYFUNCTION("""COMPUTED_VALUE"""),5.01)</f>
        <v>5.01</v>
      </c>
    </row>
    <row r="228">
      <c r="A228" s="2">
        <f>IFERROR(__xludf.DUMMYFUNCTION("""COMPUTED_VALUE"""),45749.6875)</f>
        <v>45749.6875</v>
      </c>
      <c r="B228" s="1">
        <f>IFERROR(__xludf.DUMMYFUNCTION("""COMPUTED_VALUE"""),5.06)</f>
        <v>5.06</v>
      </c>
    </row>
    <row r="229">
      <c r="A229" s="2">
        <f>IFERROR(__xludf.DUMMYFUNCTION("""COMPUTED_VALUE"""),45750.6875)</f>
        <v>45750.6875</v>
      </c>
      <c r="B229" s="1">
        <f>IFERROR(__xludf.DUMMYFUNCTION("""COMPUTED_VALUE"""),4.69)</f>
        <v>4.69</v>
      </c>
    </row>
    <row r="230">
      <c r="A230" s="2">
        <f>IFERROR(__xludf.DUMMYFUNCTION("""COMPUTED_VALUE"""),45751.6875)</f>
        <v>45751.6875</v>
      </c>
      <c r="B230" s="1">
        <f>IFERROR(__xludf.DUMMYFUNCTION("""COMPUTED_VALUE"""),4.36)</f>
        <v>4.36</v>
      </c>
    </row>
    <row r="231">
      <c r="A231" s="2">
        <f>IFERROR(__xludf.DUMMYFUNCTION("""COMPUTED_VALUE"""),45754.6875)</f>
        <v>45754.6875</v>
      </c>
      <c r="B231" s="1">
        <f>IFERROR(__xludf.DUMMYFUNCTION("""COMPUTED_VALUE"""),4.3)</f>
        <v>4.3</v>
      </c>
    </row>
    <row r="232">
      <c r="A232" s="2">
        <f>IFERROR(__xludf.DUMMYFUNCTION("""COMPUTED_VALUE"""),45755.6875)</f>
        <v>45755.6875</v>
      </c>
      <c r="B232" s="1">
        <f>IFERROR(__xludf.DUMMYFUNCTION("""COMPUTED_VALUE"""),4.43)</f>
        <v>4.43</v>
      </c>
    </row>
    <row r="233">
      <c r="A233" s="2">
        <f>IFERROR(__xludf.DUMMYFUNCTION("""COMPUTED_VALUE"""),45756.6875)</f>
        <v>45756.6875</v>
      </c>
      <c r="B233" s="1">
        <f>IFERROR(__xludf.DUMMYFUNCTION("""COMPUTED_VALUE"""),4.24)</f>
        <v>4.24</v>
      </c>
    </row>
    <row r="234">
      <c r="A234" s="2">
        <f>IFERROR(__xludf.DUMMYFUNCTION("""COMPUTED_VALUE"""),45757.6875)</f>
        <v>45757.6875</v>
      </c>
      <c r="B234" s="1">
        <f>IFERROR(__xludf.DUMMYFUNCTION("""COMPUTED_VALUE"""),4.55)</f>
        <v>4.55</v>
      </c>
    </row>
    <row r="235">
      <c r="A235" s="2">
        <f>IFERROR(__xludf.DUMMYFUNCTION("""COMPUTED_VALUE"""),45758.6875)</f>
        <v>45758.6875</v>
      </c>
      <c r="B235" s="1">
        <f>IFERROR(__xludf.DUMMYFUNCTION("""COMPUTED_VALUE"""),4.54)</f>
        <v>4.54</v>
      </c>
    </row>
    <row r="236">
      <c r="A236" s="2">
        <f>IFERROR(__xludf.DUMMYFUNCTION("""COMPUTED_VALUE"""),45761.6875)</f>
        <v>45761.6875</v>
      </c>
      <c r="B236" s="1">
        <f>IFERROR(__xludf.DUMMYFUNCTION("""COMPUTED_VALUE"""),4.73)</f>
        <v>4.73</v>
      </c>
    </row>
    <row r="237">
      <c r="A237" s="2">
        <f>IFERROR(__xludf.DUMMYFUNCTION("""COMPUTED_VALUE"""),45762.6875)</f>
        <v>45762.6875</v>
      </c>
      <c r="B237" s="1">
        <f>IFERROR(__xludf.DUMMYFUNCTION("""COMPUTED_VALUE"""),4.81)</f>
        <v>4.81</v>
      </c>
    </row>
    <row r="238">
      <c r="A238" s="2">
        <f>IFERROR(__xludf.DUMMYFUNCTION("""COMPUTED_VALUE"""),45763.6875)</f>
        <v>45763.6875</v>
      </c>
      <c r="B238" s="1">
        <f>IFERROR(__xludf.DUMMYFUNCTION("""COMPUTED_VALUE"""),4.71)</f>
        <v>4.71</v>
      </c>
    </row>
    <row r="239">
      <c r="A239" s="2">
        <f>IFERROR(__xludf.DUMMYFUNCTION("""COMPUTED_VALUE"""),45764.6875)</f>
        <v>45764.6875</v>
      </c>
      <c r="B239" s="1">
        <f>IFERROR(__xludf.DUMMYFUNCTION("""COMPUTED_VALUE"""),4.61)</f>
        <v>4.61</v>
      </c>
    </row>
    <row r="240">
      <c r="A240" s="2">
        <f>IFERROR(__xludf.DUMMYFUNCTION("""COMPUTED_VALUE"""),45769.6875)</f>
        <v>45769.6875</v>
      </c>
      <c r="B240" s="1">
        <f>IFERROR(__xludf.DUMMYFUNCTION("""COMPUTED_VALUE"""),4.73)</f>
        <v>4.73</v>
      </c>
    </row>
    <row r="241">
      <c r="A241" s="2">
        <f>IFERROR(__xludf.DUMMYFUNCTION("""COMPUTED_VALUE"""),45770.6875)</f>
        <v>45770.6875</v>
      </c>
      <c r="B241" s="1">
        <f>IFERROR(__xludf.DUMMYFUNCTION("""COMPUTED_VALUE"""),4.97)</f>
        <v>4.97</v>
      </c>
    </row>
    <row r="242">
      <c r="A242" s="2">
        <f>IFERROR(__xludf.DUMMYFUNCTION("""COMPUTED_VALUE"""),45771.6875)</f>
        <v>45771.6875</v>
      </c>
      <c r="B242" s="1">
        <f>IFERROR(__xludf.DUMMYFUNCTION("""COMPUTED_VALUE"""),5.08)</f>
        <v>5.08</v>
      </c>
    </row>
    <row r="243">
      <c r="A243" s="2">
        <f>IFERROR(__xludf.DUMMYFUNCTION("""COMPUTED_VALUE"""),45772.6875)</f>
        <v>45772.6875</v>
      </c>
      <c r="B243" s="1">
        <f>IFERROR(__xludf.DUMMYFUNCTION("""COMPUTED_VALUE"""),5.25)</f>
        <v>5.25</v>
      </c>
    </row>
    <row r="244">
      <c r="A244" s="2">
        <f>IFERROR(__xludf.DUMMYFUNCTION("""COMPUTED_VALUE"""),45775.6875)</f>
        <v>45775.6875</v>
      </c>
      <c r="B244" s="1">
        <f>IFERROR(__xludf.DUMMYFUNCTION("""COMPUTED_VALUE"""),5.16)</f>
        <v>5.16</v>
      </c>
    </row>
    <row r="245">
      <c r="A245" s="2">
        <f>IFERROR(__xludf.DUMMYFUNCTION("""COMPUTED_VALUE"""),45776.6875)</f>
        <v>45776.6875</v>
      </c>
      <c r="B245" s="1">
        <f>IFERROR(__xludf.DUMMYFUNCTION("""COMPUTED_VALUE"""),5.25)</f>
        <v>5.25</v>
      </c>
    </row>
    <row r="246">
      <c r="A246" s="2">
        <f>IFERROR(__xludf.DUMMYFUNCTION("""COMPUTED_VALUE"""),45777.6875)</f>
        <v>45777.6875</v>
      </c>
      <c r="B246" s="1">
        <f>IFERROR(__xludf.DUMMYFUNCTION("""COMPUTED_VALUE"""),5.14)</f>
        <v>5.14</v>
      </c>
    </row>
    <row r="247">
      <c r="A247" s="2">
        <f>IFERROR(__xludf.DUMMYFUNCTION("""COMPUTED_VALUE"""),45778.6875)</f>
        <v>45778.6875</v>
      </c>
      <c r="B247" s="1">
        <f>IFERROR(__xludf.DUMMYFUNCTION("""COMPUTED_VALUE"""),5.33)</f>
        <v>5.33</v>
      </c>
    </row>
    <row r="248">
      <c r="A248" s="2">
        <f>IFERROR(__xludf.DUMMYFUNCTION("""COMPUTED_VALUE"""),45779.6875)</f>
        <v>45779.6875</v>
      </c>
      <c r="B248" s="1">
        <f>IFERROR(__xludf.DUMMYFUNCTION("""COMPUTED_VALUE"""),5.3)</f>
        <v>5.3</v>
      </c>
    </row>
    <row r="249">
      <c r="A249" s="2">
        <f>IFERROR(__xludf.DUMMYFUNCTION("""COMPUTED_VALUE"""),45783.6875)</f>
        <v>45783.6875</v>
      </c>
      <c r="B249" s="1">
        <f>IFERROR(__xludf.DUMMYFUNCTION("""COMPUTED_VALUE"""),5.12)</f>
        <v>5.12</v>
      </c>
    </row>
    <row r="250">
      <c r="A250" s="2">
        <f>IFERROR(__xludf.DUMMYFUNCTION("""COMPUTED_VALUE"""),45784.6875)</f>
        <v>45784.6875</v>
      </c>
      <c r="B250" s="1">
        <f>IFERROR(__xludf.DUMMYFUNCTION("""COMPUTED_VALUE"""),5.04)</f>
        <v>5.04</v>
      </c>
    </row>
    <row r="251">
      <c r="A251" s="2">
        <f>IFERROR(__xludf.DUMMYFUNCTION("""COMPUTED_VALUE"""),45785.6875)</f>
        <v>45785.6875</v>
      </c>
      <c r="B251" s="1">
        <f>IFERROR(__xludf.DUMMYFUNCTION("""COMPUTED_VALUE"""),5.27)</f>
        <v>5.27</v>
      </c>
    </row>
    <row r="252">
      <c r="A252" s="2">
        <f>IFERROR(__xludf.DUMMYFUNCTION("""COMPUTED_VALUE"""),45786.6875)</f>
        <v>45786.6875</v>
      </c>
      <c r="B252" s="1">
        <f>IFERROR(__xludf.DUMMYFUNCTION("""COMPUTED_VALUE"""),5.31)</f>
        <v>5.31</v>
      </c>
    </row>
    <row r="253">
      <c r="A253" s="2">
        <f>IFERROR(__xludf.DUMMYFUNCTION("""COMPUTED_VALUE"""),45789.6875)</f>
        <v>45789.6875</v>
      </c>
      <c r="B253" s="1">
        <f>IFERROR(__xludf.DUMMYFUNCTION("""COMPUTED_VALUE"""),5.58)</f>
        <v>5.58</v>
      </c>
    </row>
    <row r="254">
      <c r="A254" s="2">
        <f>IFERROR(__xludf.DUMMYFUNCTION("""COMPUTED_VALUE"""),45790.6875)</f>
        <v>45790.6875</v>
      </c>
      <c r="B254" s="1">
        <f>IFERROR(__xludf.DUMMYFUNCTION("""COMPUTED_VALUE"""),5.85)</f>
        <v>5.85</v>
      </c>
    </row>
    <row r="255">
      <c r="A255" s="2">
        <f>IFERROR(__xludf.DUMMYFUNCTION("""COMPUTED_VALUE"""),45791.6875)</f>
        <v>45791.6875</v>
      </c>
      <c r="B255" s="1">
        <f>IFERROR(__xludf.DUMMYFUNCTION("""COMPUTED_VALUE"""),5.93)</f>
        <v>5.93</v>
      </c>
    </row>
    <row r="256">
      <c r="A256" s="2">
        <f>IFERROR(__xludf.DUMMYFUNCTION("""COMPUTED_VALUE"""),45792.6875)</f>
        <v>45792.6875</v>
      </c>
      <c r="B256" s="1">
        <f>IFERROR(__xludf.DUMMYFUNCTION("""COMPUTED_VALUE"""),5.8)</f>
        <v>5.8</v>
      </c>
    </row>
    <row r="257">
      <c r="A257" s="2">
        <f>IFERROR(__xludf.DUMMYFUNCTION("""COMPUTED_VALUE"""),45793.6875)</f>
        <v>45793.6875</v>
      </c>
      <c r="B257" s="1">
        <f>IFERROR(__xludf.DUMMYFUNCTION("""COMPUTED_VALUE"""),5.93)</f>
        <v>5.93</v>
      </c>
    </row>
    <row r="258">
      <c r="A258" s="2">
        <f>IFERROR(__xludf.DUMMYFUNCTION("""COMPUTED_VALUE"""),45796.6875)</f>
        <v>45796.6875</v>
      </c>
      <c r="B258" s="1">
        <f>IFERROR(__xludf.DUMMYFUNCTION("""COMPUTED_VALUE"""),5.86)</f>
        <v>5.86</v>
      </c>
    </row>
    <row r="259">
      <c r="A259" s="2">
        <f>IFERROR(__xludf.DUMMYFUNCTION("""COMPUTED_VALUE"""),45797.6875)</f>
        <v>45797.6875</v>
      </c>
      <c r="B259" s="1">
        <f>IFERROR(__xludf.DUMMYFUNCTION("""COMPUTED_VALUE"""),5.93)</f>
        <v>5.93</v>
      </c>
    </row>
    <row r="260">
      <c r="A260" s="2">
        <f>IFERROR(__xludf.DUMMYFUNCTION("""COMPUTED_VALUE"""),45798.6875)</f>
        <v>45798.6875</v>
      </c>
      <c r="B260" s="1">
        <f>IFERROR(__xludf.DUMMYFUNCTION("""COMPUTED_VALUE"""),5.85)</f>
        <v>5.85</v>
      </c>
    </row>
    <row r="261">
      <c r="A261" s="2">
        <f>IFERROR(__xludf.DUMMYFUNCTION("""COMPUTED_VALUE"""),45799.6875)</f>
        <v>45799.6875</v>
      </c>
      <c r="B261" s="1">
        <f>IFERROR(__xludf.DUMMYFUNCTION("""COMPUTED_VALUE"""),5.79)</f>
        <v>5.79</v>
      </c>
    </row>
    <row r="262">
      <c r="A262" s="2">
        <f>IFERROR(__xludf.DUMMYFUNCTION("""COMPUTED_VALUE"""),45800.6875)</f>
        <v>45800.6875</v>
      </c>
      <c r="B262" s="1">
        <f>IFERROR(__xludf.DUMMYFUNCTION("""COMPUTED_VALUE"""),5.74)</f>
        <v>5.74</v>
      </c>
    </row>
    <row r="263">
      <c r="A263" s="2">
        <f>IFERROR(__xludf.DUMMYFUNCTION("""COMPUTED_VALUE"""),45804.6875)</f>
        <v>45804.6875</v>
      </c>
      <c r="B263" s="1">
        <f>IFERROR(__xludf.DUMMYFUNCTION("""COMPUTED_VALUE"""),5.95)</f>
        <v>5.95</v>
      </c>
    </row>
    <row r="264">
      <c r="A264" s="2">
        <f>IFERROR(__xludf.DUMMYFUNCTION("""COMPUTED_VALUE"""),45805.6875)</f>
        <v>45805.6875</v>
      </c>
      <c r="B264" s="1">
        <f>IFERROR(__xludf.DUMMYFUNCTION("""COMPUTED_VALUE"""),5.88)</f>
        <v>5.88</v>
      </c>
    </row>
    <row r="265">
      <c r="A265" s="2">
        <f>IFERROR(__xludf.DUMMYFUNCTION("""COMPUTED_VALUE"""),45806.6875)</f>
        <v>45806.6875</v>
      </c>
      <c r="B265" s="1">
        <f>IFERROR(__xludf.DUMMYFUNCTION("""COMPUTED_VALUE"""),5.89)</f>
        <v>5.89</v>
      </c>
    </row>
    <row r="266">
      <c r="A266" s="2">
        <f>IFERROR(__xludf.DUMMYFUNCTION("""COMPUTED_VALUE"""),45807.6875)</f>
        <v>45807.6875</v>
      </c>
      <c r="B266" s="1">
        <f>IFERROR(__xludf.DUMMYFUNCTION("""COMPUTED_VALUE"""),5.82)</f>
        <v>5.82</v>
      </c>
    </row>
    <row r="267">
      <c r="A267" s="2">
        <f>IFERROR(__xludf.DUMMYFUNCTION("""COMPUTED_VALUE"""),45810.6875)</f>
        <v>45810.6875</v>
      </c>
      <c r="B267" s="1">
        <f>IFERROR(__xludf.DUMMYFUNCTION("""COMPUTED_VALUE"""),5.86)</f>
        <v>5.86</v>
      </c>
    </row>
    <row r="268">
      <c r="A268" s="2">
        <f>IFERROR(__xludf.DUMMYFUNCTION("""COMPUTED_VALUE"""),45811.6875)</f>
        <v>45811.6875</v>
      </c>
      <c r="B268" s="1">
        <f>IFERROR(__xludf.DUMMYFUNCTION("""COMPUTED_VALUE"""),5.98)</f>
        <v>5.98</v>
      </c>
    </row>
    <row r="269">
      <c r="A269" s="2">
        <f>IFERROR(__xludf.DUMMYFUNCTION("""COMPUTED_VALUE"""),45812.6875)</f>
        <v>45812.6875</v>
      </c>
      <c r="B269" s="1">
        <f>IFERROR(__xludf.DUMMYFUNCTION("""COMPUTED_VALUE"""),6.0)</f>
        <v>6</v>
      </c>
    </row>
    <row r="270">
      <c r="A270" s="2">
        <f>IFERROR(__xludf.DUMMYFUNCTION("""COMPUTED_VALUE"""),45813.6875)</f>
        <v>45813.6875</v>
      </c>
      <c r="B270" s="1">
        <f>IFERROR(__xludf.DUMMYFUNCTION("""COMPUTED_VALUE"""),6.08)</f>
        <v>6.08</v>
      </c>
    </row>
    <row r="271">
      <c r="A271" s="2">
        <f>IFERROR(__xludf.DUMMYFUNCTION("""COMPUTED_VALUE"""),45814.6875)</f>
        <v>45814.6875</v>
      </c>
      <c r="B271" s="1">
        <f>IFERROR(__xludf.DUMMYFUNCTION("""COMPUTED_VALUE"""),6.32)</f>
        <v>6.32</v>
      </c>
    </row>
    <row r="272">
      <c r="A272" s="2">
        <f>IFERROR(__xludf.DUMMYFUNCTION("""COMPUTED_VALUE"""),45817.6875)</f>
        <v>45817.6875</v>
      </c>
      <c r="B272" s="1">
        <f>IFERROR(__xludf.DUMMYFUNCTION("""COMPUTED_VALUE"""),6.38)</f>
        <v>6.38</v>
      </c>
    </row>
    <row r="273">
      <c r="A273" s="2">
        <f>IFERROR(__xludf.DUMMYFUNCTION("""COMPUTED_VALUE"""),45818.6875)</f>
        <v>45818.6875</v>
      </c>
      <c r="B273" s="1">
        <f>IFERROR(__xludf.DUMMYFUNCTION("""COMPUTED_VALUE"""),6.52)</f>
        <v>6.52</v>
      </c>
    </row>
    <row r="274">
      <c r="A274" s="2">
        <f>IFERROR(__xludf.DUMMYFUNCTION("""COMPUTED_VALUE"""),45819.6875)</f>
        <v>45819.6875</v>
      </c>
      <c r="B274" s="1">
        <f>IFERROR(__xludf.DUMMYFUNCTION("""COMPUTED_VALUE"""),6.56)</f>
        <v>6.56</v>
      </c>
    </row>
    <row r="275">
      <c r="A275" s="2">
        <f>IFERROR(__xludf.DUMMYFUNCTION("""COMPUTED_VALUE"""),45820.6875)</f>
        <v>45820.6875</v>
      </c>
      <c r="B275" s="1">
        <f>IFERROR(__xludf.DUMMYFUNCTION("""COMPUTED_VALUE"""),6.49)</f>
        <v>6.49</v>
      </c>
    </row>
    <row r="276">
      <c r="A276" s="2">
        <f>IFERROR(__xludf.DUMMYFUNCTION("""COMPUTED_VALUE"""),45821.6875)</f>
        <v>45821.6875</v>
      </c>
      <c r="B276" s="1">
        <f>IFERROR(__xludf.DUMMYFUNCTION("""COMPUTED_VALUE"""),6.4)</f>
        <v>6.4</v>
      </c>
    </row>
    <row r="277">
      <c r="A277" s="2">
        <f>IFERROR(__xludf.DUMMYFUNCTION("""COMPUTED_VALUE"""),45824.6875)</f>
        <v>45824.6875</v>
      </c>
      <c r="B277" s="1">
        <f>IFERROR(__xludf.DUMMYFUNCTION("""COMPUTED_VALUE"""),6.68)</f>
        <v>6.68</v>
      </c>
    </row>
    <row r="278">
      <c r="A278" s="2">
        <f>IFERROR(__xludf.DUMMYFUNCTION("""COMPUTED_VALUE"""),45825.6875)</f>
        <v>45825.6875</v>
      </c>
      <c r="B278" s="1">
        <f>IFERROR(__xludf.DUMMYFUNCTION("""COMPUTED_VALUE"""),6.67)</f>
        <v>6.67</v>
      </c>
    </row>
    <row r="279">
      <c r="A279" s="2">
        <f>IFERROR(__xludf.DUMMYFUNCTION("""COMPUTED_VALUE"""),45826.6875)</f>
        <v>45826.6875</v>
      </c>
      <c r="B279" s="1">
        <f>IFERROR(__xludf.DUMMYFUNCTION("""COMPUTED_VALUE"""),6.78)</f>
        <v>6.78</v>
      </c>
    </row>
    <row r="280">
      <c r="A280" s="2">
        <f>IFERROR(__xludf.DUMMYFUNCTION("""COMPUTED_VALUE"""),45827.6875)</f>
        <v>45827.6875</v>
      </c>
      <c r="B280" s="1">
        <f>IFERROR(__xludf.DUMMYFUNCTION("""COMPUTED_VALUE"""),6.78)</f>
        <v>6.78</v>
      </c>
    </row>
    <row r="281">
      <c r="A281" s="2">
        <f>IFERROR(__xludf.DUMMYFUNCTION("""COMPUTED_VALUE"""),45828.6875)</f>
        <v>45828.6875</v>
      </c>
      <c r="B281" s="1">
        <f>IFERROR(__xludf.DUMMYFUNCTION("""COMPUTED_VALUE"""),6.92)</f>
        <v>6.92</v>
      </c>
    </row>
    <row r="282">
      <c r="A282" s="2">
        <f>IFERROR(__xludf.DUMMYFUNCTION("""COMPUTED_VALUE"""),45831.6875)</f>
        <v>45831.6875</v>
      </c>
      <c r="B282" s="1">
        <f>IFERROR(__xludf.DUMMYFUNCTION("""COMPUTED_VALUE"""),7.0)</f>
        <v>7</v>
      </c>
    </row>
    <row r="283">
      <c r="A283" s="2">
        <f>IFERROR(__xludf.DUMMYFUNCTION("""COMPUTED_VALUE"""),45832.6875)</f>
        <v>45832.6875</v>
      </c>
      <c r="B283" s="1">
        <f>IFERROR(__xludf.DUMMYFUNCTION("""COMPUTED_VALUE"""),7.2)</f>
        <v>7.2</v>
      </c>
    </row>
    <row r="284">
      <c r="A284" s="2">
        <f>IFERROR(__xludf.DUMMYFUNCTION("""COMPUTED_VALUE"""),45833.6875)</f>
        <v>45833.6875</v>
      </c>
      <c r="B284" s="1">
        <f>IFERROR(__xludf.DUMMYFUNCTION("""COMPUTED_VALUE"""),7.15)</f>
        <v>7.15</v>
      </c>
    </row>
    <row r="285">
      <c r="A285" s="2">
        <f>IFERROR(__xludf.DUMMYFUNCTION("""COMPUTED_VALUE"""),45834.6875)</f>
        <v>45834.6875</v>
      </c>
      <c r="B285" s="1">
        <f>IFERROR(__xludf.DUMMYFUNCTION("""COMPUTED_VALUE"""),7.23)</f>
        <v>7.23</v>
      </c>
    </row>
    <row r="286">
      <c r="A286" s="2">
        <f>IFERROR(__xludf.DUMMYFUNCTION("""COMPUTED_VALUE"""),45835.6875)</f>
        <v>45835.6875</v>
      </c>
      <c r="B286" s="1">
        <f>IFERROR(__xludf.DUMMYFUNCTION("""COMPUTED_VALUE"""),7.23)</f>
        <v>7.23</v>
      </c>
    </row>
    <row r="287">
      <c r="A287" s="2">
        <f>IFERROR(__xludf.DUMMYFUNCTION("""COMPUTED_VALUE"""),45838.6875)</f>
        <v>45838.6875</v>
      </c>
      <c r="B287" s="1">
        <f>IFERROR(__xludf.DUMMYFUNCTION("""COMPUTED_VALUE"""),7.38)</f>
        <v>7.38</v>
      </c>
    </row>
    <row r="288">
      <c r="A288" s="2">
        <f>IFERROR(__xludf.DUMMYFUNCTION("""COMPUTED_VALUE"""),45839.6875)</f>
        <v>45839.6875</v>
      </c>
      <c r="B288" s="1">
        <f>IFERROR(__xludf.DUMMYFUNCTION("""COMPUTED_VALUE"""),7.14)</f>
        <v>7.14</v>
      </c>
    </row>
    <row r="289">
      <c r="A289" s="2">
        <f>IFERROR(__xludf.DUMMYFUNCTION("""COMPUTED_VALUE"""),45840.6875)</f>
        <v>45840.6875</v>
      </c>
      <c r="B289" s="1">
        <f>IFERROR(__xludf.DUMMYFUNCTION("""COMPUTED_VALUE"""),7.31)</f>
        <v>7.31</v>
      </c>
    </row>
    <row r="290">
      <c r="A290" s="2">
        <f>IFERROR(__xludf.DUMMYFUNCTION("""COMPUTED_VALUE"""),45841.6875)</f>
        <v>45841.6875</v>
      </c>
      <c r="B290" s="1">
        <f>IFERROR(__xludf.DUMMYFUNCTION("""COMPUTED_VALUE"""),7.37)</f>
        <v>7.37</v>
      </c>
    </row>
    <row r="291">
      <c r="A291" s="2">
        <f>IFERROR(__xludf.DUMMYFUNCTION("""COMPUTED_VALUE"""),45842.6875)</f>
        <v>45842.6875</v>
      </c>
      <c r="B291" s="1">
        <f>IFERROR(__xludf.DUMMYFUNCTION("""COMPUTED_VALUE"""),7.28)</f>
        <v>7.28</v>
      </c>
    </row>
    <row r="292">
      <c r="A292" s="2">
        <f>IFERROR(__xludf.DUMMYFUNCTION("""COMPUTED_VALUE"""),45845.6875)</f>
        <v>45845.6875</v>
      </c>
      <c r="B292" s="1">
        <f>IFERROR(__xludf.DUMMYFUNCTION("""COMPUTED_VALUE"""),7.26)</f>
        <v>7.26</v>
      </c>
    </row>
    <row r="293">
      <c r="A293" s="2">
        <f>IFERROR(__xludf.DUMMYFUNCTION("""COMPUTED_VALUE"""),45846.6875)</f>
        <v>45846.6875</v>
      </c>
      <c r="B293" s="1">
        <f>IFERROR(__xludf.DUMMYFUNCTION("""COMPUTED_VALUE"""),7.41)</f>
        <v>7.41</v>
      </c>
    </row>
    <row r="294">
      <c r="A294" s="2">
        <f>IFERROR(__xludf.DUMMYFUNCTION("""COMPUTED_VALUE"""),45847.6875)</f>
        <v>45847.6875</v>
      </c>
      <c r="B294" s="1">
        <f>IFERROR(__xludf.DUMMYFUNCTION("""COMPUTED_VALUE"""),7.5)</f>
        <v>7.5</v>
      </c>
    </row>
    <row r="295">
      <c r="A295" s="2">
        <f>IFERROR(__xludf.DUMMYFUNCTION("""COMPUTED_VALUE"""),45848.6875)</f>
        <v>45848.6875</v>
      </c>
      <c r="B295" s="1">
        <f>IFERROR(__xludf.DUMMYFUNCTION("""COMPUTED_VALUE"""),7.56)</f>
        <v>7.56</v>
      </c>
    </row>
    <row r="296">
      <c r="A296" s="2">
        <f>IFERROR(__xludf.DUMMYFUNCTION("""COMPUTED_VALUE"""),45849.6875)</f>
        <v>45849.6875</v>
      </c>
      <c r="B296" s="1">
        <f>IFERROR(__xludf.DUMMYFUNCTION("""COMPUTED_VALUE"""),7.55)</f>
        <v>7.55</v>
      </c>
    </row>
    <row r="297">
      <c r="A297" s="2">
        <f>IFERROR(__xludf.DUMMYFUNCTION("""COMPUTED_VALUE"""),45852.6875)</f>
        <v>45852.6875</v>
      </c>
      <c r="B297" s="1">
        <f>IFERROR(__xludf.DUMMYFUNCTION("""COMPUTED_VALUE"""),7.61)</f>
        <v>7.61</v>
      </c>
    </row>
    <row r="298">
      <c r="A298" s="2">
        <f>IFERROR(__xludf.DUMMYFUNCTION("""COMPUTED_VALUE"""),45853.6875)</f>
        <v>45853.6875</v>
      </c>
      <c r="B298" s="1">
        <f>IFERROR(__xludf.DUMMYFUNCTION("""COMPUTED_VALUE"""),7.61)</f>
        <v>7.61</v>
      </c>
    </row>
    <row r="299">
      <c r="A299" s="2">
        <f>IFERROR(__xludf.DUMMYFUNCTION("""COMPUTED_VALUE"""),45854.6875)</f>
        <v>45854.6875</v>
      </c>
      <c r="B299" s="1">
        <f>IFERROR(__xludf.DUMMYFUNCTION("""COMPUTED_VALUE"""),7.68)</f>
        <v>7.68</v>
      </c>
    </row>
    <row r="300">
      <c r="A300" s="2">
        <f>IFERROR(__xludf.DUMMYFUNCTION("""COMPUTED_VALUE"""),45855.6875)</f>
        <v>45855.6875</v>
      </c>
      <c r="B300" s="1">
        <f>IFERROR(__xludf.DUMMYFUNCTION("""COMPUTED_VALUE"""),7.87)</f>
        <v>7.87</v>
      </c>
    </row>
    <row r="301">
      <c r="A301" s="2">
        <f>IFERROR(__xludf.DUMMYFUNCTION("""COMPUTED_VALUE"""),45856.6875)</f>
        <v>45856.6875</v>
      </c>
      <c r="B301" s="1">
        <f>IFERROR(__xludf.DUMMYFUNCTION("""COMPUTED_VALUE"""),8.08)</f>
        <v>8.08</v>
      </c>
    </row>
    <row r="302">
      <c r="A302" s="2">
        <f>IFERROR(__xludf.DUMMYFUNCTION("""COMPUTED_VALUE"""),45859.6875)</f>
        <v>45859.6875</v>
      </c>
      <c r="B302" s="1">
        <f>IFERROR(__xludf.DUMMYFUNCTION("""COMPUTED_VALUE"""),8.15)</f>
        <v>8.15</v>
      </c>
    </row>
    <row r="303">
      <c r="A303" s="2">
        <f>IFERROR(__xludf.DUMMYFUNCTION("""COMPUTED_VALUE"""),45860.6875)</f>
        <v>45860.6875</v>
      </c>
      <c r="B303" s="1">
        <f>IFERROR(__xludf.DUMMYFUNCTION("""COMPUTED_VALUE"""),7.87)</f>
        <v>7.87</v>
      </c>
    </row>
    <row r="304">
      <c r="A304" s="2">
        <f>IFERROR(__xludf.DUMMYFUNCTION("""COMPUTED_VALUE"""),45861.6875)</f>
        <v>45861.6875</v>
      </c>
      <c r="B304" s="1">
        <f>IFERROR(__xludf.DUMMYFUNCTION("""COMPUTED_VALUE"""),7.96)</f>
        <v>7.96</v>
      </c>
    </row>
    <row r="305">
      <c r="A305" s="2">
        <f>IFERROR(__xludf.DUMMYFUNCTION("""COMPUTED_VALUE"""),45862.6875)</f>
        <v>45862.6875</v>
      </c>
      <c r="B305" s="1">
        <f>IFERROR(__xludf.DUMMYFUNCTION("""COMPUTED_VALUE"""),7.9)</f>
        <v>7.9</v>
      </c>
    </row>
    <row r="306">
      <c r="A306" s="2">
        <f>IFERROR(__xludf.DUMMYFUNCTION("""COMPUTED_VALUE"""),45863.6875)</f>
        <v>45863.6875</v>
      </c>
      <c r="B306" s="1">
        <f>IFERROR(__xludf.DUMMYFUNCTION("""COMPUTED_VALUE"""),7.95)</f>
        <v>7.95</v>
      </c>
    </row>
    <row r="307">
      <c r="A307" s="2">
        <f>IFERROR(__xludf.DUMMYFUNCTION("""COMPUTED_VALUE"""),45866.6875)</f>
        <v>45866.6875</v>
      </c>
      <c r="B307" s="1">
        <f>IFERROR(__xludf.DUMMYFUNCTION("""COMPUTED_VALUE"""),7.99)</f>
        <v>7.99</v>
      </c>
    </row>
    <row r="308">
      <c r="A308" s="2">
        <f>IFERROR(__xludf.DUMMYFUNCTION("""COMPUTED_VALUE"""),45867.6875)</f>
        <v>45867.6875</v>
      </c>
      <c r="B308" s="1">
        <f>IFERROR(__xludf.DUMMYFUNCTION("""COMPUTED_VALUE"""),7.78)</f>
        <v>7.78</v>
      </c>
    </row>
    <row r="309">
      <c r="A309" s="2">
        <f>IFERROR(__xludf.DUMMYFUNCTION("""COMPUTED_VALUE"""),45868.6875)</f>
        <v>45868.6875</v>
      </c>
      <c r="B309" s="1">
        <f>IFERROR(__xludf.DUMMYFUNCTION("""COMPUTED_VALUE"""),7.93)</f>
        <v>7.93</v>
      </c>
    </row>
    <row r="310">
      <c r="A310" s="2">
        <f>IFERROR(__xludf.DUMMYFUNCTION("""COMPUTED_VALUE"""),45869.6875)</f>
        <v>45869.6875</v>
      </c>
      <c r="B310" s="1">
        <f>IFERROR(__xludf.DUMMYFUNCTION("""COMPUTED_VALUE"""),7.94)</f>
        <v>7.94</v>
      </c>
    </row>
    <row r="311">
      <c r="A311" s="2">
        <f>IFERROR(__xludf.DUMMYFUNCTION("""COMPUTED_VALUE"""),45870.6875)</f>
        <v>45870.6875</v>
      </c>
      <c r="B311" s="1">
        <f>IFERROR(__xludf.DUMMYFUNCTION("""COMPUTED_VALUE"""),7.43)</f>
        <v>7.43</v>
      </c>
    </row>
    <row r="312">
      <c r="A312" s="2">
        <f>IFERROR(__xludf.DUMMYFUNCTION("""COMPUTED_VALUE"""),45873.6875)</f>
        <v>45873.6875</v>
      </c>
      <c r="B312" s="1">
        <f>IFERROR(__xludf.DUMMYFUNCTION("""COMPUTED_VALUE"""),7.57)</f>
        <v>7.57</v>
      </c>
    </row>
    <row r="313">
      <c r="A313" s="2">
        <f>IFERROR(__xludf.DUMMYFUNCTION("""COMPUTED_VALUE"""),45874.6875)</f>
        <v>45874.6875</v>
      </c>
      <c r="B313" s="1">
        <f>IFERROR(__xludf.DUMMYFUNCTION("""COMPUTED_VALUE"""),7.49)</f>
        <v>7.49</v>
      </c>
    </row>
    <row r="314">
      <c r="A314" s="2">
        <f>IFERROR(__xludf.DUMMYFUNCTION("""COMPUTED_VALUE"""),45875.6875)</f>
        <v>45875.6875</v>
      </c>
      <c r="B314" s="1">
        <f>IFERROR(__xludf.DUMMYFUNCTION("""COMPUTED_VALUE"""),7.69)</f>
        <v>7.69</v>
      </c>
    </row>
    <row r="315">
      <c r="A315" s="2">
        <f>IFERROR(__xludf.DUMMYFUNCTION("""COMPUTED_VALUE"""),45876.6875)</f>
        <v>45876.6875</v>
      </c>
      <c r="B315" s="1">
        <f>IFERROR(__xludf.DUMMYFUNCTION("""COMPUTED_VALUE"""),7.73)</f>
        <v>7.73</v>
      </c>
    </row>
    <row r="316">
      <c r="A316" s="2">
        <f>IFERROR(__xludf.DUMMYFUNCTION("""COMPUTED_VALUE"""),45877.6875)</f>
        <v>45877.6875</v>
      </c>
      <c r="B316" s="1">
        <f>IFERROR(__xludf.DUMMYFUNCTION("""COMPUTED_VALUE"""),7.72)</f>
        <v>7.72</v>
      </c>
    </row>
    <row r="317">
      <c r="A317" s="2">
        <f>IFERROR(__xludf.DUMMYFUNCTION("""COMPUTED_VALUE"""),45880.6875)</f>
        <v>45880.6875</v>
      </c>
      <c r="B317" s="1">
        <f>IFERROR(__xludf.DUMMYFUNCTION("""COMPUTED_VALUE"""),7.91)</f>
        <v>7.91</v>
      </c>
    </row>
    <row r="318">
      <c r="A318" s="2">
        <f>IFERROR(__xludf.DUMMYFUNCTION("""COMPUTED_VALUE"""),45881.6875)</f>
        <v>45881.6875</v>
      </c>
      <c r="B318" s="1">
        <f>IFERROR(__xludf.DUMMYFUNCTION("""COMPUTED_VALUE"""),7.96)</f>
        <v>7.96</v>
      </c>
    </row>
    <row r="319">
      <c r="A319" s="2">
        <f>IFERROR(__xludf.DUMMYFUNCTION("""COMPUTED_VALUE"""),45882.6875)</f>
        <v>45882.6875</v>
      </c>
      <c r="B319" s="1">
        <f>IFERROR(__xludf.DUMMYFUNCTION("""COMPUTED_VALUE"""),8.04)</f>
        <v>8.04</v>
      </c>
    </row>
    <row r="320">
      <c r="A320" s="2">
        <f>IFERROR(__xludf.DUMMYFUNCTION("""COMPUTED_VALUE"""),45883.6875)</f>
        <v>45883.6875</v>
      </c>
      <c r="B320" s="1">
        <f>IFERROR(__xludf.DUMMYFUNCTION("""COMPUTED_VALUE"""),8.0)</f>
        <v>8</v>
      </c>
    </row>
    <row r="321">
      <c r="A321" s="2">
        <f>IFERROR(__xludf.DUMMYFUNCTION("""COMPUTED_VALUE"""),45884.6875)</f>
        <v>45884.6875</v>
      </c>
      <c r="B321" s="1">
        <f>IFERROR(__xludf.DUMMYFUNCTION("""COMPUTED_VALUE"""),7.97)</f>
        <v>7.97</v>
      </c>
    </row>
    <row r="322">
      <c r="A322" s="2">
        <f>IFERROR(__xludf.DUMMYFUNCTION("""COMPUTED_VALUE"""),45887.6875)</f>
        <v>45887.6875</v>
      </c>
      <c r="B322" s="1">
        <f>IFERROR(__xludf.DUMMYFUNCTION("""COMPUTED_VALUE"""),8.03)</f>
        <v>8.03</v>
      </c>
    </row>
    <row r="323">
      <c r="A323" s="2">
        <f>IFERROR(__xludf.DUMMYFUNCTION("""COMPUTED_VALUE"""),45888.6875)</f>
        <v>45888.6875</v>
      </c>
      <c r="B323" s="1">
        <f>IFERROR(__xludf.DUMMYFUNCTION("""COMPUTED_VALUE"""),7.85)</f>
        <v>7.85</v>
      </c>
    </row>
    <row r="324">
      <c r="A324" s="2">
        <f>IFERROR(__xludf.DUMMYFUNCTION("""COMPUTED_VALUE"""),45889.6875)</f>
        <v>45889.6875</v>
      </c>
      <c r="B324" s="1">
        <f>IFERROR(__xludf.DUMMYFUNCTION("""COMPUTED_VALUE"""),7.53)</f>
        <v>7.53</v>
      </c>
    </row>
    <row r="325">
      <c r="A325" s="2">
        <f>IFERROR(__xludf.DUMMYFUNCTION("""COMPUTED_VALUE"""),45890.6875)</f>
        <v>45890.6875</v>
      </c>
      <c r="B325" s="1">
        <f>IFERROR(__xludf.DUMMYFUNCTION("""COMPUTED_VALUE"""),7.69)</f>
        <v>7.69</v>
      </c>
    </row>
    <row r="326">
      <c r="A326" s="2">
        <f>IFERROR(__xludf.DUMMYFUNCTION("""COMPUTED_VALUE"""),45891.6875)</f>
        <v>45891.6875</v>
      </c>
      <c r="B326" s="1">
        <f>IFERROR(__xludf.DUMMYFUNCTION("""COMPUTED_VALUE"""),7.97)</f>
        <v>7.97</v>
      </c>
    </row>
    <row r="327">
      <c r="A327" s="2">
        <f>IFERROR(__xludf.DUMMYFUNCTION("""COMPUTED_VALUE"""),45895.6875)</f>
        <v>45895.6875</v>
      </c>
      <c r="B327" s="1">
        <f>IFERROR(__xludf.DUMMYFUNCTION("""COMPUTED_VALUE"""),7.87)</f>
        <v>7.87</v>
      </c>
    </row>
    <row r="328">
      <c r="A328" s="2">
        <f>IFERROR(__xludf.DUMMYFUNCTION("""COMPUTED_VALUE"""),45896.6875)</f>
        <v>45896.6875</v>
      </c>
      <c r="B328" s="1">
        <f>IFERROR(__xludf.DUMMYFUNCTION("""COMPUTED_VALUE"""),7.85)</f>
        <v>7.85</v>
      </c>
    </row>
    <row r="329">
      <c r="A329" s="2">
        <f>IFERROR(__xludf.DUMMYFUNCTION("""COMPUTED_VALUE"""),45897.6875)</f>
        <v>45897.6875</v>
      </c>
      <c r="B329" s="1">
        <f>IFERROR(__xludf.DUMMYFUNCTION("""COMPUTED_VALUE"""),7.94)</f>
        <v>7.94</v>
      </c>
    </row>
    <row r="330">
      <c r="A330" s="2">
        <f>IFERROR(__xludf.DUMMYFUNCTION("""COMPUTED_VALUE"""),45898.6875)</f>
        <v>45898.6875</v>
      </c>
      <c r="B330" s="1">
        <f>IFERROR(__xludf.DUMMYFUNCTION("""COMPUTED_VALUE"""),7.75)</f>
        <v>7.75</v>
      </c>
    </row>
    <row r="331">
      <c r="A331" s="2">
        <f>IFERROR(__xludf.DUMMYFUNCTION("""COMPUTED_VALUE"""),45901.6875)</f>
        <v>45901.6875</v>
      </c>
      <c r="B331" s="1">
        <f>IFERROR(__xludf.DUMMYFUNCTION("""COMPUTED_VALUE"""),7.69)</f>
        <v>7.69</v>
      </c>
    </row>
    <row r="332">
      <c r="A332" s="2">
        <f>IFERROR(__xludf.DUMMYFUNCTION("""COMPUTED_VALUE"""),45902.6875)</f>
        <v>45902.6875</v>
      </c>
      <c r="B332" s="1">
        <f>IFERROR(__xludf.DUMMYFUNCTION("""COMPUTED_VALUE"""),7.61)</f>
        <v>7.61</v>
      </c>
    </row>
    <row r="333">
      <c r="A333" s="2">
        <f>IFERROR(__xludf.DUMMYFUNCTION("""COMPUTED_VALUE"""),45903.6875)</f>
        <v>45903.6875</v>
      </c>
      <c r="B333" s="1">
        <f>IFERROR(__xludf.DUMMYFUNCTION("""COMPUTED_VALUE"""),7.76)</f>
        <v>7.76</v>
      </c>
    </row>
    <row r="334">
      <c r="A334" s="2">
        <f>IFERROR(__xludf.DUMMYFUNCTION("""COMPUTED_VALUE"""),45904.6875)</f>
        <v>45904.6875</v>
      </c>
      <c r="B334" s="1">
        <f>IFERROR(__xludf.DUMMYFUNCTION("""COMPUTED_VALUE"""),7.7)</f>
        <v>7.7</v>
      </c>
    </row>
    <row r="335">
      <c r="A335" s="2">
        <f>IFERROR(__xludf.DUMMYFUNCTION("""COMPUTED_VALUE"""),45905.6875)</f>
        <v>45905.6875</v>
      </c>
      <c r="B335" s="1">
        <f>IFERROR(__xludf.DUMMYFUNCTION("""COMPUTED_VALUE"""),7.76)</f>
        <v>7.76</v>
      </c>
    </row>
    <row r="336">
      <c r="A336" s="2">
        <f>IFERROR(__xludf.DUMMYFUNCTION("""COMPUTED_VALUE"""),45908.6875)</f>
        <v>45908.6875</v>
      </c>
      <c r="B336" s="1">
        <f>IFERROR(__xludf.DUMMYFUNCTION("""COMPUTED_VALUE"""),7.91)</f>
        <v>7.91</v>
      </c>
    </row>
    <row r="337">
      <c r="A337" s="2">
        <f>IFERROR(__xludf.DUMMYFUNCTION("""COMPUTED_VALUE"""),45909.6875)</f>
        <v>45909.6875</v>
      </c>
      <c r="B337" s="1">
        <f>IFERROR(__xludf.DUMMYFUNCTION("""COMPUTED_VALUE"""),7.86)</f>
        <v>7.86</v>
      </c>
    </row>
    <row r="338">
      <c r="A338" s="2">
        <f>IFERROR(__xludf.DUMMYFUNCTION("""COMPUTED_VALUE"""),45910.6875)</f>
        <v>45910.6875</v>
      </c>
      <c r="B338" s="1">
        <f>IFERROR(__xludf.DUMMYFUNCTION("""COMPUTED_VALUE"""),7.95)</f>
        <v>7.95</v>
      </c>
    </row>
    <row r="339">
      <c r="A339" s="2">
        <f>IFERROR(__xludf.DUMMYFUNCTION("""COMPUTED_VALUE"""),45911.6875)</f>
        <v>45911.6875</v>
      </c>
      <c r="B339" s="1">
        <f>IFERROR(__xludf.DUMMYFUNCTION("""COMPUTED_VALUE"""),8.04)</f>
        <v>8.04</v>
      </c>
    </row>
    <row r="340">
      <c r="A340" s="2">
        <f>IFERROR(__xludf.DUMMYFUNCTION("""COMPUTED_VALUE"""),45912.6875)</f>
        <v>45912.6875</v>
      </c>
      <c r="B340" s="1">
        <f>IFERROR(__xludf.DUMMYFUNCTION("""COMPUTED_VALUE"""),8.07)</f>
        <v>8.07</v>
      </c>
    </row>
    <row r="341">
      <c r="A341" s="2">
        <f>IFERROR(__xludf.DUMMYFUNCTION("""COMPUTED_VALUE"""),45915.6875)</f>
        <v>45915.6875</v>
      </c>
      <c r="B341" s="1">
        <f>IFERROR(__xludf.DUMMYFUNCTION("""COMPUTED_VALUE"""),8.16)</f>
        <v>8.16</v>
      </c>
    </row>
    <row r="342">
      <c r="A342" s="2">
        <f>IFERROR(__xludf.DUMMYFUNCTION("""COMPUTED_VALUE"""),45916.6875)</f>
        <v>45916.6875</v>
      </c>
      <c r="B342" s="1">
        <f>IFERROR(__xludf.DUMMYFUNCTION("""COMPUTED_VALUE"""),8.24)</f>
        <v>8.24</v>
      </c>
    </row>
    <row r="343">
      <c r="A343" s="2">
        <f>IFERROR(__xludf.DUMMYFUNCTION("""COMPUTED_VALUE"""),45917.6875)</f>
        <v>45917.6875</v>
      </c>
      <c r="B343" s="1">
        <f>IFERROR(__xludf.DUMMYFUNCTION("""COMPUTED_VALUE"""),8.3)</f>
        <v>8.3</v>
      </c>
    </row>
    <row r="344">
      <c r="A344" s="2">
        <f>IFERROR(__xludf.DUMMYFUNCTION("""COMPUTED_VALUE"""),45918.6875)</f>
        <v>45918.6875</v>
      </c>
      <c r="B344" s="1">
        <f>IFERROR(__xludf.DUMMYFUNCTION("""COMPUTED_VALUE"""),8.64)</f>
        <v>8.64</v>
      </c>
    </row>
    <row r="345">
      <c r="A345" s="2">
        <f>IFERROR(__xludf.DUMMYFUNCTION("""COMPUTED_VALUE"""),45919.6875)</f>
        <v>45919.6875</v>
      </c>
      <c r="B345" s="1">
        <f>IFERROR(__xludf.DUMMYFUNCTION("""COMPUTED_VALUE"""),8.69)</f>
        <v>8.69</v>
      </c>
    </row>
    <row r="346">
      <c r="A346" s="2">
        <f>IFERROR(__xludf.DUMMYFUNCTION("""COMPUTED_VALUE"""),45922.6875)</f>
        <v>45922.6875</v>
      </c>
      <c r="B346" s="1">
        <f>IFERROR(__xludf.DUMMYFUNCTION("""COMPUTED_VALUE"""),8.59)</f>
        <v>8.59</v>
      </c>
    </row>
    <row r="347">
      <c r="A347" s="2">
        <f>IFERROR(__xludf.DUMMYFUNCTION("""COMPUTED_VALUE"""),45923.6875)</f>
        <v>45923.6875</v>
      </c>
      <c r="B347" s="1">
        <f>IFERROR(__xludf.DUMMYFUNCTION("""COMPUTED_VALUE"""),8.7)</f>
        <v>8.7</v>
      </c>
    </row>
    <row r="348">
      <c r="A348" s="2">
        <f>IFERROR(__xludf.DUMMYFUNCTION("""COMPUTED_VALUE"""),45924.6875)</f>
        <v>45924.6875</v>
      </c>
      <c r="B348" s="1">
        <f>IFERROR(__xludf.DUMMYFUNCTION("""COMPUTED_VALUE"""),8.59)</f>
        <v>8.59</v>
      </c>
    </row>
    <row r="349">
      <c r="A349" s="2">
        <f>IFERROR(__xludf.DUMMYFUNCTION("""COMPUTED_VALUE"""),45925.6875)</f>
        <v>45925.6875</v>
      </c>
      <c r="B349" s="1">
        <f>IFERROR(__xludf.DUMMYFUNCTION("""COMPUTED_VALUE"""),8.35)</f>
        <v>8.35</v>
      </c>
    </row>
    <row r="350">
      <c r="A350" s="2">
        <f>IFERROR(__xludf.DUMMYFUNCTION("""COMPUTED_VALUE"""),45926.6875)</f>
        <v>45926.6875</v>
      </c>
      <c r="B350" s="1">
        <f>IFERROR(__xludf.DUMMYFUNCTION("""COMPUTED_VALUE"""),8.27)</f>
        <v>8.27</v>
      </c>
    </row>
    <row r="351">
      <c r="A351" s="2">
        <f>IFERROR(__xludf.DUMMYFUNCTION("""COMPUTED_VALUE"""),45929.6875)</f>
        <v>45929.6875</v>
      </c>
      <c r="B351" s="1">
        <f>IFERROR(__xludf.DUMMYFUNCTION("""COMPUTED_VALUE"""),8.5)</f>
        <v>8.5</v>
      </c>
    </row>
    <row r="352">
      <c r="A352" s="2">
        <f>IFERROR(__xludf.DUMMYFUNCTION("""COMPUTED_VALUE"""),45930.6875)</f>
        <v>45930.6875</v>
      </c>
      <c r="B352" s="1">
        <f>IFERROR(__xludf.DUMMYFUNCTION("""COMPUTED_VALUE"""),8.51)</f>
        <v>8.51</v>
      </c>
    </row>
    <row r="353">
      <c r="A353" s="2">
        <f>IFERROR(__xludf.DUMMYFUNCTION("""COMPUTED_VALUE"""),45931.6875)</f>
        <v>45931.6875</v>
      </c>
      <c r="B353" s="1">
        <f>IFERROR(__xludf.DUMMYFUNCTION("""COMPUTED_VALUE"""),8.81)</f>
        <v>8.81</v>
      </c>
    </row>
    <row r="354">
      <c r="A354" s="2">
        <f>IFERROR(__xludf.DUMMYFUNCTION("""COMPUTED_VALUE"""),45932.6875)</f>
        <v>45932.6875</v>
      </c>
      <c r="B354" s="1">
        <f>IFERROR(__xludf.DUMMYFUNCTION("""COMPUTED_VALUE"""),8.99)</f>
        <v>8.99</v>
      </c>
    </row>
    <row r="355">
      <c r="A355" s="2">
        <f>IFERROR(__xludf.DUMMYFUNCTION("""COMPUTED_VALUE"""),45933.6875)</f>
        <v>45933.6875</v>
      </c>
      <c r="B355" s="1">
        <f>IFERROR(__xludf.DUMMYFUNCTION("""COMPUTED_VALUE"""),9.04)</f>
        <v>9.04</v>
      </c>
    </row>
    <row r="356">
      <c r="A356" s="2">
        <f>IFERROR(__xludf.DUMMYFUNCTION("""COMPUTED_VALUE"""),45936.6875)</f>
        <v>45936.6875</v>
      </c>
      <c r="B356" s="1">
        <f>IFERROR(__xludf.DUMMYFUNCTION("""COMPUTED_VALUE"""),9.28)</f>
        <v>9.28</v>
      </c>
    </row>
    <row r="357">
      <c r="A357" s="2">
        <f>IFERROR(__xludf.DUMMYFUNCTION("""COMPUTED_VALUE"""),45937.6875)</f>
        <v>45937.6875</v>
      </c>
      <c r="B357" s="1">
        <f>IFERROR(__xludf.DUMMYFUNCTION("""COMPUTED_VALUE"""),9.14)</f>
        <v>9.14</v>
      </c>
    </row>
    <row r="358">
      <c r="A358" s="2">
        <f>IFERROR(__xludf.DUMMYFUNCTION("""COMPUTED_VALUE"""),45938.6875)</f>
        <v>45938.6875</v>
      </c>
      <c r="B358" s="1">
        <f>IFERROR(__xludf.DUMMYFUNCTION("""COMPUTED_VALUE"""),9.37)</f>
        <v>9.37</v>
      </c>
    </row>
    <row r="359">
      <c r="A359" s="2">
        <f>IFERROR(__xludf.DUMMYFUNCTION("""COMPUTED_VALUE"""),45939.6875)</f>
        <v>45939.6875</v>
      </c>
      <c r="B359" s="1">
        <f>IFERROR(__xludf.DUMMYFUNCTION("""COMPUTED_VALUE"""),9.41)</f>
        <v>9.41</v>
      </c>
    </row>
    <row r="360">
      <c r="A360" s="2">
        <f>IFERROR(__xludf.DUMMYFUNCTION("""COMPUTED_VALUE"""),45940.6875)</f>
        <v>45940.6875</v>
      </c>
      <c r="B360" s="1">
        <f>IFERROR(__xludf.DUMMYFUNCTION("""COMPUTED_VALUE"""),9.0)</f>
        <v>9</v>
      </c>
    </row>
    <row r="361">
      <c r="A361" s="2">
        <f>IFERROR(__xludf.DUMMYFUNCTION("""COMPUTED_VALUE"""),45943.6875)</f>
        <v>45943.6875</v>
      </c>
      <c r="B361" s="1">
        <f>IFERROR(__xludf.DUMMYFUNCTION("""COMPUTED_VALUE"""),8.98)</f>
        <v>8.98</v>
      </c>
    </row>
    <row r="362">
      <c r="A362" s="2">
        <f>IFERROR(__xludf.DUMMYFUNCTION("""COMPUTED_VALUE"""),45944.6875)</f>
        <v>45944.6875</v>
      </c>
      <c r="B362" s="1">
        <f>IFERROR(__xludf.DUMMYFUNCTION("""COMPUTED_VALUE"""),8.83)</f>
        <v>8.83</v>
      </c>
    </row>
    <row r="363">
      <c r="A363" s="2">
        <f>IFERROR(__xludf.DUMMYFUNCTION("""COMPUTED_VALUE"""),45945.6875)</f>
        <v>45945.6875</v>
      </c>
      <c r="B363" s="1">
        <f>IFERROR(__xludf.DUMMYFUNCTION("""COMPUTED_VALUE"""),9.22)</f>
        <v>9.22</v>
      </c>
    </row>
    <row r="364">
      <c r="A364" s="2">
        <f>IFERROR(__xludf.DUMMYFUNCTION("""COMPUTED_VALUE"""),45946.6875)</f>
        <v>45946.6875</v>
      </c>
      <c r="B364" s="1">
        <f>IFERROR(__xludf.DUMMYFUNCTION("""COMPUTED_VALUE"""),9.24)</f>
        <v>9.24</v>
      </c>
    </row>
    <row r="365">
      <c r="A365" s="2">
        <f>IFERROR(__xludf.DUMMYFUNCTION("""COMPUTED_VALUE"""),45947.6875)</f>
        <v>45947.6875</v>
      </c>
      <c r="B365" s="1">
        <f>IFERROR(__xludf.DUMMYFUNCTION("""COMPUTED_VALUE"""),8.81)</f>
        <v>8.81</v>
      </c>
    </row>
    <row r="366">
      <c r="A366" s="2">
        <f>IFERROR(__xludf.DUMMYFUNCTION("""COMPUTED_VALUE"""),45950.6875)</f>
        <v>45950.6875</v>
      </c>
      <c r="B366" s="1">
        <f>IFERROR(__xludf.DUMMYFUNCTION("""COMPUTED_VALUE"""),9.28)</f>
        <v>9.28</v>
      </c>
    </row>
    <row r="367">
      <c r="A367" s="2">
        <f>IFERROR(__xludf.DUMMYFUNCTION("""COMPUTED_VALUE"""),45951.6875)</f>
        <v>45951.6875</v>
      </c>
      <c r="B367" s="1">
        <f>IFERROR(__xludf.DUMMYFUNCTION("""COMPUTED_VALUE"""),9.32)</f>
        <v>9.32</v>
      </c>
    </row>
    <row r="368">
      <c r="A368" s="2">
        <f>IFERROR(__xludf.DUMMYFUNCTION("""COMPUTED_VALUE"""),45952.6875)</f>
        <v>45952.6875</v>
      </c>
      <c r="B368" s="1">
        <f>IFERROR(__xludf.DUMMYFUNCTION("""COMPUTED_VALUE"""),8.81)</f>
        <v>8.81</v>
      </c>
    </row>
    <row r="369">
      <c r="A369" s="2">
        <f>IFERROR(__xludf.DUMMYFUNCTION("""COMPUTED_VALUE"""),45953.6875)</f>
        <v>45953.6875</v>
      </c>
      <c r="B369" s="1">
        <f>IFERROR(__xludf.DUMMYFUNCTION("""COMPUTED_VALUE"""),8.97)</f>
        <v>8.97</v>
      </c>
    </row>
    <row r="370">
      <c r="A370" s="2">
        <f>IFERROR(__xludf.DUMMYFUNCTION("""COMPUTED_VALUE"""),45954.6875)</f>
        <v>45954.6875</v>
      </c>
      <c r="B370" s="1">
        <f>IFERROR(__xludf.DUMMYFUNCTION("""COMPUTED_VALUE"""),9.31)</f>
        <v>9.31</v>
      </c>
    </row>
    <row r="371">
      <c r="A371" s="2">
        <f>IFERROR(__xludf.DUMMYFUNCTION("""COMPUTED_VALUE"""),45957.6875)</f>
        <v>45957.6875</v>
      </c>
      <c r="B371" s="1">
        <f>IFERROR(__xludf.DUMMYFUNCTION("""COMPUTED_VALUE"""),9.35)</f>
        <v>9.35</v>
      </c>
    </row>
    <row r="372">
      <c r="A372" s="2">
        <f>IFERROR(__xludf.DUMMYFUNCTION("""COMPUTED_VALUE"""),45958.6875)</f>
        <v>45958.6875</v>
      </c>
      <c r="B372" s="1">
        <f>IFERROR(__xludf.DUMMYFUNCTION("""COMPUTED_VALUE"""),9.3)</f>
        <v>9.3</v>
      </c>
    </row>
    <row r="373">
      <c r="A373" s="2">
        <f>IFERROR(__xludf.DUMMYFUNCTION("""COMPUTED_VALUE"""),45959.6875)</f>
        <v>45959.6875</v>
      </c>
      <c r="B373" s="1">
        <f>IFERROR(__xludf.DUMMYFUNCTION("""COMPUTED_VALUE"""),9.32)</f>
        <v>9.32</v>
      </c>
    </row>
    <row r="374">
      <c r="A374" s="2">
        <f>IFERROR(__xludf.DUMMYFUNCTION("""COMPUTED_VALUE"""),45960.6875)</f>
        <v>45960.6875</v>
      </c>
      <c r="B374" s="1">
        <f>IFERROR(__xludf.DUMMYFUNCTION("""COMPUTED_VALUE"""),9.09)</f>
        <v>9.09</v>
      </c>
    </row>
    <row r="375">
      <c r="A375" s="2">
        <f>IFERROR(__xludf.DUMMYFUNCTION("""COMPUTED_VALUE"""),45961.6875)</f>
        <v>45961.6875</v>
      </c>
      <c r="B375" s="1">
        <f>IFERROR(__xludf.DUMMYFUNCTION("""COMPUTED_VALUE"""),9.23)</f>
        <v>9.23</v>
      </c>
    </row>
    <row r="376">
      <c r="A376" s="2">
        <f>IFERROR(__xludf.DUMMYFUNCTION("""COMPUTED_VALUE"""),45964.6875)</f>
        <v>45964.6875</v>
      </c>
      <c r="B376" s="1">
        <f>IFERROR(__xludf.DUMMYFUNCTION("""COMPUTED_VALUE"""),9.07)</f>
        <v>9.07</v>
      </c>
    </row>
    <row r="377">
      <c r="A377" s="2">
        <f>IFERROR(__xludf.DUMMYFUNCTION("""COMPUTED_VALUE"""),45965.6875)</f>
        <v>45965.6875</v>
      </c>
      <c r="B377" s="1">
        <f>IFERROR(__xludf.DUMMYFUNCTION("""COMPUTED_VALUE"""),8.91)</f>
        <v>8.91</v>
      </c>
    </row>
    <row r="378">
      <c r="A378" s="2">
        <f>IFERROR(__xludf.DUMMYFUNCTION("""COMPUTED_VALUE"""),45966.6875)</f>
        <v>45966.6875</v>
      </c>
      <c r="B378" s="1">
        <f>IFERROR(__xludf.DUMMYFUNCTION("""COMPUTED_VALUE"""),8.73)</f>
        <v>8.73</v>
      </c>
    </row>
    <row r="379">
      <c r="A379" s="2">
        <f>IFERROR(__xludf.DUMMYFUNCTION("""COMPUTED_VALUE"""),45967.6875)</f>
        <v>45967.6875</v>
      </c>
      <c r="B379" s="1">
        <f>IFERROR(__xludf.DUMMYFUNCTION("""COMPUTED_VALUE"""),8.48)</f>
        <v>8.48</v>
      </c>
    </row>
    <row r="380">
      <c r="A380" s="2">
        <f>IFERROR(__xludf.DUMMYFUNCTION("""COMPUTED_VALUE"""),45968.6875)</f>
        <v>45968.6875</v>
      </c>
      <c r="B380" s="1">
        <f>IFERROR(__xludf.DUMMYFUNCTION("""COMPUTED_VALUE"""),8.11)</f>
        <v>8.11</v>
      </c>
    </row>
    <row r="381">
      <c r="A381" s="2">
        <f>IFERROR(__xludf.DUMMYFUNCTION("""COMPUTED_VALUE"""),45971.6875)</f>
        <v>45971.6875</v>
      </c>
      <c r="B381" s="1">
        <f>IFERROR(__xludf.DUMMYFUNCTION("""COMPUTED_VALUE"""),8.57)</f>
        <v>8.57</v>
      </c>
    </row>
    <row r="382">
      <c r="A382" s="2">
        <f>IFERROR(__xludf.DUMMYFUNCTION("""COMPUTED_VALUE"""),45972.6875)</f>
        <v>45972.6875</v>
      </c>
      <c r="B382" s="1">
        <f>IFERROR(__xludf.DUMMYFUNCTION("""COMPUTED_VALUE"""),8.5)</f>
        <v>8.5</v>
      </c>
    </row>
    <row r="383">
      <c r="A383" s="2">
        <f>IFERROR(__xludf.DUMMYFUNCTION("""COMPUTED_VALUE"""),45973.6875)</f>
        <v>45973.6875</v>
      </c>
      <c r="B383" s="1">
        <f>IFERROR(__xludf.DUMMYFUNCTION("""COMPUTED_VALUE"""),8.41)</f>
        <v>8.41</v>
      </c>
    </row>
    <row r="384">
      <c r="A384" s="2">
        <f>IFERROR(__xludf.DUMMYFUNCTION("""COMPUTED_VALUE"""),45974.6875)</f>
        <v>45974.6875</v>
      </c>
      <c r="B384" s="1">
        <f>IFERROR(__xludf.DUMMYFUNCTION("""COMPUTED_VALUE"""),8.22)</f>
        <v>8.22</v>
      </c>
    </row>
    <row r="385">
      <c r="A385" s="2">
        <f>IFERROR(__xludf.DUMMYFUNCTION("""COMPUTED_VALUE"""),45975.6875)</f>
        <v>45975.6875</v>
      </c>
      <c r="B385" s="1">
        <f>IFERROR(__xludf.DUMMYFUNCTION("""COMPUTED_VALUE"""),8.14)</f>
        <v>8.14</v>
      </c>
    </row>
    <row r="386">
      <c r="A386" s="2">
        <f>IFERROR(__xludf.DUMMYFUNCTION("""COMPUTED_VALUE"""),45978.6875)</f>
        <v>45978.6875</v>
      </c>
      <c r="B386" s="1">
        <f>IFERROR(__xludf.DUMMYFUNCTION("""COMPUTED_VALUE"""),7.96)</f>
        <v>7.96</v>
      </c>
    </row>
    <row r="387">
      <c r="A387" s="2">
        <f>IFERROR(__xludf.DUMMYFUNCTION("""COMPUTED_VALUE"""),45979.6875)</f>
        <v>45979.6875</v>
      </c>
      <c r="B387" s="1">
        <f>IFERROR(__xludf.DUMMYFUNCTION("""COMPUTED_VALUE"""),7.79)</f>
        <v>7.79</v>
      </c>
    </row>
    <row r="388">
      <c r="A388" s="2">
        <f>IFERROR(__xludf.DUMMYFUNCTION("""COMPUTED_VALUE"""),45980.6875)</f>
        <v>45980.6875</v>
      </c>
      <c r="B388" s="1">
        <f>IFERROR(__xludf.DUMMYFUNCTION("""COMPUTED_VALUE"""),7.73)</f>
        <v>7.73</v>
      </c>
    </row>
    <row r="389">
      <c r="A389" s="2">
        <f>IFERROR(__xludf.DUMMYFUNCTION("""COMPUTED_VALUE"""),45981.6875)</f>
        <v>45981.6875</v>
      </c>
      <c r="B389" s="1">
        <f>IFERROR(__xludf.DUMMYFUNCTION("""COMPUTED_VALUE"""),7.81)</f>
        <v>7.81</v>
      </c>
    </row>
    <row r="390">
      <c r="A390" s="2">
        <f>IFERROR(__xludf.DUMMYFUNCTION("""COMPUTED_VALUE"""),45982.6875)</f>
        <v>45982.6875</v>
      </c>
      <c r="B390" s="1">
        <f>IFERROR(__xludf.DUMMYFUNCTION("""COMPUTED_VALUE"""),7.53)</f>
        <v>7.53</v>
      </c>
    </row>
    <row r="391">
      <c r="A391" s="2">
        <f>IFERROR(__xludf.DUMMYFUNCTION("""COMPUTED_VALUE"""),45985.6875)</f>
        <v>45985.6875</v>
      </c>
      <c r="B391" s="1">
        <f>IFERROR(__xludf.DUMMYFUNCTION("""COMPUTED_VALUE"""),7.94)</f>
        <v>7.94</v>
      </c>
    </row>
    <row r="392">
      <c r="A392" s="2">
        <f>IFERROR(__xludf.DUMMYFUNCTION("""COMPUTED_VALUE"""),45986.6875)</f>
        <v>45986.6875</v>
      </c>
      <c r="B392" s="1">
        <f>IFERROR(__xludf.DUMMYFUNCTION("""COMPUTED_VALUE"""),7.95)</f>
        <v>7.95</v>
      </c>
    </row>
    <row r="393">
      <c r="A393" s="2">
        <f>IFERROR(__xludf.DUMMYFUNCTION("""COMPUTED_VALUE"""),45987.6875)</f>
        <v>45987.6875</v>
      </c>
      <c r="B393" s="1">
        <f>IFERROR(__xludf.DUMMYFUNCTION("""COMPUTED_VALUE"""),8.25)</f>
        <v>8.25</v>
      </c>
    </row>
    <row r="394">
      <c r="A394" s="2">
        <f>IFERROR(__xludf.DUMMYFUNCTION("""COMPUTED_VALUE"""),45988.6875)</f>
        <v>45988.6875</v>
      </c>
      <c r="B394" s="1">
        <f>IFERROR(__xludf.DUMMYFUNCTION("""COMPUTED_VALUE"""),8.22)</f>
        <v>8.22</v>
      </c>
    </row>
    <row r="395">
      <c r="A395" s="2">
        <f>IFERROR(__xludf.DUMMYFUNCTION("""COMPUTED_VALUE"""),45989.6875)</f>
        <v>45989.6875</v>
      </c>
      <c r="B395" s="1">
        <f>IFERROR(__xludf.DUMMYFUNCTION("""COMPUTED_VALUE"""),8.33)</f>
        <v>8.33</v>
      </c>
    </row>
    <row r="396">
      <c r="A396" s="2">
        <f>IFERROR(__xludf.DUMMYFUNCTION("""COMPUTED_VALUE"""),45992.6875)</f>
        <v>45992.6875</v>
      </c>
      <c r="B396" s="1">
        <f>IFERROR(__xludf.DUMMYFUNCTION("""COMPUTED_VALUE"""),8.15)</f>
        <v>8.15</v>
      </c>
    </row>
    <row r="397">
      <c r="A397" s="2">
        <f>IFERROR(__xludf.DUMMYFUNCTION("""COMPUTED_VALUE"""),45993.6875)</f>
        <v>45993.6875</v>
      </c>
      <c r="B397" s="1">
        <f>IFERROR(__xludf.DUMMYFUNCTION("""COMPUTED_VALUE"""),8.16)</f>
        <v>8.16</v>
      </c>
    </row>
    <row r="398">
      <c r="A398" s="2">
        <f>IFERROR(__xludf.DUMMYFUNCTION("""COMPUTED_VALUE"""),45994.6875)</f>
        <v>45994.6875</v>
      </c>
      <c r="B398" s="1">
        <f>IFERROR(__xludf.DUMMYFUNCTION("""COMPUTED_VALUE"""),8.36)</f>
        <v>8.36</v>
      </c>
    </row>
    <row r="399">
      <c r="A399" s="2">
        <f>IFERROR(__xludf.DUMMYFUNCTION("""COMPUTED_VALUE"""),45995.6875)</f>
        <v>45995.6875</v>
      </c>
      <c r="B399" s="1">
        <f>IFERROR(__xludf.DUMMYFUNCTION("""COMPUTED_VALUE"""),8.56)</f>
        <v>8.56</v>
      </c>
    </row>
    <row r="400">
      <c r="A400" s="2">
        <f>IFERROR(__xludf.DUMMYFUNCTION("""COMPUTED_VALUE"""),45996.6875)</f>
        <v>45996.6875</v>
      </c>
      <c r="B400" s="1">
        <f>IFERROR(__xludf.DUMMYFUNCTION("""COMPUTED_VALUE"""),8.53)</f>
        <v>8.53</v>
      </c>
    </row>
    <row r="401">
      <c r="A401" s="2">
        <f>IFERROR(__xludf.DUMMYFUNCTION("""COMPUTED_VALUE"""),45999.6875)</f>
        <v>45999.6875</v>
      </c>
      <c r="B401" s="1">
        <f>IFERROR(__xludf.DUMMYFUNCTION("""COMPUTED_VALUE"""),8.58)</f>
        <v>8.58</v>
      </c>
    </row>
    <row r="402">
      <c r="A402" s="2">
        <f>IFERROR(__xludf.DUMMYFUNCTION("""COMPUTED_VALUE"""),46000.6875)</f>
        <v>46000.6875</v>
      </c>
      <c r="B402" s="1">
        <f>IFERROR(__xludf.DUMMYFUNCTION("""COMPUTED_VALUE"""),8.66)</f>
        <v>8.66</v>
      </c>
    </row>
    <row r="403">
      <c r="A403" s="2">
        <f>IFERROR(__xludf.DUMMYFUNCTION("""COMPUTED_VALUE"""),46001.6875)</f>
        <v>46001.6875</v>
      </c>
      <c r="B403" s="1">
        <f>IFERROR(__xludf.DUMMYFUNCTION("""COMPUTED_VALUE"""),8.59)</f>
        <v>8.59</v>
      </c>
    </row>
    <row r="404">
      <c r="A404" s="2">
        <f>IFERROR(__xludf.DUMMYFUNCTION("""COMPUTED_VALUE"""),46002.6875)</f>
        <v>46002.6875</v>
      </c>
      <c r="B404" s="1">
        <f>IFERROR(__xludf.DUMMYFUNCTION("""COMPUTED_VALUE"""),8.47)</f>
        <v>8.47</v>
      </c>
    </row>
    <row r="405">
      <c r="A405" s="2">
        <f>IFERROR(__xludf.DUMMYFUNCTION("""COMPUTED_VALUE"""),46003.6875)</f>
        <v>46003.6875</v>
      </c>
      <c r="B405" s="1">
        <f>IFERROR(__xludf.DUMMYFUNCTION("""COMPUTED_VALUE"""),8.35)</f>
        <v>8.35</v>
      </c>
    </row>
    <row r="406">
      <c r="A406" s="2">
        <f>IFERROR(__xludf.DUMMYFUNCTION("""COMPUTED_VALUE"""),46006.6875)</f>
        <v>46006.6875</v>
      </c>
      <c r="B406" s="1">
        <f>IFERROR(__xludf.DUMMYFUNCTION("""COMPUTED_VALUE"""),8.31)</f>
        <v>8.31</v>
      </c>
    </row>
    <row r="407">
      <c r="A407" s="2">
        <f>IFERROR(__xludf.DUMMYFUNCTION("""COMPUTED_VALUE"""),46007.6875)</f>
        <v>46007.6875</v>
      </c>
      <c r="B407" s="1">
        <f>IFERROR(__xludf.DUMMYFUNCTION("""COMPUTED_VALUE"""),8.25)</f>
        <v>8.25</v>
      </c>
    </row>
    <row r="408">
      <c r="A408" s="2">
        <f>IFERROR(__xludf.DUMMYFUNCTION("""COMPUTED_VALUE"""),46008.6875)</f>
        <v>46008.6875</v>
      </c>
      <c r="B408" s="1">
        <f>IFERROR(__xludf.DUMMYFUNCTION("""COMPUTED_VALUE"""),8.24)</f>
        <v>8.24</v>
      </c>
    </row>
    <row r="409">
      <c r="A409" s="2">
        <f>IFERROR(__xludf.DUMMYFUNCTION("""COMPUTED_VALUE"""),46009.6875)</f>
        <v>46009.6875</v>
      </c>
      <c r="B409" s="1">
        <f>IFERROR(__xludf.DUMMYFUNCTION("""COMPUTED_VALUE"""),8.28)</f>
        <v>8.28</v>
      </c>
    </row>
    <row r="410">
      <c r="A410" s="2">
        <f>IFERROR(__xludf.DUMMYFUNCTION("""COMPUTED_VALUE"""),46010.6875)</f>
        <v>46010.6875</v>
      </c>
      <c r="B410" s="1">
        <f>IFERROR(__xludf.DUMMYFUNCTION("""COMPUTED_VALUE"""),8.4)</f>
        <v>8.4</v>
      </c>
    </row>
    <row r="411">
      <c r="A411" s="2">
        <f>IFERROR(__xludf.DUMMYFUNCTION("""COMPUTED_VALUE"""),46013.6875)</f>
        <v>46013.6875</v>
      </c>
      <c r="B411" s="1">
        <f>IFERROR(__xludf.DUMMYFUNCTION("""COMPUTED_VALUE"""),8.53)</f>
        <v>8.53</v>
      </c>
    </row>
    <row r="412">
      <c r="A412" s="2">
        <f>IFERROR(__xludf.DUMMYFUNCTION("""COMPUTED_VALUE"""),46014.6875)</f>
        <v>46014.6875</v>
      </c>
      <c r="B412" s="1">
        <f>IFERROR(__xludf.DUMMYFUNCTION("""COMPUTED_VALUE"""),8.36)</f>
        <v>8.36</v>
      </c>
    </row>
    <row r="413">
      <c r="A413" s="2">
        <f>IFERROR(__xludf.DUMMYFUNCTION("""COMPUTED_VALUE"""),46015.52083333333)</f>
        <v>46015.52083</v>
      </c>
      <c r="B413" s="1">
        <f>IFERROR(__xludf.DUMMYFUNCTION("""COMPUTED_VALUE"""),8.39)</f>
        <v>8.39</v>
      </c>
    </row>
    <row r="414">
      <c r="A414" s="2">
        <f>IFERROR(__xludf.DUMMYFUNCTION("""COMPUTED_VALUE"""),46020.6875)</f>
        <v>46020.6875</v>
      </c>
      <c r="B414" s="1">
        <f>IFERROR(__xludf.DUMMYFUNCTION("""COMPUTED_VALUE"""),8.22)</f>
        <v>8.22</v>
      </c>
    </row>
    <row r="415">
      <c r="A415" s="2">
        <f>IFERROR(__xludf.DUMMYFUNCTION("""COMPUTED_VALUE"""),46021.6875)</f>
        <v>46021.6875</v>
      </c>
      <c r="B415" s="1">
        <f>IFERROR(__xludf.DUMMYFUNCTION("""COMPUTED_VALUE"""),8.22)</f>
        <v>8.22</v>
      </c>
    </row>
    <row r="416">
      <c r="A416" s="2">
        <f>IFERROR(__xludf.DUMMYFUNCTION("""COMPUTED_VALUE"""),46022.52083333333)</f>
        <v>46022.52083</v>
      </c>
      <c r="B416" s="1">
        <f>IFERROR(__xludf.DUMMYFUNCTION("""COMPUTED_VALUE"""),8.1)</f>
        <v>8.1</v>
      </c>
    </row>
    <row r="417">
      <c r="A417" s="2">
        <f>IFERROR(__xludf.DUMMYFUNCTION("""COMPUTED_VALUE"""),46024.6875)</f>
        <v>46024.6875</v>
      </c>
      <c r="B417" s="1">
        <f>IFERROR(__xludf.DUMMYFUNCTION("""COMPUTED_VALUE"""),8.16)</f>
        <v>8.16</v>
      </c>
    </row>
    <row r="418">
      <c r="A418" s="2">
        <f>IFERROR(__xludf.DUMMYFUNCTION("""COMPUTED_VALUE"""),46027.6875)</f>
        <v>46027.6875</v>
      </c>
      <c r="B418" s="1">
        <f>IFERROR(__xludf.DUMMYFUNCTION("""COMPUTED_VALUE"""),8.47)</f>
        <v>8.47</v>
      </c>
    </row>
    <row r="419">
      <c r="A419" s="2">
        <f>IFERROR(__xludf.DUMMYFUNCTION("""COMPUTED_VALUE"""),46028.6875)</f>
        <v>46028.6875</v>
      </c>
      <c r="B419" s="1">
        <f>IFERROR(__xludf.DUMMYFUNCTION("""COMPUTED_VALUE"""),8.47)</f>
        <v>8.47</v>
      </c>
    </row>
    <row r="420">
      <c r="A420" s="2">
        <f>IFERROR(__xludf.DUMMYFUNCTION("""COMPUTED_VALUE"""),46029.6875)</f>
        <v>46029.6875</v>
      </c>
      <c r="B420" s="1">
        <f>IFERROR(__xludf.DUMMYFUNCTION("""COMPUTED_VALUE"""),8.54)</f>
        <v>8.54</v>
      </c>
    </row>
    <row r="421">
      <c r="A421" s="2">
        <f>IFERROR(__xludf.DUMMYFUNCTION("""COMPUTED_VALUE"""),46030.6875)</f>
        <v>46030.6875</v>
      </c>
      <c r="B421" s="1">
        <f>IFERROR(__xludf.DUMMYFUNCTION("""COMPUTED_VALUE"""),8.42)</f>
        <v>8.42</v>
      </c>
    </row>
    <row r="422">
      <c r="A422" s="2">
        <f>IFERROR(__xludf.DUMMYFUNCTION("""COMPUTED_VALUE"""),46031.6875)</f>
        <v>46031.6875</v>
      </c>
      <c r="B422" s="1">
        <f>IFERROR(__xludf.DUMMYFUNCTION("""COMPUTED_VALUE"""),8.43)</f>
        <v>8.43</v>
      </c>
    </row>
    <row r="423">
      <c r="A423" s="2">
        <f>IFERROR(__xludf.DUMMYFUNCTION("""COMPUTED_VALUE"""),46034.6875)</f>
        <v>46034.6875</v>
      </c>
      <c r="B423" s="1">
        <f>IFERROR(__xludf.DUMMYFUNCTION("""COMPUTED_VALUE"""),8.6)</f>
        <v>8.6</v>
      </c>
    </row>
    <row r="424">
      <c r="A424" s="2">
        <f>IFERROR(__xludf.DUMMYFUNCTION("""COMPUTED_VALUE"""),46035.6875)</f>
        <v>46035.6875</v>
      </c>
      <c r="B424" s="1">
        <f>IFERROR(__xludf.DUMMYFUNCTION("""COMPUTED_VALUE"""),8.69)</f>
        <v>8.69</v>
      </c>
    </row>
    <row r="425">
      <c r="A425" s="2">
        <f>IFERROR(__xludf.DUMMYFUNCTION("""COMPUTED_VALUE"""),46036.6875)</f>
        <v>46036.6875</v>
      </c>
      <c r="B425" s="1">
        <f>IFERROR(__xludf.DUMMYFUNCTION("""COMPUTED_VALUE"""),8.69)</f>
        <v>8.69</v>
      </c>
    </row>
    <row r="426">
      <c r="A426" s="2">
        <f>IFERROR(__xludf.DUMMYFUNCTION("""COMPUTED_VALUE"""),46037.6875)</f>
        <v>46037.6875</v>
      </c>
      <c r="B426" s="1">
        <f>IFERROR(__xludf.DUMMYFUNCTION("""COMPUTED_VALUE"""),8.73)</f>
        <v>8.73</v>
      </c>
    </row>
    <row r="427">
      <c r="A427" s="2">
        <f>IFERROR(__xludf.DUMMYFUNCTION("""COMPUTED_VALUE"""),46038.6875)</f>
        <v>46038.6875</v>
      </c>
      <c r="B427" s="1">
        <f>IFERROR(__xludf.DUMMYFUNCTION("""COMPUTED_VALUE"""),8.64)</f>
        <v>8.64</v>
      </c>
    </row>
    <row r="428">
      <c r="A428" s="2">
        <f>IFERROR(__xludf.DUMMYFUNCTION("""COMPUTED_VALUE"""),46041.6875)</f>
        <v>46041.6875</v>
      </c>
      <c r="B428" s="1">
        <f>IFERROR(__xludf.DUMMYFUNCTION("""COMPUTED_VALUE"""),8.45)</f>
        <v>8.45</v>
      </c>
    </row>
    <row r="429">
      <c r="A429" s="2">
        <f>IFERROR(__xludf.DUMMYFUNCTION("""COMPUTED_VALUE"""),46042.6875)</f>
        <v>46042.6875</v>
      </c>
      <c r="B429" s="1">
        <f>IFERROR(__xludf.DUMMYFUNCTION("""COMPUTED_VALUE"""),8.46)</f>
        <v>8.46</v>
      </c>
    </row>
    <row r="430">
      <c r="A430" s="2">
        <f>IFERROR(__xludf.DUMMYFUNCTION("""COMPUTED_VALUE"""),46043.6875)</f>
        <v>46043.6875</v>
      </c>
      <c r="B430" s="1">
        <f>IFERROR(__xludf.DUMMYFUNCTION("""COMPUTED_VALUE"""),8.43)</f>
        <v>8.43</v>
      </c>
    </row>
    <row r="431">
      <c r="A431" s="2">
        <f>IFERROR(__xludf.DUMMYFUNCTION("""COMPUTED_VALUE"""),46044.6875)</f>
        <v>46044.6875</v>
      </c>
      <c r="B431" s="1">
        <f>IFERROR(__xludf.DUMMYFUNCTION("""COMPUTED_VALUE"""),8.66)</f>
        <v>8.66</v>
      </c>
    </row>
    <row r="432">
      <c r="A432" s="2">
        <f>IFERROR(__xludf.DUMMYFUNCTION("""COMPUTED_VALUE"""),46045.6875)</f>
        <v>46045.6875</v>
      </c>
      <c r="B432" s="1">
        <f>IFERROR(__xludf.DUMMYFUNCTION("""COMPUTED_VALUE"""),8.56)</f>
        <v>8.56</v>
      </c>
    </row>
    <row r="433">
      <c r="A433" s="2">
        <f>IFERROR(__xludf.DUMMYFUNCTION("""COMPUTED_VALUE"""),46048.6875)</f>
        <v>46048.6875</v>
      </c>
      <c r="B433" s="1">
        <f>IFERROR(__xludf.DUMMYFUNCTION("""COMPUTED_VALUE"""),8.55)</f>
        <v>8.55</v>
      </c>
    </row>
    <row r="434">
      <c r="A434" s="2">
        <f>IFERROR(__xludf.DUMMYFUNCTION("""COMPUTED_VALUE"""),46049.6875)</f>
        <v>46049.6875</v>
      </c>
      <c r="B434" s="1">
        <f>IFERROR(__xludf.DUMMYFUNCTION("""COMPUTED_VALUE"""),8.49)</f>
        <v>8.49</v>
      </c>
    </row>
    <row r="435">
      <c r="A435" s="2">
        <f>IFERROR(__xludf.DUMMYFUNCTION("""COMPUTED_VALUE"""),46050.6875)</f>
        <v>46050.6875</v>
      </c>
      <c r="B435" s="1">
        <f>IFERROR(__xludf.DUMMYFUNCTION("""COMPUTED_VALUE"""),8.41)</f>
        <v>8.41</v>
      </c>
    </row>
    <row r="436">
      <c r="A436" s="2">
        <f>IFERROR(__xludf.DUMMYFUNCTION("""COMPUTED_VALUE"""),46051.6875)</f>
        <v>46051.6875</v>
      </c>
      <c r="B436" s="1">
        <f>IFERROR(__xludf.DUMMYFUNCTION("""COMPUTED_VALUE"""),8.08)</f>
        <v>8.08</v>
      </c>
    </row>
    <row r="437">
      <c r="A437" s="2">
        <f>IFERROR(__xludf.DUMMYFUNCTION("""COMPUTED_VALUE"""),46052.6875)</f>
        <v>46052.6875</v>
      </c>
      <c r="B437" s="1">
        <f>IFERROR(__xludf.DUMMYFUNCTION("""COMPUTED_VALUE"""),8.02)</f>
        <v>8.02</v>
      </c>
    </row>
    <row r="438">
      <c r="A438" s="2">
        <f>IFERROR(__xludf.DUMMYFUNCTION("""COMPUTED_VALUE"""),46055.6875)</f>
        <v>46055.6875</v>
      </c>
      <c r="B438" s="1">
        <f>IFERROR(__xludf.DUMMYFUNCTION("""COMPUTED_VALUE"""),7.94)</f>
        <v>7.94</v>
      </c>
    </row>
    <row r="439">
      <c r="A439" s="2">
        <f>IFERROR(__xludf.DUMMYFUNCTION("""COMPUTED_VALUE"""),46056.6875)</f>
        <v>46056.6875</v>
      </c>
      <c r="B439" s="1">
        <f>IFERROR(__xludf.DUMMYFUNCTION("""COMPUTED_VALUE"""),7.8)</f>
        <v>7.8</v>
      </c>
    </row>
    <row r="440">
      <c r="A440" s="2">
        <f>IFERROR(__xludf.DUMMYFUNCTION("""COMPUTED_VALUE"""),46057.6875)</f>
        <v>46057.6875</v>
      </c>
      <c r="B440" s="1">
        <f>IFERROR(__xludf.DUMMYFUNCTION("""COMPUTED_VALUE"""),7.45)</f>
        <v>7.45</v>
      </c>
    </row>
    <row r="441">
      <c r="A441" s="2">
        <f>IFERROR(__xludf.DUMMYFUNCTION("""COMPUTED_VALUE"""),46058.6875)</f>
        <v>46058.6875</v>
      </c>
      <c r="B441" s="1">
        <f>IFERROR(__xludf.DUMMYFUNCTION("""COMPUTED_VALUE"""),7.19)</f>
        <v>7.19</v>
      </c>
    </row>
    <row r="442">
      <c r="A442" s="2">
        <f>IFERROR(__xludf.DUMMYFUNCTION("""COMPUTED_VALUE"""),46059.6875)</f>
        <v>46059.6875</v>
      </c>
      <c r="B442" s="1">
        <f>IFERROR(__xludf.DUMMYFUNCTION("""COMPUTED_VALUE"""),7.38)</f>
        <v>7.38</v>
      </c>
    </row>
    <row r="443">
      <c r="A443" s="2">
        <f>IFERROR(__xludf.DUMMYFUNCTION("""COMPUTED_VALUE"""),46062.6875)</f>
        <v>46062.6875</v>
      </c>
      <c r="B443" s="1">
        <f>IFERROR(__xludf.DUMMYFUNCTION("""COMPUTED_VALUE"""),7.61)</f>
        <v>7.61</v>
      </c>
    </row>
    <row r="444">
      <c r="A444" s="2">
        <f>IFERROR(__xludf.DUMMYFUNCTION("""COMPUTED_VALUE"""),46063.6875)</f>
        <v>46063.6875</v>
      </c>
      <c r="B444" s="1">
        <f>IFERROR(__xludf.DUMMYFUNCTION("""COMPUTED_VALUE"""),7.74)</f>
        <v>7.74</v>
      </c>
    </row>
    <row r="445">
      <c r="A445" s="2">
        <f>IFERROR(__xludf.DUMMYFUNCTION("""COMPUTED_VALUE"""),46064.6875)</f>
        <v>46064.6875</v>
      </c>
      <c r="B445" s="1">
        <f>IFERROR(__xludf.DUMMYFUNCTION("""COMPUTED_VALUE"""),7.38)</f>
        <v>7.38</v>
      </c>
    </row>
    <row r="446">
      <c r="A446" s="2">
        <f>IFERROR(__xludf.DUMMYFUNCTION("""COMPUTED_VALUE"""),46065.6875)</f>
        <v>46065.6875</v>
      </c>
      <c r="B446" s="1">
        <f>IFERROR(__xludf.DUMMYFUNCTION("""COMPUTED_VALUE"""),7.14)</f>
        <v>7.14</v>
      </c>
    </row>
    <row r="447">
      <c r="A447" s="2">
        <f>IFERROR(__xludf.DUMMYFUNCTION("""COMPUTED_VALUE"""),46066.6875)</f>
        <v>46066.6875</v>
      </c>
      <c r="B447" s="1">
        <f>IFERROR(__xludf.DUMMYFUNCTION("""COMPUTED_VALUE"""),7.44)</f>
        <v>7.44</v>
      </c>
    </row>
    <row r="448">
      <c r="A448" s="2">
        <f>IFERROR(__xludf.DUMMYFUNCTION("""COMPUTED_VALUE"""),46069.6875)</f>
        <v>46069.6875</v>
      </c>
      <c r="B448" s="1">
        <f>IFERROR(__xludf.DUMMYFUNCTION("""COMPUTED_VALUE"""),7.39)</f>
        <v>7.39</v>
      </c>
    </row>
    <row r="449">
      <c r="A449" s="2">
        <f>IFERROR(__xludf.DUMMYFUNCTION("""COMPUTED_VALUE"""),46070.6875)</f>
        <v>46070.6875</v>
      </c>
      <c r="B449" s="1">
        <f>IFERROR(__xludf.DUMMYFUNCTION("""COMPUTED_VALUE"""),7.42)</f>
        <v>7.42</v>
      </c>
    </row>
    <row r="450">
      <c r="A450" s="2">
        <f>IFERROR(__xludf.DUMMYFUNCTION("""COMPUTED_VALUE"""),46071.6875)</f>
        <v>46071.6875</v>
      </c>
      <c r="B450" s="1">
        <f>IFERROR(__xludf.DUMMYFUNCTION("""COMPUTED_VALUE"""),7.6)</f>
        <v>7.6</v>
      </c>
    </row>
    <row r="451">
      <c r="A451" s="2">
        <f>IFERROR(__xludf.DUMMYFUNCTION("""COMPUTED_VALUE"""),46072.6875)</f>
        <v>46072.6875</v>
      </c>
      <c r="B451" s="1">
        <f>IFERROR(__xludf.DUMMYFUNCTION("""COMPUTED_VALUE"""),7.57)</f>
        <v>7.57</v>
      </c>
    </row>
    <row r="452">
      <c r="A452" s="2">
        <f>IFERROR(__xludf.DUMMYFUNCTION("""COMPUTED_VALUE"""),46073.6875)</f>
        <v>46073.6875</v>
      </c>
      <c r="B452" s="1">
        <f>IFERROR(__xludf.DUMMYFUNCTION("""COMPUTED_VALUE"""),7.57)</f>
        <v>7.57</v>
      </c>
    </row>
    <row r="453">
      <c r="A453" s="2">
        <f>IFERROR(__xludf.DUMMYFUNCTION("""COMPUTED_VALUE"""),46076.6875)</f>
        <v>46076.6875</v>
      </c>
      <c r="B453" s="1">
        <f>IFERROR(__xludf.DUMMYFUNCTION("""COMPUTED_VALUE"""),7.3)</f>
        <v>7.3</v>
      </c>
    </row>
    <row r="454">
      <c r="A454" s="2">
        <f>IFERROR(__xludf.DUMMYFUNCTION("""COMPUTED_VALUE"""),46077.6875)</f>
        <v>46077.6875</v>
      </c>
      <c r="B454" s="1">
        <f>IFERROR(__xludf.DUMMYFUNCTION("""COMPUTED_VALUE"""),7.48)</f>
        <v>7.48</v>
      </c>
    </row>
    <row r="455">
      <c r="A455" s="2">
        <f>IFERROR(__xludf.DUMMYFUNCTION("""COMPUTED_VALUE"""),46078.6875)</f>
        <v>46078.6875</v>
      </c>
      <c r="B455" s="1">
        <f>IFERROR(__xludf.DUMMYFUNCTION("""COMPUTED_VALUE"""),7.76)</f>
        <v>7.76</v>
      </c>
    </row>
    <row r="456">
      <c r="A456" s="2">
        <f>IFERROR(__xludf.DUMMYFUNCTION("""COMPUTED_VALUE"""),46079.6875)</f>
        <v>46079.6875</v>
      </c>
      <c r="B456" s="1">
        <f>IFERROR(__xludf.DUMMYFUNCTION("""COMPUTED_VALUE"""),7.78)</f>
        <v>7.78</v>
      </c>
    </row>
    <row r="457">
      <c r="A457" s="2">
        <f>IFERROR(__xludf.DUMMYFUNCTION("""COMPUTED_VALUE"""),46080.6875)</f>
        <v>46080.6875</v>
      </c>
      <c r="B457" s="1">
        <f>IFERROR(__xludf.DUMMYFUNCTION("""COMPUTED_VALUE"""),7.67)</f>
        <v>7.67</v>
      </c>
    </row>
    <row r="458">
      <c r="A458" s="2">
        <f>IFERROR(__xludf.DUMMYFUNCTION("""COMPUTED_VALUE"""),46083.6875)</f>
        <v>46083.6875</v>
      </c>
      <c r="B458" s="1">
        <f>IFERROR(__xludf.DUMMYFUNCTION("""COMPUTED_VALUE"""),7.69)</f>
        <v>7.69</v>
      </c>
    </row>
    <row r="459">
      <c r="A459" s="2">
        <f>IFERROR(__xludf.DUMMYFUNCTION("""COMPUTED_VALUE"""),46084.6875)</f>
        <v>46084.6875</v>
      </c>
      <c r="B459" s="1">
        <f>IFERROR(__xludf.DUMMYFUNCTION("""COMPUTED_VALUE"""),7.54)</f>
        <v>7.54</v>
      </c>
    </row>
    <row r="460">
      <c r="A460" s="2">
        <f>IFERROR(__xludf.DUMMYFUNCTION("""COMPUTED_VALUE"""),46085.6875)</f>
        <v>46085.6875</v>
      </c>
      <c r="B460" s="1">
        <f>IFERROR(__xludf.DUMMYFUNCTION("""COMPUTED_VALUE"""),7.89)</f>
        <v>7.89</v>
      </c>
    </row>
    <row r="461">
      <c r="A461" s="2">
        <f>IFERROR(__xludf.DUMMYFUNCTION("""COMPUTED_VALUE"""),46086.6875)</f>
        <v>46086.6875</v>
      </c>
      <c r="B461" s="1">
        <f>IFERROR(__xludf.DUMMYFUNCTION("""COMPUTED_VALUE"""),7.8)</f>
        <v>7.8</v>
      </c>
    </row>
    <row r="462">
      <c r="A462" s="2">
        <f>IFERROR(__xludf.DUMMYFUNCTION("""COMPUTED_VALUE"""),46087.6875)</f>
        <v>46087.6875</v>
      </c>
      <c r="B462" s="1">
        <f>IFERROR(__xludf.DUMMYFUNCTION("""COMPUTED_VALUE"""),7.67)</f>
        <v>7.67</v>
      </c>
    </row>
    <row r="463">
      <c r="A463" s="2">
        <f>IFERROR(__xludf.DUMMYFUNCTION("""COMPUTED_VALUE"""),46090.6875)</f>
        <v>46090.6875</v>
      </c>
      <c r="B463" s="1">
        <f>IFERROR(__xludf.DUMMYFUNCTION("""COMPUTED_VALUE"""),7.67)</f>
        <v>7.67</v>
      </c>
    </row>
    <row r="464">
      <c r="A464" s="2">
        <f>IFERROR(__xludf.DUMMYFUNCTION("""COMPUTED_VALUE"""),46091.6875)</f>
        <v>46091.6875</v>
      </c>
      <c r="B464" s="1">
        <f>IFERROR(__xludf.DUMMYFUNCTION("""COMPUTED_VALUE"""),7.82)</f>
        <v>7.82</v>
      </c>
    </row>
    <row r="465">
      <c r="A465" s="2">
        <f>IFERROR(__xludf.DUMMYFUNCTION("""COMPUTED_VALUE"""),46092.6875)</f>
        <v>46092.6875</v>
      </c>
      <c r="B465" s="1">
        <f>IFERROR(__xludf.DUMMYFUNCTION("""COMPUTED_VALUE"""),7.69)</f>
        <v>7.69</v>
      </c>
    </row>
    <row r="466">
      <c r="A466" s="2">
        <f>IFERROR(__xludf.DUMMYFUNCTION("""COMPUTED_VALUE"""),46093.6875)</f>
        <v>46093.6875</v>
      </c>
      <c r="B466" s="1">
        <f>IFERROR(__xludf.DUMMYFUNCTION("""COMPUTED_VALUE"""),7.49)</f>
        <v>7.49</v>
      </c>
    </row>
    <row r="467">
      <c r="A467" s="2">
        <f>IFERROR(__xludf.DUMMYFUNCTION("""COMPUTED_VALUE"""),46094.6875)</f>
        <v>46094.6875</v>
      </c>
      <c r="B467" s="1">
        <f>IFERROR(__xludf.DUMMYFUNCTION("""COMPUTED_VALUE"""),7.42)</f>
        <v>7.42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IFERROR(__xludf.DUMMYFUNCTION("GOOGLEFINANCE(""CRM"",""close"",DATE(2020,10,1),TODAY(),""daily"")"),"Date")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IFERROR(__xludf.DUMMYFUNCTION("""COMPUTED_VALUE"""),253.45)</f>
        <v>253.45</v>
      </c>
    </row>
    <row r="3">
      <c r="A3" s="2">
        <f>IFERROR(__xludf.DUMMYFUNCTION("""COMPUTED_VALUE"""),44106.66666666667)</f>
        <v>44106.66667</v>
      </c>
      <c r="B3" s="1">
        <f>IFERROR(__xludf.DUMMYFUNCTION("""COMPUTED_VALUE"""),247.85)</f>
        <v>247.85</v>
      </c>
    </row>
    <row r="4">
      <c r="A4" s="2">
        <f>IFERROR(__xludf.DUMMYFUNCTION("""COMPUTED_VALUE"""),44109.66666666667)</f>
        <v>44109.66667</v>
      </c>
      <c r="B4" s="1">
        <f>IFERROR(__xludf.DUMMYFUNCTION("""COMPUTED_VALUE"""),251.53)</f>
        <v>251.53</v>
      </c>
    </row>
    <row r="5">
      <c r="A5" s="2">
        <f>IFERROR(__xludf.DUMMYFUNCTION("""COMPUTED_VALUE"""),44110.66666666667)</f>
        <v>44110.66667</v>
      </c>
      <c r="B5" s="1">
        <f>IFERROR(__xludf.DUMMYFUNCTION("""COMPUTED_VALUE"""),250.14)</f>
        <v>250.14</v>
      </c>
    </row>
    <row r="6">
      <c r="A6" s="2">
        <f>IFERROR(__xludf.DUMMYFUNCTION("""COMPUTED_VALUE"""),44111.66666666667)</f>
        <v>44111.66667</v>
      </c>
      <c r="B6" s="1">
        <f>IFERROR(__xludf.DUMMYFUNCTION("""COMPUTED_VALUE"""),259.98)</f>
        <v>259.98</v>
      </c>
    </row>
    <row r="7">
      <c r="A7" s="2">
        <f>IFERROR(__xludf.DUMMYFUNCTION("""COMPUTED_VALUE"""),44112.66666666667)</f>
        <v>44112.66667</v>
      </c>
      <c r="B7" s="1">
        <f>IFERROR(__xludf.DUMMYFUNCTION("""COMPUTED_VALUE"""),260.22)</f>
        <v>260.22</v>
      </c>
    </row>
    <row r="8">
      <c r="A8" s="2">
        <f>IFERROR(__xludf.DUMMYFUNCTION("""COMPUTED_VALUE"""),44113.66666666667)</f>
        <v>44113.66667</v>
      </c>
      <c r="B8" s="1">
        <f>IFERROR(__xludf.DUMMYFUNCTION("""COMPUTED_VALUE"""),265.98)</f>
        <v>265.98</v>
      </c>
    </row>
    <row r="9">
      <c r="A9" s="2">
        <f>IFERROR(__xludf.DUMMYFUNCTION("""COMPUTED_VALUE"""),44116.66666666667)</f>
        <v>44116.66667</v>
      </c>
      <c r="B9" s="1">
        <f>IFERROR(__xludf.DUMMYFUNCTION("""COMPUTED_VALUE"""),267.07)</f>
        <v>267.07</v>
      </c>
    </row>
    <row r="10">
      <c r="A10" s="2">
        <f>IFERROR(__xludf.DUMMYFUNCTION("""COMPUTED_VALUE"""),44117.66666666667)</f>
        <v>44117.66667</v>
      </c>
      <c r="B10" s="1">
        <f>IFERROR(__xludf.DUMMYFUNCTION("""COMPUTED_VALUE"""),266.83)</f>
        <v>266.83</v>
      </c>
    </row>
    <row r="11">
      <c r="A11" s="2">
        <f>IFERROR(__xludf.DUMMYFUNCTION("""COMPUTED_VALUE"""),44118.66666666667)</f>
        <v>44118.66667</v>
      </c>
      <c r="B11" s="1">
        <f>IFERROR(__xludf.DUMMYFUNCTION("""COMPUTED_VALUE"""),261.83)</f>
        <v>261.83</v>
      </c>
    </row>
    <row r="12">
      <c r="A12" s="2">
        <f>IFERROR(__xludf.DUMMYFUNCTION("""COMPUTED_VALUE"""),44119.66666666667)</f>
        <v>44119.66667</v>
      </c>
      <c r="B12" s="1">
        <f>IFERROR(__xludf.DUMMYFUNCTION("""COMPUTED_VALUE"""),257.72)</f>
        <v>257.72</v>
      </c>
    </row>
    <row r="13">
      <c r="A13" s="2">
        <f>IFERROR(__xludf.DUMMYFUNCTION("""COMPUTED_VALUE"""),44120.66666666667)</f>
        <v>44120.66667</v>
      </c>
      <c r="B13" s="1">
        <f>IFERROR(__xludf.DUMMYFUNCTION("""COMPUTED_VALUE"""),258.55)</f>
        <v>258.55</v>
      </c>
    </row>
    <row r="14">
      <c r="A14" s="2">
        <f>IFERROR(__xludf.DUMMYFUNCTION("""COMPUTED_VALUE"""),44123.66666666667)</f>
        <v>44123.66667</v>
      </c>
      <c r="B14" s="1">
        <f>IFERROR(__xludf.DUMMYFUNCTION("""COMPUTED_VALUE"""),255.01)</f>
        <v>255.01</v>
      </c>
    </row>
    <row r="15">
      <c r="A15" s="2">
        <f>IFERROR(__xludf.DUMMYFUNCTION("""COMPUTED_VALUE"""),44124.66666666667)</f>
        <v>44124.66667</v>
      </c>
      <c r="B15" s="1">
        <f>IFERROR(__xludf.DUMMYFUNCTION("""COMPUTED_VALUE"""),255.97)</f>
        <v>255.97</v>
      </c>
    </row>
    <row r="16">
      <c r="A16" s="2">
        <f>IFERROR(__xludf.DUMMYFUNCTION("""COMPUTED_VALUE"""),44125.66666666667)</f>
        <v>44125.66667</v>
      </c>
      <c r="B16" s="1">
        <f>IFERROR(__xludf.DUMMYFUNCTION("""COMPUTED_VALUE"""),254.23)</f>
        <v>254.23</v>
      </c>
    </row>
    <row r="17">
      <c r="A17" s="2">
        <f>IFERROR(__xludf.DUMMYFUNCTION("""COMPUTED_VALUE"""),44126.66666666667)</f>
        <v>44126.66667</v>
      </c>
      <c r="B17" s="1">
        <f>IFERROR(__xludf.DUMMYFUNCTION("""COMPUTED_VALUE"""),249.67)</f>
        <v>249.67</v>
      </c>
    </row>
    <row r="18">
      <c r="A18" s="2">
        <f>IFERROR(__xludf.DUMMYFUNCTION("""COMPUTED_VALUE"""),44127.66666666667)</f>
        <v>44127.66667</v>
      </c>
      <c r="B18" s="1">
        <f>IFERROR(__xludf.DUMMYFUNCTION("""COMPUTED_VALUE"""),250.52)</f>
        <v>250.52</v>
      </c>
    </row>
    <row r="19">
      <c r="A19" s="2">
        <f>IFERROR(__xludf.DUMMYFUNCTION("""COMPUTED_VALUE"""),44130.66666666667)</f>
        <v>44130.66667</v>
      </c>
      <c r="B19" s="1">
        <f>IFERROR(__xludf.DUMMYFUNCTION("""COMPUTED_VALUE"""),241.98)</f>
        <v>241.98</v>
      </c>
    </row>
    <row r="20">
      <c r="A20" s="2">
        <f>IFERROR(__xludf.DUMMYFUNCTION("""COMPUTED_VALUE"""),44131.66666666667)</f>
        <v>44131.66667</v>
      </c>
      <c r="B20" s="1">
        <f>IFERROR(__xludf.DUMMYFUNCTION("""COMPUTED_VALUE"""),250.3)</f>
        <v>250.3</v>
      </c>
    </row>
    <row r="21">
      <c r="A21" s="2">
        <f>IFERROR(__xludf.DUMMYFUNCTION("""COMPUTED_VALUE"""),44132.66666666667)</f>
        <v>44132.66667</v>
      </c>
      <c r="B21" s="1">
        <f>IFERROR(__xludf.DUMMYFUNCTION("""COMPUTED_VALUE"""),238.43)</f>
        <v>238.43</v>
      </c>
    </row>
    <row r="22">
      <c r="A22" s="2">
        <f>IFERROR(__xludf.DUMMYFUNCTION("""COMPUTED_VALUE"""),44133.66666666667)</f>
        <v>44133.66667</v>
      </c>
      <c r="B22" s="1">
        <f>IFERROR(__xludf.DUMMYFUNCTION("""COMPUTED_VALUE"""),237.14)</f>
        <v>237.14</v>
      </c>
    </row>
    <row r="23">
      <c r="A23" s="2">
        <f>IFERROR(__xludf.DUMMYFUNCTION("""COMPUTED_VALUE"""),44134.66666666667)</f>
        <v>44134.66667</v>
      </c>
      <c r="B23" s="1">
        <f>IFERROR(__xludf.DUMMYFUNCTION("""COMPUTED_VALUE"""),232.27)</f>
        <v>232.27</v>
      </c>
    </row>
    <row r="24">
      <c r="A24" s="2">
        <f>IFERROR(__xludf.DUMMYFUNCTION("""COMPUTED_VALUE"""),44137.66666666667)</f>
        <v>44137.66667</v>
      </c>
      <c r="B24" s="1">
        <f>IFERROR(__xludf.DUMMYFUNCTION("""COMPUTED_VALUE"""),232.45)</f>
        <v>232.45</v>
      </c>
    </row>
    <row r="25">
      <c r="A25" s="2">
        <f>IFERROR(__xludf.DUMMYFUNCTION("""COMPUTED_VALUE"""),44138.66666666667)</f>
        <v>44138.66667</v>
      </c>
      <c r="B25" s="1">
        <f>IFERROR(__xludf.DUMMYFUNCTION("""COMPUTED_VALUE"""),237.13)</f>
        <v>237.13</v>
      </c>
    </row>
    <row r="26">
      <c r="A26" s="2">
        <f>IFERROR(__xludf.DUMMYFUNCTION("""COMPUTED_VALUE"""),44139.66666666667)</f>
        <v>44139.66667</v>
      </c>
      <c r="B26" s="1">
        <f>IFERROR(__xludf.DUMMYFUNCTION("""COMPUTED_VALUE"""),250.74)</f>
        <v>250.74</v>
      </c>
    </row>
    <row r="27">
      <c r="A27" s="2">
        <f>IFERROR(__xludf.DUMMYFUNCTION("""COMPUTED_VALUE"""),44140.66666666667)</f>
        <v>44140.66667</v>
      </c>
      <c r="B27" s="1">
        <f>IFERROR(__xludf.DUMMYFUNCTION("""COMPUTED_VALUE"""),260.22)</f>
        <v>260.22</v>
      </c>
    </row>
    <row r="28">
      <c r="A28" s="2">
        <f>IFERROR(__xludf.DUMMYFUNCTION("""COMPUTED_VALUE"""),44141.66666666667)</f>
        <v>44141.66667</v>
      </c>
      <c r="B28" s="1">
        <f>IFERROR(__xludf.DUMMYFUNCTION("""COMPUTED_VALUE"""),260.15)</f>
        <v>260.15</v>
      </c>
    </row>
    <row r="29">
      <c r="A29" s="2">
        <f>IFERROR(__xludf.DUMMYFUNCTION("""COMPUTED_VALUE"""),44144.66666666667)</f>
        <v>44144.66667</v>
      </c>
      <c r="B29" s="1">
        <f>IFERROR(__xludf.DUMMYFUNCTION("""COMPUTED_VALUE"""),259.28)</f>
        <v>259.28</v>
      </c>
    </row>
    <row r="30">
      <c r="A30" s="2">
        <f>IFERROR(__xludf.DUMMYFUNCTION("""COMPUTED_VALUE"""),44145.66666666667)</f>
        <v>44145.66667</v>
      </c>
      <c r="B30" s="1">
        <f>IFERROR(__xludf.DUMMYFUNCTION("""COMPUTED_VALUE"""),247.66)</f>
        <v>247.66</v>
      </c>
    </row>
    <row r="31">
      <c r="A31" s="2">
        <f>IFERROR(__xludf.DUMMYFUNCTION("""COMPUTED_VALUE"""),44146.66666666667)</f>
        <v>44146.66667</v>
      </c>
      <c r="B31" s="1">
        <f>IFERROR(__xludf.DUMMYFUNCTION("""COMPUTED_VALUE"""),254.18)</f>
        <v>254.18</v>
      </c>
    </row>
    <row r="32">
      <c r="A32" s="2">
        <f>IFERROR(__xludf.DUMMYFUNCTION("""COMPUTED_VALUE"""),44147.66666666667)</f>
        <v>44147.66667</v>
      </c>
      <c r="B32" s="1">
        <f>IFERROR(__xludf.DUMMYFUNCTION("""COMPUTED_VALUE"""),249.42)</f>
        <v>249.42</v>
      </c>
    </row>
    <row r="33">
      <c r="A33" s="2">
        <f>IFERROR(__xludf.DUMMYFUNCTION("""COMPUTED_VALUE"""),44148.66666666667)</f>
        <v>44148.66667</v>
      </c>
      <c r="B33" s="1">
        <f>IFERROR(__xludf.DUMMYFUNCTION("""COMPUTED_VALUE"""),249.51)</f>
        <v>249.51</v>
      </c>
    </row>
    <row r="34">
      <c r="A34" s="2">
        <f>IFERROR(__xludf.DUMMYFUNCTION("""COMPUTED_VALUE"""),44151.66666666667)</f>
        <v>44151.66667</v>
      </c>
      <c r="B34" s="1">
        <f>IFERROR(__xludf.DUMMYFUNCTION("""COMPUTED_VALUE"""),249.89)</f>
        <v>249.89</v>
      </c>
    </row>
    <row r="35">
      <c r="A35" s="2">
        <f>IFERROR(__xludf.DUMMYFUNCTION("""COMPUTED_VALUE"""),44152.66666666667)</f>
        <v>44152.66667</v>
      </c>
      <c r="B35" s="1">
        <f>IFERROR(__xludf.DUMMYFUNCTION("""COMPUTED_VALUE"""),256.17)</f>
        <v>256.17</v>
      </c>
    </row>
    <row r="36">
      <c r="A36" s="2">
        <f>IFERROR(__xludf.DUMMYFUNCTION("""COMPUTED_VALUE"""),44153.66666666667)</f>
        <v>44153.66667</v>
      </c>
      <c r="B36" s="1">
        <f>IFERROR(__xludf.DUMMYFUNCTION("""COMPUTED_VALUE"""),257.16)</f>
        <v>257.16</v>
      </c>
    </row>
    <row r="37">
      <c r="A37" s="2">
        <f>IFERROR(__xludf.DUMMYFUNCTION("""COMPUTED_VALUE"""),44154.66666666667)</f>
        <v>44154.66667</v>
      </c>
      <c r="B37" s="1">
        <f>IFERROR(__xludf.DUMMYFUNCTION("""COMPUTED_VALUE"""),264.65)</f>
        <v>264.65</v>
      </c>
    </row>
    <row r="38">
      <c r="A38" s="2">
        <f>IFERROR(__xludf.DUMMYFUNCTION("""COMPUTED_VALUE"""),44155.66666666667)</f>
        <v>44155.66667</v>
      </c>
      <c r="B38" s="1">
        <f>IFERROR(__xludf.DUMMYFUNCTION("""COMPUTED_VALUE"""),258.04)</f>
        <v>258.04</v>
      </c>
    </row>
    <row r="39">
      <c r="A39" s="2">
        <f>IFERROR(__xludf.DUMMYFUNCTION("""COMPUTED_VALUE"""),44158.66666666667)</f>
        <v>44158.66667</v>
      </c>
      <c r="B39" s="1">
        <f>IFERROR(__xludf.DUMMYFUNCTION("""COMPUTED_VALUE"""),257.64)</f>
        <v>257.64</v>
      </c>
    </row>
    <row r="40">
      <c r="A40" s="2">
        <f>IFERROR(__xludf.DUMMYFUNCTION("""COMPUTED_VALUE"""),44159.66666666667)</f>
        <v>44159.66667</v>
      </c>
      <c r="B40" s="1">
        <f>IFERROR(__xludf.DUMMYFUNCTION("""COMPUTED_VALUE"""),260.84)</f>
        <v>260.84</v>
      </c>
    </row>
    <row r="41">
      <c r="A41" s="2">
        <f>IFERROR(__xludf.DUMMYFUNCTION("""COMPUTED_VALUE"""),44160.66666666667)</f>
        <v>44160.66667</v>
      </c>
      <c r="B41" s="1">
        <f>IFERROR(__xludf.DUMMYFUNCTION("""COMPUTED_VALUE"""),246.82)</f>
        <v>246.82</v>
      </c>
    </row>
    <row r="42">
      <c r="A42" s="2">
        <f>IFERROR(__xludf.DUMMYFUNCTION("""COMPUTED_VALUE"""),44162.54166666667)</f>
        <v>44162.54167</v>
      </c>
      <c r="B42" s="1">
        <f>IFERROR(__xludf.DUMMYFUNCTION("""COMPUTED_VALUE"""),247.63)</f>
        <v>247.63</v>
      </c>
    </row>
    <row r="43">
      <c r="A43" s="2">
        <f>IFERROR(__xludf.DUMMYFUNCTION("""COMPUTED_VALUE"""),44165.66666666667)</f>
        <v>44165.66667</v>
      </c>
      <c r="B43" s="1">
        <f>IFERROR(__xludf.DUMMYFUNCTION("""COMPUTED_VALUE"""),245.8)</f>
        <v>245.8</v>
      </c>
    </row>
    <row r="44">
      <c r="A44" s="2">
        <f>IFERROR(__xludf.DUMMYFUNCTION("""COMPUTED_VALUE"""),44166.66666666667)</f>
        <v>44166.66667</v>
      </c>
      <c r="B44" s="1">
        <f>IFERROR(__xludf.DUMMYFUNCTION("""COMPUTED_VALUE"""),241.35)</f>
        <v>241.35</v>
      </c>
    </row>
    <row r="45">
      <c r="A45" s="2">
        <f>IFERROR(__xludf.DUMMYFUNCTION("""COMPUTED_VALUE"""),44167.66666666667)</f>
        <v>44167.66667</v>
      </c>
      <c r="B45" s="1">
        <f>IFERROR(__xludf.DUMMYFUNCTION("""COMPUTED_VALUE"""),220.78)</f>
        <v>220.78</v>
      </c>
    </row>
    <row r="46">
      <c r="A46" s="2">
        <f>IFERROR(__xludf.DUMMYFUNCTION("""COMPUTED_VALUE"""),44168.66666666667)</f>
        <v>44168.66667</v>
      </c>
      <c r="B46" s="1">
        <f>IFERROR(__xludf.DUMMYFUNCTION("""COMPUTED_VALUE"""),220.97)</f>
        <v>220.97</v>
      </c>
    </row>
    <row r="47">
      <c r="A47" s="2">
        <f>IFERROR(__xludf.DUMMYFUNCTION("""COMPUTED_VALUE"""),44169.66666666667)</f>
        <v>44169.66667</v>
      </c>
      <c r="B47" s="1">
        <f>IFERROR(__xludf.DUMMYFUNCTION("""COMPUTED_VALUE"""),225.86)</f>
        <v>225.86</v>
      </c>
    </row>
    <row r="48">
      <c r="A48" s="2">
        <f>IFERROR(__xludf.DUMMYFUNCTION("""COMPUTED_VALUE"""),44172.66666666667)</f>
        <v>44172.66667</v>
      </c>
      <c r="B48" s="1">
        <f>IFERROR(__xludf.DUMMYFUNCTION("""COMPUTED_VALUE"""),227.7)</f>
        <v>227.7</v>
      </c>
    </row>
    <row r="49">
      <c r="A49" s="2">
        <f>IFERROR(__xludf.DUMMYFUNCTION("""COMPUTED_VALUE"""),44173.66666666667)</f>
        <v>44173.66667</v>
      </c>
      <c r="B49" s="1">
        <f>IFERROR(__xludf.DUMMYFUNCTION("""COMPUTED_VALUE"""),227.86)</f>
        <v>227.86</v>
      </c>
    </row>
    <row r="50">
      <c r="A50" s="2">
        <f>IFERROR(__xludf.DUMMYFUNCTION("""COMPUTED_VALUE"""),44174.66666666667)</f>
        <v>44174.66667</v>
      </c>
      <c r="B50" s="1">
        <f>IFERROR(__xludf.DUMMYFUNCTION("""COMPUTED_VALUE"""),220.57)</f>
        <v>220.57</v>
      </c>
    </row>
    <row r="51">
      <c r="A51" s="2">
        <f>IFERROR(__xludf.DUMMYFUNCTION("""COMPUTED_VALUE"""),44175.66666666667)</f>
        <v>44175.66667</v>
      </c>
      <c r="B51" s="1">
        <f>IFERROR(__xludf.DUMMYFUNCTION("""COMPUTED_VALUE"""),222.92)</f>
        <v>222.92</v>
      </c>
    </row>
    <row r="52">
      <c r="A52" s="2">
        <f>IFERROR(__xludf.DUMMYFUNCTION("""COMPUTED_VALUE"""),44176.66666666667)</f>
        <v>44176.66667</v>
      </c>
      <c r="B52" s="1">
        <f>IFERROR(__xludf.DUMMYFUNCTION("""COMPUTED_VALUE"""),222.42)</f>
        <v>222.42</v>
      </c>
    </row>
    <row r="53">
      <c r="A53" s="2">
        <f>IFERROR(__xludf.DUMMYFUNCTION("""COMPUTED_VALUE"""),44179.66666666667)</f>
        <v>44179.66667</v>
      </c>
      <c r="B53" s="1">
        <f>IFERROR(__xludf.DUMMYFUNCTION("""COMPUTED_VALUE"""),221.27)</f>
        <v>221.27</v>
      </c>
    </row>
    <row r="54">
      <c r="A54" s="2">
        <f>IFERROR(__xludf.DUMMYFUNCTION("""COMPUTED_VALUE"""),44180.66666666667)</f>
        <v>44180.66667</v>
      </c>
      <c r="B54" s="1">
        <f>IFERROR(__xludf.DUMMYFUNCTION("""COMPUTED_VALUE"""),220.15)</f>
        <v>220.15</v>
      </c>
    </row>
    <row r="55">
      <c r="A55" s="2">
        <f>IFERROR(__xludf.DUMMYFUNCTION("""COMPUTED_VALUE"""),44181.66666666667)</f>
        <v>44181.66667</v>
      </c>
      <c r="B55" s="1">
        <f>IFERROR(__xludf.DUMMYFUNCTION("""COMPUTED_VALUE"""),223.62)</f>
        <v>223.62</v>
      </c>
    </row>
    <row r="56">
      <c r="A56" s="2">
        <f>IFERROR(__xludf.DUMMYFUNCTION("""COMPUTED_VALUE"""),44182.66666666667)</f>
        <v>44182.66667</v>
      </c>
      <c r="B56" s="1">
        <f>IFERROR(__xludf.DUMMYFUNCTION("""COMPUTED_VALUE"""),225.92)</f>
        <v>225.92</v>
      </c>
    </row>
    <row r="57">
      <c r="A57" s="2">
        <f>IFERROR(__xludf.DUMMYFUNCTION("""COMPUTED_VALUE"""),44183.66666666667)</f>
        <v>44183.66667</v>
      </c>
      <c r="B57" s="1">
        <f>IFERROR(__xludf.DUMMYFUNCTION("""COMPUTED_VALUE"""),227.43)</f>
        <v>227.43</v>
      </c>
    </row>
    <row r="58">
      <c r="A58" s="2">
        <f>IFERROR(__xludf.DUMMYFUNCTION("""COMPUTED_VALUE"""),44186.66666666667)</f>
        <v>44186.66667</v>
      </c>
      <c r="B58" s="1">
        <f>IFERROR(__xludf.DUMMYFUNCTION("""COMPUTED_VALUE"""),226.47)</f>
        <v>226.47</v>
      </c>
    </row>
    <row r="59">
      <c r="A59" s="2">
        <f>IFERROR(__xludf.DUMMYFUNCTION("""COMPUTED_VALUE"""),44187.66666666667)</f>
        <v>44187.66667</v>
      </c>
      <c r="B59" s="1">
        <f>IFERROR(__xludf.DUMMYFUNCTION("""COMPUTED_VALUE"""),231.17)</f>
        <v>231.17</v>
      </c>
    </row>
    <row r="60">
      <c r="A60" s="2">
        <f>IFERROR(__xludf.DUMMYFUNCTION("""COMPUTED_VALUE"""),44188.66666666667)</f>
        <v>44188.66667</v>
      </c>
      <c r="B60" s="1">
        <f>IFERROR(__xludf.DUMMYFUNCTION("""COMPUTED_VALUE"""),227.43)</f>
        <v>227.43</v>
      </c>
    </row>
    <row r="61">
      <c r="A61" s="2">
        <f>IFERROR(__xludf.DUMMYFUNCTION("""COMPUTED_VALUE"""),44189.54166666667)</f>
        <v>44189.54167</v>
      </c>
      <c r="B61" s="1">
        <f>IFERROR(__xludf.DUMMYFUNCTION("""COMPUTED_VALUE"""),225.78)</f>
        <v>225.78</v>
      </c>
    </row>
    <row r="62">
      <c r="A62" s="2">
        <f>IFERROR(__xludf.DUMMYFUNCTION("""COMPUTED_VALUE"""),44193.66666666667)</f>
        <v>44193.66667</v>
      </c>
      <c r="B62" s="1">
        <f>IFERROR(__xludf.DUMMYFUNCTION("""COMPUTED_VALUE"""),224.64)</f>
        <v>224.64</v>
      </c>
    </row>
    <row r="63">
      <c r="A63" s="2">
        <f>IFERROR(__xludf.DUMMYFUNCTION("""COMPUTED_VALUE"""),44194.66666666667)</f>
        <v>44194.66667</v>
      </c>
      <c r="B63" s="1">
        <f>IFERROR(__xludf.DUMMYFUNCTION("""COMPUTED_VALUE"""),222.46)</f>
        <v>222.46</v>
      </c>
    </row>
    <row r="64">
      <c r="A64" s="2">
        <f>IFERROR(__xludf.DUMMYFUNCTION("""COMPUTED_VALUE"""),44195.66666666667)</f>
        <v>44195.66667</v>
      </c>
      <c r="B64" s="1">
        <f>IFERROR(__xludf.DUMMYFUNCTION("""COMPUTED_VALUE"""),222.4)</f>
        <v>222.4</v>
      </c>
    </row>
    <row r="65">
      <c r="A65" s="2">
        <f>IFERROR(__xludf.DUMMYFUNCTION("""COMPUTED_VALUE"""),44196.66666666667)</f>
        <v>44196.66667</v>
      </c>
      <c r="B65" s="1">
        <f>IFERROR(__xludf.DUMMYFUNCTION("""COMPUTED_VALUE"""),222.53)</f>
        <v>222.53</v>
      </c>
    </row>
    <row r="66">
      <c r="A66" s="2">
        <f>IFERROR(__xludf.DUMMYFUNCTION("""COMPUTED_VALUE"""),44200.66666666667)</f>
        <v>44200.66667</v>
      </c>
      <c r="B66" s="1">
        <f>IFERROR(__xludf.DUMMYFUNCTION("""COMPUTED_VALUE"""),220.31)</f>
        <v>220.31</v>
      </c>
    </row>
    <row r="67">
      <c r="A67" s="2">
        <f>IFERROR(__xludf.DUMMYFUNCTION("""COMPUTED_VALUE"""),44201.66666666667)</f>
        <v>44201.66667</v>
      </c>
      <c r="B67" s="1">
        <f>IFERROR(__xludf.DUMMYFUNCTION("""COMPUTED_VALUE"""),221.52)</f>
        <v>221.52</v>
      </c>
    </row>
    <row r="68">
      <c r="A68" s="2">
        <f>IFERROR(__xludf.DUMMYFUNCTION("""COMPUTED_VALUE"""),44202.66666666667)</f>
        <v>44202.66667</v>
      </c>
      <c r="B68" s="1">
        <f>IFERROR(__xludf.DUMMYFUNCTION("""COMPUTED_VALUE"""),216.15)</f>
        <v>216.15</v>
      </c>
    </row>
    <row r="69">
      <c r="A69" s="2">
        <f>IFERROR(__xludf.DUMMYFUNCTION("""COMPUTED_VALUE"""),44203.66666666667)</f>
        <v>44203.66667</v>
      </c>
      <c r="B69" s="1">
        <f>IFERROR(__xludf.DUMMYFUNCTION("""COMPUTED_VALUE"""),217.98)</f>
        <v>217.98</v>
      </c>
    </row>
    <row r="70">
      <c r="A70" s="2">
        <f>IFERROR(__xludf.DUMMYFUNCTION("""COMPUTED_VALUE"""),44204.66666666667)</f>
        <v>44204.66667</v>
      </c>
      <c r="B70" s="1">
        <f>IFERROR(__xludf.DUMMYFUNCTION("""COMPUTED_VALUE"""),222.04)</f>
        <v>222.04</v>
      </c>
    </row>
    <row r="71">
      <c r="A71" s="2">
        <f>IFERROR(__xludf.DUMMYFUNCTION("""COMPUTED_VALUE"""),44207.66666666667)</f>
        <v>44207.66667</v>
      </c>
      <c r="B71" s="1">
        <f>IFERROR(__xludf.DUMMYFUNCTION("""COMPUTED_VALUE"""),218.25)</f>
        <v>218.25</v>
      </c>
    </row>
    <row r="72">
      <c r="A72" s="2">
        <f>IFERROR(__xludf.DUMMYFUNCTION("""COMPUTED_VALUE"""),44208.66666666667)</f>
        <v>44208.66667</v>
      </c>
      <c r="B72" s="1">
        <f>IFERROR(__xludf.DUMMYFUNCTION("""COMPUTED_VALUE"""),215.52)</f>
        <v>215.52</v>
      </c>
    </row>
    <row r="73">
      <c r="A73" s="2">
        <f>IFERROR(__xludf.DUMMYFUNCTION("""COMPUTED_VALUE"""),44209.66666666667)</f>
        <v>44209.66667</v>
      </c>
      <c r="B73" s="1">
        <f>IFERROR(__xludf.DUMMYFUNCTION("""COMPUTED_VALUE"""),218.18)</f>
        <v>218.18</v>
      </c>
    </row>
    <row r="74">
      <c r="A74" s="2">
        <f>IFERROR(__xludf.DUMMYFUNCTION("""COMPUTED_VALUE"""),44210.66666666667)</f>
        <v>44210.66667</v>
      </c>
      <c r="B74" s="1">
        <f>IFERROR(__xludf.DUMMYFUNCTION("""COMPUTED_VALUE"""),215.6)</f>
        <v>215.6</v>
      </c>
    </row>
    <row r="75">
      <c r="A75" s="2">
        <f>IFERROR(__xludf.DUMMYFUNCTION("""COMPUTED_VALUE"""),44211.66666666667)</f>
        <v>44211.66667</v>
      </c>
      <c r="B75" s="1">
        <f>IFERROR(__xludf.DUMMYFUNCTION("""COMPUTED_VALUE"""),213.14)</f>
        <v>213.14</v>
      </c>
    </row>
    <row r="76">
      <c r="A76" s="2">
        <f>IFERROR(__xludf.DUMMYFUNCTION("""COMPUTED_VALUE"""),44215.66666666667)</f>
        <v>44215.66667</v>
      </c>
      <c r="B76" s="1">
        <f>IFERROR(__xludf.DUMMYFUNCTION("""COMPUTED_VALUE"""),216.76)</f>
        <v>216.76</v>
      </c>
    </row>
    <row r="77">
      <c r="A77" s="2">
        <f>IFERROR(__xludf.DUMMYFUNCTION("""COMPUTED_VALUE"""),44216.66666666667)</f>
        <v>44216.66667</v>
      </c>
      <c r="B77" s="1">
        <f>IFERROR(__xludf.DUMMYFUNCTION("""COMPUTED_VALUE"""),223.44)</f>
        <v>223.44</v>
      </c>
    </row>
    <row r="78">
      <c r="A78" s="2">
        <f>IFERROR(__xludf.DUMMYFUNCTION("""COMPUTED_VALUE"""),44217.66666666667)</f>
        <v>44217.66667</v>
      </c>
      <c r="B78" s="1">
        <f>IFERROR(__xludf.DUMMYFUNCTION("""COMPUTED_VALUE"""),222.17)</f>
        <v>222.17</v>
      </c>
    </row>
    <row r="79">
      <c r="A79" s="2">
        <f>IFERROR(__xludf.DUMMYFUNCTION("""COMPUTED_VALUE"""),44218.66666666667)</f>
        <v>44218.66667</v>
      </c>
      <c r="B79" s="1">
        <f>IFERROR(__xludf.DUMMYFUNCTION("""COMPUTED_VALUE"""),225.77)</f>
        <v>225.77</v>
      </c>
    </row>
    <row r="80">
      <c r="A80" s="2">
        <f>IFERROR(__xludf.DUMMYFUNCTION("""COMPUTED_VALUE"""),44221.66666666667)</f>
        <v>44221.66667</v>
      </c>
      <c r="B80" s="1">
        <f>IFERROR(__xludf.DUMMYFUNCTION("""COMPUTED_VALUE"""),225.92)</f>
        <v>225.92</v>
      </c>
    </row>
    <row r="81">
      <c r="A81" s="2">
        <f>IFERROR(__xludf.DUMMYFUNCTION("""COMPUTED_VALUE"""),44222.66666666667)</f>
        <v>44222.66667</v>
      </c>
      <c r="B81" s="1">
        <f>IFERROR(__xludf.DUMMYFUNCTION("""COMPUTED_VALUE"""),226.26)</f>
        <v>226.26</v>
      </c>
    </row>
    <row r="82">
      <c r="A82" s="2">
        <f>IFERROR(__xludf.DUMMYFUNCTION("""COMPUTED_VALUE"""),44223.66666666667)</f>
        <v>44223.66667</v>
      </c>
      <c r="B82" s="1">
        <f>IFERROR(__xludf.DUMMYFUNCTION("""COMPUTED_VALUE"""),224.78)</f>
        <v>224.78</v>
      </c>
    </row>
    <row r="83">
      <c r="A83" s="2">
        <f>IFERROR(__xludf.DUMMYFUNCTION("""COMPUTED_VALUE"""),44224.66666666667)</f>
        <v>44224.66667</v>
      </c>
      <c r="B83" s="1">
        <f>IFERROR(__xludf.DUMMYFUNCTION("""COMPUTED_VALUE"""),226.5)</f>
        <v>226.5</v>
      </c>
    </row>
    <row r="84">
      <c r="A84" s="2">
        <f>IFERROR(__xludf.DUMMYFUNCTION("""COMPUTED_VALUE"""),44225.66666666667)</f>
        <v>44225.66667</v>
      </c>
      <c r="B84" s="1">
        <f>IFERROR(__xludf.DUMMYFUNCTION("""COMPUTED_VALUE"""),225.56)</f>
        <v>225.56</v>
      </c>
    </row>
    <row r="85">
      <c r="A85" s="2">
        <f>IFERROR(__xludf.DUMMYFUNCTION("""COMPUTED_VALUE"""),44228.66666666667)</f>
        <v>44228.66667</v>
      </c>
      <c r="B85" s="1">
        <f>IFERROR(__xludf.DUMMYFUNCTION("""COMPUTED_VALUE"""),228.46)</f>
        <v>228.46</v>
      </c>
    </row>
    <row r="86">
      <c r="A86" s="2">
        <f>IFERROR(__xludf.DUMMYFUNCTION("""COMPUTED_VALUE"""),44229.66666666667)</f>
        <v>44229.66667</v>
      </c>
      <c r="B86" s="1">
        <f>IFERROR(__xludf.DUMMYFUNCTION("""COMPUTED_VALUE"""),234.2)</f>
        <v>234.2</v>
      </c>
    </row>
    <row r="87">
      <c r="A87" s="2">
        <f>IFERROR(__xludf.DUMMYFUNCTION("""COMPUTED_VALUE"""),44230.66666666667)</f>
        <v>44230.66667</v>
      </c>
      <c r="B87" s="1">
        <f>IFERROR(__xludf.DUMMYFUNCTION("""COMPUTED_VALUE"""),234.82)</f>
        <v>234.82</v>
      </c>
    </row>
    <row r="88">
      <c r="A88" s="2">
        <f>IFERROR(__xludf.DUMMYFUNCTION("""COMPUTED_VALUE"""),44231.66666666667)</f>
        <v>44231.66667</v>
      </c>
      <c r="B88" s="1">
        <f>IFERROR(__xludf.DUMMYFUNCTION("""COMPUTED_VALUE"""),237.98)</f>
        <v>237.98</v>
      </c>
    </row>
    <row r="89">
      <c r="A89" s="2">
        <f>IFERROR(__xludf.DUMMYFUNCTION("""COMPUTED_VALUE"""),44232.66666666667)</f>
        <v>44232.66667</v>
      </c>
      <c r="B89" s="1">
        <f>IFERROR(__xludf.DUMMYFUNCTION("""COMPUTED_VALUE"""),238.89)</f>
        <v>238.89</v>
      </c>
    </row>
    <row r="90">
      <c r="A90" s="2">
        <f>IFERROR(__xludf.DUMMYFUNCTION("""COMPUTED_VALUE"""),44235.66666666667)</f>
        <v>44235.66667</v>
      </c>
      <c r="B90" s="1">
        <f>IFERROR(__xludf.DUMMYFUNCTION("""COMPUTED_VALUE"""),238.93)</f>
        <v>238.93</v>
      </c>
    </row>
    <row r="91">
      <c r="A91" s="2">
        <f>IFERROR(__xludf.DUMMYFUNCTION("""COMPUTED_VALUE"""),44236.66666666667)</f>
        <v>44236.66667</v>
      </c>
      <c r="B91" s="1">
        <f>IFERROR(__xludf.DUMMYFUNCTION("""COMPUTED_VALUE"""),236.7)</f>
        <v>236.7</v>
      </c>
    </row>
    <row r="92">
      <c r="A92" s="2">
        <f>IFERROR(__xludf.DUMMYFUNCTION("""COMPUTED_VALUE"""),44237.66666666667)</f>
        <v>44237.66667</v>
      </c>
      <c r="B92" s="1">
        <f>IFERROR(__xludf.DUMMYFUNCTION("""COMPUTED_VALUE"""),236.72)</f>
        <v>236.72</v>
      </c>
    </row>
    <row r="93">
      <c r="A93" s="2">
        <f>IFERROR(__xludf.DUMMYFUNCTION("""COMPUTED_VALUE"""),44238.66666666667)</f>
        <v>44238.66667</v>
      </c>
      <c r="B93" s="1">
        <f>IFERROR(__xludf.DUMMYFUNCTION("""COMPUTED_VALUE"""),241.24)</f>
        <v>241.24</v>
      </c>
    </row>
    <row r="94">
      <c r="A94" s="2">
        <f>IFERROR(__xludf.DUMMYFUNCTION("""COMPUTED_VALUE"""),44239.66666666667)</f>
        <v>44239.66667</v>
      </c>
      <c r="B94" s="1">
        <f>IFERROR(__xludf.DUMMYFUNCTION("""COMPUTED_VALUE"""),240.37)</f>
        <v>240.37</v>
      </c>
    </row>
    <row r="95">
      <c r="A95" s="2">
        <f>IFERROR(__xludf.DUMMYFUNCTION("""COMPUTED_VALUE"""),44243.66666666667)</f>
        <v>44243.66667</v>
      </c>
      <c r="B95" s="1">
        <f>IFERROR(__xludf.DUMMYFUNCTION("""COMPUTED_VALUE"""),248.59)</f>
        <v>248.59</v>
      </c>
    </row>
    <row r="96">
      <c r="A96" s="2">
        <f>IFERROR(__xludf.DUMMYFUNCTION("""COMPUTED_VALUE"""),44244.66666666667)</f>
        <v>44244.66667</v>
      </c>
      <c r="B96" s="1">
        <f>IFERROR(__xludf.DUMMYFUNCTION("""COMPUTED_VALUE"""),247.66)</f>
        <v>247.66</v>
      </c>
    </row>
    <row r="97">
      <c r="A97" s="2">
        <f>IFERROR(__xludf.DUMMYFUNCTION("""COMPUTED_VALUE"""),44245.66666666667)</f>
        <v>44245.66667</v>
      </c>
      <c r="B97" s="1">
        <f>IFERROR(__xludf.DUMMYFUNCTION("""COMPUTED_VALUE"""),247.01)</f>
        <v>247.01</v>
      </c>
    </row>
    <row r="98">
      <c r="A98" s="2">
        <f>IFERROR(__xludf.DUMMYFUNCTION("""COMPUTED_VALUE"""),44246.66666666667)</f>
        <v>44246.66667</v>
      </c>
      <c r="B98" s="1">
        <f>IFERROR(__xludf.DUMMYFUNCTION("""COMPUTED_VALUE"""),246.56)</f>
        <v>246.56</v>
      </c>
    </row>
    <row r="99">
      <c r="A99" s="2">
        <f>IFERROR(__xludf.DUMMYFUNCTION("""COMPUTED_VALUE"""),44249.66666666667)</f>
        <v>44249.66667</v>
      </c>
      <c r="B99" s="1">
        <f>IFERROR(__xludf.DUMMYFUNCTION("""COMPUTED_VALUE"""),240.95)</f>
        <v>240.95</v>
      </c>
    </row>
    <row r="100">
      <c r="A100" s="2">
        <f>IFERROR(__xludf.DUMMYFUNCTION("""COMPUTED_VALUE"""),44250.66666666667)</f>
        <v>44250.66667</v>
      </c>
      <c r="B100" s="1">
        <f>IFERROR(__xludf.DUMMYFUNCTION("""COMPUTED_VALUE"""),235.64)</f>
        <v>235.64</v>
      </c>
    </row>
    <row r="101">
      <c r="A101" s="2">
        <f>IFERROR(__xludf.DUMMYFUNCTION("""COMPUTED_VALUE"""),44251.66666666667)</f>
        <v>44251.66667</v>
      </c>
      <c r="B101" s="1">
        <f>IFERROR(__xludf.DUMMYFUNCTION("""COMPUTED_VALUE"""),240.47)</f>
        <v>240.47</v>
      </c>
    </row>
    <row r="102">
      <c r="A102" s="2">
        <f>IFERROR(__xludf.DUMMYFUNCTION("""COMPUTED_VALUE"""),44252.66666666667)</f>
        <v>44252.66667</v>
      </c>
      <c r="B102" s="1">
        <f>IFERROR(__xludf.DUMMYFUNCTION("""COMPUTED_VALUE"""),231.08)</f>
        <v>231.08</v>
      </c>
    </row>
    <row r="103">
      <c r="A103" s="2">
        <f>IFERROR(__xludf.DUMMYFUNCTION("""COMPUTED_VALUE"""),44253.66666666667)</f>
        <v>44253.66667</v>
      </c>
      <c r="B103" s="1">
        <f>IFERROR(__xludf.DUMMYFUNCTION("""COMPUTED_VALUE"""),216.5)</f>
        <v>216.5</v>
      </c>
    </row>
    <row r="104">
      <c r="A104" s="2">
        <f>IFERROR(__xludf.DUMMYFUNCTION("""COMPUTED_VALUE"""),44256.66666666667)</f>
        <v>44256.66667</v>
      </c>
      <c r="B104" s="1">
        <f>IFERROR(__xludf.DUMMYFUNCTION("""COMPUTED_VALUE"""),217.54)</f>
        <v>217.54</v>
      </c>
    </row>
    <row r="105">
      <c r="A105" s="2">
        <f>IFERROR(__xludf.DUMMYFUNCTION("""COMPUTED_VALUE"""),44257.66666666667)</f>
        <v>44257.66667</v>
      </c>
      <c r="B105" s="1">
        <f>IFERROR(__xludf.DUMMYFUNCTION("""COMPUTED_VALUE"""),213.47)</f>
        <v>213.47</v>
      </c>
    </row>
    <row r="106">
      <c r="A106" s="2">
        <f>IFERROR(__xludf.DUMMYFUNCTION("""COMPUTED_VALUE"""),44258.66666666667)</f>
        <v>44258.66667</v>
      </c>
      <c r="B106" s="1">
        <f>IFERROR(__xludf.DUMMYFUNCTION("""COMPUTED_VALUE"""),206.0)</f>
        <v>206</v>
      </c>
    </row>
    <row r="107">
      <c r="A107" s="2">
        <f>IFERROR(__xludf.DUMMYFUNCTION("""COMPUTED_VALUE"""),44259.66666666667)</f>
        <v>44259.66667</v>
      </c>
      <c r="B107" s="1">
        <f>IFERROR(__xludf.DUMMYFUNCTION("""COMPUTED_VALUE"""),205.33)</f>
        <v>205.33</v>
      </c>
    </row>
    <row r="108">
      <c r="A108" s="2">
        <f>IFERROR(__xludf.DUMMYFUNCTION("""COMPUTED_VALUE"""),44260.66666666667)</f>
        <v>44260.66667</v>
      </c>
      <c r="B108" s="1">
        <f>IFERROR(__xludf.DUMMYFUNCTION("""COMPUTED_VALUE"""),210.76)</f>
        <v>210.76</v>
      </c>
    </row>
    <row r="109">
      <c r="A109" s="2">
        <f>IFERROR(__xludf.DUMMYFUNCTION("""COMPUTED_VALUE"""),44263.66666666667)</f>
        <v>44263.66667</v>
      </c>
      <c r="B109" s="1">
        <f>IFERROR(__xludf.DUMMYFUNCTION("""COMPUTED_VALUE"""),207.72)</f>
        <v>207.72</v>
      </c>
    </row>
    <row r="110">
      <c r="A110" s="2">
        <f>IFERROR(__xludf.DUMMYFUNCTION("""COMPUTED_VALUE"""),44264.66666666667)</f>
        <v>44264.66667</v>
      </c>
      <c r="B110" s="1">
        <f>IFERROR(__xludf.DUMMYFUNCTION("""COMPUTED_VALUE"""),211.53)</f>
        <v>211.53</v>
      </c>
    </row>
    <row r="111">
      <c r="A111" s="2">
        <f>IFERROR(__xludf.DUMMYFUNCTION("""COMPUTED_VALUE"""),44265.66666666667)</f>
        <v>44265.66667</v>
      </c>
      <c r="B111" s="1">
        <f>IFERROR(__xludf.DUMMYFUNCTION("""COMPUTED_VALUE"""),211.96)</f>
        <v>211.96</v>
      </c>
    </row>
    <row r="112">
      <c r="A112" s="2">
        <f>IFERROR(__xludf.DUMMYFUNCTION("""COMPUTED_VALUE"""),44266.66666666667)</f>
        <v>44266.66667</v>
      </c>
      <c r="B112" s="1">
        <f>IFERROR(__xludf.DUMMYFUNCTION("""COMPUTED_VALUE"""),215.95)</f>
        <v>215.95</v>
      </c>
    </row>
    <row r="113">
      <c r="A113" s="2">
        <f>IFERROR(__xludf.DUMMYFUNCTION("""COMPUTED_VALUE"""),44267.66666666667)</f>
        <v>44267.66667</v>
      </c>
      <c r="B113" s="1">
        <f>IFERROR(__xludf.DUMMYFUNCTION("""COMPUTED_VALUE"""),212.21)</f>
        <v>212.21</v>
      </c>
    </row>
    <row r="114">
      <c r="A114" s="2">
        <f>IFERROR(__xludf.DUMMYFUNCTION("""COMPUTED_VALUE"""),44270.66666666667)</f>
        <v>44270.66667</v>
      </c>
      <c r="B114" s="1">
        <f>IFERROR(__xludf.DUMMYFUNCTION("""COMPUTED_VALUE"""),212.8)</f>
        <v>212.8</v>
      </c>
    </row>
    <row r="115">
      <c r="A115" s="2">
        <f>IFERROR(__xludf.DUMMYFUNCTION("""COMPUTED_VALUE"""),44271.66666666667)</f>
        <v>44271.66667</v>
      </c>
      <c r="B115" s="1">
        <f>IFERROR(__xludf.DUMMYFUNCTION("""COMPUTED_VALUE"""),214.48)</f>
        <v>214.48</v>
      </c>
    </row>
    <row r="116">
      <c r="A116" s="2">
        <f>IFERROR(__xludf.DUMMYFUNCTION("""COMPUTED_VALUE"""),44272.66666666667)</f>
        <v>44272.66667</v>
      </c>
      <c r="B116" s="1">
        <f>IFERROR(__xludf.DUMMYFUNCTION("""COMPUTED_VALUE"""),213.12)</f>
        <v>213.12</v>
      </c>
    </row>
    <row r="117">
      <c r="A117" s="2">
        <f>IFERROR(__xludf.DUMMYFUNCTION("""COMPUTED_VALUE"""),44273.66666666667)</f>
        <v>44273.66667</v>
      </c>
      <c r="B117" s="1">
        <f>IFERROR(__xludf.DUMMYFUNCTION("""COMPUTED_VALUE"""),209.48)</f>
        <v>209.48</v>
      </c>
    </row>
    <row r="118">
      <c r="A118" s="2">
        <f>IFERROR(__xludf.DUMMYFUNCTION("""COMPUTED_VALUE"""),44274.66666666667)</f>
        <v>44274.66667</v>
      </c>
      <c r="B118" s="1">
        <f>IFERROR(__xludf.DUMMYFUNCTION("""COMPUTED_VALUE"""),212.2)</f>
        <v>212.2</v>
      </c>
    </row>
    <row r="119">
      <c r="A119" s="2">
        <f>IFERROR(__xludf.DUMMYFUNCTION("""COMPUTED_VALUE"""),44277.66666666667)</f>
        <v>44277.66667</v>
      </c>
      <c r="B119" s="1">
        <f>IFERROR(__xludf.DUMMYFUNCTION("""COMPUTED_VALUE"""),215.17)</f>
        <v>215.17</v>
      </c>
    </row>
    <row r="120">
      <c r="A120" s="2">
        <f>IFERROR(__xludf.DUMMYFUNCTION("""COMPUTED_VALUE"""),44278.66666666667)</f>
        <v>44278.66667</v>
      </c>
      <c r="B120" s="1">
        <f>IFERROR(__xludf.DUMMYFUNCTION("""COMPUTED_VALUE"""),215.0)</f>
        <v>215</v>
      </c>
    </row>
    <row r="121">
      <c r="A121" s="2">
        <f>IFERROR(__xludf.DUMMYFUNCTION("""COMPUTED_VALUE"""),44279.66666666667)</f>
        <v>44279.66667</v>
      </c>
      <c r="B121" s="1">
        <f>IFERROR(__xludf.DUMMYFUNCTION("""COMPUTED_VALUE"""),209.53)</f>
        <v>209.53</v>
      </c>
    </row>
    <row r="122">
      <c r="A122" s="2">
        <f>IFERROR(__xludf.DUMMYFUNCTION("""COMPUTED_VALUE"""),44280.66666666667)</f>
        <v>44280.66667</v>
      </c>
      <c r="B122" s="1">
        <f>IFERROR(__xludf.DUMMYFUNCTION("""COMPUTED_VALUE"""),205.44)</f>
        <v>205.44</v>
      </c>
    </row>
    <row r="123">
      <c r="A123" s="2">
        <f>IFERROR(__xludf.DUMMYFUNCTION("""COMPUTED_VALUE"""),44281.66666666667)</f>
        <v>44281.66667</v>
      </c>
      <c r="B123" s="1">
        <f>IFERROR(__xludf.DUMMYFUNCTION("""COMPUTED_VALUE"""),209.09)</f>
        <v>209.09</v>
      </c>
    </row>
    <row r="124">
      <c r="A124" s="2">
        <f>IFERROR(__xludf.DUMMYFUNCTION("""COMPUTED_VALUE"""),44284.66666666667)</f>
        <v>44284.66667</v>
      </c>
      <c r="B124" s="1">
        <f>IFERROR(__xludf.DUMMYFUNCTION("""COMPUTED_VALUE"""),210.77)</f>
        <v>210.77</v>
      </c>
    </row>
    <row r="125">
      <c r="A125" s="2">
        <f>IFERROR(__xludf.DUMMYFUNCTION("""COMPUTED_VALUE"""),44285.66666666667)</f>
        <v>44285.66667</v>
      </c>
      <c r="B125" s="1">
        <f>IFERROR(__xludf.DUMMYFUNCTION("""COMPUTED_VALUE"""),210.0)</f>
        <v>210</v>
      </c>
    </row>
    <row r="126">
      <c r="A126" s="2">
        <f>IFERROR(__xludf.DUMMYFUNCTION("""COMPUTED_VALUE"""),44286.66666666667)</f>
        <v>44286.66667</v>
      </c>
      <c r="B126" s="1">
        <f>IFERROR(__xludf.DUMMYFUNCTION("""COMPUTED_VALUE"""),211.87)</f>
        <v>211.87</v>
      </c>
    </row>
    <row r="127">
      <c r="A127" s="2">
        <f>IFERROR(__xludf.DUMMYFUNCTION("""COMPUTED_VALUE"""),44287.66666666667)</f>
        <v>44287.66667</v>
      </c>
      <c r="B127" s="1">
        <f>IFERROR(__xludf.DUMMYFUNCTION("""COMPUTED_VALUE"""),218.72)</f>
        <v>218.72</v>
      </c>
    </row>
    <row r="128">
      <c r="A128" s="2">
        <f>IFERROR(__xludf.DUMMYFUNCTION("""COMPUTED_VALUE"""),44291.66666666667)</f>
        <v>44291.66667</v>
      </c>
      <c r="B128" s="1">
        <f>IFERROR(__xludf.DUMMYFUNCTION("""COMPUTED_VALUE"""),220.29)</f>
        <v>220.29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IFERROR(__xludf.DUMMYFUNCTION("""COMPUTED_VALUE"""),221.09)</f>
        <v>221.09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IFERROR(__xludf.DUMMYFUNCTION("""COMPUTED_VALUE"""),220.79)</f>
        <v>220.79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IFERROR(__xludf.DUMMYFUNCTION("""COMPUTED_VALUE"""),224.45)</f>
        <v>224.45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IFERROR(__xludf.DUMMYFUNCTION("""COMPUTED_VALUE"""),231.28)</f>
        <v>231.28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IFERROR(__xludf.DUMMYFUNCTION("""COMPUTED_VALUE"""),228.76)</f>
        <v>228.76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IFERROR(__xludf.DUMMYFUNCTION("""COMPUTED_VALUE"""),232.0)</f>
        <v>232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IFERROR(__xludf.DUMMYFUNCTION("""COMPUTED_VALUE"""),228.02)</f>
        <v>228.02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IFERROR(__xludf.DUMMYFUNCTION("""COMPUTED_VALUE"""),233.0)</f>
        <v>233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IFERROR(__xludf.DUMMYFUNCTION("""COMPUTED_VALUE"""),231.91)</f>
        <v>231.91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IFERROR(__xludf.DUMMYFUNCTION("""COMPUTED_VALUE"""),230.5)</f>
        <v>230.5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IFERROR(__xludf.DUMMYFUNCTION("""COMPUTED_VALUE"""),227.96)</f>
        <v>227.96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IFERROR(__xludf.DUMMYFUNCTION("""COMPUTED_VALUE"""),230.56)</f>
        <v>230.56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IFERROR(__xludf.DUMMYFUNCTION("""COMPUTED_VALUE"""),231.35)</f>
        <v>231.35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IFERROR(__xludf.DUMMYFUNCTION("""COMPUTED_VALUE"""),233.51)</f>
        <v>233.51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IFERROR(__xludf.DUMMYFUNCTION("""COMPUTED_VALUE"""),235.46)</f>
        <v>235.46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IFERROR(__xludf.DUMMYFUNCTION("""COMPUTED_VALUE"""),234.21)</f>
        <v>234.21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IFERROR(__xludf.DUMMYFUNCTION("""COMPUTED_VALUE"""),236.88)</f>
        <v>236.88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IFERROR(__xludf.DUMMYFUNCTION("""COMPUTED_VALUE"""),234.36)</f>
        <v>234.36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IFERROR(__xludf.DUMMYFUNCTION("""COMPUTED_VALUE"""),230.32)</f>
        <v>230.32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IFERROR(__xludf.DUMMYFUNCTION("""COMPUTED_VALUE"""),223.76)</f>
        <v>223.76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IFERROR(__xludf.DUMMYFUNCTION("""COMPUTED_VALUE"""),217.18)</f>
        <v>217.18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IFERROR(__xludf.DUMMYFUNCTION("""COMPUTED_VALUE"""),215.4)</f>
        <v>215.4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IFERROR(__xludf.DUMMYFUNCTION("""COMPUTED_VALUE"""),218.05)</f>
        <v>218.05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IFERROR(__xludf.DUMMYFUNCTION("""COMPUTED_VALUE"""),216.5)</f>
        <v>216.5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IFERROR(__xludf.DUMMYFUNCTION("""COMPUTED_VALUE"""),213.89)</f>
        <v>213.89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IFERROR(__xludf.DUMMYFUNCTION("""COMPUTED_VALUE"""),215.56)</f>
        <v>215.56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IFERROR(__xludf.DUMMYFUNCTION("""COMPUTED_VALUE"""),210.54)</f>
        <v>210.54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IFERROR(__xludf.DUMMYFUNCTION("""COMPUTED_VALUE"""),211.86)</f>
        <v>211.86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IFERROR(__xludf.DUMMYFUNCTION("""COMPUTED_VALUE"""),217.66)</f>
        <v>217.66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IFERROR(__xludf.DUMMYFUNCTION("""COMPUTED_VALUE"""),215.06)</f>
        <v>215.06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IFERROR(__xludf.DUMMYFUNCTION("""COMPUTED_VALUE"""),214.33)</f>
        <v>214.33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IFERROR(__xludf.DUMMYFUNCTION("""COMPUTED_VALUE"""),221.34)</f>
        <v>221.34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IFERROR(__xludf.DUMMYFUNCTION("""COMPUTED_VALUE"""),223.78)</f>
        <v>223.78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IFERROR(__xludf.DUMMYFUNCTION("""COMPUTED_VALUE"""),222.58)</f>
        <v>222.58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IFERROR(__xludf.DUMMYFUNCTION("""COMPUTED_VALUE"""),226.99)</f>
        <v>226.99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IFERROR(__xludf.DUMMYFUNCTION("""COMPUTED_VALUE"""),227.71)</f>
        <v>227.71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IFERROR(__xludf.DUMMYFUNCTION("""COMPUTED_VALUE"""),229.68)</f>
        <v>229.68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IFERROR(__xludf.DUMMYFUNCTION("""COMPUTED_VALUE"""),225.83)</f>
        <v>225.83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IFERROR(__xludf.DUMMYFUNCTION("""COMPUTED_VALUE"""),238.1)</f>
        <v>238.1</v>
      </c>
    </row>
    <row r="168">
      <c r="A168" s="2">
        <f>IFERROR(__xludf.DUMMYFUNCTION("""COMPUTED_VALUE"""),44348.66666666667)</f>
        <v>44348.66667</v>
      </c>
      <c r="B168" s="1">
        <f>IFERROR(__xludf.DUMMYFUNCTION("""COMPUTED_VALUE"""),236.2)</f>
        <v>236.2</v>
      </c>
    </row>
    <row r="169">
      <c r="A169" s="2">
        <f>IFERROR(__xludf.DUMMYFUNCTION("""COMPUTED_VALUE"""),44349.66666666667)</f>
        <v>44349.66667</v>
      </c>
      <c r="B169" s="1">
        <f>IFERROR(__xludf.DUMMYFUNCTION("""COMPUTED_VALUE"""),234.62)</f>
        <v>234.62</v>
      </c>
    </row>
    <row r="170">
      <c r="A170" s="2">
        <f>IFERROR(__xludf.DUMMYFUNCTION("""COMPUTED_VALUE"""),44350.66666666667)</f>
        <v>44350.66667</v>
      </c>
      <c r="B170" s="1">
        <f>IFERROR(__xludf.DUMMYFUNCTION("""COMPUTED_VALUE"""),230.84)</f>
        <v>230.84</v>
      </c>
    </row>
    <row r="171">
      <c r="A171" s="2">
        <f>IFERROR(__xludf.DUMMYFUNCTION("""COMPUTED_VALUE"""),44351.66666666667)</f>
        <v>44351.66667</v>
      </c>
      <c r="B171" s="1">
        <f>IFERROR(__xludf.DUMMYFUNCTION("""COMPUTED_VALUE"""),237.48)</f>
        <v>237.48</v>
      </c>
    </row>
    <row r="172">
      <c r="A172" s="2">
        <f>IFERROR(__xludf.DUMMYFUNCTION("""COMPUTED_VALUE"""),44354.66666666667)</f>
        <v>44354.66667</v>
      </c>
      <c r="B172" s="1">
        <f>IFERROR(__xludf.DUMMYFUNCTION("""COMPUTED_VALUE"""),238.14)</f>
        <v>238.14</v>
      </c>
    </row>
    <row r="173">
      <c r="A173" s="2">
        <f>IFERROR(__xludf.DUMMYFUNCTION("""COMPUTED_VALUE"""),44355.66666666667)</f>
        <v>44355.66667</v>
      </c>
      <c r="B173" s="1">
        <f>IFERROR(__xludf.DUMMYFUNCTION("""COMPUTED_VALUE"""),236.42)</f>
        <v>236.42</v>
      </c>
    </row>
    <row r="174">
      <c r="A174" s="2">
        <f>IFERROR(__xludf.DUMMYFUNCTION("""COMPUTED_VALUE"""),44356.66666666667)</f>
        <v>44356.66667</v>
      </c>
      <c r="B174" s="1">
        <f>IFERROR(__xludf.DUMMYFUNCTION("""COMPUTED_VALUE"""),236.09)</f>
        <v>236.09</v>
      </c>
    </row>
    <row r="175">
      <c r="A175" s="2">
        <f>IFERROR(__xludf.DUMMYFUNCTION("""COMPUTED_VALUE"""),44357.66666666667)</f>
        <v>44357.66667</v>
      </c>
      <c r="B175" s="1">
        <f>IFERROR(__xludf.DUMMYFUNCTION("""COMPUTED_VALUE"""),240.19)</f>
        <v>240.19</v>
      </c>
    </row>
    <row r="176">
      <c r="A176" s="2">
        <f>IFERROR(__xludf.DUMMYFUNCTION("""COMPUTED_VALUE"""),44358.66666666667)</f>
        <v>44358.66667</v>
      </c>
      <c r="B176" s="1">
        <f>IFERROR(__xludf.DUMMYFUNCTION("""COMPUTED_VALUE"""),240.31)</f>
        <v>240.31</v>
      </c>
    </row>
    <row r="177">
      <c r="A177" s="2">
        <f>IFERROR(__xludf.DUMMYFUNCTION("""COMPUTED_VALUE"""),44361.66666666667)</f>
        <v>44361.66667</v>
      </c>
      <c r="B177" s="1">
        <f>IFERROR(__xludf.DUMMYFUNCTION("""COMPUTED_VALUE"""),246.26)</f>
        <v>246.26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IFERROR(__xludf.DUMMYFUNCTION("""COMPUTED_VALUE"""),242.58)</f>
        <v>242.58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IFERROR(__xludf.DUMMYFUNCTION("""COMPUTED_VALUE"""),242.39)</f>
        <v>242.39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IFERROR(__xludf.DUMMYFUNCTION("""COMPUTED_VALUE"""),244.43)</f>
        <v>244.43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IFERROR(__xludf.DUMMYFUNCTION("""COMPUTED_VALUE"""),242.78)</f>
        <v>242.78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IFERROR(__xludf.DUMMYFUNCTION("""COMPUTED_VALUE"""),244.48)</f>
        <v>244.48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IFERROR(__xludf.DUMMYFUNCTION("""COMPUTED_VALUE"""),243.11)</f>
        <v>243.11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IFERROR(__xludf.DUMMYFUNCTION("""COMPUTED_VALUE"""),241.84)</f>
        <v>241.84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IFERROR(__xludf.DUMMYFUNCTION("""COMPUTED_VALUE"""),243.77)</f>
        <v>243.77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IFERROR(__xludf.DUMMYFUNCTION("""COMPUTED_VALUE"""),241.87)</f>
        <v>241.87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IFERROR(__xludf.DUMMYFUNCTION("""COMPUTED_VALUE"""),244.57)</f>
        <v>244.57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IFERROR(__xludf.DUMMYFUNCTION("""COMPUTED_VALUE"""),245.81)</f>
        <v>245.81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IFERROR(__xludf.DUMMYFUNCTION("""COMPUTED_VALUE"""),244.27)</f>
        <v>244.27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IFERROR(__xludf.DUMMYFUNCTION("""COMPUTED_VALUE"""),244.98)</f>
        <v>244.98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IFERROR(__xludf.DUMMYFUNCTION("""COMPUTED_VALUE"""),248.2)</f>
        <v>248.2</v>
      </c>
    </row>
    <row r="192">
      <c r="A192" s="2">
        <f>IFERROR(__xludf.DUMMYFUNCTION("""COMPUTED_VALUE"""),44383.66666666667)</f>
        <v>44383.66667</v>
      </c>
      <c r="B192" s="1">
        <f>IFERROR(__xludf.DUMMYFUNCTION("""COMPUTED_VALUE"""),250.25)</f>
        <v>250.25</v>
      </c>
    </row>
    <row r="193">
      <c r="A193" s="2">
        <f>IFERROR(__xludf.DUMMYFUNCTION("""COMPUTED_VALUE"""),44384.66666666667)</f>
        <v>44384.66667</v>
      </c>
      <c r="B193" s="1">
        <f>IFERROR(__xludf.DUMMYFUNCTION("""COMPUTED_VALUE"""),248.44)</f>
        <v>248.44</v>
      </c>
    </row>
    <row r="194">
      <c r="A194" s="2">
        <f>IFERROR(__xludf.DUMMYFUNCTION("""COMPUTED_VALUE"""),44385.66666666667)</f>
        <v>44385.66667</v>
      </c>
      <c r="B194" s="1">
        <f>IFERROR(__xludf.DUMMYFUNCTION("""COMPUTED_VALUE"""),245.8)</f>
        <v>245.8</v>
      </c>
    </row>
    <row r="195">
      <c r="A195" s="2">
        <f>IFERROR(__xludf.DUMMYFUNCTION("""COMPUTED_VALUE"""),44386.66666666667)</f>
        <v>44386.66667</v>
      </c>
      <c r="B195" s="1">
        <f>IFERROR(__xludf.DUMMYFUNCTION("""COMPUTED_VALUE"""),245.06)</f>
        <v>245.06</v>
      </c>
    </row>
    <row r="196">
      <c r="A196" s="2">
        <f>IFERROR(__xludf.DUMMYFUNCTION("""COMPUTED_VALUE"""),44389.66666666667)</f>
        <v>44389.66667</v>
      </c>
      <c r="B196" s="1">
        <f>IFERROR(__xludf.DUMMYFUNCTION("""COMPUTED_VALUE"""),242.91)</f>
        <v>242.91</v>
      </c>
    </row>
    <row r="197">
      <c r="A197" s="2">
        <f>IFERROR(__xludf.DUMMYFUNCTION("""COMPUTED_VALUE"""),44390.66666666667)</f>
        <v>44390.66667</v>
      </c>
      <c r="B197" s="1">
        <f>IFERROR(__xludf.DUMMYFUNCTION("""COMPUTED_VALUE"""),244.02)</f>
        <v>244.02</v>
      </c>
    </row>
    <row r="198">
      <c r="A198" s="2">
        <f>IFERROR(__xludf.DUMMYFUNCTION("""COMPUTED_VALUE"""),44391.66666666667)</f>
        <v>44391.66667</v>
      </c>
      <c r="B198" s="1">
        <f>IFERROR(__xludf.DUMMYFUNCTION("""COMPUTED_VALUE"""),242.43)</f>
        <v>242.43</v>
      </c>
    </row>
    <row r="199">
      <c r="A199" s="2">
        <f>IFERROR(__xludf.DUMMYFUNCTION("""COMPUTED_VALUE"""),44392.66666666667)</f>
        <v>44392.66667</v>
      </c>
      <c r="B199" s="1">
        <f>IFERROR(__xludf.DUMMYFUNCTION("""COMPUTED_VALUE"""),237.58)</f>
        <v>237.58</v>
      </c>
    </row>
    <row r="200">
      <c r="A200" s="2">
        <f>IFERROR(__xludf.DUMMYFUNCTION("""COMPUTED_VALUE"""),44393.66666666667)</f>
        <v>44393.66667</v>
      </c>
      <c r="B200" s="1">
        <f>IFERROR(__xludf.DUMMYFUNCTION("""COMPUTED_VALUE"""),238.43)</f>
        <v>238.43</v>
      </c>
    </row>
    <row r="201">
      <c r="A201" s="2">
        <f>IFERROR(__xludf.DUMMYFUNCTION("""COMPUTED_VALUE"""),44396.66666666667)</f>
        <v>44396.66667</v>
      </c>
      <c r="B201" s="1">
        <f>IFERROR(__xludf.DUMMYFUNCTION("""COMPUTED_VALUE"""),237.55)</f>
        <v>237.55</v>
      </c>
    </row>
    <row r="202">
      <c r="A202" s="2">
        <f>IFERROR(__xludf.DUMMYFUNCTION("""COMPUTED_VALUE"""),44397.66666666667)</f>
        <v>44397.66667</v>
      </c>
      <c r="B202" s="1">
        <f>IFERROR(__xludf.DUMMYFUNCTION("""COMPUTED_VALUE"""),240.11)</f>
        <v>240.11</v>
      </c>
    </row>
    <row r="203">
      <c r="A203" s="2">
        <f>IFERROR(__xludf.DUMMYFUNCTION("""COMPUTED_VALUE"""),44398.66666666667)</f>
        <v>44398.66667</v>
      </c>
      <c r="B203" s="1">
        <f>IFERROR(__xludf.DUMMYFUNCTION("""COMPUTED_VALUE"""),242.11)</f>
        <v>242.11</v>
      </c>
    </row>
    <row r="204">
      <c r="A204" s="2">
        <f>IFERROR(__xludf.DUMMYFUNCTION("""COMPUTED_VALUE"""),44399.66666666667)</f>
        <v>44399.66667</v>
      </c>
      <c r="B204" s="1">
        <f>IFERROR(__xludf.DUMMYFUNCTION("""COMPUTED_VALUE"""),248.28)</f>
        <v>248.28</v>
      </c>
    </row>
    <row r="205">
      <c r="A205" s="2">
        <f>IFERROR(__xludf.DUMMYFUNCTION("""COMPUTED_VALUE"""),44400.66666666667)</f>
        <v>44400.66667</v>
      </c>
      <c r="B205" s="1">
        <f>IFERROR(__xludf.DUMMYFUNCTION("""COMPUTED_VALUE"""),248.25)</f>
        <v>248.25</v>
      </c>
    </row>
    <row r="206">
      <c r="A206" s="2">
        <f>IFERROR(__xludf.DUMMYFUNCTION("""COMPUTED_VALUE"""),44403.66666666667)</f>
        <v>44403.66667</v>
      </c>
      <c r="B206" s="1">
        <f>IFERROR(__xludf.DUMMYFUNCTION("""COMPUTED_VALUE"""),247.6)</f>
        <v>247.6</v>
      </c>
    </row>
    <row r="207">
      <c r="A207" s="2">
        <f>IFERROR(__xludf.DUMMYFUNCTION("""COMPUTED_VALUE"""),44404.66666666667)</f>
        <v>44404.66667</v>
      </c>
      <c r="B207" s="1">
        <f>IFERROR(__xludf.DUMMYFUNCTION("""COMPUTED_VALUE"""),243.51)</f>
        <v>243.51</v>
      </c>
    </row>
    <row r="208">
      <c r="A208" s="2">
        <f>IFERROR(__xludf.DUMMYFUNCTION("""COMPUTED_VALUE"""),44405.66666666667)</f>
        <v>44405.66667</v>
      </c>
      <c r="B208" s="1">
        <f>IFERROR(__xludf.DUMMYFUNCTION("""COMPUTED_VALUE"""),243.96)</f>
        <v>243.96</v>
      </c>
    </row>
    <row r="209">
      <c r="A209" s="2">
        <f>IFERROR(__xludf.DUMMYFUNCTION("""COMPUTED_VALUE"""),44406.66666666667)</f>
        <v>44406.66667</v>
      </c>
      <c r="B209" s="1">
        <f>IFERROR(__xludf.DUMMYFUNCTION("""COMPUTED_VALUE"""),244.04)</f>
        <v>244.04</v>
      </c>
    </row>
    <row r="210">
      <c r="A210" s="2">
        <f>IFERROR(__xludf.DUMMYFUNCTION("""COMPUTED_VALUE"""),44407.66666666667)</f>
        <v>44407.66667</v>
      </c>
      <c r="B210" s="1">
        <f>IFERROR(__xludf.DUMMYFUNCTION("""COMPUTED_VALUE"""),241.93)</f>
        <v>241.93</v>
      </c>
    </row>
    <row r="211">
      <c r="A211" s="2">
        <f>IFERROR(__xludf.DUMMYFUNCTION("""COMPUTED_VALUE"""),44410.66666666667)</f>
        <v>44410.66667</v>
      </c>
      <c r="B211" s="1">
        <f>IFERROR(__xludf.DUMMYFUNCTION("""COMPUTED_VALUE"""),240.86)</f>
        <v>240.86</v>
      </c>
    </row>
    <row r="212">
      <c r="A212" s="2">
        <f>IFERROR(__xludf.DUMMYFUNCTION("""COMPUTED_VALUE"""),44411.66666666667)</f>
        <v>44411.66667</v>
      </c>
      <c r="B212" s="1">
        <f>IFERROR(__xludf.DUMMYFUNCTION("""COMPUTED_VALUE"""),241.13)</f>
        <v>241.13</v>
      </c>
    </row>
    <row r="213">
      <c r="A213" s="2">
        <f>IFERROR(__xludf.DUMMYFUNCTION("""COMPUTED_VALUE"""),44412.66666666667)</f>
        <v>44412.66667</v>
      </c>
      <c r="B213" s="1">
        <f>IFERROR(__xludf.DUMMYFUNCTION("""COMPUTED_VALUE"""),244.17)</f>
        <v>244.17</v>
      </c>
    </row>
    <row r="214">
      <c r="A214" s="2">
        <f>IFERROR(__xludf.DUMMYFUNCTION("""COMPUTED_VALUE"""),44413.66666666667)</f>
        <v>44413.66667</v>
      </c>
      <c r="B214" s="1">
        <f>IFERROR(__xludf.DUMMYFUNCTION("""COMPUTED_VALUE"""),250.56)</f>
        <v>250.56</v>
      </c>
    </row>
    <row r="215">
      <c r="A215" s="2">
        <f>IFERROR(__xludf.DUMMYFUNCTION("""COMPUTED_VALUE"""),44414.66666666667)</f>
        <v>44414.66667</v>
      </c>
      <c r="B215" s="1">
        <f>IFERROR(__xludf.DUMMYFUNCTION("""COMPUTED_VALUE"""),250.59)</f>
        <v>250.59</v>
      </c>
    </row>
    <row r="216">
      <c r="A216" s="2">
        <f>IFERROR(__xludf.DUMMYFUNCTION("""COMPUTED_VALUE"""),44417.66666666667)</f>
        <v>44417.66667</v>
      </c>
      <c r="B216" s="1">
        <f>IFERROR(__xludf.DUMMYFUNCTION("""COMPUTED_VALUE"""),249.32)</f>
        <v>249.32</v>
      </c>
    </row>
    <row r="217">
      <c r="A217" s="2">
        <f>IFERROR(__xludf.DUMMYFUNCTION("""COMPUTED_VALUE"""),44418.66666666667)</f>
        <v>44418.66667</v>
      </c>
      <c r="B217" s="1">
        <f>IFERROR(__xludf.DUMMYFUNCTION("""COMPUTED_VALUE"""),243.39)</f>
        <v>243.39</v>
      </c>
    </row>
    <row r="218">
      <c r="A218" s="2">
        <f>IFERROR(__xludf.DUMMYFUNCTION("""COMPUTED_VALUE"""),44419.66666666667)</f>
        <v>44419.66667</v>
      </c>
      <c r="B218" s="1">
        <f>IFERROR(__xludf.DUMMYFUNCTION("""COMPUTED_VALUE"""),242.28)</f>
        <v>242.28</v>
      </c>
    </row>
    <row r="219">
      <c r="A219" s="2">
        <f>IFERROR(__xludf.DUMMYFUNCTION("""COMPUTED_VALUE"""),44420.66666666667)</f>
        <v>44420.66667</v>
      </c>
      <c r="B219" s="1">
        <f>IFERROR(__xludf.DUMMYFUNCTION("""COMPUTED_VALUE"""),248.39)</f>
        <v>248.39</v>
      </c>
    </row>
    <row r="220">
      <c r="A220" s="2">
        <f>IFERROR(__xludf.DUMMYFUNCTION("""COMPUTED_VALUE"""),44421.66666666667)</f>
        <v>44421.66667</v>
      </c>
      <c r="B220" s="1">
        <f>IFERROR(__xludf.DUMMYFUNCTION("""COMPUTED_VALUE"""),251.56)</f>
        <v>251.56</v>
      </c>
    </row>
    <row r="221">
      <c r="A221" s="2">
        <f>IFERROR(__xludf.DUMMYFUNCTION("""COMPUTED_VALUE"""),44424.66666666667)</f>
        <v>44424.66667</v>
      </c>
      <c r="B221" s="1">
        <f>IFERROR(__xludf.DUMMYFUNCTION("""COMPUTED_VALUE"""),249.2)</f>
        <v>249.2</v>
      </c>
    </row>
    <row r="222">
      <c r="A222" s="2">
        <f>IFERROR(__xludf.DUMMYFUNCTION("""COMPUTED_VALUE"""),44425.66666666667)</f>
        <v>44425.66667</v>
      </c>
      <c r="B222" s="1">
        <f>IFERROR(__xludf.DUMMYFUNCTION("""COMPUTED_VALUE"""),246.99)</f>
        <v>246.99</v>
      </c>
    </row>
    <row r="223">
      <c r="A223" s="2">
        <f>IFERROR(__xludf.DUMMYFUNCTION("""COMPUTED_VALUE"""),44426.66666666667)</f>
        <v>44426.66667</v>
      </c>
      <c r="B223" s="1">
        <f>IFERROR(__xludf.DUMMYFUNCTION("""COMPUTED_VALUE"""),251.22)</f>
        <v>251.22</v>
      </c>
    </row>
    <row r="224">
      <c r="A224" s="2">
        <f>IFERROR(__xludf.DUMMYFUNCTION("""COMPUTED_VALUE"""),44427.66666666667)</f>
        <v>44427.66667</v>
      </c>
      <c r="B224" s="1">
        <f>IFERROR(__xludf.DUMMYFUNCTION("""COMPUTED_VALUE"""),253.07)</f>
        <v>253.07</v>
      </c>
    </row>
    <row r="225">
      <c r="A225" s="2">
        <f>IFERROR(__xludf.DUMMYFUNCTION("""COMPUTED_VALUE"""),44428.66666666667)</f>
        <v>44428.66667</v>
      </c>
      <c r="B225" s="1">
        <f>IFERROR(__xludf.DUMMYFUNCTION("""COMPUTED_VALUE"""),256.13)</f>
        <v>256.13</v>
      </c>
    </row>
    <row r="226">
      <c r="A226" s="2">
        <f>IFERROR(__xludf.DUMMYFUNCTION("""COMPUTED_VALUE"""),44431.66666666667)</f>
        <v>44431.66667</v>
      </c>
      <c r="B226" s="1">
        <f>IFERROR(__xludf.DUMMYFUNCTION("""COMPUTED_VALUE"""),260.52)</f>
        <v>260.52</v>
      </c>
    </row>
    <row r="227">
      <c r="A227" s="2">
        <f>IFERROR(__xludf.DUMMYFUNCTION("""COMPUTED_VALUE"""),44432.66666666667)</f>
        <v>44432.66667</v>
      </c>
      <c r="B227" s="1">
        <f>IFERROR(__xludf.DUMMYFUNCTION("""COMPUTED_VALUE"""),259.66)</f>
        <v>259.66</v>
      </c>
    </row>
    <row r="228">
      <c r="A228" s="2">
        <f>IFERROR(__xludf.DUMMYFUNCTION("""COMPUTED_VALUE"""),44433.66666666667)</f>
        <v>44433.66667</v>
      </c>
      <c r="B228" s="1">
        <f>IFERROR(__xludf.DUMMYFUNCTION("""COMPUTED_VALUE"""),260.85)</f>
        <v>260.85</v>
      </c>
    </row>
    <row r="229">
      <c r="A229" s="2">
        <f>IFERROR(__xludf.DUMMYFUNCTION("""COMPUTED_VALUE"""),44434.66666666667)</f>
        <v>44434.66667</v>
      </c>
      <c r="B229" s="1">
        <f>IFERROR(__xludf.DUMMYFUNCTION("""COMPUTED_VALUE"""),267.79)</f>
        <v>267.79</v>
      </c>
    </row>
    <row r="230">
      <c r="A230" s="2">
        <f>IFERROR(__xludf.DUMMYFUNCTION("""COMPUTED_VALUE"""),44435.66666666667)</f>
        <v>44435.66667</v>
      </c>
      <c r="B230" s="1">
        <f>IFERROR(__xludf.DUMMYFUNCTION("""COMPUTED_VALUE"""),266.53)</f>
        <v>266.53</v>
      </c>
    </row>
    <row r="231">
      <c r="A231" s="2">
        <f>IFERROR(__xludf.DUMMYFUNCTION("""COMPUTED_VALUE"""),44438.66666666667)</f>
        <v>44438.66667</v>
      </c>
      <c r="B231" s="1">
        <f>IFERROR(__xludf.DUMMYFUNCTION("""COMPUTED_VALUE"""),264.97)</f>
        <v>264.97</v>
      </c>
    </row>
    <row r="232">
      <c r="A232" s="2">
        <f>IFERROR(__xludf.DUMMYFUNCTION("""COMPUTED_VALUE"""),44439.66666666667)</f>
        <v>44439.66667</v>
      </c>
      <c r="B232" s="1">
        <f>IFERROR(__xludf.DUMMYFUNCTION("""COMPUTED_VALUE"""),265.27)</f>
        <v>265.27</v>
      </c>
    </row>
    <row r="233">
      <c r="A233" s="2">
        <f>IFERROR(__xludf.DUMMYFUNCTION("""COMPUTED_VALUE"""),44440.66666666667)</f>
        <v>44440.66667</v>
      </c>
      <c r="B233" s="1">
        <f>IFERROR(__xludf.DUMMYFUNCTION("""COMPUTED_VALUE"""),268.32)</f>
        <v>268.32</v>
      </c>
    </row>
    <row r="234">
      <c r="A234" s="2">
        <f>IFERROR(__xludf.DUMMYFUNCTION("""COMPUTED_VALUE"""),44441.66666666667)</f>
        <v>44441.66667</v>
      </c>
      <c r="B234" s="1">
        <f>IFERROR(__xludf.DUMMYFUNCTION("""COMPUTED_VALUE"""),264.15)</f>
        <v>264.15</v>
      </c>
    </row>
    <row r="235">
      <c r="A235" s="2">
        <f>IFERROR(__xludf.DUMMYFUNCTION("""COMPUTED_VALUE"""),44442.66666666667)</f>
        <v>44442.66667</v>
      </c>
      <c r="B235" s="1">
        <f>IFERROR(__xludf.DUMMYFUNCTION("""COMPUTED_VALUE"""),267.08)</f>
        <v>267.08</v>
      </c>
    </row>
    <row r="236">
      <c r="A236" s="2">
        <f>IFERROR(__xludf.DUMMYFUNCTION("""COMPUTED_VALUE"""),44446.66666666667)</f>
        <v>44446.66667</v>
      </c>
      <c r="B236" s="1">
        <f>IFERROR(__xludf.DUMMYFUNCTION("""COMPUTED_VALUE"""),265.21)</f>
        <v>265.21</v>
      </c>
    </row>
    <row r="237">
      <c r="A237" s="2">
        <f>IFERROR(__xludf.DUMMYFUNCTION("""COMPUTED_VALUE"""),44447.66666666667)</f>
        <v>44447.66667</v>
      </c>
      <c r="B237" s="1">
        <f>IFERROR(__xludf.DUMMYFUNCTION("""COMPUTED_VALUE"""),262.62)</f>
        <v>262.62</v>
      </c>
    </row>
    <row r="238">
      <c r="A238" s="2">
        <f>IFERROR(__xludf.DUMMYFUNCTION("""COMPUTED_VALUE"""),44448.66666666667)</f>
        <v>44448.66667</v>
      </c>
      <c r="B238" s="1">
        <f>IFERROR(__xludf.DUMMYFUNCTION("""COMPUTED_VALUE"""),260.74)</f>
        <v>260.74</v>
      </c>
    </row>
    <row r="239">
      <c r="A239" s="2">
        <f>IFERROR(__xludf.DUMMYFUNCTION("""COMPUTED_VALUE"""),44449.66666666667)</f>
        <v>44449.66667</v>
      </c>
      <c r="B239" s="1">
        <f>IFERROR(__xludf.DUMMYFUNCTION("""COMPUTED_VALUE"""),257.2)</f>
        <v>257.2</v>
      </c>
    </row>
    <row r="240">
      <c r="A240" s="2">
        <f>IFERROR(__xludf.DUMMYFUNCTION("""COMPUTED_VALUE"""),44452.66666666667)</f>
        <v>44452.66667</v>
      </c>
      <c r="B240" s="1">
        <f>IFERROR(__xludf.DUMMYFUNCTION("""COMPUTED_VALUE"""),254.11)</f>
        <v>254.11</v>
      </c>
    </row>
    <row r="241">
      <c r="A241" s="2">
        <f>IFERROR(__xludf.DUMMYFUNCTION("""COMPUTED_VALUE"""),44453.66666666667)</f>
        <v>44453.66667</v>
      </c>
      <c r="B241" s="1">
        <f>IFERROR(__xludf.DUMMYFUNCTION("""COMPUTED_VALUE"""),254.37)</f>
        <v>254.37</v>
      </c>
    </row>
    <row r="242">
      <c r="A242" s="2">
        <f>IFERROR(__xludf.DUMMYFUNCTION("""COMPUTED_VALUE"""),44454.66666666667)</f>
        <v>44454.66667</v>
      </c>
      <c r="B242" s="1">
        <f>IFERROR(__xludf.DUMMYFUNCTION("""COMPUTED_VALUE"""),256.16)</f>
        <v>256.16</v>
      </c>
    </row>
    <row r="243">
      <c r="A243" s="2">
        <f>IFERROR(__xludf.DUMMYFUNCTION("""COMPUTED_VALUE"""),44455.66666666667)</f>
        <v>44455.66667</v>
      </c>
      <c r="B243" s="1">
        <f>IFERROR(__xludf.DUMMYFUNCTION("""COMPUTED_VALUE"""),260.36)</f>
        <v>260.36</v>
      </c>
    </row>
    <row r="244">
      <c r="A244" s="2">
        <f>IFERROR(__xludf.DUMMYFUNCTION("""COMPUTED_VALUE"""),44456.66666666667)</f>
        <v>44456.66667</v>
      </c>
      <c r="B244" s="1">
        <f>IFERROR(__xludf.DUMMYFUNCTION("""COMPUTED_VALUE"""),260.53)</f>
        <v>260.53</v>
      </c>
    </row>
    <row r="245">
      <c r="A245" s="2">
        <f>IFERROR(__xludf.DUMMYFUNCTION("""COMPUTED_VALUE"""),44459.66666666667)</f>
        <v>44459.66667</v>
      </c>
      <c r="B245" s="1">
        <f>IFERROR(__xludf.DUMMYFUNCTION("""COMPUTED_VALUE"""),258.22)</f>
        <v>258.22</v>
      </c>
    </row>
    <row r="246">
      <c r="A246" s="2">
        <f>IFERROR(__xludf.DUMMYFUNCTION("""COMPUTED_VALUE"""),44460.66666666667)</f>
        <v>44460.66667</v>
      </c>
      <c r="B246" s="1">
        <f>IFERROR(__xludf.DUMMYFUNCTION("""COMPUTED_VALUE"""),257.97)</f>
        <v>257.97</v>
      </c>
    </row>
    <row r="247">
      <c r="A247" s="2">
        <f>IFERROR(__xludf.DUMMYFUNCTION("""COMPUTED_VALUE"""),44461.66666666667)</f>
        <v>44461.66667</v>
      </c>
      <c r="B247" s="1">
        <f>IFERROR(__xludf.DUMMYFUNCTION("""COMPUTED_VALUE"""),259.17)</f>
        <v>259.17</v>
      </c>
    </row>
    <row r="248">
      <c r="A248" s="2">
        <f>IFERROR(__xludf.DUMMYFUNCTION("""COMPUTED_VALUE"""),44462.66666666667)</f>
        <v>44462.66667</v>
      </c>
      <c r="B248" s="1">
        <f>IFERROR(__xludf.DUMMYFUNCTION("""COMPUTED_VALUE"""),277.86)</f>
        <v>277.86</v>
      </c>
    </row>
    <row r="249">
      <c r="A249" s="2">
        <f>IFERROR(__xludf.DUMMYFUNCTION("""COMPUTED_VALUE"""),44463.66666666667)</f>
        <v>44463.66667</v>
      </c>
      <c r="B249" s="1">
        <f>IFERROR(__xludf.DUMMYFUNCTION("""COMPUTED_VALUE"""),285.63)</f>
        <v>285.63</v>
      </c>
    </row>
    <row r="250">
      <c r="A250" s="2">
        <f>IFERROR(__xludf.DUMMYFUNCTION("""COMPUTED_VALUE"""),44466.66666666667)</f>
        <v>44466.66667</v>
      </c>
      <c r="B250" s="1">
        <f>IFERROR(__xludf.DUMMYFUNCTION("""COMPUTED_VALUE"""),279.68)</f>
        <v>279.68</v>
      </c>
    </row>
    <row r="251">
      <c r="A251" s="2">
        <f>IFERROR(__xludf.DUMMYFUNCTION("""COMPUTED_VALUE"""),44467.66666666667)</f>
        <v>44467.66667</v>
      </c>
      <c r="B251" s="1">
        <f>IFERROR(__xludf.DUMMYFUNCTION("""COMPUTED_VALUE"""),272.28)</f>
        <v>272.28</v>
      </c>
    </row>
    <row r="252">
      <c r="A252" s="2">
        <f>IFERROR(__xludf.DUMMYFUNCTION("""COMPUTED_VALUE"""),44468.66666666667)</f>
        <v>44468.66667</v>
      </c>
      <c r="B252" s="1">
        <f>IFERROR(__xludf.DUMMYFUNCTION("""COMPUTED_VALUE"""),270.5)</f>
        <v>270.5</v>
      </c>
    </row>
    <row r="253">
      <c r="A253" s="2">
        <f>IFERROR(__xludf.DUMMYFUNCTION("""COMPUTED_VALUE"""),44469.66666666667)</f>
        <v>44469.66667</v>
      </c>
      <c r="B253" s="1">
        <f>IFERROR(__xludf.DUMMYFUNCTION("""COMPUTED_VALUE"""),271.22)</f>
        <v>271.22</v>
      </c>
    </row>
    <row r="254">
      <c r="A254" s="2">
        <f>IFERROR(__xludf.DUMMYFUNCTION("""COMPUTED_VALUE"""),44470.66666666667)</f>
        <v>44470.66667</v>
      </c>
      <c r="B254" s="1">
        <f>IFERROR(__xludf.DUMMYFUNCTION("""COMPUTED_VALUE"""),275.26)</f>
        <v>275.26</v>
      </c>
    </row>
    <row r="255">
      <c r="A255" s="2">
        <f>IFERROR(__xludf.DUMMYFUNCTION("""COMPUTED_VALUE"""),44473.66666666667)</f>
        <v>44473.66667</v>
      </c>
      <c r="B255" s="1">
        <f>IFERROR(__xludf.DUMMYFUNCTION("""COMPUTED_VALUE"""),270.86)</f>
        <v>270.86</v>
      </c>
    </row>
    <row r="256">
      <c r="A256" s="2">
        <f>IFERROR(__xludf.DUMMYFUNCTION("""COMPUTED_VALUE"""),44474.66666666667)</f>
        <v>44474.66667</v>
      </c>
      <c r="B256" s="1">
        <f>IFERROR(__xludf.DUMMYFUNCTION("""COMPUTED_VALUE"""),271.77)</f>
        <v>271.77</v>
      </c>
    </row>
    <row r="257">
      <c r="A257" s="2">
        <f>IFERROR(__xludf.DUMMYFUNCTION("""COMPUTED_VALUE"""),44475.66666666667)</f>
        <v>44475.66667</v>
      </c>
      <c r="B257" s="1">
        <f>IFERROR(__xludf.DUMMYFUNCTION("""COMPUTED_VALUE"""),275.27)</f>
        <v>275.27</v>
      </c>
    </row>
    <row r="258">
      <c r="A258" s="2">
        <f>IFERROR(__xludf.DUMMYFUNCTION("""COMPUTED_VALUE"""),44476.66666666667)</f>
        <v>44476.66667</v>
      </c>
      <c r="B258" s="1">
        <f>IFERROR(__xludf.DUMMYFUNCTION("""COMPUTED_VALUE"""),274.58)</f>
        <v>274.58</v>
      </c>
    </row>
    <row r="259">
      <c r="A259" s="2">
        <f>IFERROR(__xludf.DUMMYFUNCTION("""COMPUTED_VALUE"""),44477.66666666667)</f>
        <v>44477.66667</v>
      </c>
      <c r="B259" s="1">
        <f>IFERROR(__xludf.DUMMYFUNCTION("""COMPUTED_VALUE"""),272.48)</f>
        <v>272.48</v>
      </c>
    </row>
    <row r="260">
      <c r="A260" s="2">
        <f>IFERROR(__xludf.DUMMYFUNCTION("""COMPUTED_VALUE"""),44480.66666666667)</f>
        <v>44480.66667</v>
      </c>
      <c r="B260" s="1">
        <f>IFERROR(__xludf.DUMMYFUNCTION("""COMPUTED_VALUE"""),273.75)</f>
        <v>273.75</v>
      </c>
    </row>
    <row r="261">
      <c r="A261" s="2">
        <f>IFERROR(__xludf.DUMMYFUNCTION("""COMPUTED_VALUE"""),44481.66666666667)</f>
        <v>44481.66667</v>
      </c>
      <c r="B261" s="1">
        <f>IFERROR(__xludf.DUMMYFUNCTION("""COMPUTED_VALUE"""),279.0)</f>
        <v>279</v>
      </c>
    </row>
    <row r="262">
      <c r="A262" s="2">
        <f>IFERROR(__xludf.DUMMYFUNCTION("""COMPUTED_VALUE"""),44482.66666666667)</f>
        <v>44482.66667</v>
      </c>
      <c r="B262" s="1">
        <f>IFERROR(__xludf.DUMMYFUNCTION("""COMPUTED_VALUE"""),284.41)</f>
        <v>284.41</v>
      </c>
    </row>
    <row r="263">
      <c r="A263" s="2">
        <f>IFERROR(__xludf.DUMMYFUNCTION("""COMPUTED_VALUE"""),44483.66666666667)</f>
        <v>44483.66667</v>
      </c>
      <c r="B263" s="1">
        <f>IFERROR(__xludf.DUMMYFUNCTION("""COMPUTED_VALUE"""),290.02)</f>
        <v>290.02</v>
      </c>
    </row>
    <row r="264">
      <c r="A264" s="2">
        <f>IFERROR(__xludf.DUMMYFUNCTION("""COMPUTED_VALUE"""),44484.66666666667)</f>
        <v>44484.66667</v>
      </c>
      <c r="B264" s="1">
        <f>IFERROR(__xludf.DUMMYFUNCTION("""COMPUTED_VALUE"""),291.66)</f>
        <v>291.66</v>
      </c>
    </row>
    <row r="265">
      <c r="A265" s="2">
        <f>IFERROR(__xludf.DUMMYFUNCTION("""COMPUTED_VALUE"""),44487.66666666667)</f>
        <v>44487.66667</v>
      </c>
      <c r="B265" s="1">
        <f>IFERROR(__xludf.DUMMYFUNCTION("""COMPUTED_VALUE"""),291.7)</f>
        <v>291.7</v>
      </c>
    </row>
    <row r="266">
      <c r="A266" s="2">
        <f>IFERROR(__xludf.DUMMYFUNCTION("""COMPUTED_VALUE"""),44488.66666666667)</f>
        <v>44488.66667</v>
      </c>
      <c r="B266" s="1">
        <f>IFERROR(__xludf.DUMMYFUNCTION("""COMPUTED_VALUE"""),292.34)</f>
        <v>292.34</v>
      </c>
    </row>
    <row r="267">
      <c r="A267" s="2">
        <f>IFERROR(__xludf.DUMMYFUNCTION("""COMPUTED_VALUE"""),44489.66666666667)</f>
        <v>44489.66667</v>
      </c>
      <c r="B267" s="1">
        <f>IFERROR(__xludf.DUMMYFUNCTION("""COMPUTED_VALUE"""),290.09)</f>
        <v>290.09</v>
      </c>
    </row>
    <row r="268">
      <c r="A268" s="2">
        <f>IFERROR(__xludf.DUMMYFUNCTION("""COMPUTED_VALUE"""),44490.66666666667)</f>
        <v>44490.66667</v>
      </c>
      <c r="B268" s="1">
        <f>IFERROR(__xludf.DUMMYFUNCTION("""COMPUTED_VALUE"""),289.81)</f>
        <v>289.81</v>
      </c>
    </row>
    <row r="269">
      <c r="A269" s="2">
        <f>IFERROR(__xludf.DUMMYFUNCTION("""COMPUTED_VALUE"""),44491.66666666667)</f>
        <v>44491.66667</v>
      </c>
      <c r="B269" s="1">
        <f>IFERROR(__xludf.DUMMYFUNCTION("""COMPUTED_VALUE"""),292.56)</f>
        <v>292.56</v>
      </c>
    </row>
    <row r="270">
      <c r="A270" s="2">
        <f>IFERROR(__xludf.DUMMYFUNCTION("""COMPUTED_VALUE"""),44494.66666666667)</f>
        <v>44494.66667</v>
      </c>
      <c r="B270" s="1">
        <f>IFERROR(__xludf.DUMMYFUNCTION("""COMPUTED_VALUE"""),293.92)</f>
        <v>293.92</v>
      </c>
    </row>
    <row r="271">
      <c r="A271" s="2">
        <f>IFERROR(__xludf.DUMMYFUNCTION("""COMPUTED_VALUE"""),44495.66666666667)</f>
        <v>44495.66667</v>
      </c>
      <c r="B271" s="1">
        <f>IFERROR(__xludf.DUMMYFUNCTION("""COMPUTED_VALUE"""),295.11)</f>
        <v>295.11</v>
      </c>
    </row>
    <row r="272">
      <c r="A272" s="2">
        <f>IFERROR(__xludf.DUMMYFUNCTION("""COMPUTED_VALUE"""),44496.66666666667)</f>
        <v>44496.66667</v>
      </c>
      <c r="B272" s="1">
        <f>IFERROR(__xludf.DUMMYFUNCTION("""COMPUTED_VALUE"""),295.15)</f>
        <v>295.15</v>
      </c>
    </row>
    <row r="273">
      <c r="A273" s="2">
        <f>IFERROR(__xludf.DUMMYFUNCTION("""COMPUTED_VALUE"""),44497.66666666667)</f>
        <v>44497.66667</v>
      </c>
      <c r="B273" s="1">
        <f>IFERROR(__xludf.DUMMYFUNCTION("""COMPUTED_VALUE"""),298.38)</f>
        <v>298.38</v>
      </c>
    </row>
    <row r="274">
      <c r="A274" s="2">
        <f>IFERROR(__xludf.DUMMYFUNCTION("""COMPUTED_VALUE"""),44498.66666666667)</f>
        <v>44498.66667</v>
      </c>
      <c r="B274" s="1">
        <f>IFERROR(__xludf.DUMMYFUNCTION("""COMPUTED_VALUE"""),299.69)</f>
        <v>299.69</v>
      </c>
    </row>
    <row r="275">
      <c r="A275" s="2">
        <f>IFERROR(__xludf.DUMMYFUNCTION("""COMPUTED_VALUE"""),44501.66666666667)</f>
        <v>44501.66667</v>
      </c>
      <c r="B275" s="1">
        <f>IFERROR(__xludf.DUMMYFUNCTION("""COMPUTED_VALUE"""),302.76)</f>
        <v>302.76</v>
      </c>
    </row>
    <row r="276">
      <c r="A276" s="2">
        <f>IFERROR(__xludf.DUMMYFUNCTION("""COMPUTED_VALUE"""),44502.66666666667)</f>
        <v>44502.66667</v>
      </c>
      <c r="B276" s="1">
        <f>IFERROR(__xludf.DUMMYFUNCTION("""COMPUTED_VALUE"""),302.95)</f>
        <v>302.95</v>
      </c>
    </row>
    <row r="277">
      <c r="A277" s="2">
        <f>IFERROR(__xludf.DUMMYFUNCTION("""COMPUTED_VALUE"""),44503.66666666667)</f>
        <v>44503.66667</v>
      </c>
      <c r="B277" s="1">
        <f>IFERROR(__xludf.DUMMYFUNCTION("""COMPUTED_VALUE"""),302.89)</f>
        <v>302.89</v>
      </c>
    </row>
    <row r="278">
      <c r="A278" s="2">
        <f>IFERROR(__xludf.DUMMYFUNCTION("""COMPUTED_VALUE"""),44504.66666666667)</f>
        <v>44504.66667</v>
      </c>
      <c r="B278" s="1">
        <f>IFERROR(__xludf.DUMMYFUNCTION("""COMPUTED_VALUE"""),308.04)</f>
        <v>308.04</v>
      </c>
    </row>
    <row r="279">
      <c r="A279" s="2">
        <f>IFERROR(__xludf.DUMMYFUNCTION("""COMPUTED_VALUE"""),44505.66666666667)</f>
        <v>44505.66667</v>
      </c>
      <c r="B279" s="1">
        <f>IFERROR(__xludf.DUMMYFUNCTION("""COMPUTED_VALUE"""),307.25)</f>
        <v>307.25</v>
      </c>
    </row>
    <row r="280">
      <c r="A280" s="2">
        <f>IFERROR(__xludf.DUMMYFUNCTION("""COMPUTED_VALUE"""),44508.66666666667)</f>
        <v>44508.66667</v>
      </c>
      <c r="B280" s="1">
        <f>IFERROR(__xludf.DUMMYFUNCTION("""COMPUTED_VALUE"""),309.96)</f>
        <v>309.96</v>
      </c>
    </row>
    <row r="281">
      <c r="A281" s="2">
        <f>IFERROR(__xludf.DUMMYFUNCTION("""COMPUTED_VALUE"""),44509.66666666667)</f>
        <v>44509.66667</v>
      </c>
      <c r="B281" s="1">
        <f>IFERROR(__xludf.DUMMYFUNCTION("""COMPUTED_VALUE"""),309.71)</f>
        <v>309.71</v>
      </c>
    </row>
    <row r="282">
      <c r="A282" s="2">
        <f>IFERROR(__xludf.DUMMYFUNCTION("""COMPUTED_VALUE"""),44510.66666666667)</f>
        <v>44510.66667</v>
      </c>
      <c r="B282" s="1">
        <f>IFERROR(__xludf.DUMMYFUNCTION("""COMPUTED_VALUE"""),299.67)</f>
        <v>299.67</v>
      </c>
    </row>
    <row r="283">
      <c r="A283" s="2">
        <f>IFERROR(__xludf.DUMMYFUNCTION("""COMPUTED_VALUE"""),44511.66666666667)</f>
        <v>44511.66667</v>
      </c>
      <c r="B283" s="1">
        <f>IFERROR(__xludf.DUMMYFUNCTION("""COMPUTED_VALUE"""),302.98)</f>
        <v>302.98</v>
      </c>
    </row>
    <row r="284">
      <c r="A284" s="2">
        <f>IFERROR(__xludf.DUMMYFUNCTION("""COMPUTED_VALUE"""),44512.66666666667)</f>
        <v>44512.66667</v>
      </c>
      <c r="B284" s="1">
        <f>IFERROR(__xludf.DUMMYFUNCTION("""COMPUTED_VALUE"""),306.65)</f>
        <v>306.65</v>
      </c>
    </row>
    <row r="285">
      <c r="A285" s="2">
        <f>IFERROR(__xludf.DUMMYFUNCTION("""COMPUTED_VALUE"""),44515.66666666667)</f>
        <v>44515.66667</v>
      </c>
      <c r="B285" s="1">
        <f>IFERROR(__xludf.DUMMYFUNCTION("""COMPUTED_VALUE"""),305.49)</f>
        <v>305.49</v>
      </c>
    </row>
    <row r="286">
      <c r="A286" s="2">
        <f>IFERROR(__xludf.DUMMYFUNCTION("""COMPUTED_VALUE"""),44516.66666666667)</f>
        <v>44516.66667</v>
      </c>
      <c r="B286" s="1">
        <f>IFERROR(__xludf.DUMMYFUNCTION("""COMPUTED_VALUE"""),307.09)</f>
        <v>307.09</v>
      </c>
    </row>
    <row r="287">
      <c r="A287" s="2">
        <f>IFERROR(__xludf.DUMMYFUNCTION("""COMPUTED_VALUE"""),44517.66666666667)</f>
        <v>44517.66667</v>
      </c>
      <c r="B287" s="1">
        <f>IFERROR(__xludf.DUMMYFUNCTION("""COMPUTED_VALUE"""),308.02)</f>
        <v>308.02</v>
      </c>
    </row>
    <row r="288">
      <c r="A288" s="2">
        <f>IFERROR(__xludf.DUMMYFUNCTION("""COMPUTED_VALUE"""),44518.66666666667)</f>
        <v>44518.66667</v>
      </c>
      <c r="B288" s="1">
        <f>IFERROR(__xludf.DUMMYFUNCTION("""COMPUTED_VALUE"""),302.99)</f>
        <v>302.99</v>
      </c>
    </row>
    <row r="289">
      <c r="A289" s="2">
        <f>IFERROR(__xludf.DUMMYFUNCTION("""COMPUTED_VALUE"""),44519.66666666667)</f>
        <v>44519.66667</v>
      </c>
      <c r="B289" s="1">
        <f>IFERROR(__xludf.DUMMYFUNCTION("""COMPUTED_VALUE"""),301.17)</f>
        <v>301.17</v>
      </c>
    </row>
    <row r="290">
      <c r="A290" s="2">
        <f>IFERROR(__xludf.DUMMYFUNCTION("""COMPUTED_VALUE"""),44522.66666666667)</f>
        <v>44522.66667</v>
      </c>
      <c r="B290" s="1">
        <f>IFERROR(__xludf.DUMMYFUNCTION("""COMPUTED_VALUE"""),296.84)</f>
        <v>296.84</v>
      </c>
    </row>
    <row r="291">
      <c r="A291" s="2">
        <f>IFERROR(__xludf.DUMMYFUNCTION("""COMPUTED_VALUE"""),44523.66666666667)</f>
        <v>44523.66667</v>
      </c>
      <c r="B291" s="1">
        <f>IFERROR(__xludf.DUMMYFUNCTION("""COMPUTED_VALUE"""),291.42)</f>
        <v>291.42</v>
      </c>
    </row>
    <row r="292">
      <c r="A292" s="2">
        <f>IFERROR(__xludf.DUMMYFUNCTION("""COMPUTED_VALUE"""),44524.66666666667)</f>
        <v>44524.66667</v>
      </c>
      <c r="B292" s="1">
        <f>IFERROR(__xludf.DUMMYFUNCTION("""COMPUTED_VALUE"""),289.17)</f>
        <v>289.17</v>
      </c>
    </row>
    <row r="293">
      <c r="A293" s="2">
        <f>IFERROR(__xludf.DUMMYFUNCTION("""COMPUTED_VALUE"""),44526.54166666667)</f>
        <v>44526.54167</v>
      </c>
      <c r="B293" s="1">
        <f>IFERROR(__xludf.DUMMYFUNCTION("""COMPUTED_VALUE"""),284.21)</f>
        <v>284.21</v>
      </c>
    </row>
    <row r="294">
      <c r="A294" s="2">
        <f>IFERROR(__xludf.DUMMYFUNCTION("""COMPUTED_VALUE"""),44529.66666666667)</f>
        <v>44529.66667</v>
      </c>
      <c r="B294" s="1">
        <f>IFERROR(__xludf.DUMMYFUNCTION("""COMPUTED_VALUE"""),296.74)</f>
        <v>296.74</v>
      </c>
    </row>
    <row r="295">
      <c r="A295" s="2">
        <f>IFERROR(__xludf.DUMMYFUNCTION("""COMPUTED_VALUE"""),44530.66666666667)</f>
        <v>44530.66667</v>
      </c>
      <c r="B295" s="1">
        <f>IFERROR(__xludf.DUMMYFUNCTION("""COMPUTED_VALUE"""),284.96)</f>
        <v>284.96</v>
      </c>
    </row>
    <row r="296">
      <c r="A296" s="2">
        <f>IFERROR(__xludf.DUMMYFUNCTION("""COMPUTED_VALUE"""),44531.66666666667)</f>
        <v>44531.66667</v>
      </c>
      <c r="B296" s="1">
        <f>IFERROR(__xludf.DUMMYFUNCTION("""COMPUTED_VALUE"""),251.5)</f>
        <v>251.5</v>
      </c>
    </row>
    <row r="297">
      <c r="A297" s="2">
        <f>IFERROR(__xludf.DUMMYFUNCTION("""COMPUTED_VALUE"""),44532.66666666667)</f>
        <v>44532.66667</v>
      </c>
      <c r="B297" s="1">
        <f>IFERROR(__xludf.DUMMYFUNCTION("""COMPUTED_VALUE"""),261.2)</f>
        <v>261.2</v>
      </c>
    </row>
    <row r="298">
      <c r="A298" s="2">
        <f>IFERROR(__xludf.DUMMYFUNCTION("""COMPUTED_VALUE"""),44533.66666666667)</f>
        <v>44533.66667</v>
      </c>
      <c r="B298" s="1">
        <f>IFERROR(__xludf.DUMMYFUNCTION("""COMPUTED_VALUE"""),258.32)</f>
        <v>258.32</v>
      </c>
    </row>
    <row r="299">
      <c r="A299" s="2">
        <f>IFERROR(__xludf.DUMMYFUNCTION("""COMPUTED_VALUE"""),44536.66666666667)</f>
        <v>44536.66667</v>
      </c>
      <c r="B299" s="1">
        <f>IFERROR(__xludf.DUMMYFUNCTION("""COMPUTED_VALUE"""),258.75)</f>
        <v>258.75</v>
      </c>
    </row>
    <row r="300">
      <c r="A300" s="2">
        <f>IFERROR(__xludf.DUMMYFUNCTION("""COMPUTED_VALUE"""),44537.66666666667)</f>
        <v>44537.66667</v>
      </c>
      <c r="B300" s="1">
        <f>IFERROR(__xludf.DUMMYFUNCTION("""COMPUTED_VALUE"""),266.99)</f>
        <v>266.99</v>
      </c>
    </row>
    <row r="301">
      <c r="A301" s="2">
        <f>IFERROR(__xludf.DUMMYFUNCTION("""COMPUTED_VALUE"""),44538.66666666667)</f>
        <v>44538.66667</v>
      </c>
      <c r="B301" s="1">
        <f>IFERROR(__xludf.DUMMYFUNCTION("""COMPUTED_VALUE"""),266.31)</f>
        <v>266.31</v>
      </c>
    </row>
    <row r="302">
      <c r="A302" s="2">
        <f>IFERROR(__xludf.DUMMYFUNCTION("""COMPUTED_VALUE"""),44539.66666666667)</f>
        <v>44539.66667</v>
      </c>
      <c r="B302" s="1">
        <f>IFERROR(__xludf.DUMMYFUNCTION("""COMPUTED_VALUE"""),264.32)</f>
        <v>264.32</v>
      </c>
    </row>
    <row r="303">
      <c r="A303" s="2">
        <f>IFERROR(__xludf.DUMMYFUNCTION("""COMPUTED_VALUE"""),44540.66666666667)</f>
        <v>44540.66667</v>
      </c>
      <c r="B303" s="1">
        <f>IFERROR(__xludf.DUMMYFUNCTION("""COMPUTED_VALUE"""),266.03)</f>
        <v>266.03</v>
      </c>
    </row>
    <row r="304">
      <c r="A304" s="2">
        <f>IFERROR(__xludf.DUMMYFUNCTION("""COMPUTED_VALUE"""),44543.66666666667)</f>
        <v>44543.66667</v>
      </c>
      <c r="B304" s="1">
        <f>IFERROR(__xludf.DUMMYFUNCTION("""COMPUTED_VALUE"""),265.76)</f>
        <v>265.76</v>
      </c>
    </row>
    <row r="305">
      <c r="A305" s="2">
        <f>IFERROR(__xludf.DUMMYFUNCTION("""COMPUTED_VALUE"""),44544.66666666667)</f>
        <v>44544.66667</v>
      </c>
      <c r="B305" s="1">
        <f>IFERROR(__xludf.DUMMYFUNCTION("""COMPUTED_VALUE"""),255.59)</f>
        <v>255.59</v>
      </c>
    </row>
    <row r="306">
      <c r="A306" s="2">
        <f>IFERROR(__xludf.DUMMYFUNCTION("""COMPUTED_VALUE"""),44545.66666666667)</f>
        <v>44545.66667</v>
      </c>
      <c r="B306" s="1">
        <f>IFERROR(__xludf.DUMMYFUNCTION("""COMPUTED_VALUE"""),260.04)</f>
        <v>260.04</v>
      </c>
    </row>
    <row r="307">
      <c r="A307" s="2">
        <f>IFERROR(__xludf.DUMMYFUNCTION("""COMPUTED_VALUE"""),44546.66666666667)</f>
        <v>44546.66667</v>
      </c>
      <c r="B307" s="1">
        <f>IFERROR(__xludf.DUMMYFUNCTION("""COMPUTED_VALUE"""),253.12)</f>
        <v>253.12</v>
      </c>
    </row>
    <row r="308">
      <c r="A308" s="2">
        <f>IFERROR(__xludf.DUMMYFUNCTION("""COMPUTED_VALUE"""),44547.66666666667)</f>
        <v>44547.66667</v>
      </c>
      <c r="B308" s="1">
        <f>IFERROR(__xludf.DUMMYFUNCTION("""COMPUTED_VALUE"""),252.93)</f>
        <v>252.93</v>
      </c>
    </row>
    <row r="309">
      <c r="A309" s="2">
        <f>IFERROR(__xludf.DUMMYFUNCTION("""COMPUTED_VALUE"""),44550.66666666667)</f>
        <v>44550.66667</v>
      </c>
      <c r="B309" s="1">
        <f>IFERROR(__xludf.DUMMYFUNCTION("""COMPUTED_VALUE"""),247.21)</f>
        <v>247.21</v>
      </c>
    </row>
    <row r="310">
      <c r="A310" s="2">
        <f>IFERROR(__xludf.DUMMYFUNCTION("""COMPUTED_VALUE"""),44551.66666666667)</f>
        <v>44551.66667</v>
      </c>
      <c r="B310" s="1">
        <f>IFERROR(__xludf.DUMMYFUNCTION("""COMPUTED_VALUE"""),252.55)</f>
        <v>252.55</v>
      </c>
    </row>
    <row r="311">
      <c r="A311" s="2">
        <f>IFERROR(__xludf.DUMMYFUNCTION("""COMPUTED_VALUE"""),44552.66666666667)</f>
        <v>44552.66667</v>
      </c>
      <c r="B311" s="1">
        <f>IFERROR(__xludf.DUMMYFUNCTION("""COMPUTED_VALUE"""),252.8)</f>
        <v>252.8</v>
      </c>
    </row>
    <row r="312">
      <c r="A312" s="2">
        <f>IFERROR(__xludf.DUMMYFUNCTION("""COMPUTED_VALUE"""),44553.66666666667)</f>
        <v>44553.66667</v>
      </c>
      <c r="B312" s="1">
        <f>IFERROR(__xludf.DUMMYFUNCTION("""COMPUTED_VALUE"""),253.14)</f>
        <v>253.14</v>
      </c>
    </row>
    <row r="313">
      <c r="A313" s="2">
        <f>IFERROR(__xludf.DUMMYFUNCTION("""COMPUTED_VALUE"""),44557.66666666667)</f>
        <v>44557.66667</v>
      </c>
      <c r="B313" s="1">
        <f>IFERROR(__xludf.DUMMYFUNCTION("""COMPUTED_VALUE"""),258.3)</f>
        <v>258.3</v>
      </c>
    </row>
    <row r="314">
      <c r="A314" s="2">
        <f>IFERROR(__xludf.DUMMYFUNCTION("""COMPUTED_VALUE"""),44558.66666666667)</f>
        <v>44558.66667</v>
      </c>
      <c r="B314" s="1">
        <f>IFERROR(__xludf.DUMMYFUNCTION("""COMPUTED_VALUE"""),255.45)</f>
        <v>255.45</v>
      </c>
    </row>
    <row r="315">
      <c r="A315" s="2">
        <f>IFERROR(__xludf.DUMMYFUNCTION("""COMPUTED_VALUE"""),44559.66666666667)</f>
        <v>44559.66667</v>
      </c>
      <c r="B315" s="1">
        <f>IFERROR(__xludf.DUMMYFUNCTION("""COMPUTED_VALUE"""),254.54)</f>
        <v>254.54</v>
      </c>
    </row>
    <row r="316">
      <c r="A316" s="2">
        <f>IFERROR(__xludf.DUMMYFUNCTION("""COMPUTED_VALUE"""),44560.66666666667)</f>
        <v>44560.66667</v>
      </c>
      <c r="B316" s="1">
        <f>IFERROR(__xludf.DUMMYFUNCTION("""COMPUTED_VALUE"""),255.33)</f>
        <v>255.33</v>
      </c>
    </row>
    <row r="317">
      <c r="A317" s="2">
        <f>IFERROR(__xludf.DUMMYFUNCTION("""COMPUTED_VALUE"""),44561.66666666667)</f>
        <v>44561.66667</v>
      </c>
      <c r="B317" s="1">
        <f>IFERROR(__xludf.DUMMYFUNCTION("""COMPUTED_VALUE"""),254.13)</f>
        <v>254.13</v>
      </c>
    </row>
    <row r="318">
      <c r="A318" s="2">
        <f>IFERROR(__xludf.DUMMYFUNCTION("""COMPUTED_VALUE"""),44564.66666666667)</f>
        <v>44564.66667</v>
      </c>
      <c r="B318" s="1">
        <f>IFERROR(__xludf.DUMMYFUNCTION("""COMPUTED_VALUE"""),255.46)</f>
        <v>255.46</v>
      </c>
    </row>
    <row r="319">
      <c r="A319" s="2">
        <f>IFERROR(__xludf.DUMMYFUNCTION("""COMPUTED_VALUE"""),44565.66666666667)</f>
        <v>44565.66667</v>
      </c>
      <c r="B319" s="1">
        <f>IFERROR(__xludf.DUMMYFUNCTION("""COMPUTED_VALUE"""),248.23)</f>
        <v>248.23</v>
      </c>
    </row>
    <row r="320">
      <c r="A320" s="2">
        <f>IFERROR(__xludf.DUMMYFUNCTION("""COMPUTED_VALUE"""),44566.66666666667)</f>
        <v>44566.66667</v>
      </c>
      <c r="B320" s="1">
        <f>IFERROR(__xludf.DUMMYFUNCTION("""COMPUTED_VALUE"""),227.67)</f>
        <v>227.67</v>
      </c>
    </row>
    <row r="321">
      <c r="A321" s="2">
        <f>IFERROR(__xludf.DUMMYFUNCTION("""COMPUTED_VALUE"""),44567.66666666667)</f>
        <v>44567.66667</v>
      </c>
      <c r="B321" s="1">
        <f>IFERROR(__xludf.DUMMYFUNCTION("""COMPUTED_VALUE"""),229.15)</f>
        <v>229.15</v>
      </c>
    </row>
    <row r="322">
      <c r="A322" s="2">
        <f>IFERROR(__xludf.DUMMYFUNCTION("""COMPUTED_VALUE"""),44568.66666666667)</f>
        <v>44568.66667</v>
      </c>
      <c r="B322" s="1">
        <f>IFERROR(__xludf.DUMMYFUNCTION("""COMPUTED_VALUE"""),228.31)</f>
        <v>228.31</v>
      </c>
    </row>
    <row r="323">
      <c r="A323" s="2">
        <f>IFERROR(__xludf.DUMMYFUNCTION("""COMPUTED_VALUE"""),44571.66666666667)</f>
        <v>44571.66667</v>
      </c>
      <c r="B323" s="1">
        <f>IFERROR(__xludf.DUMMYFUNCTION("""COMPUTED_VALUE"""),229.63)</f>
        <v>229.63</v>
      </c>
    </row>
    <row r="324">
      <c r="A324" s="2">
        <f>IFERROR(__xludf.DUMMYFUNCTION("""COMPUTED_VALUE"""),44572.66666666667)</f>
        <v>44572.66667</v>
      </c>
      <c r="B324" s="1">
        <f>IFERROR(__xludf.DUMMYFUNCTION("""COMPUTED_VALUE"""),234.84)</f>
        <v>234.84</v>
      </c>
    </row>
    <row r="325">
      <c r="A325" s="2">
        <f>IFERROR(__xludf.DUMMYFUNCTION("""COMPUTED_VALUE"""),44573.66666666667)</f>
        <v>44573.66667</v>
      </c>
      <c r="B325" s="1">
        <f>IFERROR(__xludf.DUMMYFUNCTION("""COMPUTED_VALUE"""),237.83)</f>
        <v>237.83</v>
      </c>
    </row>
    <row r="326">
      <c r="A326" s="2">
        <f>IFERROR(__xludf.DUMMYFUNCTION("""COMPUTED_VALUE"""),44574.66666666667)</f>
        <v>44574.66667</v>
      </c>
      <c r="B326" s="1">
        <f>IFERROR(__xludf.DUMMYFUNCTION("""COMPUTED_VALUE"""),228.63)</f>
        <v>228.63</v>
      </c>
    </row>
    <row r="327">
      <c r="A327" s="2">
        <f>IFERROR(__xludf.DUMMYFUNCTION("""COMPUTED_VALUE"""),44575.66666666667)</f>
        <v>44575.66667</v>
      </c>
      <c r="B327" s="1">
        <f>IFERROR(__xludf.DUMMYFUNCTION("""COMPUTED_VALUE"""),231.23)</f>
        <v>231.23</v>
      </c>
    </row>
    <row r="328">
      <c r="A328" s="2">
        <f>IFERROR(__xludf.DUMMYFUNCTION("""COMPUTED_VALUE"""),44579.66666666667)</f>
        <v>44579.66667</v>
      </c>
      <c r="B328" s="1">
        <f>IFERROR(__xludf.DUMMYFUNCTION("""COMPUTED_VALUE"""),226.06)</f>
        <v>226.06</v>
      </c>
    </row>
    <row r="329">
      <c r="A329" s="2">
        <f>IFERROR(__xludf.DUMMYFUNCTION("""COMPUTED_VALUE"""),44580.66666666667)</f>
        <v>44580.66667</v>
      </c>
      <c r="B329" s="1">
        <f>IFERROR(__xludf.DUMMYFUNCTION("""COMPUTED_VALUE"""),226.27)</f>
        <v>226.27</v>
      </c>
    </row>
    <row r="330">
      <c r="A330" s="2">
        <f>IFERROR(__xludf.DUMMYFUNCTION("""COMPUTED_VALUE"""),44581.66666666667)</f>
        <v>44581.66667</v>
      </c>
      <c r="B330" s="1">
        <f>IFERROR(__xludf.DUMMYFUNCTION("""COMPUTED_VALUE"""),222.94)</f>
        <v>222.94</v>
      </c>
    </row>
    <row r="331">
      <c r="A331" s="2">
        <f>IFERROR(__xludf.DUMMYFUNCTION("""COMPUTED_VALUE"""),44582.66666666667)</f>
        <v>44582.66667</v>
      </c>
      <c r="B331" s="1">
        <f>IFERROR(__xludf.DUMMYFUNCTION("""COMPUTED_VALUE"""),218.63)</f>
        <v>218.63</v>
      </c>
    </row>
    <row r="332">
      <c r="A332" s="2">
        <f>IFERROR(__xludf.DUMMYFUNCTION("""COMPUTED_VALUE"""),44585.66666666667)</f>
        <v>44585.66667</v>
      </c>
      <c r="B332" s="1">
        <f>IFERROR(__xludf.DUMMYFUNCTION("""COMPUTED_VALUE"""),223.03)</f>
        <v>223.03</v>
      </c>
    </row>
    <row r="333">
      <c r="A333" s="2">
        <f>IFERROR(__xludf.DUMMYFUNCTION("""COMPUTED_VALUE"""),44586.66666666667)</f>
        <v>44586.66667</v>
      </c>
      <c r="B333" s="1">
        <f>IFERROR(__xludf.DUMMYFUNCTION("""COMPUTED_VALUE"""),215.39)</f>
        <v>215.39</v>
      </c>
    </row>
    <row r="334">
      <c r="A334" s="2">
        <f>IFERROR(__xludf.DUMMYFUNCTION("""COMPUTED_VALUE"""),44587.66666666667)</f>
        <v>44587.66667</v>
      </c>
      <c r="B334" s="1">
        <f>IFERROR(__xludf.DUMMYFUNCTION("""COMPUTED_VALUE"""),211.0)</f>
        <v>211</v>
      </c>
    </row>
    <row r="335">
      <c r="A335" s="2">
        <f>IFERROR(__xludf.DUMMYFUNCTION("""COMPUTED_VALUE"""),44588.66666666667)</f>
        <v>44588.66667</v>
      </c>
      <c r="B335" s="1">
        <f>IFERROR(__xludf.DUMMYFUNCTION("""COMPUTED_VALUE"""),212.74)</f>
        <v>212.74</v>
      </c>
    </row>
    <row r="336">
      <c r="A336" s="2">
        <f>IFERROR(__xludf.DUMMYFUNCTION("""COMPUTED_VALUE"""),44589.66666666667)</f>
        <v>44589.66667</v>
      </c>
      <c r="B336" s="1">
        <f>IFERROR(__xludf.DUMMYFUNCTION("""COMPUTED_VALUE"""),222.13)</f>
        <v>222.13</v>
      </c>
    </row>
    <row r="337">
      <c r="A337" s="2">
        <f>IFERROR(__xludf.DUMMYFUNCTION("""COMPUTED_VALUE"""),44592.66666666667)</f>
        <v>44592.66667</v>
      </c>
      <c r="B337" s="1">
        <f>IFERROR(__xludf.DUMMYFUNCTION("""COMPUTED_VALUE"""),232.63)</f>
        <v>232.63</v>
      </c>
    </row>
    <row r="338">
      <c r="A338" s="2">
        <f>IFERROR(__xludf.DUMMYFUNCTION("""COMPUTED_VALUE"""),44593.66666666667)</f>
        <v>44593.66667</v>
      </c>
      <c r="B338" s="1">
        <f>IFERROR(__xludf.DUMMYFUNCTION("""COMPUTED_VALUE"""),232.12)</f>
        <v>232.12</v>
      </c>
    </row>
    <row r="339">
      <c r="A339" s="2">
        <f>IFERROR(__xludf.DUMMYFUNCTION("""COMPUTED_VALUE"""),44594.66666666667)</f>
        <v>44594.66667</v>
      </c>
      <c r="B339" s="1">
        <f>IFERROR(__xludf.DUMMYFUNCTION("""COMPUTED_VALUE"""),225.01)</f>
        <v>225.01</v>
      </c>
    </row>
    <row r="340">
      <c r="A340" s="2">
        <f>IFERROR(__xludf.DUMMYFUNCTION("""COMPUTED_VALUE"""),44595.66666666667)</f>
        <v>44595.66667</v>
      </c>
      <c r="B340" s="1">
        <f>IFERROR(__xludf.DUMMYFUNCTION("""COMPUTED_VALUE"""),212.77)</f>
        <v>212.77</v>
      </c>
    </row>
    <row r="341">
      <c r="A341" s="2">
        <f>IFERROR(__xludf.DUMMYFUNCTION("""COMPUTED_VALUE"""),44596.66666666667)</f>
        <v>44596.66667</v>
      </c>
      <c r="B341" s="1">
        <f>IFERROR(__xludf.DUMMYFUNCTION("""COMPUTED_VALUE"""),219.23)</f>
        <v>219.23</v>
      </c>
    </row>
    <row r="342">
      <c r="A342" s="2">
        <f>IFERROR(__xludf.DUMMYFUNCTION("""COMPUTED_VALUE"""),44599.66666666667)</f>
        <v>44599.66667</v>
      </c>
      <c r="B342" s="1">
        <f>IFERROR(__xludf.DUMMYFUNCTION("""COMPUTED_VALUE"""),216.97)</f>
        <v>216.97</v>
      </c>
    </row>
    <row r="343">
      <c r="A343" s="2">
        <f>IFERROR(__xludf.DUMMYFUNCTION("""COMPUTED_VALUE"""),44600.66666666667)</f>
        <v>44600.66667</v>
      </c>
      <c r="B343" s="1">
        <f>IFERROR(__xludf.DUMMYFUNCTION("""COMPUTED_VALUE"""),217.43)</f>
        <v>217.43</v>
      </c>
    </row>
    <row r="344">
      <c r="A344" s="2">
        <f>IFERROR(__xludf.DUMMYFUNCTION("""COMPUTED_VALUE"""),44601.66666666667)</f>
        <v>44601.66667</v>
      </c>
      <c r="B344" s="1">
        <f>IFERROR(__xludf.DUMMYFUNCTION("""COMPUTED_VALUE"""),222.04)</f>
        <v>222.04</v>
      </c>
    </row>
    <row r="345">
      <c r="A345" s="2">
        <f>IFERROR(__xludf.DUMMYFUNCTION("""COMPUTED_VALUE"""),44602.66666666667)</f>
        <v>44602.66667</v>
      </c>
      <c r="B345" s="1">
        <f>IFERROR(__xludf.DUMMYFUNCTION("""COMPUTED_VALUE"""),217.67)</f>
        <v>217.67</v>
      </c>
    </row>
    <row r="346">
      <c r="A346" s="2">
        <f>IFERROR(__xludf.DUMMYFUNCTION("""COMPUTED_VALUE"""),44603.66666666667)</f>
        <v>44603.66667</v>
      </c>
      <c r="B346" s="1">
        <f>IFERROR(__xludf.DUMMYFUNCTION("""COMPUTED_VALUE"""),207.9)</f>
        <v>207.9</v>
      </c>
    </row>
    <row r="347">
      <c r="A347" s="2">
        <f>IFERROR(__xludf.DUMMYFUNCTION("""COMPUTED_VALUE"""),44606.66666666667)</f>
        <v>44606.66667</v>
      </c>
      <c r="B347" s="1">
        <f>IFERROR(__xludf.DUMMYFUNCTION("""COMPUTED_VALUE"""),206.4)</f>
        <v>206.4</v>
      </c>
    </row>
    <row r="348">
      <c r="A348" s="2">
        <f>IFERROR(__xludf.DUMMYFUNCTION("""COMPUTED_VALUE"""),44607.66666666667)</f>
        <v>44607.66667</v>
      </c>
      <c r="B348" s="1">
        <f>IFERROR(__xludf.DUMMYFUNCTION("""COMPUTED_VALUE"""),214.25)</f>
        <v>214.25</v>
      </c>
    </row>
    <row r="349">
      <c r="A349" s="2">
        <f>IFERROR(__xludf.DUMMYFUNCTION("""COMPUTED_VALUE"""),44608.66666666667)</f>
        <v>44608.66667</v>
      </c>
      <c r="B349" s="1">
        <f>IFERROR(__xludf.DUMMYFUNCTION("""COMPUTED_VALUE"""),211.74)</f>
        <v>211.74</v>
      </c>
    </row>
    <row r="350">
      <c r="A350" s="2">
        <f>IFERROR(__xludf.DUMMYFUNCTION("""COMPUTED_VALUE"""),44609.66666666667)</f>
        <v>44609.66667</v>
      </c>
      <c r="B350" s="1">
        <f>IFERROR(__xludf.DUMMYFUNCTION("""COMPUTED_VALUE"""),200.03)</f>
        <v>200.03</v>
      </c>
    </row>
    <row r="351">
      <c r="A351" s="2">
        <f>IFERROR(__xludf.DUMMYFUNCTION("""COMPUTED_VALUE"""),44610.66666666667)</f>
        <v>44610.66667</v>
      </c>
      <c r="B351" s="1">
        <f>IFERROR(__xludf.DUMMYFUNCTION("""COMPUTED_VALUE"""),196.84)</f>
        <v>196.84</v>
      </c>
    </row>
    <row r="352">
      <c r="A352" s="2">
        <f>IFERROR(__xludf.DUMMYFUNCTION("""COMPUTED_VALUE"""),44614.66666666667)</f>
        <v>44614.66667</v>
      </c>
      <c r="B352" s="1">
        <f>IFERROR(__xludf.DUMMYFUNCTION("""COMPUTED_VALUE"""),195.13)</f>
        <v>195.13</v>
      </c>
    </row>
    <row r="353">
      <c r="A353" s="2">
        <f>IFERROR(__xludf.DUMMYFUNCTION("""COMPUTED_VALUE"""),44615.66666666667)</f>
        <v>44615.66667</v>
      </c>
      <c r="B353" s="1">
        <f>IFERROR(__xludf.DUMMYFUNCTION("""COMPUTED_VALUE"""),190.54)</f>
        <v>190.54</v>
      </c>
    </row>
    <row r="354">
      <c r="A354" s="2">
        <f>IFERROR(__xludf.DUMMYFUNCTION("""COMPUTED_VALUE"""),44616.66666666667)</f>
        <v>44616.66667</v>
      </c>
      <c r="B354" s="1">
        <f>IFERROR(__xludf.DUMMYFUNCTION("""COMPUTED_VALUE"""),204.29)</f>
        <v>204.29</v>
      </c>
    </row>
    <row r="355">
      <c r="A355" s="2">
        <f>IFERROR(__xludf.DUMMYFUNCTION("""COMPUTED_VALUE"""),44617.66666666667)</f>
        <v>44617.66667</v>
      </c>
      <c r="B355" s="1">
        <f>IFERROR(__xludf.DUMMYFUNCTION("""COMPUTED_VALUE"""),208.09)</f>
        <v>208.09</v>
      </c>
    </row>
    <row r="356">
      <c r="A356" s="2">
        <f>IFERROR(__xludf.DUMMYFUNCTION("""COMPUTED_VALUE"""),44620.66666666667)</f>
        <v>44620.66667</v>
      </c>
      <c r="B356" s="1">
        <f>IFERROR(__xludf.DUMMYFUNCTION("""COMPUTED_VALUE"""),210.53)</f>
        <v>210.53</v>
      </c>
    </row>
    <row r="357">
      <c r="A357" s="2">
        <f>IFERROR(__xludf.DUMMYFUNCTION("""COMPUTED_VALUE"""),44621.66666666667)</f>
        <v>44621.66667</v>
      </c>
      <c r="B357" s="1">
        <f>IFERROR(__xludf.DUMMYFUNCTION("""COMPUTED_VALUE"""),208.89)</f>
        <v>208.89</v>
      </c>
    </row>
    <row r="358">
      <c r="A358" s="2">
        <f>IFERROR(__xludf.DUMMYFUNCTION("""COMPUTED_VALUE"""),44622.66666666667)</f>
        <v>44622.66667</v>
      </c>
      <c r="B358" s="1">
        <f>IFERROR(__xludf.DUMMYFUNCTION("""COMPUTED_VALUE"""),210.39)</f>
        <v>210.39</v>
      </c>
    </row>
    <row r="359">
      <c r="A359" s="2">
        <f>IFERROR(__xludf.DUMMYFUNCTION("""COMPUTED_VALUE"""),44623.66666666667)</f>
        <v>44623.66667</v>
      </c>
      <c r="B359" s="1">
        <f>IFERROR(__xludf.DUMMYFUNCTION("""COMPUTED_VALUE"""),204.75)</f>
        <v>204.75</v>
      </c>
    </row>
    <row r="360">
      <c r="A360" s="2">
        <f>IFERROR(__xludf.DUMMYFUNCTION("""COMPUTED_VALUE"""),44624.66666666667)</f>
        <v>44624.66667</v>
      </c>
      <c r="B360" s="1">
        <f>IFERROR(__xludf.DUMMYFUNCTION("""COMPUTED_VALUE"""),203.01)</f>
        <v>203.01</v>
      </c>
    </row>
    <row r="361">
      <c r="A361" s="2">
        <f>IFERROR(__xludf.DUMMYFUNCTION("""COMPUTED_VALUE"""),44627.66666666667)</f>
        <v>44627.66667</v>
      </c>
      <c r="B361" s="1">
        <f>IFERROR(__xludf.DUMMYFUNCTION("""COMPUTED_VALUE"""),196.23)</f>
        <v>196.23</v>
      </c>
    </row>
    <row r="362">
      <c r="A362" s="2">
        <f>IFERROR(__xludf.DUMMYFUNCTION("""COMPUTED_VALUE"""),44628.66666666667)</f>
        <v>44628.66667</v>
      </c>
      <c r="B362" s="1">
        <f>IFERROR(__xludf.DUMMYFUNCTION("""COMPUTED_VALUE"""),192.08)</f>
        <v>192.08</v>
      </c>
    </row>
    <row r="363">
      <c r="A363" s="2">
        <f>IFERROR(__xludf.DUMMYFUNCTION("""COMPUTED_VALUE"""),44629.66666666667)</f>
        <v>44629.66667</v>
      </c>
      <c r="B363" s="1">
        <f>IFERROR(__xludf.DUMMYFUNCTION("""COMPUTED_VALUE"""),203.16)</f>
        <v>203.16</v>
      </c>
    </row>
    <row r="364">
      <c r="A364" s="2">
        <f>IFERROR(__xludf.DUMMYFUNCTION("""COMPUTED_VALUE"""),44630.66666666667)</f>
        <v>44630.66667</v>
      </c>
      <c r="B364" s="1">
        <f>IFERROR(__xludf.DUMMYFUNCTION("""COMPUTED_VALUE"""),200.15)</f>
        <v>200.15</v>
      </c>
    </row>
    <row r="365">
      <c r="A365" s="2">
        <f>IFERROR(__xludf.DUMMYFUNCTION("""COMPUTED_VALUE"""),44631.66666666667)</f>
        <v>44631.66667</v>
      </c>
      <c r="B365" s="1">
        <f>IFERROR(__xludf.DUMMYFUNCTION("""COMPUTED_VALUE"""),197.9)</f>
        <v>197.9</v>
      </c>
    </row>
    <row r="366">
      <c r="A366" s="2">
        <f>IFERROR(__xludf.DUMMYFUNCTION("""COMPUTED_VALUE"""),44634.66666666667)</f>
        <v>44634.66667</v>
      </c>
      <c r="B366" s="1">
        <f>IFERROR(__xludf.DUMMYFUNCTION("""COMPUTED_VALUE"""),193.12)</f>
        <v>193.12</v>
      </c>
    </row>
    <row r="367">
      <c r="A367" s="2">
        <f>IFERROR(__xludf.DUMMYFUNCTION("""COMPUTED_VALUE"""),44635.66666666667)</f>
        <v>44635.66667</v>
      </c>
      <c r="B367" s="1">
        <f>IFERROR(__xludf.DUMMYFUNCTION("""COMPUTED_VALUE"""),196.14)</f>
        <v>196.14</v>
      </c>
    </row>
    <row r="368">
      <c r="A368" s="2">
        <f>IFERROR(__xludf.DUMMYFUNCTION("""COMPUTED_VALUE"""),44636.66666666667)</f>
        <v>44636.66667</v>
      </c>
      <c r="B368" s="1">
        <f>IFERROR(__xludf.DUMMYFUNCTION("""COMPUTED_VALUE"""),205.57)</f>
        <v>205.57</v>
      </c>
    </row>
    <row r="369">
      <c r="A369" s="2">
        <f>IFERROR(__xludf.DUMMYFUNCTION("""COMPUTED_VALUE"""),44637.66666666667)</f>
        <v>44637.66667</v>
      </c>
      <c r="B369" s="1">
        <f>IFERROR(__xludf.DUMMYFUNCTION("""COMPUTED_VALUE"""),210.41)</f>
        <v>210.41</v>
      </c>
    </row>
    <row r="370">
      <c r="A370" s="2">
        <f>IFERROR(__xludf.DUMMYFUNCTION("""COMPUTED_VALUE"""),44638.66666666667)</f>
        <v>44638.66667</v>
      </c>
      <c r="B370" s="1">
        <f>IFERROR(__xludf.DUMMYFUNCTION("""COMPUTED_VALUE"""),218.8)</f>
        <v>218.8</v>
      </c>
    </row>
    <row r="371">
      <c r="A371" s="2">
        <f>IFERROR(__xludf.DUMMYFUNCTION("""COMPUTED_VALUE"""),44641.66666666667)</f>
        <v>44641.66667</v>
      </c>
      <c r="B371" s="1">
        <f>IFERROR(__xludf.DUMMYFUNCTION("""COMPUTED_VALUE"""),213.72)</f>
        <v>213.72</v>
      </c>
    </row>
    <row r="372">
      <c r="A372" s="2">
        <f>IFERROR(__xludf.DUMMYFUNCTION("""COMPUTED_VALUE"""),44642.66666666667)</f>
        <v>44642.66667</v>
      </c>
      <c r="B372" s="1">
        <f>IFERROR(__xludf.DUMMYFUNCTION("""COMPUTED_VALUE"""),218.21)</f>
        <v>218.21</v>
      </c>
    </row>
    <row r="373">
      <c r="A373" s="2">
        <f>IFERROR(__xludf.DUMMYFUNCTION("""COMPUTED_VALUE"""),44643.66666666667)</f>
        <v>44643.66667</v>
      </c>
      <c r="B373" s="1">
        <f>IFERROR(__xludf.DUMMYFUNCTION("""COMPUTED_VALUE"""),211.11)</f>
        <v>211.11</v>
      </c>
    </row>
    <row r="374">
      <c r="A374" s="2">
        <f>IFERROR(__xludf.DUMMYFUNCTION("""COMPUTED_VALUE"""),44644.66666666667)</f>
        <v>44644.66667</v>
      </c>
      <c r="B374" s="1">
        <f>IFERROR(__xludf.DUMMYFUNCTION("""COMPUTED_VALUE"""),213.98)</f>
        <v>213.98</v>
      </c>
    </row>
    <row r="375">
      <c r="A375" s="2">
        <f>IFERROR(__xludf.DUMMYFUNCTION("""COMPUTED_VALUE"""),44645.66666666667)</f>
        <v>44645.66667</v>
      </c>
      <c r="B375" s="1">
        <f>IFERROR(__xludf.DUMMYFUNCTION("""COMPUTED_VALUE"""),211.03)</f>
        <v>211.03</v>
      </c>
    </row>
    <row r="376">
      <c r="A376" s="2">
        <f>IFERROR(__xludf.DUMMYFUNCTION("""COMPUTED_VALUE"""),44648.66666666667)</f>
        <v>44648.66667</v>
      </c>
      <c r="B376" s="1">
        <f>IFERROR(__xludf.DUMMYFUNCTION("""COMPUTED_VALUE"""),215.28)</f>
        <v>215.28</v>
      </c>
    </row>
    <row r="377">
      <c r="A377" s="2">
        <f>IFERROR(__xludf.DUMMYFUNCTION("""COMPUTED_VALUE"""),44649.66666666667)</f>
        <v>44649.66667</v>
      </c>
      <c r="B377" s="1">
        <f>IFERROR(__xludf.DUMMYFUNCTION("""COMPUTED_VALUE"""),221.29)</f>
        <v>221.29</v>
      </c>
    </row>
    <row r="378">
      <c r="A378" s="2">
        <f>IFERROR(__xludf.DUMMYFUNCTION("""COMPUTED_VALUE"""),44650.66666666667)</f>
        <v>44650.66667</v>
      </c>
      <c r="B378" s="1">
        <f>IFERROR(__xludf.DUMMYFUNCTION("""COMPUTED_VALUE"""),214.94)</f>
        <v>214.94</v>
      </c>
    </row>
    <row r="379">
      <c r="A379" s="2">
        <f>IFERROR(__xludf.DUMMYFUNCTION("""COMPUTED_VALUE"""),44651.66666666667)</f>
        <v>44651.66667</v>
      </c>
      <c r="B379" s="1">
        <f>IFERROR(__xludf.DUMMYFUNCTION("""COMPUTED_VALUE"""),212.32)</f>
        <v>212.32</v>
      </c>
    </row>
    <row r="380">
      <c r="A380" s="2">
        <f>IFERROR(__xludf.DUMMYFUNCTION("""COMPUTED_VALUE"""),44652.66666666667)</f>
        <v>44652.66667</v>
      </c>
      <c r="B380" s="1">
        <f>IFERROR(__xludf.DUMMYFUNCTION("""COMPUTED_VALUE"""),212.25)</f>
        <v>212.25</v>
      </c>
    </row>
    <row r="381">
      <c r="A381" s="2">
        <f>IFERROR(__xludf.DUMMYFUNCTION("""COMPUTED_VALUE"""),44655.66666666667)</f>
        <v>44655.66667</v>
      </c>
      <c r="B381" s="1">
        <f>IFERROR(__xludf.DUMMYFUNCTION("""COMPUTED_VALUE"""),218.85)</f>
        <v>218.85</v>
      </c>
    </row>
    <row r="382">
      <c r="A382" s="2">
        <f>IFERROR(__xludf.DUMMYFUNCTION("""COMPUTED_VALUE"""),44656.66666666667)</f>
        <v>44656.66667</v>
      </c>
      <c r="B382" s="1">
        <f>IFERROR(__xludf.DUMMYFUNCTION("""COMPUTED_VALUE"""),210.14)</f>
        <v>210.14</v>
      </c>
    </row>
    <row r="383">
      <c r="A383" s="2">
        <f>IFERROR(__xludf.DUMMYFUNCTION("""COMPUTED_VALUE"""),44657.66666666667)</f>
        <v>44657.66667</v>
      </c>
      <c r="B383" s="1">
        <f>IFERROR(__xludf.DUMMYFUNCTION("""COMPUTED_VALUE"""),200.82)</f>
        <v>200.82</v>
      </c>
    </row>
    <row r="384">
      <c r="A384" s="2">
        <f>IFERROR(__xludf.DUMMYFUNCTION("""COMPUTED_VALUE"""),44658.66666666667)</f>
        <v>44658.66667</v>
      </c>
      <c r="B384" s="1">
        <f>IFERROR(__xludf.DUMMYFUNCTION("""COMPUTED_VALUE"""),200.16)</f>
        <v>200.16</v>
      </c>
    </row>
    <row r="385">
      <c r="A385" s="2">
        <f>IFERROR(__xludf.DUMMYFUNCTION("""COMPUTED_VALUE"""),44659.66666666667)</f>
        <v>44659.66667</v>
      </c>
      <c r="B385" s="1">
        <f>IFERROR(__xludf.DUMMYFUNCTION("""COMPUTED_VALUE"""),197.17)</f>
        <v>197.17</v>
      </c>
    </row>
    <row r="386">
      <c r="A386" s="2">
        <f>IFERROR(__xludf.DUMMYFUNCTION("""COMPUTED_VALUE"""),44662.66666666667)</f>
        <v>44662.66667</v>
      </c>
      <c r="B386" s="1">
        <f>IFERROR(__xludf.DUMMYFUNCTION("""COMPUTED_VALUE"""),195.45)</f>
        <v>195.45</v>
      </c>
    </row>
    <row r="387">
      <c r="A387" s="2">
        <f>IFERROR(__xludf.DUMMYFUNCTION("""COMPUTED_VALUE"""),44663.66666666667)</f>
        <v>44663.66667</v>
      </c>
      <c r="B387" s="1">
        <f>IFERROR(__xludf.DUMMYFUNCTION("""COMPUTED_VALUE"""),194.81)</f>
        <v>194.81</v>
      </c>
    </row>
    <row r="388">
      <c r="A388" s="2">
        <f>IFERROR(__xludf.DUMMYFUNCTION("""COMPUTED_VALUE"""),44664.66666666667)</f>
        <v>44664.66667</v>
      </c>
      <c r="B388" s="1">
        <f>IFERROR(__xludf.DUMMYFUNCTION("""COMPUTED_VALUE"""),195.72)</f>
        <v>195.72</v>
      </c>
    </row>
    <row r="389">
      <c r="A389" s="2">
        <f>IFERROR(__xludf.DUMMYFUNCTION("""COMPUTED_VALUE"""),44665.66666666667)</f>
        <v>44665.66667</v>
      </c>
      <c r="B389" s="1">
        <f>IFERROR(__xludf.DUMMYFUNCTION("""COMPUTED_VALUE"""),189.41)</f>
        <v>189.41</v>
      </c>
    </row>
    <row r="390">
      <c r="A390" s="2">
        <f>IFERROR(__xludf.DUMMYFUNCTION("""COMPUTED_VALUE"""),44669.66666666667)</f>
        <v>44669.66667</v>
      </c>
      <c r="B390" s="1">
        <f>IFERROR(__xludf.DUMMYFUNCTION("""COMPUTED_VALUE"""),187.01)</f>
        <v>187.01</v>
      </c>
    </row>
    <row r="391">
      <c r="A391" s="2">
        <f>IFERROR(__xludf.DUMMYFUNCTION("""COMPUTED_VALUE"""),44670.66666666667)</f>
        <v>44670.66667</v>
      </c>
      <c r="B391" s="1">
        <f>IFERROR(__xludf.DUMMYFUNCTION("""COMPUTED_VALUE"""),191.39)</f>
        <v>191.39</v>
      </c>
    </row>
    <row r="392">
      <c r="A392" s="2">
        <f>IFERROR(__xludf.DUMMYFUNCTION("""COMPUTED_VALUE"""),44671.66666666667)</f>
        <v>44671.66667</v>
      </c>
      <c r="B392" s="1">
        <f>IFERROR(__xludf.DUMMYFUNCTION("""COMPUTED_VALUE"""),186.23)</f>
        <v>186.23</v>
      </c>
    </row>
    <row r="393">
      <c r="A393" s="2">
        <f>IFERROR(__xludf.DUMMYFUNCTION("""COMPUTED_VALUE"""),44672.66666666667)</f>
        <v>44672.66667</v>
      </c>
      <c r="B393" s="1">
        <f>IFERROR(__xludf.DUMMYFUNCTION("""COMPUTED_VALUE"""),177.23)</f>
        <v>177.23</v>
      </c>
    </row>
    <row r="394">
      <c r="A394" s="2">
        <f>IFERROR(__xludf.DUMMYFUNCTION("""COMPUTED_VALUE"""),44673.66666666667)</f>
        <v>44673.66667</v>
      </c>
      <c r="B394" s="1">
        <f>IFERROR(__xludf.DUMMYFUNCTION("""COMPUTED_VALUE"""),171.43)</f>
        <v>171.43</v>
      </c>
    </row>
    <row r="395">
      <c r="A395" s="2">
        <f>IFERROR(__xludf.DUMMYFUNCTION("""COMPUTED_VALUE"""),44676.66666666667)</f>
        <v>44676.66667</v>
      </c>
      <c r="B395" s="1">
        <f>IFERROR(__xludf.DUMMYFUNCTION("""COMPUTED_VALUE"""),174.57)</f>
        <v>174.57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IFERROR(__xludf.DUMMYFUNCTION("""COMPUTED_VALUE"""),170.08)</f>
        <v>170.08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IFERROR(__xludf.DUMMYFUNCTION("""COMPUTED_VALUE"""),174.68)</f>
        <v>174.68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IFERROR(__xludf.DUMMYFUNCTION("""COMPUTED_VALUE"""),185.74)</f>
        <v>185.74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IFERROR(__xludf.DUMMYFUNCTION("""COMPUTED_VALUE"""),175.94)</f>
        <v>175.94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IFERROR(__xludf.DUMMYFUNCTION("""COMPUTED_VALUE"""),177.57)</f>
        <v>177.57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IFERROR(__xludf.DUMMYFUNCTION("""COMPUTED_VALUE"""),178.36)</f>
        <v>178.36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IFERROR(__xludf.DUMMYFUNCTION("""COMPUTED_VALUE"""),185.48)</f>
        <v>185.48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IFERROR(__xludf.DUMMYFUNCTION("""COMPUTED_VALUE"""),172.3)</f>
        <v>172.3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IFERROR(__xludf.DUMMYFUNCTION("""COMPUTED_VALUE"""),169.7)</f>
        <v>169.7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IFERROR(__xludf.DUMMYFUNCTION("""COMPUTED_VALUE"""),163.6)</f>
        <v>163.6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IFERROR(__xludf.DUMMYFUNCTION("""COMPUTED_VALUE"""),167.15)</f>
        <v>167.15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IFERROR(__xludf.DUMMYFUNCTION("""COMPUTED_VALUE"""),161.27)</f>
        <v>161.27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IFERROR(__xludf.DUMMYFUNCTION("""COMPUTED_VALUE"""),160.42)</f>
        <v>160.42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IFERROR(__xludf.DUMMYFUNCTION("""COMPUTED_VALUE"""),166.91)</f>
        <v>166.91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IFERROR(__xludf.DUMMYFUNCTION("""COMPUTED_VALUE"""),164.12)</f>
        <v>164.12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IFERROR(__xludf.DUMMYFUNCTION("""COMPUTED_VALUE"""),163.73)</f>
        <v>163.73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IFERROR(__xludf.DUMMYFUNCTION("""COMPUTED_VALUE"""),157.33)</f>
        <v>157.33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IFERROR(__xludf.DUMMYFUNCTION("""COMPUTED_VALUE"""),155.6)</f>
        <v>155.6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IFERROR(__xludf.DUMMYFUNCTION("""COMPUTED_VALUE"""),159.65)</f>
        <v>159.65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IFERROR(__xludf.DUMMYFUNCTION("""COMPUTED_VALUE"""),160.32)</f>
        <v>160.32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IFERROR(__xludf.DUMMYFUNCTION("""COMPUTED_VALUE"""),156.93)</f>
        <v>156.93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IFERROR(__xludf.DUMMYFUNCTION("""COMPUTED_VALUE"""),159.65)</f>
        <v>159.65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IFERROR(__xludf.DUMMYFUNCTION("""COMPUTED_VALUE"""),162.46)</f>
        <v>162.46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IFERROR(__xludf.DUMMYFUNCTION("""COMPUTED_VALUE"""),165.1)</f>
        <v>165.1</v>
      </c>
    </row>
    <row r="420">
      <c r="A420" s="2">
        <f>IFERROR(__xludf.DUMMYFUNCTION("""COMPUTED_VALUE"""),44712.66666666667)</f>
        <v>44712.66667</v>
      </c>
      <c r="B420" s="1">
        <f>IFERROR(__xludf.DUMMYFUNCTION("""COMPUTED_VALUE"""),160.24)</f>
        <v>160.24</v>
      </c>
    </row>
    <row r="421">
      <c r="A421" s="2">
        <f>IFERROR(__xludf.DUMMYFUNCTION("""COMPUTED_VALUE"""),44713.66666666667)</f>
        <v>44713.66667</v>
      </c>
      <c r="B421" s="1">
        <f>IFERROR(__xludf.DUMMYFUNCTION("""COMPUTED_VALUE"""),176.07)</f>
        <v>176.07</v>
      </c>
    </row>
    <row r="422">
      <c r="A422" s="2">
        <f>IFERROR(__xludf.DUMMYFUNCTION("""COMPUTED_VALUE"""),44714.66666666667)</f>
        <v>44714.66667</v>
      </c>
      <c r="B422" s="1">
        <f>IFERROR(__xludf.DUMMYFUNCTION("""COMPUTED_VALUE"""),188.4)</f>
        <v>188.4</v>
      </c>
    </row>
    <row r="423">
      <c r="A423" s="2">
        <f>IFERROR(__xludf.DUMMYFUNCTION("""COMPUTED_VALUE"""),44715.66666666667)</f>
        <v>44715.66667</v>
      </c>
      <c r="B423" s="1">
        <f>IFERROR(__xludf.DUMMYFUNCTION("""COMPUTED_VALUE"""),184.91)</f>
        <v>184.91</v>
      </c>
    </row>
    <row r="424">
      <c r="A424" s="2">
        <f>IFERROR(__xludf.DUMMYFUNCTION("""COMPUTED_VALUE"""),44718.66666666667)</f>
        <v>44718.66667</v>
      </c>
      <c r="B424" s="1">
        <f>IFERROR(__xludf.DUMMYFUNCTION("""COMPUTED_VALUE"""),182.87)</f>
        <v>182.87</v>
      </c>
    </row>
    <row r="425">
      <c r="A425" s="2">
        <f>IFERROR(__xludf.DUMMYFUNCTION("""COMPUTED_VALUE"""),44719.66666666667)</f>
        <v>44719.66667</v>
      </c>
      <c r="B425" s="1">
        <f>IFERROR(__xludf.DUMMYFUNCTION("""COMPUTED_VALUE"""),187.15)</f>
        <v>187.15</v>
      </c>
    </row>
    <row r="426">
      <c r="A426" s="2">
        <f>IFERROR(__xludf.DUMMYFUNCTION("""COMPUTED_VALUE"""),44720.66666666667)</f>
        <v>44720.66667</v>
      </c>
      <c r="B426" s="1">
        <f>IFERROR(__xludf.DUMMYFUNCTION("""COMPUTED_VALUE"""),189.19)</f>
        <v>189.19</v>
      </c>
    </row>
    <row r="427">
      <c r="A427" s="2">
        <f>IFERROR(__xludf.DUMMYFUNCTION("""COMPUTED_VALUE"""),44721.66666666667)</f>
        <v>44721.66667</v>
      </c>
      <c r="B427" s="1">
        <f>IFERROR(__xludf.DUMMYFUNCTION("""COMPUTED_VALUE"""),187.11)</f>
        <v>187.11</v>
      </c>
    </row>
    <row r="428">
      <c r="A428" s="2">
        <f>IFERROR(__xludf.DUMMYFUNCTION("""COMPUTED_VALUE"""),44722.66666666667)</f>
        <v>44722.66667</v>
      </c>
      <c r="B428" s="1">
        <f>IFERROR(__xludf.DUMMYFUNCTION("""COMPUTED_VALUE"""),178.45)</f>
        <v>178.45</v>
      </c>
    </row>
    <row r="429">
      <c r="A429" s="2">
        <f>IFERROR(__xludf.DUMMYFUNCTION("""COMPUTED_VALUE"""),44725.66666666667)</f>
        <v>44725.66667</v>
      </c>
      <c r="B429" s="1">
        <f>IFERROR(__xludf.DUMMYFUNCTION("""COMPUTED_VALUE"""),166.03)</f>
        <v>166.03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IFERROR(__xludf.DUMMYFUNCTION("""COMPUTED_VALUE"""),164.45)</f>
        <v>164.45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IFERROR(__xludf.DUMMYFUNCTION("""COMPUTED_VALUE"""),168.55)</f>
        <v>168.55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IFERROR(__xludf.DUMMYFUNCTION("""COMPUTED_VALUE"""),159.85)</f>
        <v>159.85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IFERROR(__xludf.DUMMYFUNCTION("""COMPUTED_VALUE"""),163.26)</f>
        <v>163.26</v>
      </c>
    </row>
    <row r="434">
      <c r="A434" s="2">
        <f>IFERROR(__xludf.DUMMYFUNCTION("""COMPUTED_VALUE"""),44733.66666666667)</f>
        <v>44733.66667</v>
      </c>
      <c r="B434" s="1">
        <f>IFERROR(__xludf.DUMMYFUNCTION("""COMPUTED_VALUE"""),166.83)</f>
        <v>166.83</v>
      </c>
    </row>
    <row r="435">
      <c r="A435" s="2">
        <f>IFERROR(__xludf.DUMMYFUNCTION("""COMPUTED_VALUE"""),44734.66666666667)</f>
        <v>44734.66667</v>
      </c>
      <c r="B435" s="1">
        <f>IFERROR(__xludf.DUMMYFUNCTION("""COMPUTED_VALUE"""),167.45)</f>
        <v>167.45</v>
      </c>
    </row>
    <row r="436">
      <c r="A436" s="2">
        <f>IFERROR(__xludf.DUMMYFUNCTION("""COMPUTED_VALUE"""),44735.66666666667)</f>
        <v>44735.66667</v>
      </c>
      <c r="B436" s="1">
        <f>IFERROR(__xludf.DUMMYFUNCTION("""COMPUTED_VALUE"""),173.05)</f>
        <v>173.05</v>
      </c>
    </row>
    <row r="437">
      <c r="A437" s="2">
        <f>IFERROR(__xludf.DUMMYFUNCTION("""COMPUTED_VALUE"""),44736.66666666667)</f>
        <v>44736.66667</v>
      </c>
      <c r="B437" s="1">
        <f>IFERROR(__xludf.DUMMYFUNCTION("""COMPUTED_VALUE"""),185.92)</f>
        <v>185.92</v>
      </c>
    </row>
    <row r="438">
      <c r="A438" s="2">
        <f>IFERROR(__xludf.DUMMYFUNCTION("""COMPUTED_VALUE"""),44739.66666666667)</f>
        <v>44739.66667</v>
      </c>
      <c r="B438" s="1">
        <f>IFERROR(__xludf.DUMMYFUNCTION("""COMPUTED_VALUE"""),181.31)</f>
        <v>181.31</v>
      </c>
    </row>
    <row r="439">
      <c r="A439" s="2">
        <f>IFERROR(__xludf.DUMMYFUNCTION("""COMPUTED_VALUE"""),44740.66666666667)</f>
        <v>44740.66667</v>
      </c>
      <c r="B439" s="1">
        <f>IFERROR(__xludf.DUMMYFUNCTION("""COMPUTED_VALUE"""),171.46)</f>
        <v>171.46</v>
      </c>
    </row>
    <row r="440">
      <c r="A440" s="2">
        <f>IFERROR(__xludf.DUMMYFUNCTION("""COMPUTED_VALUE"""),44741.66666666667)</f>
        <v>44741.66667</v>
      </c>
      <c r="B440" s="1">
        <f>IFERROR(__xludf.DUMMYFUNCTION("""COMPUTED_VALUE"""),170.61)</f>
        <v>170.61</v>
      </c>
    </row>
    <row r="441">
      <c r="A441" s="2">
        <f>IFERROR(__xludf.DUMMYFUNCTION("""COMPUTED_VALUE"""),44742.66666666667)</f>
        <v>44742.66667</v>
      </c>
      <c r="B441" s="1">
        <f>IFERROR(__xludf.DUMMYFUNCTION("""COMPUTED_VALUE"""),165.04)</f>
        <v>165.04</v>
      </c>
    </row>
    <row r="442">
      <c r="A442" s="2">
        <f>IFERROR(__xludf.DUMMYFUNCTION("""COMPUTED_VALUE"""),44743.66666666667)</f>
        <v>44743.66667</v>
      </c>
      <c r="B442" s="1">
        <f>IFERROR(__xludf.DUMMYFUNCTION("""COMPUTED_VALUE"""),168.2)</f>
        <v>168.2</v>
      </c>
    </row>
    <row r="443">
      <c r="A443" s="2">
        <f>IFERROR(__xludf.DUMMYFUNCTION("""COMPUTED_VALUE"""),44747.66666666667)</f>
        <v>44747.66667</v>
      </c>
      <c r="B443" s="1">
        <f>IFERROR(__xludf.DUMMYFUNCTION("""COMPUTED_VALUE"""),172.2)</f>
        <v>172.2</v>
      </c>
    </row>
    <row r="444">
      <c r="A444" s="2">
        <f>IFERROR(__xludf.DUMMYFUNCTION("""COMPUTED_VALUE"""),44748.66666666667)</f>
        <v>44748.66667</v>
      </c>
      <c r="B444" s="1">
        <f>IFERROR(__xludf.DUMMYFUNCTION("""COMPUTED_VALUE"""),172.73)</f>
        <v>172.73</v>
      </c>
    </row>
    <row r="445">
      <c r="A445" s="2">
        <f>IFERROR(__xludf.DUMMYFUNCTION("""COMPUTED_VALUE"""),44749.66666666667)</f>
        <v>44749.66667</v>
      </c>
      <c r="B445" s="1">
        <f>IFERROR(__xludf.DUMMYFUNCTION("""COMPUTED_VALUE"""),176.64)</f>
        <v>176.64</v>
      </c>
    </row>
    <row r="446">
      <c r="A446" s="2">
        <f>IFERROR(__xludf.DUMMYFUNCTION("""COMPUTED_VALUE"""),44750.66666666667)</f>
        <v>44750.66667</v>
      </c>
      <c r="B446" s="1">
        <f>IFERROR(__xludf.DUMMYFUNCTION("""COMPUTED_VALUE"""),175.5)</f>
        <v>175.5</v>
      </c>
    </row>
    <row r="447">
      <c r="A447" s="2">
        <f>IFERROR(__xludf.DUMMYFUNCTION("""COMPUTED_VALUE"""),44753.66666666667)</f>
        <v>44753.66667</v>
      </c>
      <c r="B447" s="1">
        <f>IFERROR(__xludf.DUMMYFUNCTION("""COMPUTED_VALUE"""),174.36)</f>
        <v>174.36</v>
      </c>
    </row>
    <row r="448">
      <c r="A448" s="2">
        <f>IFERROR(__xludf.DUMMYFUNCTION("""COMPUTED_VALUE"""),44754.66666666667)</f>
        <v>44754.66667</v>
      </c>
      <c r="B448" s="1">
        <f>IFERROR(__xludf.DUMMYFUNCTION("""COMPUTED_VALUE"""),166.33)</f>
        <v>166.33</v>
      </c>
    </row>
    <row r="449">
      <c r="A449" s="2">
        <f>IFERROR(__xludf.DUMMYFUNCTION("""COMPUTED_VALUE"""),44755.66666666667)</f>
        <v>44755.66667</v>
      </c>
      <c r="B449" s="1">
        <f>IFERROR(__xludf.DUMMYFUNCTION("""COMPUTED_VALUE"""),163.49)</f>
        <v>163.49</v>
      </c>
    </row>
    <row r="450">
      <c r="A450" s="2">
        <f>IFERROR(__xludf.DUMMYFUNCTION("""COMPUTED_VALUE"""),44756.66666666667)</f>
        <v>44756.66667</v>
      </c>
      <c r="B450" s="1">
        <f>IFERROR(__xludf.DUMMYFUNCTION("""COMPUTED_VALUE"""),161.04)</f>
        <v>161.04</v>
      </c>
    </row>
    <row r="451">
      <c r="A451" s="2">
        <f>IFERROR(__xludf.DUMMYFUNCTION("""COMPUTED_VALUE"""),44757.66666666667)</f>
        <v>44757.66667</v>
      </c>
      <c r="B451" s="1">
        <f>IFERROR(__xludf.DUMMYFUNCTION("""COMPUTED_VALUE"""),167.38)</f>
        <v>167.38</v>
      </c>
    </row>
    <row r="452">
      <c r="A452" s="2">
        <f>IFERROR(__xludf.DUMMYFUNCTION("""COMPUTED_VALUE"""),44760.66666666667)</f>
        <v>44760.66667</v>
      </c>
      <c r="B452" s="1">
        <f>IFERROR(__xludf.DUMMYFUNCTION("""COMPUTED_VALUE"""),167.89)</f>
        <v>167.89</v>
      </c>
    </row>
    <row r="453">
      <c r="A453" s="2">
        <f>IFERROR(__xludf.DUMMYFUNCTION("""COMPUTED_VALUE"""),44761.66666666667)</f>
        <v>44761.66667</v>
      </c>
      <c r="B453" s="1">
        <f>IFERROR(__xludf.DUMMYFUNCTION("""COMPUTED_VALUE"""),173.81)</f>
        <v>173.81</v>
      </c>
    </row>
    <row r="454">
      <c r="A454" s="2">
        <f>IFERROR(__xludf.DUMMYFUNCTION("""COMPUTED_VALUE"""),44762.66666666667)</f>
        <v>44762.66667</v>
      </c>
      <c r="B454" s="1">
        <f>IFERROR(__xludf.DUMMYFUNCTION("""COMPUTED_VALUE"""),182.45)</f>
        <v>182.45</v>
      </c>
    </row>
    <row r="455">
      <c r="A455" s="2">
        <f>IFERROR(__xludf.DUMMYFUNCTION("""COMPUTED_VALUE"""),44763.66666666667)</f>
        <v>44763.66667</v>
      </c>
      <c r="B455" s="1">
        <f>IFERROR(__xludf.DUMMYFUNCTION("""COMPUTED_VALUE"""),185.35)</f>
        <v>185.35</v>
      </c>
    </row>
    <row r="456">
      <c r="A456" s="2">
        <f>IFERROR(__xludf.DUMMYFUNCTION("""COMPUTED_VALUE"""),44764.66666666667)</f>
        <v>44764.66667</v>
      </c>
      <c r="B456" s="1">
        <f>IFERROR(__xludf.DUMMYFUNCTION("""COMPUTED_VALUE"""),182.47)</f>
        <v>182.47</v>
      </c>
    </row>
    <row r="457">
      <c r="A457" s="2">
        <f>IFERROR(__xludf.DUMMYFUNCTION("""COMPUTED_VALUE"""),44767.66666666667)</f>
        <v>44767.66667</v>
      </c>
      <c r="B457" s="1">
        <f>IFERROR(__xludf.DUMMYFUNCTION("""COMPUTED_VALUE"""),177.29)</f>
        <v>177.29</v>
      </c>
    </row>
    <row r="458">
      <c r="A458" s="2">
        <f>IFERROR(__xludf.DUMMYFUNCTION("""COMPUTED_VALUE"""),44768.66666666667)</f>
        <v>44768.66667</v>
      </c>
      <c r="B458" s="1">
        <f>IFERROR(__xludf.DUMMYFUNCTION("""COMPUTED_VALUE"""),170.46)</f>
        <v>170.46</v>
      </c>
    </row>
    <row r="459">
      <c r="A459" s="2">
        <f>IFERROR(__xludf.DUMMYFUNCTION("""COMPUTED_VALUE"""),44769.66666666667)</f>
        <v>44769.66667</v>
      </c>
      <c r="B459" s="1">
        <f>IFERROR(__xludf.DUMMYFUNCTION("""COMPUTED_VALUE"""),180.3)</f>
        <v>180.3</v>
      </c>
    </row>
    <row r="460">
      <c r="A460" s="2">
        <f>IFERROR(__xludf.DUMMYFUNCTION("""COMPUTED_VALUE"""),44770.66666666667)</f>
        <v>44770.66667</v>
      </c>
      <c r="B460" s="1">
        <f>IFERROR(__xludf.DUMMYFUNCTION("""COMPUTED_VALUE"""),181.29)</f>
        <v>181.29</v>
      </c>
    </row>
    <row r="461">
      <c r="A461" s="2">
        <f>IFERROR(__xludf.DUMMYFUNCTION("""COMPUTED_VALUE"""),44771.66666666667)</f>
        <v>44771.66667</v>
      </c>
      <c r="B461" s="1">
        <f>IFERROR(__xludf.DUMMYFUNCTION("""COMPUTED_VALUE"""),184.02)</f>
        <v>184.02</v>
      </c>
    </row>
    <row r="462">
      <c r="A462" s="2">
        <f>IFERROR(__xludf.DUMMYFUNCTION("""COMPUTED_VALUE"""),44774.66666666667)</f>
        <v>44774.66667</v>
      </c>
      <c r="B462" s="1">
        <f>IFERROR(__xludf.DUMMYFUNCTION("""COMPUTED_VALUE"""),182.98)</f>
        <v>182.98</v>
      </c>
    </row>
    <row r="463">
      <c r="A463" s="2">
        <f>IFERROR(__xludf.DUMMYFUNCTION("""COMPUTED_VALUE"""),44775.66666666667)</f>
        <v>44775.66667</v>
      </c>
      <c r="B463" s="1">
        <f>IFERROR(__xludf.DUMMYFUNCTION("""COMPUTED_VALUE"""),183.79)</f>
        <v>183.79</v>
      </c>
    </row>
    <row r="464">
      <c r="A464" s="2">
        <f>IFERROR(__xludf.DUMMYFUNCTION("""COMPUTED_VALUE"""),44776.66666666667)</f>
        <v>44776.66667</v>
      </c>
      <c r="B464" s="1">
        <f>IFERROR(__xludf.DUMMYFUNCTION("""COMPUTED_VALUE"""),189.65)</f>
        <v>189.65</v>
      </c>
    </row>
    <row r="465">
      <c r="A465" s="2">
        <f>IFERROR(__xludf.DUMMYFUNCTION("""COMPUTED_VALUE"""),44777.66666666667)</f>
        <v>44777.66667</v>
      </c>
      <c r="B465" s="1">
        <f>IFERROR(__xludf.DUMMYFUNCTION("""COMPUTED_VALUE"""),191.27)</f>
        <v>191.27</v>
      </c>
    </row>
    <row r="466">
      <c r="A466" s="2">
        <f>IFERROR(__xludf.DUMMYFUNCTION("""COMPUTED_VALUE"""),44778.66666666667)</f>
        <v>44778.66667</v>
      </c>
      <c r="B466" s="1">
        <f>IFERROR(__xludf.DUMMYFUNCTION("""COMPUTED_VALUE"""),190.17)</f>
        <v>190.17</v>
      </c>
    </row>
    <row r="467">
      <c r="A467" s="2">
        <f>IFERROR(__xludf.DUMMYFUNCTION("""COMPUTED_VALUE"""),44781.66666666667)</f>
        <v>44781.66667</v>
      </c>
      <c r="B467" s="1">
        <f>IFERROR(__xludf.DUMMYFUNCTION("""COMPUTED_VALUE"""),189.75)</f>
        <v>189.75</v>
      </c>
    </row>
    <row r="468">
      <c r="A468" s="2">
        <f>IFERROR(__xludf.DUMMYFUNCTION("""COMPUTED_VALUE"""),44782.66666666667)</f>
        <v>44782.66667</v>
      </c>
      <c r="B468" s="1">
        <f>IFERROR(__xludf.DUMMYFUNCTION("""COMPUTED_VALUE"""),182.24)</f>
        <v>182.24</v>
      </c>
    </row>
    <row r="469">
      <c r="A469" s="2">
        <f>IFERROR(__xludf.DUMMYFUNCTION("""COMPUTED_VALUE"""),44783.66666666667)</f>
        <v>44783.66667</v>
      </c>
      <c r="B469" s="1">
        <f>IFERROR(__xludf.DUMMYFUNCTION("""COMPUTED_VALUE"""),188.61)</f>
        <v>188.61</v>
      </c>
    </row>
    <row r="470">
      <c r="A470" s="2">
        <f>IFERROR(__xludf.DUMMYFUNCTION("""COMPUTED_VALUE"""),44784.66666666667)</f>
        <v>44784.66667</v>
      </c>
      <c r="B470" s="1">
        <f>IFERROR(__xludf.DUMMYFUNCTION("""COMPUTED_VALUE"""),186.73)</f>
        <v>186.73</v>
      </c>
    </row>
    <row r="471">
      <c r="A471" s="2">
        <f>IFERROR(__xludf.DUMMYFUNCTION("""COMPUTED_VALUE"""),44785.66666666667)</f>
        <v>44785.66667</v>
      </c>
      <c r="B471" s="1">
        <f>IFERROR(__xludf.DUMMYFUNCTION("""COMPUTED_VALUE"""),189.89)</f>
        <v>189.89</v>
      </c>
    </row>
    <row r="472">
      <c r="A472" s="2">
        <f>IFERROR(__xludf.DUMMYFUNCTION("""COMPUTED_VALUE"""),44788.66666666667)</f>
        <v>44788.66667</v>
      </c>
      <c r="B472" s="1">
        <f>IFERROR(__xludf.DUMMYFUNCTION("""COMPUTED_VALUE"""),191.06)</f>
        <v>191.06</v>
      </c>
    </row>
    <row r="473">
      <c r="A473" s="2">
        <f>IFERROR(__xludf.DUMMYFUNCTION("""COMPUTED_VALUE"""),44789.66666666667)</f>
        <v>44789.66667</v>
      </c>
      <c r="B473" s="1">
        <f>IFERROR(__xludf.DUMMYFUNCTION("""COMPUTED_VALUE"""),189.59)</f>
        <v>189.59</v>
      </c>
    </row>
    <row r="474">
      <c r="A474" s="2">
        <f>IFERROR(__xludf.DUMMYFUNCTION("""COMPUTED_VALUE"""),44790.66666666667)</f>
        <v>44790.66667</v>
      </c>
      <c r="B474" s="1">
        <f>IFERROR(__xludf.DUMMYFUNCTION("""COMPUTED_VALUE"""),187.96)</f>
        <v>187.96</v>
      </c>
    </row>
    <row r="475">
      <c r="A475" s="2">
        <f>IFERROR(__xludf.DUMMYFUNCTION("""COMPUTED_VALUE"""),44791.66666666667)</f>
        <v>44791.66667</v>
      </c>
      <c r="B475" s="1">
        <f>IFERROR(__xludf.DUMMYFUNCTION("""COMPUTED_VALUE"""),187.93)</f>
        <v>187.93</v>
      </c>
    </row>
    <row r="476">
      <c r="A476" s="2">
        <f>IFERROR(__xludf.DUMMYFUNCTION("""COMPUTED_VALUE"""),44792.66666666667)</f>
        <v>44792.66667</v>
      </c>
      <c r="B476" s="1">
        <f>IFERROR(__xludf.DUMMYFUNCTION("""COMPUTED_VALUE"""),183.77)</f>
        <v>183.77</v>
      </c>
    </row>
    <row r="477">
      <c r="A477" s="2">
        <f>IFERROR(__xludf.DUMMYFUNCTION("""COMPUTED_VALUE"""),44795.66666666667)</f>
        <v>44795.66667</v>
      </c>
      <c r="B477" s="1">
        <f>IFERROR(__xludf.DUMMYFUNCTION("""COMPUTED_VALUE"""),176.98)</f>
        <v>176.98</v>
      </c>
    </row>
    <row r="478">
      <c r="A478" s="2">
        <f>IFERROR(__xludf.DUMMYFUNCTION("""COMPUTED_VALUE"""),44796.66666666667)</f>
        <v>44796.66667</v>
      </c>
      <c r="B478" s="1">
        <f>IFERROR(__xludf.DUMMYFUNCTION("""COMPUTED_VALUE"""),176.0)</f>
        <v>176</v>
      </c>
    </row>
    <row r="479">
      <c r="A479" s="2">
        <f>IFERROR(__xludf.DUMMYFUNCTION("""COMPUTED_VALUE"""),44797.66666666667)</f>
        <v>44797.66667</v>
      </c>
      <c r="B479" s="1">
        <f>IFERROR(__xludf.DUMMYFUNCTION("""COMPUTED_VALUE"""),180.01)</f>
        <v>180.01</v>
      </c>
    </row>
    <row r="480">
      <c r="A480" s="2">
        <f>IFERROR(__xludf.DUMMYFUNCTION("""COMPUTED_VALUE"""),44798.66666666667)</f>
        <v>44798.66667</v>
      </c>
      <c r="B480" s="1">
        <f>IFERROR(__xludf.DUMMYFUNCTION("""COMPUTED_VALUE"""),173.91)</f>
        <v>173.91</v>
      </c>
    </row>
    <row r="481">
      <c r="A481" s="2">
        <f>IFERROR(__xludf.DUMMYFUNCTION("""COMPUTED_VALUE"""),44799.66666666667)</f>
        <v>44799.66667</v>
      </c>
      <c r="B481" s="1">
        <f>IFERROR(__xludf.DUMMYFUNCTION("""COMPUTED_VALUE"""),165.23)</f>
        <v>165.23</v>
      </c>
    </row>
    <row r="482">
      <c r="A482" s="2">
        <f>IFERROR(__xludf.DUMMYFUNCTION("""COMPUTED_VALUE"""),44802.66666666667)</f>
        <v>44802.66667</v>
      </c>
      <c r="B482" s="1">
        <f>IFERROR(__xludf.DUMMYFUNCTION("""COMPUTED_VALUE"""),160.21)</f>
        <v>160.21</v>
      </c>
    </row>
    <row r="483">
      <c r="A483" s="2">
        <f>IFERROR(__xludf.DUMMYFUNCTION("""COMPUTED_VALUE"""),44803.66666666667)</f>
        <v>44803.66667</v>
      </c>
      <c r="B483" s="1">
        <f>IFERROR(__xludf.DUMMYFUNCTION("""COMPUTED_VALUE"""),159.67)</f>
        <v>159.67</v>
      </c>
    </row>
    <row r="484">
      <c r="A484" s="2">
        <f>IFERROR(__xludf.DUMMYFUNCTION("""COMPUTED_VALUE"""),44804.66666666667)</f>
        <v>44804.66667</v>
      </c>
      <c r="B484" s="1">
        <f>IFERROR(__xludf.DUMMYFUNCTION("""COMPUTED_VALUE"""),156.12)</f>
        <v>156.12</v>
      </c>
    </row>
    <row r="485">
      <c r="A485" s="2">
        <f>IFERROR(__xludf.DUMMYFUNCTION("""COMPUTED_VALUE"""),44805.66666666667)</f>
        <v>44805.66667</v>
      </c>
      <c r="B485" s="1">
        <f>IFERROR(__xludf.DUMMYFUNCTION("""COMPUTED_VALUE"""),153.53)</f>
        <v>153.53</v>
      </c>
    </row>
    <row r="486">
      <c r="A486" s="2">
        <f>IFERROR(__xludf.DUMMYFUNCTION("""COMPUTED_VALUE"""),44806.66666666667)</f>
        <v>44806.66667</v>
      </c>
      <c r="B486" s="1">
        <f>IFERROR(__xludf.DUMMYFUNCTION("""COMPUTED_VALUE"""),153.69)</f>
        <v>153.69</v>
      </c>
    </row>
    <row r="487">
      <c r="A487" s="2">
        <f>IFERROR(__xludf.DUMMYFUNCTION("""COMPUTED_VALUE"""),44810.66666666667)</f>
        <v>44810.66667</v>
      </c>
      <c r="B487" s="1">
        <f>IFERROR(__xludf.DUMMYFUNCTION("""COMPUTED_VALUE"""),151.72)</f>
        <v>151.72</v>
      </c>
    </row>
    <row r="488">
      <c r="A488" s="2">
        <f>IFERROR(__xludf.DUMMYFUNCTION("""COMPUTED_VALUE"""),44811.66666666667)</f>
        <v>44811.66667</v>
      </c>
      <c r="B488" s="1">
        <f>IFERROR(__xludf.DUMMYFUNCTION("""COMPUTED_VALUE"""),153.28)</f>
        <v>153.28</v>
      </c>
    </row>
    <row r="489">
      <c r="A489" s="2">
        <f>IFERROR(__xludf.DUMMYFUNCTION("""COMPUTED_VALUE"""),44812.66666666667)</f>
        <v>44812.66667</v>
      </c>
      <c r="B489" s="1">
        <f>IFERROR(__xludf.DUMMYFUNCTION("""COMPUTED_VALUE"""),156.9)</f>
        <v>156.9</v>
      </c>
    </row>
    <row r="490">
      <c r="A490" s="2">
        <f>IFERROR(__xludf.DUMMYFUNCTION("""COMPUTED_VALUE"""),44813.66666666667)</f>
        <v>44813.66667</v>
      </c>
      <c r="B490" s="1">
        <f>IFERROR(__xludf.DUMMYFUNCTION("""COMPUTED_VALUE"""),162.59)</f>
        <v>162.59</v>
      </c>
    </row>
    <row r="491">
      <c r="A491" s="2">
        <f>IFERROR(__xludf.DUMMYFUNCTION("""COMPUTED_VALUE"""),44816.66666666667)</f>
        <v>44816.66667</v>
      </c>
      <c r="B491" s="1">
        <f>IFERROR(__xludf.DUMMYFUNCTION("""COMPUTED_VALUE"""),165.63)</f>
        <v>165.63</v>
      </c>
    </row>
    <row r="492">
      <c r="A492" s="2">
        <f>IFERROR(__xludf.DUMMYFUNCTION("""COMPUTED_VALUE"""),44817.66666666667)</f>
        <v>44817.66667</v>
      </c>
      <c r="B492" s="1">
        <f>IFERROR(__xludf.DUMMYFUNCTION("""COMPUTED_VALUE"""),158.1)</f>
        <v>158.1</v>
      </c>
    </row>
    <row r="493">
      <c r="A493" s="2">
        <f>IFERROR(__xludf.DUMMYFUNCTION("""COMPUTED_VALUE"""),44818.66666666667)</f>
        <v>44818.66667</v>
      </c>
      <c r="B493" s="1">
        <f>IFERROR(__xludf.DUMMYFUNCTION("""COMPUTED_VALUE"""),160.28)</f>
        <v>160.28</v>
      </c>
    </row>
    <row r="494">
      <c r="A494" s="2">
        <f>IFERROR(__xludf.DUMMYFUNCTION("""COMPUTED_VALUE"""),44819.66666666667)</f>
        <v>44819.66667</v>
      </c>
      <c r="B494" s="1">
        <f>IFERROR(__xludf.DUMMYFUNCTION("""COMPUTED_VALUE"""),154.78)</f>
        <v>154.78</v>
      </c>
    </row>
    <row r="495">
      <c r="A495" s="2">
        <f>IFERROR(__xludf.DUMMYFUNCTION("""COMPUTED_VALUE"""),44820.66666666667)</f>
        <v>44820.66667</v>
      </c>
      <c r="B495" s="1">
        <f>IFERROR(__xludf.DUMMYFUNCTION("""COMPUTED_VALUE"""),151.51)</f>
        <v>151.51</v>
      </c>
    </row>
    <row r="496">
      <c r="A496" s="2">
        <f>IFERROR(__xludf.DUMMYFUNCTION("""COMPUTED_VALUE"""),44823.66666666667)</f>
        <v>44823.66667</v>
      </c>
      <c r="B496" s="1">
        <f>IFERROR(__xludf.DUMMYFUNCTION("""COMPUTED_VALUE"""),152.83)</f>
        <v>152.83</v>
      </c>
    </row>
    <row r="497">
      <c r="A497" s="2">
        <f>IFERROR(__xludf.DUMMYFUNCTION("""COMPUTED_VALUE"""),44824.66666666667)</f>
        <v>44824.66667</v>
      </c>
      <c r="B497" s="1">
        <f>IFERROR(__xludf.DUMMYFUNCTION("""COMPUTED_VALUE"""),149.8)</f>
        <v>149.8</v>
      </c>
    </row>
    <row r="498">
      <c r="A498" s="2">
        <f>IFERROR(__xludf.DUMMYFUNCTION("""COMPUTED_VALUE"""),44825.66666666667)</f>
        <v>44825.66667</v>
      </c>
      <c r="B498" s="1">
        <f>IFERROR(__xludf.DUMMYFUNCTION("""COMPUTED_VALUE"""),147.63)</f>
        <v>147.63</v>
      </c>
    </row>
    <row r="499">
      <c r="A499" s="2">
        <f>IFERROR(__xludf.DUMMYFUNCTION("""COMPUTED_VALUE"""),44826.66666666667)</f>
        <v>44826.66667</v>
      </c>
      <c r="B499" s="1">
        <f>IFERROR(__xludf.DUMMYFUNCTION("""COMPUTED_VALUE"""),150.15)</f>
        <v>150.15</v>
      </c>
    </row>
    <row r="500">
      <c r="A500" s="2">
        <f>IFERROR(__xludf.DUMMYFUNCTION("""COMPUTED_VALUE"""),44827.66666666667)</f>
        <v>44827.66667</v>
      </c>
      <c r="B500" s="1">
        <f>IFERROR(__xludf.DUMMYFUNCTION("""COMPUTED_VALUE"""),147.01)</f>
        <v>147.01</v>
      </c>
    </row>
    <row r="501">
      <c r="A501" s="2">
        <f>IFERROR(__xludf.DUMMYFUNCTION("""COMPUTED_VALUE"""),44830.66666666667)</f>
        <v>44830.66667</v>
      </c>
      <c r="B501" s="1">
        <f>IFERROR(__xludf.DUMMYFUNCTION("""COMPUTED_VALUE"""),146.32)</f>
        <v>146.32</v>
      </c>
    </row>
    <row r="502">
      <c r="A502" s="2">
        <f>IFERROR(__xludf.DUMMYFUNCTION("""COMPUTED_VALUE"""),44831.66666666667)</f>
        <v>44831.66667</v>
      </c>
      <c r="B502" s="1">
        <f>IFERROR(__xludf.DUMMYFUNCTION("""COMPUTED_VALUE"""),148.89)</f>
        <v>148.89</v>
      </c>
    </row>
    <row r="503">
      <c r="A503" s="2">
        <f>IFERROR(__xludf.DUMMYFUNCTION("""COMPUTED_VALUE"""),44832.66666666667)</f>
        <v>44832.66667</v>
      </c>
      <c r="B503" s="1">
        <f>IFERROR(__xludf.DUMMYFUNCTION("""COMPUTED_VALUE"""),150.17)</f>
        <v>150.17</v>
      </c>
    </row>
    <row r="504">
      <c r="A504" s="2">
        <f>IFERROR(__xludf.DUMMYFUNCTION("""COMPUTED_VALUE"""),44833.66666666667)</f>
        <v>44833.66667</v>
      </c>
      <c r="B504" s="1">
        <f>IFERROR(__xludf.DUMMYFUNCTION("""COMPUTED_VALUE"""),146.81)</f>
        <v>146.81</v>
      </c>
    </row>
    <row r="505">
      <c r="A505" s="2">
        <f>IFERROR(__xludf.DUMMYFUNCTION("""COMPUTED_VALUE"""),44834.66666666667)</f>
        <v>44834.66667</v>
      </c>
      <c r="B505" s="1">
        <f>IFERROR(__xludf.DUMMYFUNCTION("""COMPUTED_VALUE"""),143.84)</f>
        <v>143.84</v>
      </c>
    </row>
    <row r="506">
      <c r="A506" s="2">
        <f>IFERROR(__xludf.DUMMYFUNCTION("""COMPUTED_VALUE"""),44837.66666666667)</f>
        <v>44837.66667</v>
      </c>
      <c r="B506" s="1">
        <f>IFERROR(__xludf.DUMMYFUNCTION("""COMPUTED_VALUE"""),147.9)</f>
        <v>147.9</v>
      </c>
    </row>
    <row r="507">
      <c r="A507" s="2">
        <f>IFERROR(__xludf.DUMMYFUNCTION("""COMPUTED_VALUE"""),44838.66666666667)</f>
        <v>44838.66667</v>
      </c>
      <c r="B507" s="1">
        <f>IFERROR(__xludf.DUMMYFUNCTION("""COMPUTED_VALUE"""),155.73)</f>
        <v>155.73</v>
      </c>
    </row>
    <row r="508">
      <c r="A508" s="2">
        <f>IFERROR(__xludf.DUMMYFUNCTION("""COMPUTED_VALUE"""),44839.66666666667)</f>
        <v>44839.66667</v>
      </c>
      <c r="B508" s="1">
        <f>IFERROR(__xludf.DUMMYFUNCTION("""COMPUTED_VALUE"""),156.23)</f>
        <v>156.23</v>
      </c>
    </row>
    <row r="509">
      <c r="A509" s="2">
        <f>IFERROR(__xludf.DUMMYFUNCTION("""COMPUTED_VALUE"""),44840.66666666667)</f>
        <v>44840.66667</v>
      </c>
      <c r="B509" s="1">
        <f>IFERROR(__xludf.DUMMYFUNCTION("""COMPUTED_VALUE"""),155.46)</f>
        <v>155.46</v>
      </c>
    </row>
    <row r="510">
      <c r="A510" s="2">
        <f>IFERROR(__xludf.DUMMYFUNCTION("""COMPUTED_VALUE"""),44841.66666666667)</f>
        <v>44841.66667</v>
      </c>
      <c r="B510" s="1">
        <f>IFERROR(__xludf.DUMMYFUNCTION("""COMPUTED_VALUE"""),150.29)</f>
        <v>150.29</v>
      </c>
    </row>
    <row r="511">
      <c r="A511" s="2">
        <f>IFERROR(__xludf.DUMMYFUNCTION("""COMPUTED_VALUE"""),44844.66666666667)</f>
        <v>44844.66667</v>
      </c>
      <c r="B511" s="1">
        <f>IFERROR(__xludf.DUMMYFUNCTION("""COMPUTED_VALUE"""),145.64)</f>
        <v>145.64</v>
      </c>
    </row>
    <row r="512">
      <c r="A512" s="2">
        <f>IFERROR(__xludf.DUMMYFUNCTION("""COMPUTED_VALUE"""),44845.66666666667)</f>
        <v>44845.66667</v>
      </c>
      <c r="B512" s="1">
        <f>IFERROR(__xludf.DUMMYFUNCTION("""COMPUTED_VALUE"""),142.57)</f>
        <v>142.57</v>
      </c>
    </row>
    <row r="513">
      <c r="A513" s="2">
        <f>IFERROR(__xludf.DUMMYFUNCTION("""COMPUTED_VALUE"""),44846.66666666667)</f>
        <v>44846.66667</v>
      </c>
      <c r="B513" s="1">
        <f>IFERROR(__xludf.DUMMYFUNCTION("""COMPUTED_VALUE"""),142.29)</f>
        <v>142.29</v>
      </c>
    </row>
    <row r="514">
      <c r="A514" s="2">
        <f>IFERROR(__xludf.DUMMYFUNCTION("""COMPUTED_VALUE"""),44847.66666666667)</f>
        <v>44847.66667</v>
      </c>
      <c r="B514" s="1">
        <f>IFERROR(__xludf.DUMMYFUNCTION("""COMPUTED_VALUE"""),145.44)</f>
        <v>145.44</v>
      </c>
    </row>
    <row r="515">
      <c r="A515" s="2">
        <f>IFERROR(__xludf.DUMMYFUNCTION("""COMPUTED_VALUE"""),44848.66666666667)</f>
        <v>44848.66667</v>
      </c>
      <c r="B515" s="1">
        <f>IFERROR(__xludf.DUMMYFUNCTION("""COMPUTED_VALUE"""),142.22)</f>
        <v>142.22</v>
      </c>
    </row>
    <row r="516">
      <c r="A516" s="2">
        <f>IFERROR(__xludf.DUMMYFUNCTION("""COMPUTED_VALUE"""),44851.66666666667)</f>
        <v>44851.66667</v>
      </c>
      <c r="B516" s="1">
        <f>IFERROR(__xludf.DUMMYFUNCTION("""COMPUTED_VALUE"""),147.18)</f>
        <v>147.18</v>
      </c>
    </row>
    <row r="517">
      <c r="A517" s="2">
        <f>IFERROR(__xludf.DUMMYFUNCTION("""COMPUTED_VALUE"""),44852.66666666667)</f>
        <v>44852.66667</v>
      </c>
      <c r="B517" s="1">
        <f>IFERROR(__xludf.DUMMYFUNCTION("""COMPUTED_VALUE"""),153.53)</f>
        <v>153.53</v>
      </c>
    </row>
    <row r="518">
      <c r="A518" s="2">
        <f>IFERROR(__xludf.DUMMYFUNCTION("""COMPUTED_VALUE"""),44853.66666666667)</f>
        <v>44853.66667</v>
      </c>
      <c r="B518" s="1">
        <f>IFERROR(__xludf.DUMMYFUNCTION("""COMPUTED_VALUE"""),153.67)</f>
        <v>153.67</v>
      </c>
    </row>
    <row r="519">
      <c r="A519" s="2">
        <f>IFERROR(__xludf.DUMMYFUNCTION("""COMPUTED_VALUE"""),44854.66666666667)</f>
        <v>44854.66667</v>
      </c>
      <c r="B519" s="1">
        <f>IFERROR(__xludf.DUMMYFUNCTION("""COMPUTED_VALUE"""),157.5)</f>
        <v>157.5</v>
      </c>
    </row>
    <row r="520">
      <c r="A520" s="2">
        <f>IFERROR(__xludf.DUMMYFUNCTION("""COMPUTED_VALUE"""),44855.66666666667)</f>
        <v>44855.66667</v>
      </c>
      <c r="B520" s="1">
        <f>IFERROR(__xludf.DUMMYFUNCTION("""COMPUTED_VALUE"""),160.17)</f>
        <v>160.17</v>
      </c>
    </row>
    <row r="521">
      <c r="A521" s="2">
        <f>IFERROR(__xludf.DUMMYFUNCTION("""COMPUTED_VALUE"""),44858.66666666667)</f>
        <v>44858.66667</v>
      </c>
      <c r="B521" s="1">
        <f>IFERROR(__xludf.DUMMYFUNCTION("""COMPUTED_VALUE"""),160.65)</f>
        <v>160.65</v>
      </c>
    </row>
    <row r="522">
      <c r="A522" s="2">
        <f>IFERROR(__xludf.DUMMYFUNCTION("""COMPUTED_VALUE"""),44859.66666666667)</f>
        <v>44859.66667</v>
      </c>
      <c r="B522" s="1">
        <f>IFERROR(__xludf.DUMMYFUNCTION("""COMPUTED_VALUE"""),165.27)</f>
        <v>165.27</v>
      </c>
    </row>
    <row r="523">
      <c r="A523" s="2">
        <f>IFERROR(__xludf.DUMMYFUNCTION("""COMPUTED_VALUE"""),44860.66666666667)</f>
        <v>44860.66667</v>
      </c>
      <c r="B523" s="1">
        <f>IFERROR(__xludf.DUMMYFUNCTION("""COMPUTED_VALUE"""),159.91)</f>
        <v>159.91</v>
      </c>
    </row>
    <row r="524">
      <c r="A524" s="2">
        <f>IFERROR(__xludf.DUMMYFUNCTION("""COMPUTED_VALUE"""),44861.66666666667)</f>
        <v>44861.66667</v>
      </c>
      <c r="B524" s="1">
        <f>IFERROR(__xludf.DUMMYFUNCTION("""COMPUTED_VALUE"""),159.75)</f>
        <v>159.75</v>
      </c>
    </row>
    <row r="525">
      <c r="A525" s="2">
        <f>IFERROR(__xludf.DUMMYFUNCTION("""COMPUTED_VALUE"""),44862.66666666667)</f>
        <v>44862.66667</v>
      </c>
      <c r="B525" s="1">
        <f>IFERROR(__xludf.DUMMYFUNCTION("""COMPUTED_VALUE"""),163.02)</f>
        <v>163.02</v>
      </c>
    </row>
    <row r="526">
      <c r="A526" s="2">
        <f>IFERROR(__xludf.DUMMYFUNCTION("""COMPUTED_VALUE"""),44865.66666666667)</f>
        <v>44865.66667</v>
      </c>
      <c r="B526" s="1">
        <f>IFERROR(__xludf.DUMMYFUNCTION("""COMPUTED_VALUE"""),162.59)</f>
        <v>162.59</v>
      </c>
    </row>
    <row r="527">
      <c r="A527" s="2">
        <f>IFERROR(__xludf.DUMMYFUNCTION("""COMPUTED_VALUE"""),44866.66666666667)</f>
        <v>44866.66667</v>
      </c>
      <c r="B527" s="1">
        <f>IFERROR(__xludf.DUMMYFUNCTION("""COMPUTED_VALUE"""),159.82)</f>
        <v>159.82</v>
      </c>
    </row>
    <row r="528">
      <c r="A528" s="2">
        <f>IFERROR(__xludf.DUMMYFUNCTION("""COMPUTED_VALUE"""),44867.66666666667)</f>
        <v>44867.66667</v>
      </c>
      <c r="B528" s="1">
        <f>IFERROR(__xludf.DUMMYFUNCTION("""COMPUTED_VALUE"""),150.01)</f>
        <v>150.01</v>
      </c>
    </row>
    <row r="529">
      <c r="A529" s="2">
        <f>IFERROR(__xludf.DUMMYFUNCTION("""COMPUTED_VALUE"""),44868.66666666667)</f>
        <v>44868.66667</v>
      </c>
      <c r="B529" s="1">
        <f>IFERROR(__xludf.DUMMYFUNCTION("""COMPUTED_VALUE"""),146.33)</f>
        <v>146.33</v>
      </c>
    </row>
    <row r="530">
      <c r="A530" s="2">
        <f>IFERROR(__xludf.DUMMYFUNCTION("""COMPUTED_VALUE"""),44869.66666666667)</f>
        <v>44869.66667</v>
      </c>
      <c r="B530" s="1">
        <f>IFERROR(__xludf.DUMMYFUNCTION("""COMPUTED_VALUE"""),139.77)</f>
        <v>139.77</v>
      </c>
    </row>
    <row r="531">
      <c r="A531" s="2">
        <f>IFERROR(__xludf.DUMMYFUNCTION("""COMPUTED_VALUE"""),44872.66666666667)</f>
        <v>44872.66667</v>
      </c>
      <c r="B531" s="1">
        <f>IFERROR(__xludf.DUMMYFUNCTION("""COMPUTED_VALUE"""),144.59)</f>
        <v>144.59</v>
      </c>
    </row>
    <row r="532">
      <c r="A532" s="2">
        <f>IFERROR(__xludf.DUMMYFUNCTION("""COMPUTED_VALUE"""),44873.66666666667)</f>
        <v>44873.66667</v>
      </c>
      <c r="B532" s="1">
        <f>IFERROR(__xludf.DUMMYFUNCTION("""COMPUTED_VALUE"""),147.1)</f>
        <v>147.1</v>
      </c>
    </row>
    <row r="533">
      <c r="A533" s="2">
        <f>IFERROR(__xludf.DUMMYFUNCTION("""COMPUTED_VALUE"""),44874.66666666667)</f>
        <v>44874.66667</v>
      </c>
      <c r="B533" s="1">
        <f>IFERROR(__xludf.DUMMYFUNCTION("""COMPUTED_VALUE"""),142.06)</f>
        <v>142.06</v>
      </c>
    </row>
    <row r="534">
      <c r="A534" s="2">
        <f>IFERROR(__xludf.DUMMYFUNCTION("""COMPUTED_VALUE"""),44875.66666666667)</f>
        <v>44875.66667</v>
      </c>
      <c r="B534" s="1">
        <f>IFERROR(__xludf.DUMMYFUNCTION("""COMPUTED_VALUE"""),156.3)</f>
        <v>156.3</v>
      </c>
    </row>
    <row r="535">
      <c r="A535" s="2">
        <f>IFERROR(__xludf.DUMMYFUNCTION("""COMPUTED_VALUE"""),44876.66666666667)</f>
        <v>44876.66667</v>
      </c>
      <c r="B535" s="1">
        <f>IFERROR(__xludf.DUMMYFUNCTION("""COMPUTED_VALUE"""),157.73)</f>
        <v>157.73</v>
      </c>
    </row>
    <row r="536">
      <c r="A536" s="2">
        <f>IFERROR(__xludf.DUMMYFUNCTION("""COMPUTED_VALUE"""),44879.66666666667)</f>
        <v>44879.66667</v>
      </c>
      <c r="B536" s="1">
        <f>IFERROR(__xludf.DUMMYFUNCTION("""COMPUTED_VALUE"""),158.66)</f>
        <v>158.66</v>
      </c>
    </row>
    <row r="537">
      <c r="A537" s="2">
        <f>IFERROR(__xludf.DUMMYFUNCTION("""COMPUTED_VALUE"""),44880.66666666667)</f>
        <v>44880.66667</v>
      </c>
      <c r="B537" s="1">
        <f>IFERROR(__xludf.DUMMYFUNCTION("""COMPUTED_VALUE"""),162.07)</f>
        <v>162.07</v>
      </c>
    </row>
    <row r="538">
      <c r="A538" s="2">
        <f>IFERROR(__xludf.DUMMYFUNCTION("""COMPUTED_VALUE"""),44881.66666666667)</f>
        <v>44881.66667</v>
      </c>
      <c r="B538" s="1">
        <f>IFERROR(__xludf.DUMMYFUNCTION("""COMPUTED_VALUE"""),155.12)</f>
        <v>155.12</v>
      </c>
    </row>
    <row r="539">
      <c r="A539" s="2">
        <f>IFERROR(__xludf.DUMMYFUNCTION("""COMPUTED_VALUE"""),44882.66666666667)</f>
        <v>44882.66667</v>
      </c>
      <c r="B539" s="1">
        <f>IFERROR(__xludf.DUMMYFUNCTION("""COMPUTED_VALUE"""),149.69)</f>
        <v>149.69</v>
      </c>
    </row>
    <row r="540">
      <c r="A540" s="2">
        <f>IFERROR(__xludf.DUMMYFUNCTION("""COMPUTED_VALUE"""),44883.66666666667)</f>
        <v>44883.66667</v>
      </c>
      <c r="B540" s="1">
        <f>IFERROR(__xludf.DUMMYFUNCTION("""COMPUTED_VALUE"""),148.04)</f>
        <v>148.04</v>
      </c>
    </row>
    <row r="541">
      <c r="A541" s="2">
        <f>IFERROR(__xludf.DUMMYFUNCTION("""COMPUTED_VALUE"""),44886.66666666667)</f>
        <v>44886.66667</v>
      </c>
      <c r="B541" s="1">
        <f>IFERROR(__xludf.DUMMYFUNCTION("""COMPUTED_VALUE"""),144.85)</f>
        <v>144.85</v>
      </c>
    </row>
    <row r="542">
      <c r="A542" s="2">
        <f>IFERROR(__xludf.DUMMYFUNCTION("""COMPUTED_VALUE"""),44887.66666666667)</f>
        <v>44887.66667</v>
      </c>
      <c r="B542" s="1">
        <f>IFERROR(__xludf.DUMMYFUNCTION("""COMPUTED_VALUE"""),149.25)</f>
        <v>149.25</v>
      </c>
    </row>
    <row r="543">
      <c r="A543" s="2">
        <f>IFERROR(__xludf.DUMMYFUNCTION("""COMPUTED_VALUE"""),44888.66666666667)</f>
        <v>44888.66667</v>
      </c>
      <c r="B543" s="1">
        <f>IFERROR(__xludf.DUMMYFUNCTION("""COMPUTED_VALUE"""),152.24)</f>
        <v>152.24</v>
      </c>
    </row>
    <row r="544">
      <c r="A544" s="2">
        <f>IFERROR(__xludf.DUMMYFUNCTION("""COMPUTED_VALUE"""),44890.54166666667)</f>
        <v>44890.54167</v>
      </c>
      <c r="B544" s="1">
        <f>IFERROR(__xludf.DUMMYFUNCTION("""COMPUTED_VALUE"""),153.35)</f>
        <v>153.35</v>
      </c>
    </row>
    <row r="545">
      <c r="A545" s="2">
        <f>IFERROR(__xludf.DUMMYFUNCTION("""COMPUTED_VALUE"""),44893.66666666667)</f>
        <v>44893.66667</v>
      </c>
      <c r="B545" s="1">
        <f>IFERROR(__xludf.DUMMYFUNCTION("""COMPUTED_VALUE"""),153.69)</f>
        <v>153.69</v>
      </c>
    </row>
    <row r="546">
      <c r="A546" s="2">
        <f>IFERROR(__xludf.DUMMYFUNCTION("""COMPUTED_VALUE"""),44894.66666666667)</f>
        <v>44894.66667</v>
      </c>
      <c r="B546" s="1">
        <f>IFERROR(__xludf.DUMMYFUNCTION("""COMPUTED_VALUE"""),151.68)</f>
        <v>151.68</v>
      </c>
    </row>
    <row r="547">
      <c r="A547" s="2">
        <f>IFERROR(__xludf.DUMMYFUNCTION("""COMPUTED_VALUE"""),44895.66666666667)</f>
        <v>44895.66667</v>
      </c>
      <c r="B547" s="1">
        <f>IFERROR(__xludf.DUMMYFUNCTION("""COMPUTED_VALUE"""),160.25)</f>
        <v>160.25</v>
      </c>
    </row>
    <row r="548">
      <c r="A548" s="2">
        <f>IFERROR(__xludf.DUMMYFUNCTION("""COMPUTED_VALUE"""),44896.66666666667)</f>
        <v>44896.66667</v>
      </c>
      <c r="B548" s="1">
        <f>IFERROR(__xludf.DUMMYFUNCTION("""COMPUTED_VALUE"""),147.0)</f>
        <v>147</v>
      </c>
    </row>
    <row r="549">
      <c r="A549" s="2">
        <f>IFERROR(__xludf.DUMMYFUNCTION("""COMPUTED_VALUE"""),44897.66666666667)</f>
        <v>44897.66667</v>
      </c>
      <c r="B549" s="1">
        <f>IFERROR(__xludf.DUMMYFUNCTION("""COMPUTED_VALUE"""),144.56)</f>
        <v>144.56</v>
      </c>
    </row>
    <row r="550">
      <c r="A550" s="2">
        <f>IFERROR(__xludf.DUMMYFUNCTION("""COMPUTED_VALUE"""),44900.66666666667)</f>
        <v>44900.66667</v>
      </c>
      <c r="B550" s="1">
        <f>IFERROR(__xludf.DUMMYFUNCTION("""COMPUTED_VALUE"""),133.93)</f>
        <v>133.93</v>
      </c>
    </row>
    <row r="551">
      <c r="A551" s="2">
        <f>IFERROR(__xludf.DUMMYFUNCTION("""COMPUTED_VALUE"""),44901.66666666667)</f>
        <v>44901.66667</v>
      </c>
      <c r="B551" s="1">
        <f>IFERROR(__xludf.DUMMYFUNCTION("""COMPUTED_VALUE"""),133.27)</f>
        <v>133.27</v>
      </c>
    </row>
    <row r="552">
      <c r="A552" s="2">
        <f>IFERROR(__xludf.DUMMYFUNCTION("""COMPUTED_VALUE"""),44902.66666666667)</f>
        <v>44902.66667</v>
      </c>
      <c r="B552" s="1">
        <f>IFERROR(__xludf.DUMMYFUNCTION("""COMPUTED_VALUE"""),130.48)</f>
        <v>130.48</v>
      </c>
    </row>
    <row r="553">
      <c r="A553" s="2">
        <f>IFERROR(__xludf.DUMMYFUNCTION("""COMPUTED_VALUE"""),44903.66666666667)</f>
        <v>44903.66667</v>
      </c>
      <c r="B553" s="1">
        <f>IFERROR(__xludf.DUMMYFUNCTION("""COMPUTED_VALUE"""),130.13)</f>
        <v>130.13</v>
      </c>
    </row>
    <row r="554">
      <c r="A554" s="2">
        <f>IFERROR(__xludf.DUMMYFUNCTION("""COMPUTED_VALUE"""),44904.66666666667)</f>
        <v>44904.66667</v>
      </c>
      <c r="B554" s="1">
        <f>IFERROR(__xludf.DUMMYFUNCTION("""COMPUTED_VALUE"""),131.11)</f>
        <v>131.11</v>
      </c>
    </row>
    <row r="555">
      <c r="A555" s="2">
        <f>IFERROR(__xludf.DUMMYFUNCTION("""COMPUTED_VALUE"""),44907.66666666667)</f>
        <v>44907.66667</v>
      </c>
      <c r="B555" s="1">
        <f>IFERROR(__xludf.DUMMYFUNCTION("""COMPUTED_VALUE"""),133.11)</f>
        <v>133.11</v>
      </c>
    </row>
    <row r="556">
      <c r="A556" s="2">
        <f>IFERROR(__xludf.DUMMYFUNCTION("""COMPUTED_VALUE"""),44908.66666666667)</f>
        <v>44908.66667</v>
      </c>
      <c r="B556" s="1">
        <f>IFERROR(__xludf.DUMMYFUNCTION("""COMPUTED_VALUE"""),135.62)</f>
        <v>135.62</v>
      </c>
    </row>
    <row r="557">
      <c r="A557" s="2">
        <f>IFERROR(__xludf.DUMMYFUNCTION("""COMPUTED_VALUE"""),44909.66666666667)</f>
        <v>44909.66667</v>
      </c>
      <c r="B557" s="1">
        <f>IFERROR(__xludf.DUMMYFUNCTION("""COMPUTED_VALUE"""),134.75)</f>
        <v>134.75</v>
      </c>
    </row>
    <row r="558">
      <c r="A558" s="2">
        <f>IFERROR(__xludf.DUMMYFUNCTION("""COMPUTED_VALUE"""),44910.66666666667)</f>
        <v>44910.66667</v>
      </c>
      <c r="B558" s="1">
        <f>IFERROR(__xludf.DUMMYFUNCTION("""COMPUTED_VALUE"""),130.44)</f>
        <v>130.44</v>
      </c>
    </row>
    <row r="559">
      <c r="A559" s="2">
        <f>IFERROR(__xludf.DUMMYFUNCTION("""COMPUTED_VALUE"""),44911.66666666667)</f>
        <v>44911.66667</v>
      </c>
      <c r="B559" s="1">
        <f>IFERROR(__xludf.DUMMYFUNCTION("""COMPUTED_VALUE"""),128.27)</f>
        <v>128.27</v>
      </c>
    </row>
    <row r="560">
      <c r="A560" s="2">
        <f>IFERROR(__xludf.DUMMYFUNCTION("""COMPUTED_VALUE"""),44914.66666666667)</f>
        <v>44914.66667</v>
      </c>
      <c r="B560" s="1">
        <f>IFERROR(__xludf.DUMMYFUNCTION("""COMPUTED_VALUE"""),129.01)</f>
        <v>129.01</v>
      </c>
    </row>
    <row r="561">
      <c r="A561" s="2">
        <f>IFERROR(__xludf.DUMMYFUNCTION("""COMPUTED_VALUE"""),44915.66666666667)</f>
        <v>44915.66667</v>
      </c>
      <c r="B561" s="1">
        <f>IFERROR(__xludf.DUMMYFUNCTION("""COMPUTED_VALUE"""),128.45)</f>
        <v>128.45</v>
      </c>
    </row>
    <row r="562">
      <c r="A562" s="2">
        <f>IFERROR(__xludf.DUMMYFUNCTION("""COMPUTED_VALUE"""),44916.66666666667)</f>
        <v>44916.66667</v>
      </c>
      <c r="B562" s="1">
        <f>IFERROR(__xludf.DUMMYFUNCTION("""COMPUTED_VALUE"""),130.3)</f>
        <v>130.3</v>
      </c>
    </row>
    <row r="563">
      <c r="A563" s="2">
        <f>IFERROR(__xludf.DUMMYFUNCTION("""COMPUTED_VALUE"""),44917.66666666667)</f>
        <v>44917.66667</v>
      </c>
      <c r="B563" s="1">
        <f>IFERROR(__xludf.DUMMYFUNCTION("""COMPUTED_VALUE"""),129.19)</f>
        <v>129.19</v>
      </c>
    </row>
    <row r="564">
      <c r="A564" s="2">
        <f>IFERROR(__xludf.DUMMYFUNCTION("""COMPUTED_VALUE"""),44918.66666666667)</f>
        <v>44918.66667</v>
      </c>
      <c r="B564" s="1">
        <f>IFERROR(__xludf.DUMMYFUNCTION("""COMPUTED_VALUE"""),129.44)</f>
        <v>129.44</v>
      </c>
    </row>
    <row r="565">
      <c r="A565" s="2">
        <f>IFERROR(__xludf.DUMMYFUNCTION("""COMPUTED_VALUE"""),44922.66666666667)</f>
        <v>44922.66667</v>
      </c>
      <c r="B565" s="1">
        <f>IFERROR(__xludf.DUMMYFUNCTION("""COMPUTED_VALUE"""),130.66)</f>
        <v>130.66</v>
      </c>
    </row>
    <row r="566">
      <c r="A566" s="2">
        <f>IFERROR(__xludf.DUMMYFUNCTION("""COMPUTED_VALUE"""),44923.66666666667)</f>
        <v>44923.66667</v>
      </c>
      <c r="B566" s="1">
        <f>IFERROR(__xludf.DUMMYFUNCTION("""COMPUTED_VALUE"""),128.47)</f>
        <v>128.47</v>
      </c>
    </row>
    <row r="567">
      <c r="A567" s="2">
        <f>IFERROR(__xludf.DUMMYFUNCTION("""COMPUTED_VALUE"""),44924.66666666667)</f>
        <v>44924.66667</v>
      </c>
      <c r="B567" s="1">
        <f>IFERROR(__xludf.DUMMYFUNCTION("""COMPUTED_VALUE"""),132.54)</f>
        <v>132.54</v>
      </c>
    </row>
    <row r="568">
      <c r="A568" s="2">
        <f>IFERROR(__xludf.DUMMYFUNCTION("""COMPUTED_VALUE"""),44925.66666666667)</f>
        <v>44925.66667</v>
      </c>
      <c r="B568" s="1">
        <f>IFERROR(__xludf.DUMMYFUNCTION("""COMPUTED_VALUE"""),132.59)</f>
        <v>132.59</v>
      </c>
    </row>
    <row r="569">
      <c r="A569" s="2">
        <f>IFERROR(__xludf.DUMMYFUNCTION("""COMPUTED_VALUE"""),44929.66666666667)</f>
        <v>44929.66667</v>
      </c>
      <c r="B569" s="1">
        <f>IFERROR(__xludf.DUMMYFUNCTION("""COMPUTED_VALUE"""),134.78)</f>
        <v>134.78</v>
      </c>
    </row>
    <row r="570">
      <c r="A570" s="2">
        <f>IFERROR(__xludf.DUMMYFUNCTION("""COMPUTED_VALUE"""),44930.66666666667)</f>
        <v>44930.66667</v>
      </c>
      <c r="B570" s="1">
        <f>IFERROR(__xludf.DUMMYFUNCTION("""COMPUTED_VALUE"""),139.59)</f>
        <v>139.59</v>
      </c>
    </row>
    <row r="571">
      <c r="A571" s="2">
        <f>IFERROR(__xludf.DUMMYFUNCTION("""COMPUTED_VALUE"""),44931.66666666667)</f>
        <v>44931.66667</v>
      </c>
      <c r="B571" s="1">
        <f>IFERROR(__xludf.DUMMYFUNCTION("""COMPUTED_VALUE"""),136.34)</f>
        <v>136.34</v>
      </c>
    </row>
    <row r="572">
      <c r="A572" s="2">
        <f>IFERROR(__xludf.DUMMYFUNCTION("""COMPUTED_VALUE"""),44932.66666666667)</f>
        <v>44932.66667</v>
      </c>
      <c r="B572" s="1">
        <f>IFERROR(__xludf.DUMMYFUNCTION("""COMPUTED_VALUE"""),140.51)</f>
        <v>140.51</v>
      </c>
    </row>
    <row r="573">
      <c r="A573" s="2">
        <f>IFERROR(__xludf.DUMMYFUNCTION("""COMPUTED_VALUE"""),44935.66666666667)</f>
        <v>44935.66667</v>
      </c>
      <c r="B573" s="1">
        <f>IFERROR(__xludf.DUMMYFUNCTION("""COMPUTED_VALUE"""),147.1)</f>
        <v>147.1</v>
      </c>
    </row>
    <row r="574">
      <c r="A574" s="2">
        <f>IFERROR(__xludf.DUMMYFUNCTION("""COMPUTED_VALUE"""),44936.66666666667)</f>
        <v>44936.66667</v>
      </c>
      <c r="B574" s="1">
        <f>IFERROR(__xludf.DUMMYFUNCTION("""COMPUTED_VALUE"""),147.44)</f>
        <v>147.44</v>
      </c>
    </row>
    <row r="575">
      <c r="A575" s="2">
        <f>IFERROR(__xludf.DUMMYFUNCTION("""COMPUTED_VALUE"""),44937.66666666667)</f>
        <v>44937.66667</v>
      </c>
      <c r="B575" s="1">
        <f>IFERROR(__xludf.DUMMYFUNCTION("""COMPUTED_VALUE"""),144.9)</f>
        <v>144.9</v>
      </c>
    </row>
    <row r="576">
      <c r="A576" s="2">
        <f>IFERROR(__xludf.DUMMYFUNCTION("""COMPUTED_VALUE"""),44938.66666666667)</f>
        <v>44938.66667</v>
      </c>
      <c r="B576" s="1">
        <f>IFERROR(__xludf.DUMMYFUNCTION("""COMPUTED_VALUE"""),149.6)</f>
        <v>149.6</v>
      </c>
    </row>
    <row r="577">
      <c r="A577" s="2">
        <f>IFERROR(__xludf.DUMMYFUNCTION("""COMPUTED_VALUE"""),44939.66666666667)</f>
        <v>44939.66667</v>
      </c>
      <c r="B577" s="1">
        <f>IFERROR(__xludf.DUMMYFUNCTION("""COMPUTED_VALUE"""),149.51)</f>
        <v>149.51</v>
      </c>
    </row>
    <row r="578">
      <c r="A578" s="2">
        <f>IFERROR(__xludf.DUMMYFUNCTION("""COMPUTED_VALUE"""),44943.66666666667)</f>
        <v>44943.66667</v>
      </c>
      <c r="B578" s="1">
        <f>IFERROR(__xludf.DUMMYFUNCTION("""COMPUTED_VALUE"""),148.47)</f>
        <v>148.47</v>
      </c>
    </row>
    <row r="579">
      <c r="A579" s="2">
        <f>IFERROR(__xludf.DUMMYFUNCTION("""COMPUTED_VALUE"""),44944.66666666667)</f>
        <v>44944.66667</v>
      </c>
      <c r="B579" s="1">
        <f>IFERROR(__xludf.DUMMYFUNCTION("""COMPUTED_VALUE"""),145.45)</f>
        <v>145.45</v>
      </c>
    </row>
    <row r="580">
      <c r="A580" s="2">
        <f>IFERROR(__xludf.DUMMYFUNCTION("""COMPUTED_VALUE"""),44945.66666666667)</f>
        <v>44945.66667</v>
      </c>
      <c r="B580" s="1">
        <f>IFERROR(__xludf.DUMMYFUNCTION("""COMPUTED_VALUE"""),146.41)</f>
        <v>146.41</v>
      </c>
    </row>
    <row r="581">
      <c r="A581" s="2">
        <f>IFERROR(__xludf.DUMMYFUNCTION("""COMPUTED_VALUE"""),44946.66666666667)</f>
        <v>44946.66667</v>
      </c>
      <c r="B581" s="1">
        <f>IFERROR(__xludf.DUMMYFUNCTION("""COMPUTED_VALUE"""),151.25)</f>
        <v>151.25</v>
      </c>
    </row>
    <row r="582">
      <c r="A582" s="2">
        <f>IFERROR(__xludf.DUMMYFUNCTION("""COMPUTED_VALUE"""),44949.66666666667)</f>
        <v>44949.66667</v>
      </c>
      <c r="B582" s="1">
        <f>IFERROR(__xludf.DUMMYFUNCTION("""COMPUTED_VALUE"""),155.87)</f>
        <v>155.87</v>
      </c>
    </row>
    <row r="583">
      <c r="A583" s="2">
        <f>IFERROR(__xludf.DUMMYFUNCTION("""COMPUTED_VALUE"""),44950.66666666667)</f>
        <v>44950.66667</v>
      </c>
      <c r="B583" s="1">
        <f>IFERROR(__xludf.DUMMYFUNCTION("""COMPUTED_VALUE"""),154.86)</f>
        <v>154.86</v>
      </c>
    </row>
    <row r="584">
      <c r="A584" s="2">
        <f>IFERROR(__xludf.DUMMYFUNCTION("""COMPUTED_VALUE"""),44951.66666666667)</f>
        <v>44951.66667</v>
      </c>
      <c r="B584" s="1">
        <f>IFERROR(__xludf.DUMMYFUNCTION("""COMPUTED_VALUE"""),156.17)</f>
        <v>156.17</v>
      </c>
    </row>
    <row r="585">
      <c r="A585" s="2">
        <f>IFERROR(__xludf.DUMMYFUNCTION("""COMPUTED_VALUE"""),44952.66666666667)</f>
        <v>44952.66667</v>
      </c>
      <c r="B585" s="1">
        <f>IFERROR(__xludf.DUMMYFUNCTION("""COMPUTED_VALUE"""),165.09)</f>
        <v>165.09</v>
      </c>
    </row>
    <row r="586">
      <c r="A586" s="2">
        <f>IFERROR(__xludf.DUMMYFUNCTION("""COMPUTED_VALUE"""),44953.66666666667)</f>
        <v>44953.66667</v>
      </c>
      <c r="B586" s="1">
        <f>IFERROR(__xludf.DUMMYFUNCTION("""COMPUTED_VALUE"""),164.52)</f>
        <v>164.52</v>
      </c>
    </row>
    <row r="587">
      <c r="A587" s="2">
        <f>IFERROR(__xludf.DUMMYFUNCTION("""COMPUTED_VALUE"""),44956.66666666667)</f>
        <v>44956.66667</v>
      </c>
      <c r="B587" s="1">
        <f>IFERROR(__xludf.DUMMYFUNCTION("""COMPUTED_VALUE"""),164.75)</f>
        <v>164.75</v>
      </c>
    </row>
    <row r="588">
      <c r="A588" s="2">
        <f>IFERROR(__xludf.DUMMYFUNCTION("""COMPUTED_VALUE"""),44957.66666666667)</f>
        <v>44957.66667</v>
      </c>
      <c r="B588" s="1">
        <f>IFERROR(__xludf.DUMMYFUNCTION("""COMPUTED_VALUE"""),167.97)</f>
        <v>167.97</v>
      </c>
    </row>
    <row r="589">
      <c r="A589" s="2">
        <f>IFERROR(__xludf.DUMMYFUNCTION("""COMPUTED_VALUE"""),44958.66666666667)</f>
        <v>44958.66667</v>
      </c>
      <c r="B589" s="1">
        <f>IFERROR(__xludf.DUMMYFUNCTION("""COMPUTED_VALUE"""),171.82)</f>
        <v>171.82</v>
      </c>
    </row>
    <row r="590">
      <c r="A590" s="2">
        <f>IFERROR(__xludf.DUMMYFUNCTION("""COMPUTED_VALUE"""),44959.66666666667)</f>
        <v>44959.66667</v>
      </c>
      <c r="B590" s="1">
        <f>IFERROR(__xludf.DUMMYFUNCTION("""COMPUTED_VALUE"""),174.64)</f>
        <v>174.64</v>
      </c>
    </row>
    <row r="591">
      <c r="A591" s="2">
        <f>IFERROR(__xludf.DUMMYFUNCTION("""COMPUTED_VALUE"""),44960.66666666667)</f>
        <v>44960.66667</v>
      </c>
      <c r="B591" s="1">
        <f>IFERROR(__xludf.DUMMYFUNCTION("""COMPUTED_VALUE"""),171.04)</f>
        <v>171.04</v>
      </c>
    </row>
    <row r="592">
      <c r="A592" s="2">
        <f>IFERROR(__xludf.DUMMYFUNCTION("""COMPUTED_VALUE"""),44963.66666666667)</f>
        <v>44963.66667</v>
      </c>
      <c r="B592" s="1">
        <f>IFERROR(__xludf.DUMMYFUNCTION("""COMPUTED_VALUE"""),169.05)</f>
        <v>169.05</v>
      </c>
    </row>
    <row r="593">
      <c r="A593" s="2">
        <f>IFERROR(__xludf.DUMMYFUNCTION("""COMPUTED_VALUE"""),44964.66666666667)</f>
        <v>44964.66667</v>
      </c>
      <c r="B593" s="1">
        <f>IFERROR(__xludf.DUMMYFUNCTION("""COMPUTED_VALUE"""),171.28)</f>
        <v>171.28</v>
      </c>
    </row>
    <row r="594">
      <c r="A594" s="2">
        <f>IFERROR(__xludf.DUMMYFUNCTION("""COMPUTED_VALUE"""),44965.66666666667)</f>
        <v>44965.66667</v>
      </c>
      <c r="B594" s="1">
        <f>IFERROR(__xludf.DUMMYFUNCTION("""COMPUTED_VALUE"""),169.63)</f>
        <v>169.63</v>
      </c>
    </row>
    <row r="595">
      <c r="A595" s="2">
        <f>IFERROR(__xludf.DUMMYFUNCTION("""COMPUTED_VALUE"""),44966.66666666667)</f>
        <v>44966.66667</v>
      </c>
      <c r="B595" s="1">
        <f>IFERROR(__xludf.DUMMYFUNCTION("""COMPUTED_VALUE"""),173.66)</f>
        <v>173.66</v>
      </c>
    </row>
    <row r="596">
      <c r="A596" s="2">
        <f>IFERROR(__xludf.DUMMYFUNCTION("""COMPUTED_VALUE"""),44967.66666666667)</f>
        <v>44967.66667</v>
      </c>
      <c r="B596" s="1">
        <f>IFERROR(__xludf.DUMMYFUNCTION("""COMPUTED_VALUE"""),167.03)</f>
        <v>167.03</v>
      </c>
    </row>
    <row r="597">
      <c r="A597" s="2">
        <f>IFERROR(__xludf.DUMMYFUNCTION("""COMPUTED_VALUE"""),44970.66666666667)</f>
        <v>44970.66667</v>
      </c>
      <c r="B597" s="1">
        <f>IFERROR(__xludf.DUMMYFUNCTION("""COMPUTED_VALUE"""),171.08)</f>
        <v>171.08</v>
      </c>
    </row>
    <row r="598">
      <c r="A598" s="2">
        <f>IFERROR(__xludf.DUMMYFUNCTION("""COMPUTED_VALUE"""),44971.66666666667)</f>
        <v>44971.66667</v>
      </c>
      <c r="B598" s="1">
        <f>IFERROR(__xludf.DUMMYFUNCTION("""COMPUTED_VALUE"""),169.96)</f>
        <v>169.96</v>
      </c>
    </row>
    <row r="599">
      <c r="A599" s="2">
        <f>IFERROR(__xludf.DUMMYFUNCTION("""COMPUTED_VALUE"""),44972.66666666667)</f>
        <v>44972.66667</v>
      </c>
      <c r="B599" s="1">
        <f>IFERROR(__xludf.DUMMYFUNCTION("""COMPUTED_VALUE"""),171.1)</f>
        <v>171.1</v>
      </c>
    </row>
    <row r="600">
      <c r="A600" s="2">
        <f>IFERROR(__xludf.DUMMYFUNCTION("""COMPUTED_VALUE"""),44973.66666666667)</f>
        <v>44973.66667</v>
      </c>
      <c r="B600" s="1">
        <f>IFERROR(__xludf.DUMMYFUNCTION("""COMPUTED_VALUE"""),168.11)</f>
        <v>168.11</v>
      </c>
    </row>
    <row r="601">
      <c r="A601" s="2">
        <f>IFERROR(__xludf.DUMMYFUNCTION("""COMPUTED_VALUE"""),44974.66666666667)</f>
        <v>44974.66667</v>
      </c>
      <c r="B601" s="1">
        <f>IFERROR(__xludf.DUMMYFUNCTION("""COMPUTED_VALUE"""),165.17)</f>
        <v>165.17</v>
      </c>
    </row>
    <row r="602">
      <c r="A602" s="2">
        <f>IFERROR(__xludf.DUMMYFUNCTION("""COMPUTED_VALUE"""),44978.66666666667)</f>
        <v>44978.66667</v>
      </c>
      <c r="B602" s="1">
        <f>IFERROR(__xludf.DUMMYFUNCTION("""COMPUTED_VALUE"""),161.62)</f>
        <v>161.62</v>
      </c>
    </row>
    <row r="603">
      <c r="A603" s="2">
        <f>IFERROR(__xludf.DUMMYFUNCTION("""COMPUTED_VALUE"""),44979.66666666667)</f>
        <v>44979.66667</v>
      </c>
      <c r="B603" s="1">
        <f>IFERROR(__xludf.DUMMYFUNCTION("""COMPUTED_VALUE"""),163.36)</f>
        <v>163.36</v>
      </c>
    </row>
    <row r="604">
      <c r="A604" s="2">
        <f>IFERROR(__xludf.DUMMYFUNCTION("""COMPUTED_VALUE"""),44980.66666666667)</f>
        <v>44980.66667</v>
      </c>
      <c r="B604" s="1">
        <f>IFERROR(__xludf.DUMMYFUNCTION("""COMPUTED_VALUE"""),164.12)</f>
        <v>164.12</v>
      </c>
    </row>
    <row r="605">
      <c r="A605" s="2">
        <f>IFERROR(__xludf.DUMMYFUNCTION("""COMPUTED_VALUE"""),44981.66666666667)</f>
        <v>44981.66667</v>
      </c>
      <c r="B605" s="1">
        <f>IFERROR(__xludf.DUMMYFUNCTION("""COMPUTED_VALUE"""),162.2)</f>
        <v>162.2</v>
      </c>
    </row>
    <row r="606">
      <c r="A606" s="2">
        <f>IFERROR(__xludf.DUMMYFUNCTION("""COMPUTED_VALUE"""),44984.66666666667)</f>
        <v>44984.66667</v>
      </c>
      <c r="B606" s="1">
        <f>IFERROR(__xludf.DUMMYFUNCTION("""COMPUTED_VALUE"""),163.14)</f>
        <v>163.14</v>
      </c>
    </row>
    <row r="607">
      <c r="A607" s="2">
        <f>IFERROR(__xludf.DUMMYFUNCTION("""COMPUTED_VALUE"""),44985.66666666667)</f>
        <v>44985.66667</v>
      </c>
      <c r="B607" s="1">
        <f>IFERROR(__xludf.DUMMYFUNCTION("""COMPUTED_VALUE"""),163.61)</f>
        <v>163.61</v>
      </c>
    </row>
    <row r="608">
      <c r="A608" s="2">
        <f>IFERROR(__xludf.DUMMYFUNCTION("""COMPUTED_VALUE"""),44986.66666666667)</f>
        <v>44986.66667</v>
      </c>
      <c r="B608" s="1">
        <f>IFERROR(__xludf.DUMMYFUNCTION("""COMPUTED_VALUE"""),167.35)</f>
        <v>167.35</v>
      </c>
    </row>
    <row r="609">
      <c r="A609" s="2">
        <f>IFERROR(__xludf.DUMMYFUNCTION("""COMPUTED_VALUE"""),44987.66666666667)</f>
        <v>44987.66667</v>
      </c>
      <c r="B609" s="1">
        <f>IFERROR(__xludf.DUMMYFUNCTION("""COMPUTED_VALUE"""),186.59)</f>
        <v>186.59</v>
      </c>
    </row>
    <row r="610">
      <c r="A610" s="2">
        <f>IFERROR(__xludf.DUMMYFUNCTION("""COMPUTED_VALUE"""),44988.66666666667)</f>
        <v>44988.66667</v>
      </c>
      <c r="B610" s="1">
        <f>IFERROR(__xludf.DUMMYFUNCTION("""COMPUTED_VALUE"""),186.43)</f>
        <v>186.43</v>
      </c>
    </row>
    <row r="611">
      <c r="A611" s="2">
        <f>IFERROR(__xludf.DUMMYFUNCTION("""COMPUTED_VALUE"""),44991.66666666667)</f>
        <v>44991.66667</v>
      </c>
      <c r="B611" s="1">
        <f>IFERROR(__xludf.DUMMYFUNCTION("""COMPUTED_VALUE"""),183.8)</f>
        <v>183.8</v>
      </c>
    </row>
    <row r="612">
      <c r="A612" s="2">
        <f>IFERROR(__xludf.DUMMYFUNCTION("""COMPUTED_VALUE"""),44992.66666666667)</f>
        <v>44992.66667</v>
      </c>
      <c r="B612" s="1">
        <f>IFERROR(__xludf.DUMMYFUNCTION("""COMPUTED_VALUE"""),183.32)</f>
        <v>183.32</v>
      </c>
    </row>
    <row r="613">
      <c r="A613" s="2">
        <f>IFERROR(__xludf.DUMMYFUNCTION("""COMPUTED_VALUE"""),44993.66666666667)</f>
        <v>44993.66667</v>
      </c>
      <c r="B613" s="1">
        <f>IFERROR(__xludf.DUMMYFUNCTION("""COMPUTED_VALUE"""),182.95)</f>
        <v>182.95</v>
      </c>
    </row>
    <row r="614">
      <c r="A614" s="2">
        <f>IFERROR(__xludf.DUMMYFUNCTION("""COMPUTED_VALUE"""),44994.66666666667)</f>
        <v>44994.66667</v>
      </c>
      <c r="B614" s="1">
        <f>IFERROR(__xludf.DUMMYFUNCTION("""COMPUTED_VALUE"""),178.72)</f>
        <v>178.72</v>
      </c>
    </row>
    <row r="615">
      <c r="A615" s="2">
        <f>IFERROR(__xludf.DUMMYFUNCTION("""COMPUTED_VALUE"""),44995.66666666667)</f>
        <v>44995.66667</v>
      </c>
      <c r="B615" s="1">
        <f>IFERROR(__xludf.DUMMYFUNCTION("""COMPUTED_VALUE"""),173.18)</f>
        <v>173.18</v>
      </c>
    </row>
    <row r="616">
      <c r="A616" s="2">
        <f>IFERROR(__xludf.DUMMYFUNCTION("""COMPUTED_VALUE"""),44998.66666666667)</f>
        <v>44998.66667</v>
      </c>
      <c r="B616" s="1">
        <f>IFERROR(__xludf.DUMMYFUNCTION("""COMPUTED_VALUE"""),175.51)</f>
        <v>175.51</v>
      </c>
    </row>
    <row r="617">
      <c r="A617" s="2">
        <f>IFERROR(__xludf.DUMMYFUNCTION("""COMPUTED_VALUE"""),44999.66666666667)</f>
        <v>44999.66667</v>
      </c>
      <c r="B617" s="1">
        <f>IFERROR(__xludf.DUMMYFUNCTION("""COMPUTED_VALUE"""),182.89)</f>
        <v>182.89</v>
      </c>
    </row>
    <row r="618">
      <c r="A618" s="2">
        <f>IFERROR(__xludf.DUMMYFUNCTION("""COMPUTED_VALUE"""),45000.66666666667)</f>
        <v>45000.66667</v>
      </c>
      <c r="B618" s="1">
        <f>IFERROR(__xludf.DUMMYFUNCTION("""COMPUTED_VALUE"""),182.91)</f>
        <v>182.91</v>
      </c>
    </row>
    <row r="619">
      <c r="A619" s="2">
        <f>IFERROR(__xludf.DUMMYFUNCTION("""COMPUTED_VALUE"""),45001.66666666667)</f>
        <v>45001.66667</v>
      </c>
      <c r="B619" s="1">
        <f>IFERROR(__xludf.DUMMYFUNCTION("""COMPUTED_VALUE"""),187.3)</f>
        <v>187.3</v>
      </c>
    </row>
    <row r="620">
      <c r="A620" s="2">
        <f>IFERROR(__xludf.DUMMYFUNCTION("""COMPUTED_VALUE"""),45002.66666666667)</f>
        <v>45002.66667</v>
      </c>
      <c r="B620" s="1">
        <f>IFERROR(__xludf.DUMMYFUNCTION("""COMPUTED_VALUE"""),184.85)</f>
        <v>184.85</v>
      </c>
    </row>
    <row r="621">
      <c r="A621" s="2">
        <f>IFERROR(__xludf.DUMMYFUNCTION("""COMPUTED_VALUE"""),45005.66666666667)</f>
        <v>45005.66667</v>
      </c>
      <c r="B621" s="1">
        <f>IFERROR(__xludf.DUMMYFUNCTION("""COMPUTED_VALUE"""),185.25)</f>
        <v>185.25</v>
      </c>
    </row>
    <row r="622">
      <c r="A622" s="2">
        <f>IFERROR(__xludf.DUMMYFUNCTION("""COMPUTED_VALUE"""),45006.66666666667)</f>
        <v>45006.66667</v>
      </c>
      <c r="B622" s="1">
        <f>IFERROR(__xludf.DUMMYFUNCTION("""COMPUTED_VALUE"""),188.68)</f>
        <v>188.68</v>
      </c>
    </row>
    <row r="623">
      <c r="A623" s="2">
        <f>IFERROR(__xludf.DUMMYFUNCTION("""COMPUTED_VALUE"""),45007.66666666667)</f>
        <v>45007.66667</v>
      </c>
      <c r="B623" s="1">
        <f>IFERROR(__xludf.DUMMYFUNCTION("""COMPUTED_VALUE"""),186.51)</f>
        <v>186.51</v>
      </c>
    </row>
    <row r="624">
      <c r="A624" s="2">
        <f>IFERROR(__xludf.DUMMYFUNCTION("""COMPUTED_VALUE"""),45008.66666666667)</f>
        <v>45008.66667</v>
      </c>
      <c r="B624" s="1">
        <f>IFERROR(__xludf.DUMMYFUNCTION("""COMPUTED_VALUE"""),187.44)</f>
        <v>187.44</v>
      </c>
    </row>
    <row r="625">
      <c r="A625" s="2">
        <f>IFERROR(__xludf.DUMMYFUNCTION("""COMPUTED_VALUE"""),45009.66666666667)</f>
        <v>45009.66667</v>
      </c>
      <c r="B625" s="1">
        <f>IFERROR(__xludf.DUMMYFUNCTION("""COMPUTED_VALUE"""),190.06)</f>
        <v>190.06</v>
      </c>
    </row>
    <row r="626">
      <c r="A626" s="2">
        <f>IFERROR(__xludf.DUMMYFUNCTION("""COMPUTED_VALUE"""),45012.66666666667)</f>
        <v>45012.66667</v>
      </c>
      <c r="B626" s="1">
        <f>IFERROR(__xludf.DUMMYFUNCTION("""COMPUTED_VALUE"""),191.26)</f>
        <v>191.26</v>
      </c>
    </row>
    <row r="627">
      <c r="A627" s="2">
        <f>IFERROR(__xludf.DUMMYFUNCTION("""COMPUTED_VALUE"""),45013.66666666667)</f>
        <v>45013.66667</v>
      </c>
      <c r="B627" s="1">
        <f>IFERROR(__xludf.DUMMYFUNCTION("""COMPUTED_VALUE"""),192.3)</f>
        <v>192.3</v>
      </c>
    </row>
    <row r="628">
      <c r="A628" s="2">
        <f>IFERROR(__xludf.DUMMYFUNCTION("""COMPUTED_VALUE"""),45014.66666666667)</f>
        <v>45014.66667</v>
      </c>
      <c r="B628" s="1">
        <f>IFERROR(__xludf.DUMMYFUNCTION("""COMPUTED_VALUE"""),196.64)</f>
        <v>196.64</v>
      </c>
    </row>
    <row r="629">
      <c r="A629" s="2">
        <f>IFERROR(__xludf.DUMMYFUNCTION("""COMPUTED_VALUE"""),45015.66666666667)</f>
        <v>45015.66667</v>
      </c>
      <c r="B629" s="1">
        <f>IFERROR(__xludf.DUMMYFUNCTION("""COMPUTED_VALUE"""),196.6)</f>
        <v>196.6</v>
      </c>
    </row>
    <row r="630">
      <c r="A630" s="2">
        <f>IFERROR(__xludf.DUMMYFUNCTION("""COMPUTED_VALUE"""),45016.66666666667)</f>
        <v>45016.66667</v>
      </c>
      <c r="B630" s="1">
        <f>IFERROR(__xludf.DUMMYFUNCTION("""COMPUTED_VALUE"""),199.78)</f>
        <v>199.78</v>
      </c>
    </row>
    <row r="631">
      <c r="A631" s="2">
        <f>IFERROR(__xludf.DUMMYFUNCTION("""COMPUTED_VALUE"""),45019.66666666667)</f>
        <v>45019.66667</v>
      </c>
      <c r="B631" s="1">
        <f>IFERROR(__xludf.DUMMYFUNCTION("""COMPUTED_VALUE"""),196.49)</f>
        <v>196.49</v>
      </c>
    </row>
    <row r="632">
      <c r="A632" s="2">
        <f>IFERROR(__xludf.DUMMYFUNCTION("""COMPUTED_VALUE"""),45020.66666666667)</f>
        <v>45020.66667</v>
      </c>
      <c r="B632" s="1">
        <f>IFERROR(__xludf.DUMMYFUNCTION("""COMPUTED_VALUE"""),197.2)</f>
        <v>197.2</v>
      </c>
    </row>
    <row r="633">
      <c r="A633" s="2">
        <f>IFERROR(__xludf.DUMMYFUNCTION("""COMPUTED_VALUE"""),45021.66666666667)</f>
        <v>45021.66667</v>
      </c>
      <c r="B633" s="1">
        <f>IFERROR(__xludf.DUMMYFUNCTION("""COMPUTED_VALUE"""),195.31)</f>
        <v>195.31</v>
      </c>
    </row>
    <row r="634">
      <c r="A634" s="2">
        <f>IFERROR(__xludf.DUMMYFUNCTION("""COMPUTED_VALUE"""),45022.66666666667)</f>
        <v>45022.66667</v>
      </c>
      <c r="B634" s="1">
        <f>IFERROR(__xludf.DUMMYFUNCTION("""COMPUTED_VALUE"""),192.55)</f>
        <v>192.55</v>
      </c>
    </row>
    <row r="635">
      <c r="A635" s="2">
        <f>IFERROR(__xludf.DUMMYFUNCTION("""COMPUTED_VALUE"""),45026.66666666667)</f>
        <v>45026.66667</v>
      </c>
      <c r="B635" s="1">
        <f>IFERROR(__xludf.DUMMYFUNCTION("""COMPUTED_VALUE"""),191.49)</f>
        <v>191.49</v>
      </c>
    </row>
    <row r="636">
      <c r="A636" s="2">
        <f>IFERROR(__xludf.DUMMYFUNCTION("""COMPUTED_VALUE"""),45027.66666666667)</f>
        <v>45027.66667</v>
      </c>
      <c r="B636" s="1">
        <f>IFERROR(__xludf.DUMMYFUNCTION("""COMPUTED_VALUE"""),188.89)</f>
        <v>188.89</v>
      </c>
    </row>
    <row r="637">
      <c r="A637" s="2">
        <f>IFERROR(__xludf.DUMMYFUNCTION("""COMPUTED_VALUE"""),45028.66666666667)</f>
        <v>45028.66667</v>
      </c>
      <c r="B637" s="1">
        <f>IFERROR(__xludf.DUMMYFUNCTION("""COMPUTED_VALUE"""),190.32)</f>
        <v>190.32</v>
      </c>
    </row>
    <row r="638">
      <c r="A638" s="2">
        <f>IFERROR(__xludf.DUMMYFUNCTION("""COMPUTED_VALUE"""),45029.66666666667)</f>
        <v>45029.66667</v>
      </c>
      <c r="B638" s="1">
        <f>IFERROR(__xludf.DUMMYFUNCTION("""COMPUTED_VALUE"""),194.02)</f>
        <v>194.02</v>
      </c>
    </row>
    <row r="639">
      <c r="A639" s="2">
        <f>IFERROR(__xludf.DUMMYFUNCTION("""COMPUTED_VALUE"""),45030.66666666667)</f>
        <v>45030.66667</v>
      </c>
      <c r="B639" s="1">
        <f>IFERROR(__xludf.DUMMYFUNCTION("""COMPUTED_VALUE"""),194.65)</f>
        <v>194.65</v>
      </c>
    </row>
    <row r="640">
      <c r="A640" s="2">
        <f>IFERROR(__xludf.DUMMYFUNCTION("""COMPUTED_VALUE"""),45033.66666666667)</f>
        <v>45033.66667</v>
      </c>
      <c r="B640" s="1">
        <f>IFERROR(__xludf.DUMMYFUNCTION("""COMPUTED_VALUE"""),197.08)</f>
        <v>197.08</v>
      </c>
    </row>
    <row r="641">
      <c r="A641" s="2">
        <f>IFERROR(__xludf.DUMMYFUNCTION("""COMPUTED_VALUE"""),45034.66666666667)</f>
        <v>45034.66667</v>
      </c>
      <c r="B641" s="1">
        <f>IFERROR(__xludf.DUMMYFUNCTION("""COMPUTED_VALUE"""),198.5)</f>
        <v>198.5</v>
      </c>
    </row>
    <row r="642">
      <c r="A642" s="2">
        <f>IFERROR(__xludf.DUMMYFUNCTION("""COMPUTED_VALUE"""),45035.66666666667)</f>
        <v>45035.66667</v>
      </c>
      <c r="B642" s="1">
        <f>IFERROR(__xludf.DUMMYFUNCTION("""COMPUTED_VALUE"""),198.92)</f>
        <v>198.92</v>
      </c>
    </row>
    <row r="643">
      <c r="A643" s="2">
        <f>IFERROR(__xludf.DUMMYFUNCTION("""COMPUTED_VALUE"""),45036.66666666667)</f>
        <v>45036.66667</v>
      </c>
      <c r="B643" s="1">
        <f>IFERROR(__xludf.DUMMYFUNCTION("""COMPUTED_VALUE"""),197.51)</f>
        <v>197.51</v>
      </c>
    </row>
    <row r="644">
      <c r="A644" s="2">
        <f>IFERROR(__xludf.DUMMYFUNCTION("""COMPUTED_VALUE"""),45037.66666666667)</f>
        <v>45037.66667</v>
      </c>
      <c r="B644" s="1">
        <f>IFERROR(__xludf.DUMMYFUNCTION("""COMPUTED_VALUE"""),199.03)</f>
        <v>199.03</v>
      </c>
    </row>
    <row r="645">
      <c r="A645" s="2">
        <f>IFERROR(__xludf.DUMMYFUNCTION("""COMPUTED_VALUE"""),45040.66666666667)</f>
        <v>45040.66667</v>
      </c>
      <c r="B645" s="1">
        <f>IFERROR(__xludf.DUMMYFUNCTION("""COMPUTED_VALUE"""),194.92)</f>
        <v>194.92</v>
      </c>
    </row>
    <row r="646">
      <c r="A646" s="2">
        <f>IFERROR(__xludf.DUMMYFUNCTION("""COMPUTED_VALUE"""),45041.66666666667)</f>
        <v>45041.66667</v>
      </c>
      <c r="B646" s="1">
        <f>IFERROR(__xludf.DUMMYFUNCTION("""COMPUTED_VALUE"""),190.67)</f>
        <v>190.67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IFERROR(__xludf.DUMMYFUNCTION("""COMPUTED_VALUE"""),191.52)</f>
        <v>191.52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IFERROR(__xludf.DUMMYFUNCTION("""COMPUTED_VALUE"""),195.94)</f>
        <v>195.94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IFERROR(__xludf.DUMMYFUNCTION("""COMPUTED_VALUE"""),198.37)</f>
        <v>198.37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IFERROR(__xludf.DUMMYFUNCTION("""COMPUTED_VALUE"""),197.79)</f>
        <v>197.79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IFERROR(__xludf.DUMMYFUNCTION("""COMPUTED_VALUE"""),193.84)</f>
        <v>193.84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IFERROR(__xludf.DUMMYFUNCTION("""COMPUTED_VALUE"""),192.61)</f>
        <v>192.61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IFERROR(__xludf.DUMMYFUNCTION("""COMPUTED_VALUE"""),192.38)</f>
        <v>192.38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IFERROR(__xludf.DUMMYFUNCTION("""COMPUTED_VALUE"""),197.59)</f>
        <v>197.59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IFERROR(__xludf.DUMMYFUNCTION("""COMPUTED_VALUE"""),197.9)</f>
        <v>197.9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IFERROR(__xludf.DUMMYFUNCTION("""COMPUTED_VALUE"""),201.18)</f>
        <v>201.18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IFERROR(__xludf.DUMMYFUNCTION("""COMPUTED_VALUE"""),204.85)</f>
        <v>204.85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IFERROR(__xludf.DUMMYFUNCTION("""COMPUTED_VALUE"""),203.47)</f>
        <v>203.47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IFERROR(__xludf.DUMMYFUNCTION("""COMPUTED_VALUE"""),201.81)</f>
        <v>201.81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IFERROR(__xludf.DUMMYFUNCTION("""COMPUTED_VALUE"""),203.33)</f>
        <v>203.33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IFERROR(__xludf.DUMMYFUNCTION("""COMPUTED_VALUE"""),204.56)</f>
        <v>204.56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IFERROR(__xludf.DUMMYFUNCTION("""COMPUTED_VALUE"""),209.38)</f>
        <v>209.38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IFERROR(__xludf.DUMMYFUNCTION("""COMPUTED_VALUE"""),213.32)</f>
        <v>213.32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IFERROR(__xludf.DUMMYFUNCTION("""COMPUTED_VALUE"""),210.36)</f>
        <v>210.36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IFERROR(__xludf.DUMMYFUNCTION("""COMPUTED_VALUE"""),210.26)</f>
        <v>210.26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IFERROR(__xludf.DUMMYFUNCTION("""COMPUTED_VALUE"""),206.64)</f>
        <v>206.64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IFERROR(__xludf.DUMMYFUNCTION("""COMPUTED_VALUE"""),209.06)</f>
        <v>209.06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IFERROR(__xludf.DUMMYFUNCTION("""COMPUTED_VALUE"""),209.91)</f>
        <v>209.91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IFERROR(__xludf.DUMMYFUNCTION("""COMPUTED_VALUE"""),215.44)</f>
        <v>215.44</v>
      </c>
    </row>
    <row r="670">
      <c r="A670" s="2">
        <f>IFERROR(__xludf.DUMMYFUNCTION("""COMPUTED_VALUE"""),45076.66666666667)</f>
        <v>45076.66667</v>
      </c>
      <c r="B670" s="1">
        <f>IFERROR(__xludf.DUMMYFUNCTION("""COMPUTED_VALUE"""),218.87)</f>
        <v>218.87</v>
      </c>
    </row>
    <row r="671">
      <c r="A671" s="2">
        <f>IFERROR(__xludf.DUMMYFUNCTION("""COMPUTED_VALUE"""),45077.66666666667)</f>
        <v>45077.66667</v>
      </c>
      <c r="B671" s="1">
        <f>IFERROR(__xludf.DUMMYFUNCTION("""COMPUTED_VALUE"""),223.38)</f>
        <v>223.38</v>
      </c>
    </row>
    <row r="672">
      <c r="A672" s="2">
        <f>IFERROR(__xludf.DUMMYFUNCTION("""COMPUTED_VALUE"""),45078.66666666667)</f>
        <v>45078.66667</v>
      </c>
      <c r="B672" s="1">
        <f>IFERROR(__xludf.DUMMYFUNCTION("""COMPUTED_VALUE"""),212.9)</f>
        <v>212.9</v>
      </c>
    </row>
    <row r="673">
      <c r="A673" s="2">
        <f>IFERROR(__xludf.DUMMYFUNCTION("""COMPUTED_VALUE"""),45079.66666666667)</f>
        <v>45079.66667</v>
      </c>
      <c r="B673" s="1">
        <f>IFERROR(__xludf.DUMMYFUNCTION("""COMPUTED_VALUE"""),213.03)</f>
        <v>213.03</v>
      </c>
    </row>
    <row r="674">
      <c r="A674" s="2">
        <f>IFERROR(__xludf.DUMMYFUNCTION("""COMPUTED_VALUE"""),45082.66666666667)</f>
        <v>45082.66667</v>
      </c>
      <c r="B674" s="1">
        <f>IFERROR(__xludf.DUMMYFUNCTION("""COMPUTED_VALUE"""),209.86)</f>
        <v>209.86</v>
      </c>
    </row>
    <row r="675">
      <c r="A675" s="2">
        <f>IFERROR(__xludf.DUMMYFUNCTION("""COMPUTED_VALUE"""),45083.66666666667)</f>
        <v>45083.66667</v>
      </c>
      <c r="B675" s="1">
        <f>IFERROR(__xludf.DUMMYFUNCTION("""COMPUTED_VALUE"""),212.85)</f>
        <v>212.85</v>
      </c>
    </row>
    <row r="676">
      <c r="A676" s="2">
        <f>IFERROR(__xludf.DUMMYFUNCTION("""COMPUTED_VALUE"""),45084.66666666667)</f>
        <v>45084.66667</v>
      </c>
      <c r="B676" s="1">
        <f>IFERROR(__xludf.DUMMYFUNCTION("""COMPUTED_VALUE"""),205.73)</f>
        <v>205.73</v>
      </c>
    </row>
    <row r="677">
      <c r="A677" s="2">
        <f>IFERROR(__xludf.DUMMYFUNCTION("""COMPUTED_VALUE"""),45085.66666666667)</f>
        <v>45085.66667</v>
      </c>
      <c r="B677" s="1">
        <f>IFERROR(__xludf.DUMMYFUNCTION("""COMPUTED_VALUE"""),209.53)</f>
        <v>209.53</v>
      </c>
    </row>
    <row r="678">
      <c r="A678" s="2">
        <f>IFERROR(__xludf.DUMMYFUNCTION("""COMPUTED_VALUE"""),45086.66666666667)</f>
        <v>45086.66667</v>
      </c>
      <c r="B678" s="1">
        <f>IFERROR(__xludf.DUMMYFUNCTION("""COMPUTED_VALUE"""),215.31)</f>
        <v>215.31</v>
      </c>
    </row>
    <row r="679">
      <c r="A679" s="2">
        <f>IFERROR(__xludf.DUMMYFUNCTION("""COMPUTED_VALUE"""),45089.66666666667)</f>
        <v>45089.66667</v>
      </c>
      <c r="B679" s="1">
        <f>IFERROR(__xludf.DUMMYFUNCTION("""COMPUTED_VALUE"""),213.69)</f>
        <v>213.69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IFERROR(__xludf.DUMMYFUNCTION("""COMPUTED_VALUE"""),208.98)</f>
        <v>208.98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IFERROR(__xludf.DUMMYFUNCTION("""COMPUTED_VALUE"""),209.4)</f>
        <v>209.4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IFERROR(__xludf.DUMMYFUNCTION("""COMPUTED_VALUE"""),211.92)</f>
        <v>211.92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IFERROR(__xludf.DUMMYFUNCTION("""COMPUTED_VALUE"""),211.76)</f>
        <v>211.76</v>
      </c>
    </row>
    <row r="684">
      <c r="A684" s="2">
        <f>IFERROR(__xludf.DUMMYFUNCTION("""COMPUTED_VALUE"""),45097.66666666667)</f>
        <v>45097.66667</v>
      </c>
      <c r="B684" s="1">
        <f>IFERROR(__xludf.DUMMYFUNCTION("""COMPUTED_VALUE"""),216.97)</f>
        <v>216.97</v>
      </c>
    </row>
    <row r="685">
      <c r="A685" s="2">
        <f>IFERROR(__xludf.DUMMYFUNCTION("""COMPUTED_VALUE"""),45098.66666666667)</f>
        <v>45098.66667</v>
      </c>
      <c r="B685" s="1">
        <f>IFERROR(__xludf.DUMMYFUNCTION("""COMPUTED_VALUE"""),209.59)</f>
        <v>209.59</v>
      </c>
    </row>
    <row r="686">
      <c r="A686" s="2">
        <f>IFERROR(__xludf.DUMMYFUNCTION("""COMPUTED_VALUE"""),45099.66666666667)</f>
        <v>45099.66667</v>
      </c>
      <c r="B686" s="1">
        <f>IFERROR(__xludf.DUMMYFUNCTION("""COMPUTED_VALUE"""),213.29)</f>
        <v>213.29</v>
      </c>
    </row>
    <row r="687">
      <c r="A687" s="2">
        <f>IFERROR(__xludf.DUMMYFUNCTION("""COMPUTED_VALUE"""),45100.66666666667)</f>
        <v>45100.66667</v>
      </c>
      <c r="B687" s="1">
        <f>IFERROR(__xludf.DUMMYFUNCTION("""COMPUTED_VALUE"""),210.09)</f>
        <v>210.09</v>
      </c>
    </row>
    <row r="688">
      <c r="A688" s="2">
        <f>IFERROR(__xludf.DUMMYFUNCTION("""COMPUTED_VALUE"""),45103.66666666667)</f>
        <v>45103.66667</v>
      </c>
      <c r="B688" s="1">
        <f>IFERROR(__xludf.DUMMYFUNCTION("""COMPUTED_VALUE"""),207.36)</f>
        <v>207.36</v>
      </c>
    </row>
    <row r="689">
      <c r="A689" s="2">
        <f>IFERROR(__xludf.DUMMYFUNCTION("""COMPUTED_VALUE"""),45104.66666666667)</f>
        <v>45104.66667</v>
      </c>
      <c r="B689" s="1">
        <f>IFERROR(__xludf.DUMMYFUNCTION("""COMPUTED_VALUE"""),208.82)</f>
        <v>208.82</v>
      </c>
    </row>
    <row r="690">
      <c r="A690" s="2">
        <f>IFERROR(__xludf.DUMMYFUNCTION("""COMPUTED_VALUE"""),45105.66666666667)</f>
        <v>45105.66667</v>
      </c>
      <c r="B690" s="1">
        <f>IFERROR(__xludf.DUMMYFUNCTION("""COMPUTED_VALUE"""),212.17)</f>
        <v>212.17</v>
      </c>
    </row>
    <row r="691">
      <c r="A691" s="2">
        <f>IFERROR(__xludf.DUMMYFUNCTION("""COMPUTED_VALUE"""),45106.66666666667)</f>
        <v>45106.66667</v>
      </c>
      <c r="B691" s="1">
        <f>IFERROR(__xludf.DUMMYFUNCTION("""COMPUTED_VALUE"""),210.43)</f>
        <v>210.43</v>
      </c>
    </row>
    <row r="692">
      <c r="A692" s="2">
        <f>IFERROR(__xludf.DUMMYFUNCTION("""COMPUTED_VALUE"""),45107.66666666667)</f>
        <v>45107.66667</v>
      </c>
      <c r="B692" s="1">
        <f>IFERROR(__xludf.DUMMYFUNCTION("""COMPUTED_VALUE"""),211.26)</f>
        <v>211.26</v>
      </c>
    </row>
    <row r="693">
      <c r="A693" s="2">
        <f>IFERROR(__xludf.DUMMYFUNCTION("""COMPUTED_VALUE"""),45110.54166666667)</f>
        <v>45110.54167</v>
      </c>
      <c r="B693" s="1">
        <f>IFERROR(__xludf.DUMMYFUNCTION("""COMPUTED_VALUE"""),211.65)</f>
        <v>211.65</v>
      </c>
    </row>
    <row r="694">
      <c r="A694" s="2">
        <f>IFERROR(__xludf.DUMMYFUNCTION("""COMPUTED_VALUE"""),45112.66666666667)</f>
        <v>45112.66667</v>
      </c>
      <c r="B694" s="1">
        <f>IFERROR(__xludf.DUMMYFUNCTION("""COMPUTED_VALUE"""),213.82)</f>
        <v>213.82</v>
      </c>
    </row>
    <row r="695">
      <c r="A695" s="2">
        <f>IFERROR(__xludf.DUMMYFUNCTION("""COMPUTED_VALUE"""),45113.66666666667)</f>
        <v>45113.66667</v>
      </c>
      <c r="B695" s="1">
        <f>IFERROR(__xludf.DUMMYFUNCTION("""COMPUTED_VALUE"""),210.14)</f>
        <v>210.14</v>
      </c>
    </row>
    <row r="696">
      <c r="A696" s="2">
        <f>IFERROR(__xludf.DUMMYFUNCTION("""COMPUTED_VALUE"""),45114.66666666667)</f>
        <v>45114.66667</v>
      </c>
      <c r="B696" s="1">
        <f>IFERROR(__xludf.DUMMYFUNCTION("""COMPUTED_VALUE"""),209.59)</f>
        <v>209.59</v>
      </c>
    </row>
    <row r="697">
      <c r="A697" s="2">
        <f>IFERROR(__xludf.DUMMYFUNCTION("""COMPUTED_VALUE"""),45117.66666666667)</f>
        <v>45117.66667</v>
      </c>
      <c r="B697" s="1">
        <f>IFERROR(__xludf.DUMMYFUNCTION("""COMPUTED_VALUE"""),212.81)</f>
        <v>212.81</v>
      </c>
    </row>
    <row r="698">
      <c r="A698" s="2">
        <f>IFERROR(__xludf.DUMMYFUNCTION("""COMPUTED_VALUE"""),45118.66666666667)</f>
        <v>45118.66667</v>
      </c>
      <c r="B698" s="1">
        <f>IFERROR(__xludf.DUMMYFUNCTION("""COMPUTED_VALUE"""),221.17)</f>
        <v>221.17</v>
      </c>
    </row>
    <row r="699">
      <c r="A699" s="2">
        <f>IFERROR(__xludf.DUMMYFUNCTION("""COMPUTED_VALUE"""),45119.66666666667)</f>
        <v>45119.66667</v>
      </c>
      <c r="B699" s="1">
        <f>IFERROR(__xludf.DUMMYFUNCTION("""COMPUTED_VALUE"""),227.28)</f>
        <v>227.28</v>
      </c>
    </row>
    <row r="700">
      <c r="A700" s="2">
        <f>IFERROR(__xludf.DUMMYFUNCTION("""COMPUTED_VALUE"""),45120.66666666667)</f>
        <v>45120.66667</v>
      </c>
      <c r="B700" s="1">
        <f>IFERROR(__xludf.DUMMYFUNCTION("""COMPUTED_VALUE"""),230.37)</f>
        <v>230.37</v>
      </c>
    </row>
    <row r="701">
      <c r="A701" s="2">
        <f>IFERROR(__xludf.DUMMYFUNCTION("""COMPUTED_VALUE"""),45121.66666666667)</f>
        <v>45121.66667</v>
      </c>
      <c r="B701" s="1">
        <f>IFERROR(__xludf.DUMMYFUNCTION("""COMPUTED_VALUE"""),229.33)</f>
        <v>229.33</v>
      </c>
    </row>
    <row r="702">
      <c r="A702" s="2">
        <f>IFERROR(__xludf.DUMMYFUNCTION("""COMPUTED_VALUE"""),45124.66666666667)</f>
        <v>45124.66667</v>
      </c>
      <c r="B702" s="1">
        <f>IFERROR(__xludf.DUMMYFUNCTION("""COMPUTED_VALUE"""),228.0)</f>
        <v>228</v>
      </c>
    </row>
    <row r="703">
      <c r="A703" s="2">
        <f>IFERROR(__xludf.DUMMYFUNCTION("""COMPUTED_VALUE"""),45125.66666666667)</f>
        <v>45125.66667</v>
      </c>
      <c r="B703" s="1">
        <f>IFERROR(__xludf.DUMMYFUNCTION("""COMPUTED_VALUE"""),227.63)</f>
        <v>227.63</v>
      </c>
    </row>
    <row r="704">
      <c r="A704" s="2">
        <f>IFERROR(__xludf.DUMMYFUNCTION("""COMPUTED_VALUE"""),45126.66666666667)</f>
        <v>45126.66667</v>
      </c>
      <c r="B704" s="1">
        <f>IFERROR(__xludf.DUMMYFUNCTION("""COMPUTED_VALUE"""),234.37)</f>
        <v>234.37</v>
      </c>
    </row>
    <row r="705">
      <c r="A705" s="2">
        <f>IFERROR(__xludf.DUMMYFUNCTION("""COMPUTED_VALUE"""),45127.66666666667)</f>
        <v>45127.66667</v>
      </c>
      <c r="B705" s="1">
        <f>IFERROR(__xludf.DUMMYFUNCTION("""COMPUTED_VALUE"""),228.16)</f>
        <v>228.16</v>
      </c>
    </row>
    <row r="706">
      <c r="A706" s="2">
        <f>IFERROR(__xludf.DUMMYFUNCTION("""COMPUTED_VALUE"""),45128.66666666667)</f>
        <v>45128.66667</v>
      </c>
      <c r="B706" s="1">
        <f>IFERROR(__xludf.DUMMYFUNCTION("""COMPUTED_VALUE"""),228.06)</f>
        <v>228.06</v>
      </c>
    </row>
    <row r="707">
      <c r="A707" s="2">
        <f>IFERROR(__xludf.DUMMYFUNCTION("""COMPUTED_VALUE"""),45131.66666666667)</f>
        <v>45131.66667</v>
      </c>
      <c r="B707" s="1">
        <f>IFERROR(__xludf.DUMMYFUNCTION("""COMPUTED_VALUE"""),225.66)</f>
        <v>225.66</v>
      </c>
    </row>
    <row r="708">
      <c r="A708" s="2">
        <f>IFERROR(__xludf.DUMMYFUNCTION("""COMPUTED_VALUE"""),45132.66666666667)</f>
        <v>45132.66667</v>
      </c>
      <c r="B708" s="1">
        <f>IFERROR(__xludf.DUMMYFUNCTION("""COMPUTED_VALUE"""),226.03)</f>
        <v>226.03</v>
      </c>
    </row>
    <row r="709">
      <c r="A709" s="2">
        <f>IFERROR(__xludf.DUMMYFUNCTION("""COMPUTED_VALUE"""),45133.66666666667)</f>
        <v>45133.66667</v>
      </c>
      <c r="B709" s="1">
        <f>IFERROR(__xludf.DUMMYFUNCTION("""COMPUTED_VALUE"""),225.58)</f>
        <v>225.58</v>
      </c>
    </row>
    <row r="710">
      <c r="A710" s="2">
        <f>IFERROR(__xludf.DUMMYFUNCTION("""COMPUTED_VALUE"""),45134.66666666667)</f>
        <v>45134.66667</v>
      </c>
      <c r="B710" s="1">
        <f>IFERROR(__xludf.DUMMYFUNCTION("""COMPUTED_VALUE"""),225.15)</f>
        <v>225.15</v>
      </c>
    </row>
    <row r="711">
      <c r="A711" s="2">
        <f>IFERROR(__xludf.DUMMYFUNCTION("""COMPUTED_VALUE"""),45135.66666666667)</f>
        <v>45135.66667</v>
      </c>
      <c r="B711" s="1">
        <f>IFERROR(__xludf.DUMMYFUNCTION("""COMPUTED_VALUE"""),225.6)</f>
        <v>225.6</v>
      </c>
    </row>
    <row r="712">
      <c r="A712" s="2">
        <f>IFERROR(__xludf.DUMMYFUNCTION("""COMPUTED_VALUE"""),45138.66666666667)</f>
        <v>45138.66667</v>
      </c>
      <c r="B712" s="1">
        <f>IFERROR(__xludf.DUMMYFUNCTION("""COMPUTED_VALUE"""),225.01)</f>
        <v>225.01</v>
      </c>
    </row>
    <row r="713">
      <c r="A713" s="2">
        <f>IFERROR(__xludf.DUMMYFUNCTION("""COMPUTED_VALUE"""),45139.66666666667)</f>
        <v>45139.66667</v>
      </c>
      <c r="B713" s="1">
        <f>IFERROR(__xludf.DUMMYFUNCTION("""COMPUTED_VALUE"""),224.27)</f>
        <v>224.27</v>
      </c>
    </row>
    <row r="714">
      <c r="A714" s="2">
        <f>IFERROR(__xludf.DUMMYFUNCTION("""COMPUTED_VALUE"""),45140.66666666667)</f>
        <v>45140.66667</v>
      </c>
      <c r="B714" s="1">
        <f>IFERROR(__xludf.DUMMYFUNCTION("""COMPUTED_VALUE"""),220.5)</f>
        <v>220.5</v>
      </c>
    </row>
    <row r="715">
      <c r="A715" s="2">
        <f>IFERROR(__xludf.DUMMYFUNCTION("""COMPUTED_VALUE"""),45141.66666666667)</f>
        <v>45141.66667</v>
      </c>
      <c r="B715" s="1">
        <f>IFERROR(__xludf.DUMMYFUNCTION("""COMPUTED_VALUE"""),215.56)</f>
        <v>215.56</v>
      </c>
    </row>
    <row r="716">
      <c r="A716" s="2">
        <f>IFERROR(__xludf.DUMMYFUNCTION("""COMPUTED_VALUE"""),45142.66666666667)</f>
        <v>45142.66667</v>
      </c>
      <c r="B716" s="1">
        <f>IFERROR(__xludf.DUMMYFUNCTION("""COMPUTED_VALUE"""),214.59)</f>
        <v>214.59</v>
      </c>
    </row>
    <row r="717">
      <c r="A717" s="2">
        <f>IFERROR(__xludf.DUMMYFUNCTION("""COMPUTED_VALUE"""),45145.66666666667)</f>
        <v>45145.66667</v>
      </c>
      <c r="B717" s="1">
        <f>IFERROR(__xludf.DUMMYFUNCTION("""COMPUTED_VALUE"""),216.06)</f>
        <v>216.06</v>
      </c>
    </row>
    <row r="718">
      <c r="A718" s="2">
        <f>IFERROR(__xludf.DUMMYFUNCTION("""COMPUTED_VALUE"""),45146.66666666667)</f>
        <v>45146.66667</v>
      </c>
      <c r="B718" s="1">
        <f>IFERROR(__xludf.DUMMYFUNCTION("""COMPUTED_VALUE"""),211.58)</f>
        <v>211.58</v>
      </c>
    </row>
    <row r="719">
      <c r="A719" s="2">
        <f>IFERROR(__xludf.DUMMYFUNCTION("""COMPUTED_VALUE"""),45147.66666666667)</f>
        <v>45147.66667</v>
      </c>
      <c r="B719" s="1">
        <f>IFERROR(__xludf.DUMMYFUNCTION("""COMPUTED_VALUE"""),205.86)</f>
        <v>205.86</v>
      </c>
    </row>
    <row r="720">
      <c r="A720" s="2">
        <f>IFERROR(__xludf.DUMMYFUNCTION("""COMPUTED_VALUE"""),45148.66666666667)</f>
        <v>45148.66667</v>
      </c>
      <c r="B720" s="1">
        <f>IFERROR(__xludf.DUMMYFUNCTION("""COMPUTED_VALUE"""),208.25)</f>
        <v>208.25</v>
      </c>
    </row>
    <row r="721">
      <c r="A721" s="2">
        <f>IFERROR(__xludf.DUMMYFUNCTION("""COMPUTED_VALUE"""),45149.66666666667)</f>
        <v>45149.66667</v>
      </c>
      <c r="B721" s="1">
        <f>IFERROR(__xludf.DUMMYFUNCTION("""COMPUTED_VALUE"""),208.7)</f>
        <v>208.7</v>
      </c>
    </row>
    <row r="722">
      <c r="A722" s="2">
        <f>IFERROR(__xludf.DUMMYFUNCTION("""COMPUTED_VALUE"""),45152.66666666667)</f>
        <v>45152.66667</v>
      </c>
      <c r="B722" s="1">
        <f>IFERROR(__xludf.DUMMYFUNCTION("""COMPUTED_VALUE"""),212.06)</f>
        <v>212.06</v>
      </c>
    </row>
    <row r="723">
      <c r="A723" s="2">
        <f>IFERROR(__xludf.DUMMYFUNCTION("""COMPUTED_VALUE"""),45153.66666666667)</f>
        <v>45153.66667</v>
      </c>
      <c r="B723" s="1">
        <f>IFERROR(__xludf.DUMMYFUNCTION("""COMPUTED_VALUE"""),208.78)</f>
        <v>208.78</v>
      </c>
    </row>
    <row r="724">
      <c r="A724" s="2">
        <f>IFERROR(__xludf.DUMMYFUNCTION("""COMPUTED_VALUE"""),45154.66666666667)</f>
        <v>45154.66667</v>
      </c>
      <c r="B724" s="1">
        <f>IFERROR(__xludf.DUMMYFUNCTION("""COMPUTED_VALUE"""),206.99)</f>
        <v>206.99</v>
      </c>
    </row>
    <row r="725">
      <c r="A725" s="2">
        <f>IFERROR(__xludf.DUMMYFUNCTION("""COMPUTED_VALUE"""),45155.66666666667)</f>
        <v>45155.66667</v>
      </c>
      <c r="B725" s="1">
        <f>IFERROR(__xludf.DUMMYFUNCTION("""COMPUTED_VALUE"""),203.84)</f>
        <v>203.84</v>
      </c>
    </row>
    <row r="726">
      <c r="A726" s="2">
        <f>IFERROR(__xludf.DUMMYFUNCTION("""COMPUTED_VALUE"""),45156.66666666667)</f>
        <v>45156.66667</v>
      </c>
      <c r="B726" s="1">
        <f>IFERROR(__xludf.DUMMYFUNCTION("""COMPUTED_VALUE"""),204.83)</f>
        <v>204.83</v>
      </c>
    </row>
    <row r="727">
      <c r="A727" s="2">
        <f>IFERROR(__xludf.DUMMYFUNCTION("""COMPUTED_VALUE"""),45159.66666666667)</f>
        <v>45159.66667</v>
      </c>
      <c r="B727" s="1">
        <f>IFERROR(__xludf.DUMMYFUNCTION("""COMPUTED_VALUE"""),209.03)</f>
        <v>209.03</v>
      </c>
    </row>
    <row r="728">
      <c r="A728" s="2">
        <f>IFERROR(__xludf.DUMMYFUNCTION("""COMPUTED_VALUE"""),45160.66666666667)</f>
        <v>45160.66667</v>
      </c>
      <c r="B728" s="1">
        <f>IFERROR(__xludf.DUMMYFUNCTION("""COMPUTED_VALUE"""),206.76)</f>
        <v>206.76</v>
      </c>
    </row>
    <row r="729">
      <c r="A729" s="2">
        <f>IFERROR(__xludf.DUMMYFUNCTION("""COMPUTED_VALUE"""),45161.66666666667)</f>
        <v>45161.66667</v>
      </c>
      <c r="B729" s="1">
        <f>IFERROR(__xludf.DUMMYFUNCTION("""COMPUTED_VALUE"""),209.13)</f>
        <v>209.13</v>
      </c>
    </row>
    <row r="730">
      <c r="A730" s="2">
        <f>IFERROR(__xludf.DUMMYFUNCTION("""COMPUTED_VALUE"""),45162.66666666667)</f>
        <v>45162.66667</v>
      </c>
      <c r="B730" s="1">
        <f>IFERROR(__xludf.DUMMYFUNCTION("""COMPUTED_VALUE"""),205.51)</f>
        <v>205.51</v>
      </c>
    </row>
    <row r="731">
      <c r="A731" s="2">
        <f>IFERROR(__xludf.DUMMYFUNCTION("""COMPUTED_VALUE"""),45163.66666666667)</f>
        <v>45163.66667</v>
      </c>
      <c r="B731" s="1">
        <f>IFERROR(__xludf.DUMMYFUNCTION("""COMPUTED_VALUE"""),209.47)</f>
        <v>209.47</v>
      </c>
    </row>
    <row r="732">
      <c r="A732" s="2">
        <f>IFERROR(__xludf.DUMMYFUNCTION("""COMPUTED_VALUE"""),45166.66666666667)</f>
        <v>45166.66667</v>
      </c>
      <c r="B732" s="1">
        <f>IFERROR(__xludf.DUMMYFUNCTION("""COMPUTED_VALUE"""),211.72)</f>
        <v>211.72</v>
      </c>
    </row>
    <row r="733">
      <c r="A733" s="2">
        <f>IFERROR(__xludf.DUMMYFUNCTION("""COMPUTED_VALUE"""),45167.66666666667)</f>
        <v>45167.66667</v>
      </c>
      <c r="B733" s="1">
        <f>IFERROR(__xludf.DUMMYFUNCTION("""COMPUTED_VALUE"""),211.96)</f>
        <v>211.96</v>
      </c>
    </row>
    <row r="734">
      <c r="A734" s="2">
        <f>IFERROR(__xludf.DUMMYFUNCTION("""COMPUTED_VALUE"""),45168.66666666667)</f>
        <v>45168.66667</v>
      </c>
      <c r="B734" s="1">
        <f>IFERROR(__xludf.DUMMYFUNCTION("""COMPUTED_VALUE"""),215.04)</f>
        <v>215.04</v>
      </c>
    </row>
    <row r="735">
      <c r="A735" s="2">
        <f>IFERROR(__xludf.DUMMYFUNCTION("""COMPUTED_VALUE"""),45169.66666666667)</f>
        <v>45169.66667</v>
      </c>
      <c r="B735" s="1">
        <f>IFERROR(__xludf.DUMMYFUNCTION("""COMPUTED_VALUE"""),221.46)</f>
        <v>221.46</v>
      </c>
    </row>
    <row r="736">
      <c r="A736" s="2">
        <f>IFERROR(__xludf.DUMMYFUNCTION("""COMPUTED_VALUE"""),45170.66666666667)</f>
        <v>45170.66667</v>
      </c>
      <c r="B736" s="1">
        <f>IFERROR(__xludf.DUMMYFUNCTION("""COMPUTED_VALUE"""),221.53)</f>
        <v>221.53</v>
      </c>
    </row>
    <row r="737">
      <c r="A737" s="2">
        <f>IFERROR(__xludf.DUMMYFUNCTION("""COMPUTED_VALUE"""),45174.66666666667)</f>
        <v>45174.66667</v>
      </c>
      <c r="B737" s="1">
        <f>IFERROR(__xludf.DUMMYFUNCTION("""COMPUTED_VALUE"""),218.69)</f>
        <v>218.69</v>
      </c>
    </row>
    <row r="738">
      <c r="A738" s="2">
        <f>IFERROR(__xludf.DUMMYFUNCTION("""COMPUTED_VALUE"""),45175.66666666667)</f>
        <v>45175.66667</v>
      </c>
      <c r="B738" s="1">
        <f>IFERROR(__xludf.DUMMYFUNCTION("""COMPUTED_VALUE"""),221.62)</f>
        <v>221.62</v>
      </c>
    </row>
    <row r="739">
      <c r="A739" s="2">
        <f>IFERROR(__xludf.DUMMYFUNCTION("""COMPUTED_VALUE"""),45176.66666666667)</f>
        <v>45176.66667</v>
      </c>
      <c r="B739" s="1">
        <f>IFERROR(__xludf.DUMMYFUNCTION("""COMPUTED_VALUE"""),222.53)</f>
        <v>222.53</v>
      </c>
    </row>
    <row r="740">
      <c r="A740" s="2">
        <f>IFERROR(__xludf.DUMMYFUNCTION("""COMPUTED_VALUE"""),45177.66666666667)</f>
        <v>45177.66667</v>
      </c>
      <c r="B740" s="1">
        <f>IFERROR(__xludf.DUMMYFUNCTION("""COMPUTED_VALUE"""),224.76)</f>
        <v>224.76</v>
      </c>
    </row>
    <row r="741">
      <c r="A741" s="2">
        <f>IFERROR(__xludf.DUMMYFUNCTION("""COMPUTED_VALUE"""),45180.66666666667)</f>
        <v>45180.66667</v>
      </c>
      <c r="B741" s="1">
        <f>IFERROR(__xludf.DUMMYFUNCTION("""COMPUTED_VALUE"""),225.31)</f>
        <v>225.31</v>
      </c>
    </row>
    <row r="742">
      <c r="A742" s="2">
        <f>IFERROR(__xludf.DUMMYFUNCTION("""COMPUTED_VALUE"""),45181.66666666667)</f>
        <v>45181.66667</v>
      </c>
      <c r="B742" s="1">
        <f>IFERROR(__xludf.DUMMYFUNCTION("""COMPUTED_VALUE"""),221.66)</f>
        <v>221.66</v>
      </c>
    </row>
    <row r="743">
      <c r="A743" s="2">
        <f>IFERROR(__xludf.DUMMYFUNCTION("""COMPUTED_VALUE"""),45182.66666666667)</f>
        <v>45182.66667</v>
      </c>
      <c r="B743" s="1">
        <f>IFERROR(__xludf.DUMMYFUNCTION("""COMPUTED_VALUE"""),218.8)</f>
        <v>218.8</v>
      </c>
    </row>
    <row r="744">
      <c r="A744" s="2">
        <f>IFERROR(__xludf.DUMMYFUNCTION("""COMPUTED_VALUE"""),45183.66666666667)</f>
        <v>45183.66667</v>
      </c>
      <c r="B744" s="1">
        <f>IFERROR(__xludf.DUMMYFUNCTION("""COMPUTED_VALUE"""),218.78)</f>
        <v>218.78</v>
      </c>
    </row>
    <row r="745">
      <c r="A745" s="2">
        <f>IFERROR(__xludf.DUMMYFUNCTION("""COMPUTED_VALUE"""),45184.66666666667)</f>
        <v>45184.66667</v>
      </c>
      <c r="B745" s="1">
        <f>IFERROR(__xludf.DUMMYFUNCTION("""COMPUTED_VALUE"""),214.61)</f>
        <v>214.61</v>
      </c>
    </row>
    <row r="746">
      <c r="A746" s="2">
        <f>IFERROR(__xludf.DUMMYFUNCTION("""COMPUTED_VALUE"""),45187.66666666667)</f>
        <v>45187.66667</v>
      </c>
      <c r="B746" s="1">
        <f>IFERROR(__xludf.DUMMYFUNCTION("""COMPUTED_VALUE"""),215.0)</f>
        <v>215</v>
      </c>
    </row>
    <row r="747">
      <c r="A747" s="2">
        <f>IFERROR(__xludf.DUMMYFUNCTION("""COMPUTED_VALUE"""),45188.66666666667)</f>
        <v>45188.66667</v>
      </c>
      <c r="B747" s="1">
        <f>IFERROR(__xludf.DUMMYFUNCTION("""COMPUTED_VALUE"""),215.7)</f>
        <v>215.7</v>
      </c>
    </row>
    <row r="748">
      <c r="A748" s="2">
        <f>IFERROR(__xludf.DUMMYFUNCTION("""COMPUTED_VALUE"""),45189.66666666667)</f>
        <v>45189.66667</v>
      </c>
      <c r="B748" s="1">
        <f>IFERROR(__xludf.DUMMYFUNCTION("""COMPUTED_VALUE"""),213.03)</f>
        <v>213.03</v>
      </c>
    </row>
    <row r="749">
      <c r="A749" s="2">
        <f>IFERROR(__xludf.DUMMYFUNCTION("""COMPUTED_VALUE"""),45190.66666666667)</f>
        <v>45190.66667</v>
      </c>
      <c r="B749" s="1">
        <f>IFERROR(__xludf.DUMMYFUNCTION("""COMPUTED_VALUE"""),208.61)</f>
        <v>208.61</v>
      </c>
    </row>
    <row r="750">
      <c r="A750" s="2">
        <f>IFERROR(__xludf.DUMMYFUNCTION("""COMPUTED_VALUE"""),45191.66666666667)</f>
        <v>45191.66667</v>
      </c>
      <c r="B750" s="1">
        <f>IFERROR(__xludf.DUMMYFUNCTION("""COMPUTED_VALUE"""),206.43)</f>
        <v>206.43</v>
      </c>
    </row>
    <row r="751">
      <c r="A751" s="2">
        <f>IFERROR(__xludf.DUMMYFUNCTION("""COMPUTED_VALUE"""),45194.66666666667)</f>
        <v>45194.66667</v>
      </c>
      <c r="B751" s="1">
        <f>IFERROR(__xludf.DUMMYFUNCTION("""COMPUTED_VALUE"""),206.34)</f>
        <v>206.34</v>
      </c>
    </row>
    <row r="752">
      <c r="A752" s="2">
        <f>IFERROR(__xludf.DUMMYFUNCTION("""COMPUTED_VALUE"""),45195.66666666667)</f>
        <v>45195.66667</v>
      </c>
      <c r="B752" s="1">
        <f>IFERROR(__xludf.DUMMYFUNCTION("""COMPUTED_VALUE"""),202.49)</f>
        <v>202.49</v>
      </c>
    </row>
    <row r="753">
      <c r="A753" s="2">
        <f>IFERROR(__xludf.DUMMYFUNCTION("""COMPUTED_VALUE"""),45196.66666666667)</f>
        <v>45196.66667</v>
      </c>
      <c r="B753" s="1">
        <f>IFERROR(__xludf.DUMMYFUNCTION("""COMPUTED_VALUE"""),202.73)</f>
        <v>202.73</v>
      </c>
    </row>
    <row r="754">
      <c r="A754" s="2">
        <f>IFERROR(__xludf.DUMMYFUNCTION("""COMPUTED_VALUE"""),45197.66666666667)</f>
        <v>45197.66667</v>
      </c>
      <c r="B754" s="1">
        <f>IFERROR(__xludf.DUMMYFUNCTION("""COMPUTED_VALUE"""),203.2)</f>
        <v>203.2</v>
      </c>
    </row>
    <row r="755">
      <c r="A755" s="2">
        <f>IFERROR(__xludf.DUMMYFUNCTION("""COMPUTED_VALUE"""),45198.66666666667)</f>
        <v>45198.66667</v>
      </c>
      <c r="B755" s="1">
        <f>IFERROR(__xludf.DUMMYFUNCTION("""COMPUTED_VALUE"""),202.78)</f>
        <v>202.78</v>
      </c>
    </row>
    <row r="756">
      <c r="A756" s="2">
        <f>IFERROR(__xludf.DUMMYFUNCTION("""COMPUTED_VALUE"""),45201.66666666667)</f>
        <v>45201.66667</v>
      </c>
      <c r="B756" s="1">
        <f>IFERROR(__xludf.DUMMYFUNCTION("""COMPUTED_VALUE"""),203.71)</f>
        <v>203.71</v>
      </c>
    </row>
    <row r="757">
      <c r="A757" s="2">
        <f>IFERROR(__xludf.DUMMYFUNCTION("""COMPUTED_VALUE"""),45202.66666666667)</f>
        <v>45202.66667</v>
      </c>
      <c r="B757" s="1">
        <f>IFERROR(__xludf.DUMMYFUNCTION("""COMPUTED_VALUE"""),199.83)</f>
        <v>199.83</v>
      </c>
    </row>
    <row r="758">
      <c r="A758" s="2">
        <f>IFERROR(__xludf.DUMMYFUNCTION("""COMPUTED_VALUE"""),45203.66666666667)</f>
        <v>45203.66667</v>
      </c>
      <c r="B758" s="1">
        <f>IFERROR(__xludf.DUMMYFUNCTION("""COMPUTED_VALUE"""),201.87)</f>
        <v>201.87</v>
      </c>
    </row>
    <row r="759">
      <c r="A759" s="2">
        <f>IFERROR(__xludf.DUMMYFUNCTION("""COMPUTED_VALUE"""),45204.66666666667)</f>
        <v>45204.66667</v>
      </c>
      <c r="B759" s="1">
        <f>IFERROR(__xludf.DUMMYFUNCTION("""COMPUTED_VALUE"""),202.01)</f>
        <v>202.01</v>
      </c>
    </row>
    <row r="760">
      <c r="A760" s="2">
        <f>IFERROR(__xludf.DUMMYFUNCTION("""COMPUTED_VALUE"""),45205.66666666667)</f>
        <v>45205.66667</v>
      </c>
      <c r="B760" s="1">
        <f>IFERROR(__xludf.DUMMYFUNCTION("""COMPUTED_VALUE"""),207.36)</f>
        <v>207.36</v>
      </c>
    </row>
    <row r="761">
      <c r="A761" s="2">
        <f>IFERROR(__xludf.DUMMYFUNCTION("""COMPUTED_VALUE"""),45208.66666666667)</f>
        <v>45208.66667</v>
      </c>
      <c r="B761" s="1">
        <f>IFERROR(__xludf.DUMMYFUNCTION("""COMPUTED_VALUE"""),207.22)</f>
        <v>207.22</v>
      </c>
    </row>
    <row r="762">
      <c r="A762" s="2">
        <f>IFERROR(__xludf.DUMMYFUNCTION("""COMPUTED_VALUE"""),45209.66666666667)</f>
        <v>45209.66667</v>
      </c>
      <c r="B762" s="1">
        <f>IFERROR(__xludf.DUMMYFUNCTION("""COMPUTED_VALUE"""),206.88)</f>
        <v>206.88</v>
      </c>
    </row>
    <row r="763">
      <c r="A763" s="2">
        <f>IFERROR(__xludf.DUMMYFUNCTION("""COMPUTED_VALUE"""),45210.66666666667)</f>
        <v>45210.66667</v>
      </c>
      <c r="B763" s="1">
        <f>IFERROR(__xludf.DUMMYFUNCTION("""COMPUTED_VALUE"""),206.85)</f>
        <v>206.85</v>
      </c>
    </row>
    <row r="764">
      <c r="A764" s="2">
        <f>IFERROR(__xludf.DUMMYFUNCTION("""COMPUTED_VALUE"""),45211.66666666667)</f>
        <v>45211.66667</v>
      </c>
      <c r="B764" s="1">
        <f>IFERROR(__xludf.DUMMYFUNCTION("""COMPUTED_VALUE"""),205.68)</f>
        <v>205.68</v>
      </c>
    </row>
    <row r="765">
      <c r="A765" s="2">
        <f>IFERROR(__xludf.DUMMYFUNCTION("""COMPUTED_VALUE"""),45212.66666666667)</f>
        <v>45212.66667</v>
      </c>
      <c r="B765" s="1">
        <f>IFERROR(__xludf.DUMMYFUNCTION("""COMPUTED_VALUE"""),204.59)</f>
        <v>204.59</v>
      </c>
    </row>
    <row r="766">
      <c r="A766" s="2">
        <f>IFERROR(__xludf.DUMMYFUNCTION("""COMPUTED_VALUE"""),45215.66666666667)</f>
        <v>45215.66667</v>
      </c>
      <c r="B766" s="1">
        <f>IFERROR(__xludf.DUMMYFUNCTION("""COMPUTED_VALUE"""),208.53)</f>
        <v>208.53</v>
      </c>
    </row>
    <row r="767">
      <c r="A767" s="2">
        <f>IFERROR(__xludf.DUMMYFUNCTION("""COMPUTED_VALUE"""),45216.66666666667)</f>
        <v>45216.66667</v>
      </c>
      <c r="B767" s="1">
        <f>IFERROR(__xludf.DUMMYFUNCTION("""COMPUTED_VALUE"""),209.84)</f>
        <v>209.84</v>
      </c>
    </row>
    <row r="768">
      <c r="A768" s="2">
        <f>IFERROR(__xludf.DUMMYFUNCTION("""COMPUTED_VALUE"""),45217.66666666667)</f>
        <v>45217.66667</v>
      </c>
      <c r="B768" s="1">
        <f>IFERROR(__xludf.DUMMYFUNCTION("""COMPUTED_VALUE"""),204.83)</f>
        <v>204.83</v>
      </c>
    </row>
    <row r="769">
      <c r="A769" s="2">
        <f>IFERROR(__xludf.DUMMYFUNCTION("""COMPUTED_VALUE"""),45218.66666666667)</f>
        <v>45218.66667</v>
      </c>
      <c r="B769" s="1">
        <f>IFERROR(__xludf.DUMMYFUNCTION("""COMPUTED_VALUE"""),208.32)</f>
        <v>208.32</v>
      </c>
    </row>
    <row r="770">
      <c r="A770" s="2">
        <f>IFERROR(__xludf.DUMMYFUNCTION("""COMPUTED_VALUE"""),45219.66666666667)</f>
        <v>45219.66667</v>
      </c>
      <c r="B770" s="1">
        <f>IFERROR(__xludf.DUMMYFUNCTION("""COMPUTED_VALUE"""),203.73)</f>
        <v>203.73</v>
      </c>
    </row>
    <row r="771">
      <c r="A771" s="2">
        <f>IFERROR(__xludf.DUMMYFUNCTION("""COMPUTED_VALUE"""),45222.66666666667)</f>
        <v>45222.66667</v>
      </c>
      <c r="B771" s="1">
        <f>IFERROR(__xludf.DUMMYFUNCTION("""COMPUTED_VALUE"""),202.0)</f>
        <v>202</v>
      </c>
    </row>
    <row r="772">
      <c r="A772" s="2">
        <f>IFERROR(__xludf.DUMMYFUNCTION("""COMPUTED_VALUE"""),45223.66666666667)</f>
        <v>45223.66667</v>
      </c>
      <c r="B772" s="1">
        <f>IFERROR(__xludf.DUMMYFUNCTION("""COMPUTED_VALUE"""),204.22)</f>
        <v>204.22</v>
      </c>
    </row>
    <row r="773">
      <c r="A773" s="2">
        <f>IFERROR(__xludf.DUMMYFUNCTION("""COMPUTED_VALUE"""),45224.66666666667)</f>
        <v>45224.66667</v>
      </c>
      <c r="B773" s="1">
        <f>IFERROR(__xludf.DUMMYFUNCTION("""COMPUTED_VALUE"""),197.06)</f>
        <v>197.06</v>
      </c>
    </row>
    <row r="774">
      <c r="A774" s="2">
        <f>IFERROR(__xludf.DUMMYFUNCTION("""COMPUTED_VALUE"""),45225.66666666667)</f>
        <v>45225.66667</v>
      </c>
      <c r="B774" s="1">
        <f>IFERROR(__xludf.DUMMYFUNCTION("""COMPUTED_VALUE"""),196.25)</f>
        <v>196.25</v>
      </c>
    </row>
    <row r="775">
      <c r="A775" s="2">
        <f>IFERROR(__xludf.DUMMYFUNCTION("""COMPUTED_VALUE"""),45226.66666666667)</f>
        <v>45226.66667</v>
      </c>
      <c r="B775" s="1">
        <f>IFERROR(__xludf.DUMMYFUNCTION("""COMPUTED_VALUE"""),196.57)</f>
        <v>196.57</v>
      </c>
    </row>
    <row r="776">
      <c r="A776" s="2">
        <f>IFERROR(__xludf.DUMMYFUNCTION("""COMPUTED_VALUE"""),45229.66666666667)</f>
        <v>45229.66667</v>
      </c>
      <c r="B776" s="1">
        <f>IFERROR(__xludf.DUMMYFUNCTION("""COMPUTED_VALUE"""),199.27)</f>
        <v>199.27</v>
      </c>
    </row>
    <row r="777">
      <c r="A777" s="2">
        <f>IFERROR(__xludf.DUMMYFUNCTION("""COMPUTED_VALUE"""),45230.66666666667)</f>
        <v>45230.66667</v>
      </c>
      <c r="B777" s="1">
        <f>IFERROR(__xludf.DUMMYFUNCTION("""COMPUTED_VALUE"""),200.83)</f>
        <v>200.83</v>
      </c>
    </row>
    <row r="778">
      <c r="A778" s="2">
        <f>IFERROR(__xludf.DUMMYFUNCTION("""COMPUTED_VALUE"""),45231.66666666667)</f>
        <v>45231.66667</v>
      </c>
      <c r="B778" s="1">
        <f>IFERROR(__xludf.DUMMYFUNCTION("""COMPUTED_VALUE"""),203.91)</f>
        <v>203.91</v>
      </c>
    </row>
    <row r="779">
      <c r="A779" s="2">
        <f>IFERROR(__xludf.DUMMYFUNCTION("""COMPUTED_VALUE"""),45232.66666666667)</f>
        <v>45232.66667</v>
      </c>
      <c r="B779" s="1">
        <f>IFERROR(__xludf.DUMMYFUNCTION("""COMPUTED_VALUE"""),208.11)</f>
        <v>208.11</v>
      </c>
    </row>
    <row r="780">
      <c r="A780" s="2">
        <f>IFERROR(__xludf.DUMMYFUNCTION("""COMPUTED_VALUE"""),45233.66666666667)</f>
        <v>45233.66667</v>
      </c>
      <c r="B780" s="1">
        <f>IFERROR(__xludf.DUMMYFUNCTION("""COMPUTED_VALUE"""),207.47)</f>
        <v>207.47</v>
      </c>
    </row>
    <row r="781">
      <c r="A781" s="2">
        <f>IFERROR(__xludf.DUMMYFUNCTION("""COMPUTED_VALUE"""),45236.66666666667)</f>
        <v>45236.66667</v>
      </c>
      <c r="B781" s="1">
        <f>IFERROR(__xludf.DUMMYFUNCTION("""COMPUTED_VALUE"""),207.42)</f>
        <v>207.42</v>
      </c>
    </row>
    <row r="782">
      <c r="A782" s="2">
        <f>IFERROR(__xludf.DUMMYFUNCTION("""COMPUTED_VALUE"""),45237.66666666667)</f>
        <v>45237.66667</v>
      </c>
      <c r="B782" s="1">
        <f>IFERROR(__xludf.DUMMYFUNCTION("""COMPUTED_VALUE"""),211.84)</f>
        <v>211.84</v>
      </c>
    </row>
    <row r="783">
      <c r="A783" s="2">
        <f>IFERROR(__xludf.DUMMYFUNCTION("""COMPUTED_VALUE"""),45238.66666666667)</f>
        <v>45238.66667</v>
      </c>
      <c r="B783" s="1">
        <f>IFERROR(__xludf.DUMMYFUNCTION("""COMPUTED_VALUE"""),211.47)</f>
        <v>211.47</v>
      </c>
    </row>
    <row r="784">
      <c r="A784" s="2">
        <f>IFERROR(__xludf.DUMMYFUNCTION("""COMPUTED_VALUE"""),45239.66666666667)</f>
        <v>45239.66667</v>
      </c>
      <c r="B784" s="1">
        <f>IFERROR(__xludf.DUMMYFUNCTION("""COMPUTED_VALUE"""),210.01)</f>
        <v>210.01</v>
      </c>
    </row>
    <row r="785">
      <c r="A785" s="2">
        <f>IFERROR(__xludf.DUMMYFUNCTION("""COMPUTED_VALUE"""),45240.66666666667)</f>
        <v>45240.66667</v>
      </c>
      <c r="B785" s="1">
        <f>IFERROR(__xludf.DUMMYFUNCTION("""COMPUTED_VALUE"""),213.63)</f>
        <v>213.63</v>
      </c>
    </row>
    <row r="786">
      <c r="A786" s="2">
        <f>IFERROR(__xludf.DUMMYFUNCTION("""COMPUTED_VALUE"""),45243.66666666667)</f>
        <v>45243.66667</v>
      </c>
      <c r="B786" s="1">
        <f>IFERROR(__xludf.DUMMYFUNCTION("""COMPUTED_VALUE"""),215.28)</f>
        <v>215.28</v>
      </c>
    </row>
    <row r="787">
      <c r="A787" s="2">
        <f>IFERROR(__xludf.DUMMYFUNCTION("""COMPUTED_VALUE"""),45244.66666666667)</f>
        <v>45244.66667</v>
      </c>
      <c r="B787" s="1">
        <f>IFERROR(__xludf.DUMMYFUNCTION("""COMPUTED_VALUE"""),221.18)</f>
        <v>221.18</v>
      </c>
    </row>
    <row r="788">
      <c r="A788" s="2">
        <f>IFERROR(__xludf.DUMMYFUNCTION("""COMPUTED_VALUE"""),45245.66666666667)</f>
        <v>45245.66667</v>
      </c>
      <c r="B788" s="1">
        <f>IFERROR(__xludf.DUMMYFUNCTION("""COMPUTED_VALUE"""),219.42)</f>
        <v>219.42</v>
      </c>
    </row>
    <row r="789">
      <c r="A789" s="2">
        <f>IFERROR(__xludf.DUMMYFUNCTION("""COMPUTED_VALUE"""),45246.66666666667)</f>
        <v>45246.66667</v>
      </c>
      <c r="B789" s="1">
        <f>IFERROR(__xludf.DUMMYFUNCTION("""COMPUTED_VALUE"""),221.45)</f>
        <v>221.45</v>
      </c>
    </row>
    <row r="790">
      <c r="A790" s="2">
        <f>IFERROR(__xludf.DUMMYFUNCTION("""COMPUTED_VALUE"""),45247.66666666667)</f>
        <v>45247.66667</v>
      </c>
      <c r="B790" s="1">
        <f>IFERROR(__xludf.DUMMYFUNCTION("""COMPUTED_VALUE"""),221.22)</f>
        <v>221.22</v>
      </c>
    </row>
    <row r="791">
      <c r="A791" s="2">
        <f>IFERROR(__xludf.DUMMYFUNCTION("""COMPUTED_VALUE"""),45250.66666666667)</f>
        <v>45250.66667</v>
      </c>
      <c r="B791" s="1">
        <f>IFERROR(__xludf.DUMMYFUNCTION("""COMPUTED_VALUE"""),225.13)</f>
        <v>225.13</v>
      </c>
    </row>
    <row r="792">
      <c r="A792" s="2">
        <f>IFERROR(__xludf.DUMMYFUNCTION("""COMPUTED_VALUE"""),45251.66666666667)</f>
        <v>45251.66667</v>
      </c>
      <c r="B792" s="1">
        <f>IFERROR(__xludf.DUMMYFUNCTION("""COMPUTED_VALUE"""),224.32)</f>
        <v>224.32</v>
      </c>
    </row>
    <row r="793">
      <c r="A793" s="2">
        <f>IFERROR(__xludf.DUMMYFUNCTION("""COMPUTED_VALUE"""),45252.66666666667)</f>
        <v>45252.66667</v>
      </c>
      <c r="B793" s="1">
        <f>IFERROR(__xludf.DUMMYFUNCTION("""COMPUTED_VALUE"""),223.84)</f>
        <v>223.84</v>
      </c>
    </row>
    <row r="794">
      <c r="A794" s="2">
        <f>IFERROR(__xludf.DUMMYFUNCTION("""COMPUTED_VALUE"""),45254.54166666667)</f>
        <v>45254.54167</v>
      </c>
      <c r="B794" s="1">
        <f>IFERROR(__xludf.DUMMYFUNCTION("""COMPUTED_VALUE"""),224.38)</f>
        <v>224.38</v>
      </c>
    </row>
    <row r="795">
      <c r="A795" s="2">
        <f>IFERROR(__xludf.DUMMYFUNCTION("""COMPUTED_VALUE"""),45257.66666666667)</f>
        <v>45257.66667</v>
      </c>
      <c r="B795" s="1">
        <f>IFERROR(__xludf.DUMMYFUNCTION("""COMPUTED_VALUE"""),224.79)</f>
        <v>224.79</v>
      </c>
    </row>
    <row r="796">
      <c r="A796" s="2">
        <f>IFERROR(__xludf.DUMMYFUNCTION("""COMPUTED_VALUE"""),45258.66666666667)</f>
        <v>45258.66667</v>
      </c>
      <c r="B796" s="1">
        <f>IFERROR(__xludf.DUMMYFUNCTION("""COMPUTED_VALUE"""),224.92)</f>
        <v>224.92</v>
      </c>
    </row>
    <row r="797">
      <c r="A797" s="2">
        <f>IFERROR(__xludf.DUMMYFUNCTION("""COMPUTED_VALUE"""),45259.66666666667)</f>
        <v>45259.66667</v>
      </c>
      <c r="B797" s="1">
        <f>IFERROR(__xludf.DUMMYFUNCTION("""COMPUTED_VALUE"""),230.35)</f>
        <v>230.35</v>
      </c>
    </row>
    <row r="798">
      <c r="A798" s="2">
        <f>IFERROR(__xludf.DUMMYFUNCTION("""COMPUTED_VALUE"""),45260.66666666667)</f>
        <v>45260.66667</v>
      </c>
      <c r="B798" s="1">
        <f>IFERROR(__xludf.DUMMYFUNCTION("""COMPUTED_VALUE"""),251.9)</f>
        <v>251.9</v>
      </c>
    </row>
    <row r="799">
      <c r="A799" s="2">
        <f>IFERROR(__xludf.DUMMYFUNCTION("""COMPUTED_VALUE"""),45261.66666666667)</f>
        <v>45261.66667</v>
      </c>
      <c r="B799" s="1">
        <f>IFERROR(__xludf.DUMMYFUNCTION("""COMPUTED_VALUE"""),260.0)</f>
        <v>260</v>
      </c>
    </row>
    <row r="800">
      <c r="A800" s="2">
        <f>IFERROR(__xludf.DUMMYFUNCTION("""COMPUTED_VALUE"""),45264.66666666667)</f>
        <v>45264.66667</v>
      </c>
      <c r="B800" s="1">
        <f>IFERROR(__xludf.DUMMYFUNCTION("""COMPUTED_VALUE"""),250.66)</f>
        <v>250.66</v>
      </c>
    </row>
    <row r="801">
      <c r="A801" s="2">
        <f>IFERROR(__xludf.DUMMYFUNCTION("""COMPUTED_VALUE"""),45265.66666666667)</f>
        <v>45265.66667</v>
      </c>
      <c r="B801" s="1">
        <f>IFERROR(__xludf.DUMMYFUNCTION("""COMPUTED_VALUE"""),251.02)</f>
        <v>251.02</v>
      </c>
    </row>
    <row r="802">
      <c r="A802" s="2">
        <f>IFERROR(__xludf.DUMMYFUNCTION("""COMPUTED_VALUE"""),45266.66666666667)</f>
        <v>45266.66667</v>
      </c>
      <c r="B802" s="1">
        <f>IFERROR(__xludf.DUMMYFUNCTION("""COMPUTED_VALUE"""),249.13)</f>
        <v>249.13</v>
      </c>
    </row>
    <row r="803">
      <c r="A803" s="2">
        <f>IFERROR(__xludf.DUMMYFUNCTION("""COMPUTED_VALUE"""),45267.66666666667)</f>
        <v>45267.66667</v>
      </c>
      <c r="B803" s="1">
        <f>IFERROR(__xludf.DUMMYFUNCTION("""COMPUTED_VALUE"""),248.85)</f>
        <v>248.85</v>
      </c>
    </row>
    <row r="804">
      <c r="A804" s="2">
        <f>IFERROR(__xludf.DUMMYFUNCTION("""COMPUTED_VALUE"""),45268.66666666667)</f>
        <v>45268.66667</v>
      </c>
      <c r="B804" s="1">
        <f>IFERROR(__xludf.DUMMYFUNCTION("""COMPUTED_VALUE"""),250.81)</f>
        <v>250.81</v>
      </c>
    </row>
    <row r="805">
      <c r="A805" s="2">
        <f>IFERROR(__xludf.DUMMYFUNCTION("""COMPUTED_VALUE"""),45271.66666666667)</f>
        <v>45271.66667</v>
      </c>
      <c r="B805" s="1">
        <f>IFERROR(__xludf.DUMMYFUNCTION("""COMPUTED_VALUE"""),252.1)</f>
        <v>252.1</v>
      </c>
    </row>
    <row r="806">
      <c r="A806" s="2">
        <f>IFERROR(__xludf.DUMMYFUNCTION("""COMPUTED_VALUE"""),45272.66666666667)</f>
        <v>45272.66667</v>
      </c>
      <c r="B806" s="1">
        <f>IFERROR(__xludf.DUMMYFUNCTION("""COMPUTED_VALUE"""),256.45)</f>
        <v>256.45</v>
      </c>
    </row>
    <row r="807">
      <c r="A807" s="2">
        <f>IFERROR(__xludf.DUMMYFUNCTION("""COMPUTED_VALUE"""),45273.66666666667)</f>
        <v>45273.66667</v>
      </c>
      <c r="B807" s="1">
        <f>IFERROR(__xludf.DUMMYFUNCTION("""COMPUTED_VALUE"""),257.32)</f>
        <v>257.32</v>
      </c>
    </row>
    <row r="808">
      <c r="A808" s="2">
        <f>IFERROR(__xludf.DUMMYFUNCTION("""COMPUTED_VALUE"""),45274.66666666667)</f>
        <v>45274.66667</v>
      </c>
      <c r="B808" s="1">
        <f>IFERROR(__xludf.DUMMYFUNCTION("""COMPUTED_VALUE"""),257.21)</f>
        <v>257.21</v>
      </c>
    </row>
    <row r="809">
      <c r="A809" s="2">
        <f>IFERROR(__xludf.DUMMYFUNCTION("""COMPUTED_VALUE"""),45275.66666666667)</f>
        <v>45275.66667</v>
      </c>
      <c r="B809" s="1">
        <f>IFERROR(__xludf.DUMMYFUNCTION("""COMPUTED_VALUE"""),261.6)</f>
        <v>261.6</v>
      </c>
    </row>
    <row r="810">
      <c r="A810" s="2">
        <f>IFERROR(__xludf.DUMMYFUNCTION("""COMPUTED_VALUE"""),45278.66666666667)</f>
        <v>45278.66667</v>
      </c>
      <c r="B810" s="1">
        <f>IFERROR(__xludf.DUMMYFUNCTION("""COMPUTED_VALUE"""),263.59)</f>
        <v>263.59</v>
      </c>
    </row>
    <row r="811">
      <c r="A811" s="2">
        <f>IFERROR(__xludf.DUMMYFUNCTION("""COMPUTED_VALUE"""),45279.66666666667)</f>
        <v>45279.66667</v>
      </c>
      <c r="B811" s="1">
        <f>IFERROR(__xludf.DUMMYFUNCTION("""COMPUTED_VALUE"""),264.34)</f>
        <v>264.34</v>
      </c>
    </row>
    <row r="812">
      <c r="A812" s="2">
        <f>IFERROR(__xludf.DUMMYFUNCTION("""COMPUTED_VALUE"""),45280.66666666667)</f>
        <v>45280.66667</v>
      </c>
      <c r="B812" s="1">
        <f>IFERROR(__xludf.DUMMYFUNCTION("""COMPUTED_VALUE"""),260.25)</f>
        <v>260.25</v>
      </c>
    </row>
    <row r="813">
      <c r="A813" s="2">
        <f>IFERROR(__xludf.DUMMYFUNCTION("""COMPUTED_VALUE"""),45281.66666666667)</f>
        <v>45281.66667</v>
      </c>
      <c r="B813" s="1">
        <f>IFERROR(__xludf.DUMMYFUNCTION("""COMPUTED_VALUE"""),267.25)</f>
        <v>267.25</v>
      </c>
    </row>
    <row r="814">
      <c r="A814" s="2">
        <f>IFERROR(__xludf.DUMMYFUNCTION("""COMPUTED_VALUE"""),45282.66666666667)</f>
        <v>45282.66667</v>
      </c>
      <c r="B814" s="1">
        <f>IFERROR(__xludf.DUMMYFUNCTION("""COMPUTED_VALUE"""),266.34)</f>
        <v>266.34</v>
      </c>
    </row>
    <row r="815">
      <c r="A815" s="2">
        <f>IFERROR(__xludf.DUMMYFUNCTION("""COMPUTED_VALUE"""),45286.66666666667)</f>
        <v>45286.66667</v>
      </c>
      <c r="B815" s="1">
        <f>IFERROR(__xludf.DUMMYFUNCTION("""COMPUTED_VALUE"""),266.22)</f>
        <v>266.22</v>
      </c>
    </row>
    <row r="816">
      <c r="A816" s="2">
        <f>IFERROR(__xludf.DUMMYFUNCTION("""COMPUTED_VALUE"""),45287.66666666667)</f>
        <v>45287.66667</v>
      </c>
      <c r="B816" s="1">
        <f>IFERROR(__xludf.DUMMYFUNCTION("""COMPUTED_VALUE"""),266.72)</f>
        <v>266.72</v>
      </c>
    </row>
    <row r="817">
      <c r="A817" s="2">
        <f>IFERROR(__xludf.DUMMYFUNCTION("""COMPUTED_VALUE"""),45288.66666666667)</f>
        <v>45288.66667</v>
      </c>
      <c r="B817" s="1">
        <f>IFERROR(__xludf.DUMMYFUNCTION("""COMPUTED_VALUE"""),265.58)</f>
        <v>265.58</v>
      </c>
    </row>
    <row r="818">
      <c r="A818" s="2">
        <f>IFERROR(__xludf.DUMMYFUNCTION("""COMPUTED_VALUE"""),45289.66666666667)</f>
        <v>45289.66667</v>
      </c>
      <c r="B818" s="1">
        <f>IFERROR(__xludf.DUMMYFUNCTION("""COMPUTED_VALUE"""),263.14)</f>
        <v>263.14</v>
      </c>
    </row>
    <row r="819">
      <c r="A819" s="2">
        <f>IFERROR(__xludf.DUMMYFUNCTION("""COMPUTED_VALUE"""),45293.66666666667)</f>
        <v>45293.66667</v>
      </c>
      <c r="B819" s="1">
        <f>IFERROR(__xludf.DUMMYFUNCTION("""COMPUTED_VALUE"""),256.13)</f>
        <v>256.13</v>
      </c>
    </row>
    <row r="820">
      <c r="A820" s="2">
        <f>IFERROR(__xludf.DUMMYFUNCTION("""COMPUTED_VALUE"""),45294.66666666667)</f>
        <v>45294.66667</v>
      </c>
      <c r="B820" s="1">
        <f>IFERROR(__xludf.DUMMYFUNCTION("""COMPUTED_VALUE"""),251.84)</f>
        <v>251.84</v>
      </c>
    </row>
    <row r="821">
      <c r="A821" s="2">
        <f>IFERROR(__xludf.DUMMYFUNCTION("""COMPUTED_VALUE"""),45295.66666666667)</f>
        <v>45295.66667</v>
      </c>
      <c r="B821" s="1">
        <f>IFERROR(__xludf.DUMMYFUNCTION("""COMPUTED_VALUE"""),251.24)</f>
        <v>251.24</v>
      </c>
    </row>
    <row r="822">
      <c r="A822" s="2">
        <f>IFERROR(__xludf.DUMMYFUNCTION("""COMPUTED_VALUE"""),45296.66666666667)</f>
        <v>45296.66667</v>
      </c>
      <c r="B822" s="1">
        <f>IFERROR(__xludf.DUMMYFUNCTION("""COMPUTED_VALUE"""),251.12)</f>
        <v>251.12</v>
      </c>
    </row>
    <row r="823">
      <c r="A823" s="2">
        <f>IFERROR(__xludf.DUMMYFUNCTION("""COMPUTED_VALUE"""),45299.66666666667)</f>
        <v>45299.66667</v>
      </c>
      <c r="B823" s="1">
        <f>IFERROR(__xludf.DUMMYFUNCTION("""COMPUTED_VALUE"""),260.87)</f>
        <v>260.87</v>
      </c>
    </row>
    <row r="824">
      <c r="A824" s="2">
        <f>IFERROR(__xludf.DUMMYFUNCTION("""COMPUTED_VALUE"""),45300.66666666667)</f>
        <v>45300.66667</v>
      </c>
      <c r="B824" s="1">
        <f>IFERROR(__xludf.DUMMYFUNCTION("""COMPUTED_VALUE"""),261.34)</f>
        <v>261.34</v>
      </c>
    </row>
    <row r="825">
      <c r="A825" s="2">
        <f>IFERROR(__xludf.DUMMYFUNCTION("""COMPUTED_VALUE"""),45301.66666666667)</f>
        <v>45301.66667</v>
      </c>
      <c r="B825" s="1">
        <f>IFERROR(__xludf.DUMMYFUNCTION("""COMPUTED_VALUE"""),264.13)</f>
        <v>264.13</v>
      </c>
    </row>
    <row r="826">
      <c r="A826" s="2">
        <f>IFERROR(__xludf.DUMMYFUNCTION("""COMPUTED_VALUE"""),45302.66666666667)</f>
        <v>45302.66667</v>
      </c>
      <c r="B826" s="1">
        <f>IFERROR(__xludf.DUMMYFUNCTION("""COMPUTED_VALUE"""),271.38)</f>
        <v>271.38</v>
      </c>
    </row>
    <row r="827">
      <c r="A827" s="2">
        <f>IFERROR(__xludf.DUMMYFUNCTION("""COMPUTED_VALUE"""),45303.66666666667)</f>
        <v>45303.66667</v>
      </c>
      <c r="B827" s="1">
        <f>IFERROR(__xludf.DUMMYFUNCTION("""COMPUTED_VALUE"""),271.93)</f>
        <v>271.93</v>
      </c>
    </row>
    <row r="828">
      <c r="A828" s="2">
        <f>IFERROR(__xludf.DUMMYFUNCTION("""COMPUTED_VALUE"""),45307.66666666667)</f>
        <v>45307.66667</v>
      </c>
      <c r="B828" s="1">
        <f>IFERROR(__xludf.DUMMYFUNCTION("""COMPUTED_VALUE"""),269.19)</f>
        <v>269.19</v>
      </c>
    </row>
    <row r="829">
      <c r="A829" s="2">
        <f>IFERROR(__xludf.DUMMYFUNCTION("""COMPUTED_VALUE"""),45308.66666666667)</f>
        <v>45308.66667</v>
      </c>
      <c r="B829" s="1">
        <f>IFERROR(__xludf.DUMMYFUNCTION("""COMPUTED_VALUE"""),271.44)</f>
        <v>271.44</v>
      </c>
    </row>
    <row r="830">
      <c r="A830" s="2">
        <f>IFERROR(__xludf.DUMMYFUNCTION("""COMPUTED_VALUE"""),45309.66666666667)</f>
        <v>45309.66667</v>
      </c>
      <c r="B830" s="1">
        <f>IFERROR(__xludf.DUMMYFUNCTION("""COMPUTED_VALUE"""),274.46)</f>
        <v>274.46</v>
      </c>
    </row>
    <row r="831">
      <c r="A831" s="2">
        <f>IFERROR(__xludf.DUMMYFUNCTION("""COMPUTED_VALUE"""),45310.66666666667)</f>
        <v>45310.66667</v>
      </c>
      <c r="B831" s="1">
        <f>IFERROR(__xludf.DUMMYFUNCTION("""COMPUTED_VALUE"""),280.88)</f>
        <v>280.88</v>
      </c>
    </row>
    <row r="832">
      <c r="A832" s="2">
        <f>IFERROR(__xludf.DUMMYFUNCTION("""COMPUTED_VALUE"""),45313.66666666667)</f>
        <v>45313.66667</v>
      </c>
      <c r="B832" s="1">
        <f>IFERROR(__xludf.DUMMYFUNCTION("""COMPUTED_VALUE"""),280.3)</f>
        <v>280.3</v>
      </c>
    </row>
    <row r="833">
      <c r="A833" s="2">
        <f>IFERROR(__xludf.DUMMYFUNCTION("""COMPUTED_VALUE"""),45314.66666666667)</f>
        <v>45314.66667</v>
      </c>
      <c r="B833" s="1">
        <f>IFERROR(__xludf.DUMMYFUNCTION("""COMPUTED_VALUE"""),276.77)</f>
        <v>276.77</v>
      </c>
    </row>
    <row r="834">
      <c r="A834" s="2">
        <f>IFERROR(__xludf.DUMMYFUNCTION("""COMPUTED_VALUE"""),45315.66666666667)</f>
        <v>45315.66667</v>
      </c>
      <c r="B834" s="1">
        <f>IFERROR(__xludf.DUMMYFUNCTION("""COMPUTED_VALUE"""),276.88)</f>
        <v>276.88</v>
      </c>
    </row>
    <row r="835">
      <c r="A835" s="2">
        <f>IFERROR(__xludf.DUMMYFUNCTION("""COMPUTED_VALUE"""),45316.66666666667)</f>
        <v>45316.66667</v>
      </c>
      <c r="B835" s="1">
        <f>IFERROR(__xludf.DUMMYFUNCTION("""COMPUTED_VALUE"""),279.03)</f>
        <v>279.03</v>
      </c>
    </row>
    <row r="836">
      <c r="A836" s="2">
        <f>IFERROR(__xludf.DUMMYFUNCTION("""COMPUTED_VALUE"""),45317.66666666667)</f>
        <v>45317.66667</v>
      </c>
      <c r="B836" s="1">
        <f>IFERROR(__xludf.DUMMYFUNCTION("""COMPUTED_VALUE"""),279.94)</f>
        <v>279.94</v>
      </c>
    </row>
    <row r="837">
      <c r="A837" s="2">
        <f>IFERROR(__xludf.DUMMYFUNCTION("""COMPUTED_VALUE"""),45320.66666666667)</f>
        <v>45320.66667</v>
      </c>
      <c r="B837" s="1">
        <f>IFERROR(__xludf.DUMMYFUNCTION("""COMPUTED_VALUE"""),287.86)</f>
        <v>287.86</v>
      </c>
    </row>
    <row r="838">
      <c r="A838" s="2">
        <f>IFERROR(__xludf.DUMMYFUNCTION("""COMPUTED_VALUE"""),45321.66666666667)</f>
        <v>45321.66667</v>
      </c>
      <c r="B838" s="1">
        <f>IFERROR(__xludf.DUMMYFUNCTION("""COMPUTED_VALUE"""),287.73)</f>
        <v>287.73</v>
      </c>
    </row>
    <row r="839">
      <c r="A839" s="2">
        <f>IFERROR(__xludf.DUMMYFUNCTION("""COMPUTED_VALUE"""),45322.66666666667)</f>
        <v>45322.66667</v>
      </c>
      <c r="B839" s="1">
        <f>IFERROR(__xludf.DUMMYFUNCTION("""COMPUTED_VALUE"""),281.09)</f>
        <v>281.09</v>
      </c>
    </row>
    <row r="840">
      <c r="A840" s="2">
        <f>IFERROR(__xludf.DUMMYFUNCTION("""COMPUTED_VALUE"""),45323.66666666667)</f>
        <v>45323.66667</v>
      </c>
      <c r="B840" s="1">
        <f>IFERROR(__xludf.DUMMYFUNCTION("""COMPUTED_VALUE"""),283.8)</f>
        <v>283.8</v>
      </c>
    </row>
    <row r="841">
      <c r="A841" s="2">
        <f>IFERROR(__xludf.DUMMYFUNCTION("""COMPUTED_VALUE"""),45324.66666666667)</f>
        <v>45324.66667</v>
      </c>
      <c r="B841" s="1">
        <f>IFERROR(__xludf.DUMMYFUNCTION("""COMPUTED_VALUE"""),285.66)</f>
        <v>285.66</v>
      </c>
    </row>
    <row r="842">
      <c r="A842" s="2">
        <f>IFERROR(__xludf.DUMMYFUNCTION("""COMPUTED_VALUE"""),45327.66666666667)</f>
        <v>45327.66667</v>
      </c>
      <c r="B842" s="1">
        <f>IFERROR(__xludf.DUMMYFUNCTION("""COMPUTED_VALUE"""),288.11)</f>
        <v>288.11</v>
      </c>
    </row>
    <row r="843">
      <c r="A843" s="2">
        <f>IFERROR(__xludf.DUMMYFUNCTION("""COMPUTED_VALUE"""),45328.66666666667)</f>
        <v>45328.66667</v>
      </c>
      <c r="B843" s="1">
        <f>IFERROR(__xludf.DUMMYFUNCTION("""COMPUTED_VALUE"""),285.83)</f>
        <v>285.83</v>
      </c>
    </row>
    <row r="844">
      <c r="A844" s="2">
        <f>IFERROR(__xludf.DUMMYFUNCTION("""COMPUTED_VALUE"""),45329.66666666667)</f>
        <v>45329.66667</v>
      </c>
      <c r="B844" s="1">
        <f>IFERROR(__xludf.DUMMYFUNCTION("""COMPUTED_VALUE"""),288.84)</f>
        <v>288.84</v>
      </c>
    </row>
    <row r="845">
      <c r="A845" s="2">
        <f>IFERROR(__xludf.DUMMYFUNCTION("""COMPUTED_VALUE"""),45330.66666666667)</f>
        <v>45330.66667</v>
      </c>
      <c r="B845" s="1">
        <f>IFERROR(__xludf.DUMMYFUNCTION("""COMPUTED_VALUE"""),291.95)</f>
        <v>291.95</v>
      </c>
    </row>
    <row r="846">
      <c r="A846" s="2">
        <f>IFERROR(__xludf.DUMMYFUNCTION("""COMPUTED_VALUE"""),45331.66666666667)</f>
        <v>45331.66667</v>
      </c>
      <c r="B846" s="1">
        <f>IFERROR(__xludf.DUMMYFUNCTION("""COMPUTED_VALUE"""),291.3)</f>
        <v>291.3</v>
      </c>
    </row>
    <row r="847">
      <c r="A847" s="2">
        <f>IFERROR(__xludf.DUMMYFUNCTION("""COMPUTED_VALUE"""),45334.66666666667)</f>
        <v>45334.66667</v>
      </c>
      <c r="B847" s="1">
        <f>IFERROR(__xludf.DUMMYFUNCTION("""COMPUTED_VALUE"""),287.32)</f>
        <v>287.32</v>
      </c>
    </row>
    <row r="848">
      <c r="A848" s="2">
        <f>IFERROR(__xludf.DUMMYFUNCTION("""COMPUTED_VALUE"""),45335.66666666667)</f>
        <v>45335.66667</v>
      </c>
      <c r="B848" s="1">
        <f>IFERROR(__xludf.DUMMYFUNCTION("""COMPUTED_VALUE"""),281.15)</f>
        <v>281.15</v>
      </c>
    </row>
    <row r="849">
      <c r="A849" s="2">
        <f>IFERROR(__xludf.DUMMYFUNCTION("""COMPUTED_VALUE"""),45336.66666666667)</f>
        <v>45336.66667</v>
      </c>
      <c r="B849" s="1">
        <f>IFERROR(__xludf.DUMMYFUNCTION("""COMPUTED_VALUE"""),289.15)</f>
        <v>289.15</v>
      </c>
    </row>
    <row r="850">
      <c r="A850" s="2">
        <f>IFERROR(__xludf.DUMMYFUNCTION("""COMPUTED_VALUE"""),45337.66666666667)</f>
        <v>45337.66667</v>
      </c>
      <c r="B850" s="1">
        <f>IFERROR(__xludf.DUMMYFUNCTION("""COMPUTED_VALUE"""),291.94)</f>
        <v>291.94</v>
      </c>
    </row>
    <row r="851">
      <c r="A851" s="2">
        <f>IFERROR(__xludf.DUMMYFUNCTION("""COMPUTED_VALUE"""),45338.66666666667)</f>
        <v>45338.66667</v>
      </c>
      <c r="B851" s="1">
        <f>IFERROR(__xludf.DUMMYFUNCTION("""COMPUTED_VALUE"""),289.72)</f>
        <v>289.72</v>
      </c>
    </row>
    <row r="852">
      <c r="A852" s="2">
        <f>IFERROR(__xludf.DUMMYFUNCTION("""COMPUTED_VALUE"""),45342.66666666667)</f>
        <v>45342.66667</v>
      </c>
      <c r="B852" s="1">
        <f>IFERROR(__xludf.DUMMYFUNCTION("""COMPUTED_VALUE"""),286.39)</f>
        <v>286.39</v>
      </c>
    </row>
    <row r="853">
      <c r="A853" s="2">
        <f>IFERROR(__xludf.DUMMYFUNCTION("""COMPUTED_VALUE"""),45343.66666666667)</f>
        <v>45343.66667</v>
      </c>
      <c r="B853" s="1">
        <f>IFERROR(__xludf.DUMMYFUNCTION("""COMPUTED_VALUE"""),283.55)</f>
        <v>283.55</v>
      </c>
    </row>
    <row r="854">
      <c r="A854" s="2">
        <f>IFERROR(__xludf.DUMMYFUNCTION("""COMPUTED_VALUE"""),45344.66666666667)</f>
        <v>45344.66667</v>
      </c>
      <c r="B854" s="1">
        <f>IFERROR(__xludf.DUMMYFUNCTION("""COMPUTED_VALUE"""),293.65)</f>
        <v>293.65</v>
      </c>
    </row>
    <row r="855">
      <c r="A855" s="2">
        <f>IFERROR(__xludf.DUMMYFUNCTION("""COMPUTED_VALUE"""),45345.66666666667)</f>
        <v>45345.66667</v>
      </c>
      <c r="B855" s="1">
        <f>IFERROR(__xludf.DUMMYFUNCTION("""COMPUTED_VALUE"""),292.8)</f>
        <v>292.8</v>
      </c>
    </row>
    <row r="856">
      <c r="A856" s="2">
        <f>IFERROR(__xludf.DUMMYFUNCTION("""COMPUTED_VALUE"""),45348.66666666667)</f>
        <v>45348.66667</v>
      </c>
      <c r="B856" s="1">
        <f>IFERROR(__xludf.DUMMYFUNCTION("""COMPUTED_VALUE"""),300.39)</f>
        <v>300.39</v>
      </c>
    </row>
    <row r="857">
      <c r="A857" s="2">
        <f>IFERROR(__xludf.DUMMYFUNCTION("""COMPUTED_VALUE"""),45349.66666666667)</f>
        <v>45349.66667</v>
      </c>
      <c r="B857" s="1">
        <f>IFERROR(__xludf.DUMMYFUNCTION("""COMPUTED_VALUE"""),299.5)</f>
        <v>299.5</v>
      </c>
    </row>
    <row r="858">
      <c r="A858" s="2">
        <f>IFERROR(__xludf.DUMMYFUNCTION("""COMPUTED_VALUE"""),45350.66666666667)</f>
        <v>45350.66667</v>
      </c>
      <c r="B858" s="1">
        <f>IFERROR(__xludf.DUMMYFUNCTION("""COMPUTED_VALUE"""),299.77)</f>
        <v>299.77</v>
      </c>
    </row>
    <row r="859">
      <c r="A859" s="2">
        <f>IFERROR(__xludf.DUMMYFUNCTION("""COMPUTED_VALUE"""),45351.66666666667)</f>
        <v>45351.66667</v>
      </c>
      <c r="B859" s="1">
        <f>IFERROR(__xludf.DUMMYFUNCTION("""COMPUTED_VALUE"""),308.82)</f>
        <v>308.82</v>
      </c>
    </row>
    <row r="860">
      <c r="A860" s="2">
        <f>IFERROR(__xludf.DUMMYFUNCTION("""COMPUTED_VALUE"""),45352.66666666667)</f>
        <v>45352.66667</v>
      </c>
      <c r="B860" s="1">
        <f>IFERROR(__xludf.DUMMYFUNCTION("""COMPUTED_VALUE"""),316.88)</f>
        <v>316.88</v>
      </c>
    </row>
    <row r="861">
      <c r="A861" s="2">
        <f>IFERROR(__xludf.DUMMYFUNCTION("""COMPUTED_VALUE"""),45355.66666666667)</f>
        <v>45355.66667</v>
      </c>
      <c r="B861" s="1">
        <f>IFERROR(__xludf.DUMMYFUNCTION("""COMPUTED_VALUE"""),314.64)</f>
        <v>314.64</v>
      </c>
    </row>
    <row r="862">
      <c r="A862" s="2">
        <f>IFERROR(__xludf.DUMMYFUNCTION("""COMPUTED_VALUE"""),45356.66666666667)</f>
        <v>45356.66667</v>
      </c>
      <c r="B862" s="1">
        <f>IFERROR(__xludf.DUMMYFUNCTION("""COMPUTED_VALUE"""),298.75)</f>
        <v>298.75</v>
      </c>
    </row>
    <row r="863">
      <c r="A863" s="2">
        <f>IFERROR(__xludf.DUMMYFUNCTION("""COMPUTED_VALUE"""),45357.66666666667)</f>
        <v>45357.66667</v>
      </c>
      <c r="B863" s="1">
        <f>IFERROR(__xludf.DUMMYFUNCTION("""COMPUTED_VALUE"""),303.77)</f>
        <v>303.77</v>
      </c>
    </row>
    <row r="864">
      <c r="A864" s="2">
        <f>IFERROR(__xludf.DUMMYFUNCTION("""COMPUTED_VALUE"""),45358.66666666667)</f>
        <v>45358.66667</v>
      </c>
      <c r="B864" s="1">
        <f>IFERROR(__xludf.DUMMYFUNCTION("""COMPUTED_VALUE"""),302.42)</f>
        <v>302.42</v>
      </c>
    </row>
    <row r="865">
      <c r="A865" s="2">
        <f>IFERROR(__xludf.DUMMYFUNCTION("""COMPUTED_VALUE"""),45359.66666666667)</f>
        <v>45359.66667</v>
      </c>
      <c r="B865" s="1">
        <f>IFERROR(__xludf.DUMMYFUNCTION("""COMPUTED_VALUE"""),305.28)</f>
        <v>305.28</v>
      </c>
    </row>
    <row r="866">
      <c r="A866" s="2">
        <f>IFERROR(__xludf.DUMMYFUNCTION("""COMPUTED_VALUE"""),45362.66666666667)</f>
        <v>45362.66667</v>
      </c>
      <c r="B866" s="1">
        <f>IFERROR(__xludf.DUMMYFUNCTION("""COMPUTED_VALUE"""),306.0)</f>
        <v>306</v>
      </c>
    </row>
    <row r="867">
      <c r="A867" s="2">
        <f>IFERROR(__xludf.DUMMYFUNCTION("""COMPUTED_VALUE"""),45363.66666666667)</f>
        <v>45363.66667</v>
      </c>
      <c r="B867" s="1">
        <f>IFERROR(__xludf.DUMMYFUNCTION("""COMPUTED_VALUE"""),306.62)</f>
        <v>306.62</v>
      </c>
    </row>
    <row r="868">
      <c r="A868" s="2">
        <f>IFERROR(__xludf.DUMMYFUNCTION("""COMPUTED_VALUE"""),45364.66666666667)</f>
        <v>45364.66667</v>
      </c>
      <c r="B868" s="1">
        <f>IFERROR(__xludf.DUMMYFUNCTION("""COMPUTED_VALUE"""),304.68)</f>
        <v>304.68</v>
      </c>
    </row>
    <row r="869">
      <c r="A869" s="2">
        <f>IFERROR(__xludf.DUMMYFUNCTION("""COMPUTED_VALUE"""),45365.66666666667)</f>
        <v>45365.66667</v>
      </c>
      <c r="B869" s="1">
        <f>IFERROR(__xludf.DUMMYFUNCTION("""COMPUTED_VALUE"""),303.32)</f>
        <v>303.32</v>
      </c>
    </row>
    <row r="870">
      <c r="A870" s="2">
        <f>IFERROR(__xludf.DUMMYFUNCTION("""COMPUTED_VALUE"""),45366.66666666667)</f>
        <v>45366.66667</v>
      </c>
      <c r="B870" s="1">
        <f>IFERROR(__xludf.DUMMYFUNCTION("""COMPUTED_VALUE"""),294.33)</f>
        <v>294.33</v>
      </c>
    </row>
    <row r="871">
      <c r="A871" s="2">
        <f>IFERROR(__xludf.DUMMYFUNCTION("""COMPUTED_VALUE"""),45369.66666666667)</f>
        <v>45369.66667</v>
      </c>
      <c r="B871" s="1">
        <f>IFERROR(__xludf.DUMMYFUNCTION("""COMPUTED_VALUE"""),300.51)</f>
        <v>300.51</v>
      </c>
    </row>
    <row r="872">
      <c r="A872" s="2">
        <f>IFERROR(__xludf.DUMMYFUNCTION("""COMPUTED_VALUE"""),45370.66666666667)</f>
        <v>45370.66667</v>
      </c>
      <c r="B872" s="1">
        <f>IFERROR(__xludf.DUMMYFUNCTION("""COMPUTED_VALUE"""),301.45)</f>
        <v>301.45</v>
      </c>
    </row>
    <row r="873">
      <c r="A873" s="2">
        <f>IFERROR(__xludf.DUMMYFUNCTION("""COMPUTED_VALUE"""),45371.66666666667)</f>
        <v>45371.66667</v>
      </c>
      <c r="B873" s="1">
        <f>IFERROR(__xludf.DUMMYFUNCTION("""COMPUTED_VALUE"""),306.08)</f>
        <v>306.08</v>
      </c>
    </row>
    <row r="874">
      <c r="A874" s="2">
        <f>IFERROR(__xludf.DUMMYFUNCTION("""COMPUTED_VALUE"""),45372.66666666667)</f>
        <v>45372.66667</v>
      </c>
      <c r="B874" s="1">
        <f>IFERROR(__xludf.DUMMYFUNCTION("""COMPUTED_VALUE"""),308.39)</f>
        <v>308.39</v>
      </c>
    </row>
    <row r="875">
      <c r="A875" s="2">
        <f>IFERROR(__xludf.DUMMYFUNCTION("""COMPUTED_VALUE"""),45373.66666666667)</f>
        <v>45373.66667</v>
      </c>
      <c r="B875" s="1">
        <f>IFERROR(__xludf.DUMMYFUNCTION("""COMPUTED_VALUE"""),307.77)</f>
        <v>307.77</v>
      </c>
    </row>
    <row r="876">
      <c r="A876" s="2">
        <f>IFERROR(__xludf.DUMMYFUNCTION("""COMPUTED_VALUE"""),45376.66666666667)</f>
        <v>45376.66667</v>
      </c>
      <c r="B876" s="1">
        <f>IFERROR(__xludf.DUMMYFUNCTION("""COMPUTED_VALUE"""),306.06)</f>
        <v>306.06</v>
      </c>
    </row>
    <row r="877">
      <c r="A877" s="2">
        <f>IFERROR(__xludf.DUMMYFUNCTION("""COMPUTED_VALUE"""),45377.66666666667)</f>
        <v>45377.66667</v>
      </c>
      <c r="B877" s="1">
        <f>IFERROR(__xludf.DUMMYFUNCTION("""COMPUTED_VALUE"""),305.83)</f>
        <v>305.83</v>
      </c>
    </row>
    <row r="878">
      <c r="A878" s="2">
        <f>IFERROR(__xludf.DUMMYFUNCTION("""COMPUTED_VALUE"""),45378.66666666667)</f>
        <v>45378.66667</v>
      </c>
      <c r="B878" s="1">
        <f>IFERROR(__xludf.DUMMYFUNCTION("""COMPUTED_VALUE"""),301.38)</f>
        <v>301.38</v>
      </c>
    </row>
    <row r="879">
      <c r="A879" s="2">
        <f>IFERROR(__xludf.DUMMYFUNCTION("""COMPUTED_VALUE"""),45379.66666666667)</f>
        <v>45379.66667</v>
      </c>
      <c r="B879" s="1">
        <f>IFERROR(__xludf.DUMMYFUNCTION("""COMPUTED_VALUE"""),301.18)</f>
        <v>301.18</v>
      </c>
    </row>
    <row r="880">
      <c r="A880" s="2">
        <f>IFERROR(__xludf.DUMMYFUNCTION("""COMPUTED_VALUE"""),45383.66666666667)</f>
        <v>45383.66667</v>
      </c>
      <c r="B880" s="1">
        <f>IFERROR(__xludf.DUMMYFUNCTION("""COMPUTED_VALUE"""),302.26)</f>
        <v>302.26</v>
      </c>
    </row>
    <row r="881">
      <c r="A881" s="2">
        <f>IFERROR(__xludf.DUMMYFUNCTION("""COMPUTED_VALUE"""),45384.66666666667)</f>
        <v>45384.66667</v>
      </c>
      <c r="B881" s="1">
        <f>IFERROR(__xludf.DUMMYFUNCTION("""COMPUTED_VALUE"""),304.0)</f>
        <v>304</v>
      </c>
    </row>
    <row r="882">
      <c r="A882" s="2">
        <f>IFERROR(__xludf.DUMMYFUNCTION("""COMPUTED_VALUE"""),45385.66666666667)</f>
        <v>45385.66667</v>
      </c>
      <c r="B882" s="1">
        <f>IFERROR(__xludf.DUMMYFUNCTION("""COMPUTED_VALUE"""),304.74)</f>
        <v>304.74</v>
      </c>
    </row>
    <row r="883">
      <c r="A883" s="2">
        <f>IFERROR(__xludf.DUMMYFUNCTION("""COMPUTED_VALUE"""),45386.66666666667)</f>
        <v>45386.66667</v>
      </c>
      <c r="B883" s="1">
        <f>IFERROR(__xludf.DUMMYFUNCTION("""COMPUTED_VALUE"""),294.14)</f>
        <v>294.14</v>
      </c>
    </row>
    <row r="884">
      <c r="A884" s="2">
        <f>IFERROR(__xludf.DUMMYFUNCTION("""COMPUTED_VALUE"""),45387.66666666667)</f>
        <v>45387.66667</v>
      </c>
      <c r="B884" s="1">
        <f>IFERROR(__xludf.DUMMYFUNCTION("""COMPUTED_VALUE"""),301.91)</f>
        <v>301.91</v>
      </c>
    </row>
    <row r="885">
      <c r="A885" s="2">
        <f>IFERROR(__xludf.DUMMYFUNCTION("""COMPUTED_VALUE"""),45390.66666666667)</f>
        <v>45390.66667</v>
      </c>
      <c r="B885" s="1">
        <f>IFERROR(__xludf.DUMMYFUNCTION("""COMPUTED_VALUE"""),301.73)</f>
        <v>301.73</v>
      </c>
    </row>
    <row r="886">
      <c r="A886" s="2">
        <f>IFERROR(__xludf.DUMMYFUNCTION("""COMPUTED_VALUE"""),45391.66666666667)</f>
        <v>45391.66667</v>
      </c>
      <c r="B886" s="1">
        <f>IFERROR(__xludf.DUMMYFUNCTION("""COMPUTED_VALUE"""),302.37)</f>
        <v>302.37</v>
      </c>
    </row>
    <row r="887">
      <c r="A887" s="2">
        <f>IFERROR(__xludf.DUMMYFUNCTION("""COMPUTED_VALUE"""),45392.66666666667)</f>
        <v>45392.66667</v>
      </c>
      <c r="B887" s="1">
        <f>IFERROR(__xludf.DUMMYFUNCTION("""COMPUTED_VALUE"""),299.62)</f>
        <v>299.62</v>
      </c>
    </row>
    <row r="888">
      <c r="A888" s="2">
        <f>IFERROR(__xludf.DUMMYFUNCTION("""COMPUTED_VALUE"""),45393.66666666667)</f>
        <v>45393.66667</v>
      </c>
      <c r="B888" s="1">
        <f>IFERROR(__xludf.DUMMYFUNCTION("""COMPUTED_VALUE"""),299.15)</f>
        <v>299.15</v>
      </c>
    </row>
    <row r="889">
      <c r="A889" s="2">
        <f>IFERROR(__xludf.DUMMYFUNCTION("""COMPUTED_VALUE"""),45394.66666666667)</f>
        <v>45394.66667</v>
      </c>
      <c r="B889" s="1">
        <f>IFERROR(__xludf.DUMMYFUNCTION("""COMPUTED_VALUE"""),294.32)</f>
        <v>294.32</v>
      </c>
    </row>
    <row r="890">
      <c r="A890" s="2">
        <f>IFERROR(__xludf.DUMMYFUNCTION("""COMPUTED_VALUE"""),45397.66666666667)</f>
        <v>45397.66667</v>
      </c>
      <c r="B890" s="1">
        <f>IFERROR(__xludf.DUMMYFUNCTION("""COMPUTED_VALUE"""),272.9)</f>
        <v>272.9</v>
      </c>
    </row>
    <row r="891">
      <c r="A891" s="2">
        <f>IFERROR(__xludf.DUMMYFUNCTION("""COMPUTED_VALUE"""),45398.66666666667)</f>
        <v>45398.66667</v>
      </c>
      <c r="B891" s="1">
        <f>IFERROR(__xludf.DUMMYFUNCTION("""COMPUTED_VALUE"""),277.41)</f>
        <v>277.41</v>
      </c>
    </row>
    <row r="892">
      <c r="A892" s="2">
        <f>IFERROR(__xludf.DUMMYFUNCTION("""COMPUTED_VALUE"""),45399.66666666667)</f>
        <v>45399.66667</v>
      </c>
      <c r="B892" s="1">
        <f>IFERROR(__xludf.DUMMYFUNCTION("""COMPUTED_VALUE"""),276.32)</f>
        <v>276.32</v>
      </c>
    </row>
    <row r="893">
      <c r="A893" s="2">
        <f>IFERROR(__xludf.DUMMYFUNCTION("""COMPUTED_VALUE"""),45400.66666666667)</f>
        <v>45400.66667</v>
      </c>
      <c r="B893" s="1">
        <f>IFERROR(__xludf.DUMMYFUNCTION("""COMPUTED_VALUE"""),271.92)</f>
        <v>271.92</v>
      </c>
    </row>
    <row r="894">
      <c r="A894" s="2">
        <f>IFERROR(__xludf.DUMMYFUNCTION("""COMPUTED_VALUE"""),45401.66666666667)</f>
        <v>45401.66667</v>
      </c>
      <c r="B894" s="1">
        <f>IFERROR(__xludf.DUMMYFUNCTION("""COMPUTED_VALUE"""),270.37)</f>
        <v>270.37</v>
      </c>
    </row>
    <row r="895">
      <c r="A895" s="2">
        <f>IFERROR(__xludf.DUMMYFUNCTION("""COMPUTED_VALUE"""),45404.66666666667)</f>
        <v>45404.66667</v>
      </c>
      <c r="B895" s="1">
        <f>IFERROR(__xludf.DUMMYFUNCTION("""COMPUTED_VALUE"""),273.81)</f>
        <v>273.81</v>
      </c>
    </row>
    <row r="896">
      <c r="A896" s="2">
        <f>IFERROR(__xludf.DUMMYFUNCTION("""COMPUTED_VALUE"""),45405.66666666667)</f>
        <v>45405.66667</v>
      </c>
      <c r="B896" s="1">
        <f>IFERROR(__xludf.DUMMYFUNCTION("""COMPUTED_VALUE"""),276.68)</f>
        <v>276.68</v>
      </c>
    </row>
    <row r="897">
      <c r="A897" s="2">
        <f>IFERROR(__xludf.DUMMYFUNCTION("""COMPUTED_VALUE"""),45406.66666666667)</f>
        <v>45406.66667</v>
      </c>
      <c r="B897" s="1">
        <f>IFERROR(__xludf.DUMMYFUNCTION("""COMPUTED_VALUE"""),276.19)</f>
        <v>276.19</v>
      </c>
    </row>
    <row r="898">
      <c r="A898" s="2">
        <f>IFERROR(__xludf.DUMMYFUNCTION("""COMPUTED_VALUE"""),45407.66666666667)</f>
        <v>45407.66667</v>
      </c>
      <c r="B898" s="1">
        <f>IFERROR(__xludf.DUMMYFUNCTION("""COMPUTED_VALUE"""),273.14)</f>
        <v>273.14</v>
      </c>
    </row>
    <row r="899">
      <c r="A899" s="2">
        <f>IFERROR(__xludf.DUMMYFUNCTION("""COMPUTED_VALUE"""),45408.66666666667)</f>
        <v>45408.66667</v>
      </c>
      <c r="B899" s="1">
        <f>IFERROR(__xludf.DUMMYFUNCTION("""COMPUTED_VALUE"""),274.29)</f>
        <v>274.29</v>
      </c>
    </row>
    <row r="900">
      <c r="A900" s="2">
        <f>IFERROR(__xludf.DUMMYFUNCTION("""COMPUTED_VALUE"""),45411.66666666667)</f>
        <v>45411.66667</v>
      </c>
      <c r="B900" s="1">
        <f>IFERROR(__xludf.DUMMYFUNCTION("""COMPUTED_VALUE"""),275.74)</f>
        <v>275.74</v>
      </c>
    </row>
    <row r="901">
      <c r="A901" s="2">
        <f>IFERROR(__xludf.DUMMYFUNCTION("""COMPUTED_VALUE"""),45412.66666666667)</f>
        <v>45412.66667</v>
      </c>
      <c r="B901" s="1">
        <f>IFERROR(__xludf.DUMMYFUNCTION("""COMPUTED_VALUE"""),268.94)</f>
        <v>268.94</v>
      </c>
    </row>
    <row r="902">
      <c r="A902" s="2">
        <f>IFERROR(__xludf.DUMMYFUNCTION("""COMPUTED_VALUE"""),45413.66666666667)</f>
        <v>45413.66667</v>
      </c>
      <c r="B902" s="1">
        <f>IFERROR(__xludf.DUMMYFUNCTION("""COMPUTED_VALUE"""),268.69)</f>
        <v>268.69</v>
      </c>
    </row>
    <row r="903">
      <c r="A903" s="2">
        <f>IFERROR(__xludf.DUMMYFUNCTION("""COMPUTED_VALUE"""),45414.66666666667)</f>
        <v>45414.66667</v>
      </c>
      <c r="B903" s="1">
        <f>IFERROR(__xludf.DUMMYFUNCTION("""COMPUTED_VALUE"""),272.13)</f>
        <v>272.13</v>
      </c>
    </row>
    <row r="904">
      <c r="A904" s="2">
        <f>IFERROR(__xludf.DUMMYFUNCTION("""COMPUTED_VALUE"""),45415.66666666667)</f>
        <v>45415.66667</v>
      </c>
      <c r="B904" s="1">
        <f>IFERROR(__xludf.DUMMYFUNCTION("""COMPUTED_VALUE"""),273.66)</f>
        <v>273.66</v>
      </c>
    </row>
    <row r="905">
      <c r="A905" s="2">
        <f>IFERROR(__xludf.DUMMYFUNCTION("""COMPUTED_VALUE"""),45418.66666666667)</f>
        <v>45418.66667</v>
      </c>
      <c r="B905" s="1">
        <f>IFERROR(__xludf.DUMMYFUNCTION("""COMPUTED_VALUE"""),275.63)</f>
        <v>275.63</v>
      </c>
    </row>
    <row r="906">
      <c r="A906" s="2">
        <f>IFERROR(__xludf.DUMMYFUNCTION("""COMPUTED_VALUE"""),45419.66666666667)</f>
        <v>45419.66667</v>
      </c>
      <c r="B906" s="1">
        <f>IFERROR(__xludf.DUMMYFUNCTION("""COMPUTED_VALUE"""),277.18)</f>
        <v>277.18</v>
      </c>
    </row>
    <row r="907">
      <c r="A907" s="2">
        <f>IFERROR(__xludf.DUMMYFUNCTION("""COMPUTED_VALUE"""),45420.66666666667)</f>
        <v>45420.66667</v>
      </c>
      <c r="B907" s="1">
        <f>IFERROR(__xludf.DUMMYFUNCTION("""COMPUTED_VALUE"""),278.97)</f>
        <v>278.97</v>
      </c>
    </row>
    <row r="908">
      <c r="A908" s="2">
        <f>IFERROR(__xludf.DUMMYFUNCTION("""COMPUTED_VALUE"""),45421.66666666667)</f>
        <v>45421.66667</v>
      </c>
      <c r="B908" s="1">
        <f>IFERROR(__xludf.DUMMYFUNCTION("""COMPUTED_VALUE"""),275.17)</f>
        <v>275.17</v>
      </c>
    </row>
    <row r="909">
      <c r="A909" s="2">
        <f>IFERROR(__xludf.DUMMYFUNCTION("""COMPUTED_VALUE"""),45422.66666666667)</f>
        <v>45422.66667</v>
      </c>
      <c r="B909" s="1">
        <f>IFERROR(__xludf.DUMMYFUNCTION("""COMPUTED_VALUE"""),276.67)</f>
        <v>276.67</v>
      </c>
    </row>
    <row r="910">
      <c r="A910" s="2">
        <f>IFERROR(__xludf.DUMMYFUNCTION("""COMPUTED_VALUE"""),45425.66666666667)</f>
        <v>45425.66667</v>
      </c>
      <c r="B910" s="1">
        <f>IFERROR(__xludf.DUMMYFUNCTION("""COMPUTED_VALUE"""),277.52)</f>
        <v>277.52</v>
      </c>
    </row>
    <row r="911">
      <c r="A911" s="2">
        <f>IFERROR(__xludf.DUMMYFUNCTION("""COMPUTED_VALUE"""),45426.66666666667)</f>
        <v>45426.66667</v>
      </c>
      <c r="B911" s="1">
        <f>IFERROR(__xludf.DUMMYFUNCTION("""COMPUTED_VALUE"""),276.8)</f>
        <v>276.8</v>
      </c>
    </row>
    <row r="912">
      <c r="A912" s="2">
        <f>IFERROR(__xludf.DUMMYFUNCTION("""COMPUTED_VALUE"""),45427.66666666667)</f>
        <v>45427.66667</v>
      </c>
      <c r="B912" s="1">
        <f>IFERROR(__xludf.DUMMYFUNCTION("""COMPUTED_VALUE"""),287.54)</f>
        <v>287.54</v>
      </c>
    </row>
    <row r="913">
      <c r="A913" s="2">
        <f>IFERROR(__xludf.DUMMYFUNCTION("""COMPUTED_VALUE"""),45428.66666666667)</f>
        <v>45428.66667</v>
      </c>
      <c r="B913" s="1">
        <f>IFERROR(__xludf.DUMMYFUNCTION("""COMPUTED_VALUE"""),284.68)</f>
        <v>284.68</v>
      </c>
    </row>
    <row r="914">
      <c r="A914" s="2">
        <f>IFERROR(__xludf.DUMMYFUNCTION("""COMPUTED_VALUE"""),45429.66666666667)</f>
        <v>45429.66667</v>
      </c>
      <c r="B914" s="1">
        <f>IFERROR(__xludf.DUMMYFUNCTION("""COMPUTED_VALUE"""),285.61)</f>
        <v>285.61</v>
      </c>
    </row>
    <row r="915">
      <c r="A915" s="2">
        <f>IFERROR(__xludf.DUMMYFUNCTION("""COMPUTED_VALUE"""),45432.66666666667)</f>
        <v>45432.66667</v>
      </c>
      <c r="B915" s="1">
        <f>IFERROR(__xludf.DUMMYFUNCTION("""COMPUTED_VALUE"""),287.07)</f>
        <v>287.07</v>
      </c>
    </row>
    <row r="916">
      <c r="A916" s="2">
        <f>IFERROR(__xludf.DUMMYFUNCTION("""COMPUTED_VALUE"""),45433.66666666667)</f>
        <v>45433.66667</v>
      </c>
      <c r="B916" s="1">
        <f>IFERROR(__xludf.DUMMYFUNCTION("""COMPUTED_VALUE"""),283.76)</f>
        <v>283.76</v>
      </c>
    </row>
    <row r="917">
      <c r="A917" s="2">
        <f>IFERROR(__xludf.DUMMYFUNCTION("""COMPUTED_VALUE"""),45434.66666666667)</f>
        <v>45434.66667</v>
      </c>
      <c r="B917" s="1">
        <f>IFERROR(__xludf.DUMMYFUNCTION("""COMPUTED_VALUE"""),283.82)</f>
        <v>283.82</v>
      </c>
    </row>
    <row r="918">
      <c r="A918" s="2">
        <f>IFERROR(__xludf.DUMMYFUNCTION("""COMPUTED_VALUE"""),45435.66666666667)</f>
        <v>45435.66667</v>
      </c>
      <c r="B918" s="1">
        <f>IFERROR(__xludf.DUMMYFUNCTION("""COMPUTED_VALUE"""),278.57)</f>
        <v>278.57</v>
      </c>
    </row>
    <row r="919">
      <c r="A919" s="2">
        <f>IFERROR(__xludf.DUMMYFUNCTION("""COMPUTED_VALUE"""),45436.66666666667)</f>
        <v>45436.66667</v>
      </c>
      <c r="B919" s="1">
        <f>IFERROR(__xludf.DUMMYFUNCTION("""COMPUTED_VALUE"""),272.29)</f>
        <v>272.29</v>
      </c>
    </row>
    <row r="920">
      <c r="A920" s="2">
        <f>IFERROR(__xludf.DUMMYFUNCTION("""COMPUTED_VALUE"""),45440.66666666667)</f>
        <v>45440.66667</v>
      </c>
      <c r="B920" s="1">
        <f>IFERROR(__xludf.DUMMYFUNCTION("""COMPUTED_VALUE"""),269.83)</f>
        <v>269.83</v>
      </c>
    </row>
    <row r="921">
      <c r="A921" s="2">
        <f>IFERROR(__xludf.DUMMYFUNCTION("""COMPUTED_VALUE"""),45441.66666666667)</f>
        <v>45441.66667</v>
      </c>
      <c r="B921" s="1">
        <f>IFERROR(__xludf.DUMMYFUNCTION("""COMPUTED_VALUE"""),271.62)</f>
        <v>271.62</v>
      </c>
    </row>
    <row r="922">
      <c r="A922" s="2">
        <f>IFERROR(__xludf.DUMMYFUNCTION("""COMPUTED_VALUE"""),45442.66666666667)</f>
        <v>45442.66667</v>
      </c>
      <c r="B922" s="1">
        <f>IFERROR(__xludf.DUMMYFUNCTION("""COMPUTED_VALUE"""),218.01)</f>
        <v>218.01</v>
      </c>
    </row>
    <row r="923">
      <c r="A923" s="2">
        <f>IFERROR(__xludf.DUMMYFUNCTION("""COMPUTED_VALUE"""),45443.66666666667)</f>
        <v>45443.66667</v>
      </c>
      <c r="B923" s="1">
        <f>IFERROR(__xludf.DUMMYFUNCTION("""COMPUTED_VALUE"""),234.44)</f>
        <v>234.44</v>
      </c>
    </row>
    <row r="924">
      <c r="A924" s="2">
        <f>IFERROR(__xludf.DUMMYFUNCTION("""COMPUTED_VALUE"""),45446.66666666667)</f>
        <v>45446.66667</v>
      </c>
      <c r="B924" s="1">
        <f>IFERROR(__xludf.DUMMYFUNCTION("""COMPUTED_VALUE"""),236.62)</f>
        <v>236.62</v>
      </c>
    </row>
    <row r="925">
      <c r="A925" s="2">
        <f>IFERROR(__xludf.DUMMYFUNCTION("""COMPUTED_VALUE"""),45447.66666666667)</f>
        <v>45447.66667</v>
      </c>
      <c r="B925" s="1">
        <f>IFERROR(__xludf.DUMMYFUNCTION("""COMPUTED_VALUE"""),234.86)</f>
        <v>234.86</v>
      </c>
    </row>
    <row r="926">
      <c r="A926" s="2">
        <f>IFERROR(__xludf.DUMMYFUNCTION("""COMPUTED_VALUE"""),45448.66666666667)</f>
        <v>45448.66667</v>
      </c>
      <c r="B926" s="1">
        <f>IFERROR(__xludf.DUMMYFUNCTION("""COMPUTED_VALUE"""),236.53)</f>
        <v>236.53</v>
      </c>
    </row>
    <row r="927">
      <c r="A927" s="2">
        <f>IFERROR(__xludf.DUMMYFUNCTION("""COMPUTED_VALUE"""),45449.66666666667)</f>
        <v>45449.66667</v>
      </c>
      <c r="B927" s="1">
        <f>IFERROR(__xludf.DUMMYFUNCTION("""COMPUTED_VALUE"""),242.76)</f>
        <v>242.76</v>
      </c>
    </row>
    <row r="928">
      <c r="A928" s="2">
        <f>IFERROR(__xludf.DUMMYFUNCTION("""COMPUTED_VALUE"""),45450.66666666667)</f>
        <v>45450.66667</v>
      </c>
      <c r="B928" s="1">
        <f>IFERROR(__xludf.DUMMYFUNCTION("""COMPUTED_VALUE"""),241.85)</f>
        <v>241.85</v>
      </c>
    </row>
    <row r="929">
      <c r="A929" s="2">
        <f>IFERROR(__xludf.DUMMYFUNCTION("""COMPUTED_VALUE"""),45453.66666666667)</f>
        <v>45453.66667</v>
      </c>
      <c r="B929" s="1">
        <f>IFERROR(__xludf.DUMMYFUNCTION("""COMPUTED_VALUE"""),241.84)</f>
        <v>241.84</v>
      </c>
    </row>
    <row r="930">
      <c r="A930" s="2">
        <f>IFERROR(__xludf.DUMMYFUNCTION("""COMPUTED_VALUE"""),45454.66666666667)</f>
        <v>45454.66667</v>
      </c>
      <c r="B930" s="1">
        <f>IFERROR(__xludf.DUMMYFUNCTION("""COMPUTED_VALUE"""),240.99)</f>
        <v>240.99</v>
      </c>
    </row>
    <row r="931">
      <c r="A931" s="2">
        <f>IFERROR(__xludf.DUMMYFUNCTION("""COMPUTED_VALUE"""),45455.66666666667)</f>
        <v>45455.66667</v>
      </c>
      <c r="B931" s="1">
        <f>IFERROR(__xludf.DUMMYFUNCTION("""COMPUTED_VALUE"""),235.8)</f>
        <v>235.8</v>
      </c>
    </row>
    <row r="932">
      <c r="A932" s="2">
        <f>IFERROR(__xludf.DUMMYFUNCTION("""COMPUTED_VALUE"""),45456.66666666667)</f>
        <v>45456.66667</v>
      </c>
      <c r="B932" s="1">
        <f>IFERROR(__xludf.DUMMYFUNCTION("""COMPUTED_VALUE"""),229.03)</f>
        <v>229.03</v>
      </c>
    </row>
    <row r="933">
      <c r="A933" s="2">
        <f>IFERROR(__xludf.DUMMYFUNCTION("""COMPUTED_VALUE"""),45457.66666666667)</f>
        <v>45457.66667</v>
      </c>
      <c r="B933" s="1">
        <f>IFERROR(__xludf.DUMMYFUNCTION("""COMPUTED_VALUE"""),231.94)</f>
        <v>231.94</v>
      </c>
    </row>
    <row r="934">
      <c r="A934" s="2">
        <f>IFERROR(__xludf.DUMMYFUNCTION("""COMPUTED_VALUE"""),45460.66666666667)</f>
        <v>45460.66667</v>
      </c>
      <c r="B934" s="1">
        <f>IFERROR(__xludf.DUMMYFUNCTION("""COMPUTED_VALUE"""),230.48)</f>
        <v>230.48</v>
      </c>
    </row>
    <row r="935">
      <c r="A935" s="2">
        <f>IFERROR(__xludf.DUMMYFUNCTION("""COMPUTED_VALUE"""),45461.66666666667)</f>
        <v>45461.66667</v>
      </c>
      <c r="B935" s="1">
        <f>IFERROR(__xludf.DUMMYFUNCTION("""COMPUTED_VALUE"""),231.81)</f>
        <v>231.81</v>
      </c>
    </row>
    <row r="936">
      <c r="A936" s="2">
        <f>IFERROR(__xludf.DUMMYFUNCTION("""COMPUTED_VALUE"""),45463.66666666667)</f>
        <v>45463.66667</v>
      </c>
      <c r="B936" s="1">
        <f>IFERROR(__xludf.DUMMYFUNCTION("""COMPUTED_VALUE"""),241.8)</f>
        <v>241.8</v>
      </c>
    </row>
    <row r="937">
      <c r="A937" s="2">
        <f>IFERROR(__xludf.DUMMYFUNCTION("""COMPUTED_VALUE"""),45464.66666666667)</f>
        <v>45464.66667</v>
      </c>
      <c r="B937" s="1">
        <f>IFERROR(__xludf.DUMMYFUNCTION("""COMPUTED_VALUE"""),245.06)</f>
        <v>245.06</v>
      </c>
    </row>
    <row r="938">
      <c r="A938" s="2">
        <f>IFERROR(__xludf.DUMMYFUNCTION("""COMPUTED_VALUE"""),45467.66666666667)</f>
        <v>45467.66667</v>
      </c>
      <c r="B938" s="1">
        <f>IFERROR(__xludf.DUMMYFUNCTION("""COMPUTED_VALUE"""),239.94)</f>
        <v>239.94</v>
      </c>
    </row>
    <row r="939">
      <c r="A939" s="2">
        <f>IFERROR(__xludf.DUMMYFUNCTION("""COMPUTED_VALUE"""),45468.66666666667)</f>
        <v>45468.66667</v>
      </c>
      <c r="B939" s="1">
        <f>IFERROR(__xludf.DUMMYFUNCTION("""COMPUTED_VALUE"""),241.76)</f>
        <v>241.76</v>
      </c>
    </row>
    <row r="940">
      <c r="A940" s="2">
        <f>IFERROR(__xludf.DUMMYFUNCTION("""COMPUTED_VALUE"""),45469.66666666667)</f>
        <v>45469.66667</v>
      </c>
      <c r="B940" s="1">
        <f>IFERROR(__xludf.DUMMYFUNCTION("""COMPUTED_VALUE"""),243.15)</f>
        <v>243.15</v>
      </c>
    </row>
    <row r="941">
      <c r="A941" s="2">
        <f>IFERROR(__xludf.DUMMYFUNCTION("""COMPUTED_VALUE"""),45470.66666666667)</f>
        <v>45470.66667</v>
      </c>
      <c r="B941" s="1">
        <f>IFERROR(__xludf.DUMMYFUNCTION("""COMPUTED_VALUE"""),252.85)</f>
        <v>252.85</v>
      </c>
    </row>
    <row r="942">
      <c r="A942" s="2">
        <f>IFERROR(__xludf.DUMMYFUNCTION("""COMPUTED_VALUE"""),45471.66666666667)</f>
        <v>45471.66667</v>
      </c>
      <c r="B942" s="1">
        <f>IFERROR(__xludf.DUMMYFUNCTION("""COMPUTED_VALUE"""),257.1)</f>
        <v>257.1</v>
      </c>
    </row>
    <row r="943">
      <c r="A943" s="2">
        <f>IFERROR(__xludf.DUMMYFUNCTION("""COMPUTED_VALUE"""),45474.66666666667)</f>
        <v>45474.66667</v>
      </c>
      <c r="B943" s="1">
        <f>IFERROR(__xludf.DUMMYFUNCTION("""COMPUTED_VALUE"""),256.21)</f>
        <v>256.21</v>
      </c>
    </row>
    <row r="944">
      <c r="A944" s="2">
        <f>IFERROR(__xludf.DUMMYFUNCTION("""COMPUTED_VALUE"""),45475.66666666667)</f>
        <v>45475.66667</v>
      </c>
      <c r="B944" s="1">
        <f>IFERROR(__xludf.DUMMYFUNCTION("""COMPUTED_VALUE"""),256.19)</f>
        <v>256.19</v>
      </c>
    </row>
    <row r="945">
      <c r="A945" s="2">
        <f>IFERROR(__xludf.DUMMYFUNCTION("""COMPUTED_VALUE"""),45476.54166666667)</f>
        <v>45476.54167</v>
      </c>
      <c r="B945" s="1">
        <f>IFERROR(__xludf.DUMMYFUNCTION("""COMPUTED_VALUE"""),260.95)</f>
        <v>260.95</v>
      </c>
    </row>
    <row r="946">
      <c r="A946" s="2">
        <f>IFERROR(__xludf.DUMMYFUNCTION("""COMPUTED_VALUE"""),45478.66666666667)</f>
        <v>45478.66667</v>
      </c>
      <c r="B946" s="1">
        <f>IFERROR(__xludf.DUMMYFUNCTION("""COMPUTED_VALUE"""),263.19)</f>
        <v>263.19</v>
      </c>
    </row>
    <row r="947">
      <c r="A947" s="2">
        <f>IFERROR(__xludf.DUMMYFUNCTION("""COMPUTED_VALUE"""),45481.66666666667)</f>
        <v>45481.66667</v>
      </c>
      <c r="B947" s="1">
        <f>IFERROR(__xludf.DUMMYFUNCTION("""COMPUTED_VALUE"""),257.37)</f>
        <v>257.37</v>
      </c>
    </row>
    <row r="948">
      <c r="A948" s="2">
        <f>IFERROR(__xludf.DUMMYFUNCTION("""COMPUTED_VALUE"""),45482.66666666667)</f>
        <v>45482.66667</v>
      </c>
      <c r="B948" s="1">
        <f>IFERROR(__xludf.DUMMYFUNCTION("""COMPUTED_VALUE"""),252.43)</f>
        <v>252.43</v>
      </c>
    </row>
    <row r="949">
      <c r="A949" s="2">
        <f>IFERROR(__xludf.DUMMYFUNCTION("""COMPUTED_VALUE"""),45483.66666666667)</f>
        <v>45483.66667</v>
      </c>
      <c r="B949" s="1">
        <f>IFERROR(__xludf.DUMMYFUNCTION("""COMPUTED_VALUE"""),252.59)</f>
        <v>252.59</v>
      </c>
    </row>
    <row r="950">
      <c r="A950" s="2">
        <f>IFERROR(__xludf.DUMMYFUNCTION("""COMPUTED_VALUE"""),45484.66666666667)</f>
        <v>45484.66667</v>
      </c>
      <c r="B950" s="1">
        <f>IFERROR(__xludf.DUMMYFUNCTION("""COMPUTED_VALUE"""),251.12)</f>
        <v>251.12</v>
      </c>
    </row>
    <row r="951">
      <c r="A951" s="2">
        <f>IFERROR(__xludf.DUMMYFUNCTION("""COMPUTED_VALUE"""),45485.66666666667)</f>
        <v>45485.66667</v>
      </c>
      <c r="B951" s="1">
        <f>IFERROR(__xludf.DUMMYFUNCTION("""COMPUTED_VALUE"""),253.97)</f>
        <v>253.97</v>
      </c>
    </row>
    <row r="952">
      <c r="A952" s="2">
        <f>IFERROR(__xludf.DUMMYFUNCTION("""COMPUTED_VALUE"""),45488.66666666667)</f>
        <v>45488.66667</v>
      </c>
      <c r="B952" s="1">
        <f>IFERROR(__xludf.DUMMYFUNCTION("""COMPUTED_VALUE"""),252.86)</f>
        <v>252.86</v>
      </c>
    </row>
    <row r="953">
      <c r="A953" s="2">
        <f>IFERROR(__xludf.DUMMYFUNCTION("""COMPUTED_VALUE"""),45489.66666666667)</f>
        <v>45489.66667</v>
      </c>
      <c r="B953" s="1">
        <f>IFERROR(__xludf.DUMMYFUNCTION("""COMPUTED_VALUE"""),256.03)</f>
        <v>256.03</v>
      </c>
    </row>
    <row r="954">
      <c r="A954" s="2">
        <f>IFERROR(__xludf.DUMMYFUNCTION("""COMPUTED_VALUE"""),45490.66666666667)</f>
        <v>45490.66667</v>
      </c>
      <c r="B954" s="1">
        <f>IFERROR(__xludf.DUMMYFUNCTION("""COMPUTED_VALUE"""),251.22)</f>
        <v>251.22</v>
      </c>
    </row>
    <row r="955">
      <c r="A955" s="2">
        <f>IFERROR(__xludf.DUMMYFUNCTION("""COMPUTED_VALUE"""),45491.66666666667)</f>
        <v>45491.66667</v>
      </c>
      <c r="B955" s="1">
        <f>IFERROR(__xludf.DUMMYFUNCTION("""COMPUTED_VALUE"""),247.35)</f>
        <v>247.35</v>
      </c>
    </row>
    <row r="956">
      <c r="A956" s="2">
        <f>IFERROR(__xludf.DUMMYFUNCTION("""COMPUTED_VALUE"""),45492.66666666667)</f>
        <v>45492.66667</v>
      </c>
      <c r="B956" s="1">
        <f>IFERROR(__xludf.DUMMYFUNCTION("""COMPUTED_VALUE"""),247.63)</f>
        <v>247.63</v>
      </c>
    </row>
    <row r="957">
      <c r="A957" s="2">
        <f>IFERROR(__xludf.DUMMYFUNCTION("""COMPUTED_VALUE"""),45495.66666666667)</f>
        <v>45495.66667</v>
      </c>
      <c r="B957" s="1">
        <f>IFERROR(__xludf.DUMMYFUNCTION("""COMPUTED_VALUE"""),254.08)</f>
        <v>254.08</v>
      </c>
    </row>
    <row r="958">
      <c r="A958" s="2">
        <f>IFERROR(__xludf.DUMMYFUNCTION("""COMPUTED_VALUE"""),45496.66666666667)</f>
        <v>45496.66667</v>
      </c>
      <c r="B958" s="1">
        <f>IFERROR(__xludf.DUMMYFUNCTION("""COMPUTED_VALUE"""),256.06)</f>
        <v>256.06</v>
      </c>
    </row>
    <row r="959">
      <c r="A959" s="2">
        <f>IFERROR(__xludf.DUMMYFUNCTION("""COMPUTED_VALUE"""),45497.66666666667)</f>
        <v>45497.66667</v>
      </c>
      <c r="B959" s="1">
        <f>IFERROR(__xludf.DUMMYFUNCTION("""COMPUTED_VALUE"""),249.78)</f>
        <v>249.78</v>
      </c>
    </row>
    <row r="960">
      <c r="A960" s="2">
        <f>IFERROR(__xludf.DUMMYFUNCTION("""COMPUTED_VALUE"""),45498.66666666667)</f>
        <v>45498.66667</v>
      </c>
      <c r="B960" s="1">
        <f>IFERROR(__xludf.DUMMYFUNCTION("""COMPUTED_VALUE"""),256.52)</f>
        <v>256.52</v>
      </c>
    </row>
    <row r="961">
      <c r="A961" s="2">
        <f>IFERROR(__xludf.DUMMYFUNCTION("""COMPUTED_VALUE"""),45499.66666666667)</f>
        <v>45499.66667</v>
      </c>
      <c r="B961" s="1">
        <f>IFERROR(__xludf.DUMMYFUNCTION("""COMPUTED_VALUE"""),262.71)</f>
        <v>262.71</v>
      </c>
    </row>
    <row r="962">
      <c r="A962" s="2">
        <f>IFERROR(__xludf.DUMMYFUNCTION("""COMPUTED_VALUE"""),45502.66666666667)</f>
        <v>45502.66667</v>
      </c>
      <c r="B962" s="1">
        <f>IFERROR(__xludf.DUMMYFUNCTION("""COMPUTED_VALUE"""),258.59)</f>
        <v>258.59</v>
      </c>
    </row>
    <row r="963">
      <c r="A963" s="2">
        <f>IFERROR(__xludf.DUMMYFUNCTION("""COMPUTED_VALUE"""),45503.66666666667)</f>
        <v>45503.66667</v>
      </c>
      <c r="B963" s="1">
        <f>IFERROR(__xludf.DUMMYFUNCTION("""COMPUTED_VALUE"""),257.93)</f>
        <v>257.93</v>
      </c>
    </row>
    <row r="964">
      <c r="A964" s="2">
        <f>IFERROR(__xludf.DUMMYFUNCTION("""COMPUTED_VALUE"""),45504.66666666667)</f>
        <v>45504.66667</v>
      </c>
      <c r="B964" s="1">
        <f>IFERROR(__xludf.DUMMYFUNCTION("""COMPUTED_VALUE"""),258.8)</f>
        <v>258.8</v>
      </c>
    </row>
    <row r="965">
      <c r="A965" s="2">
        <f>IFERROR(__xludf.DUMMYFUNCTION("""COMPUTED_VALUE"""),45505.66666666667)</f>
        <v>45505.66667</v>
      </c>
      <c r="B965" s="1">
        <f>IFERROR(__xludf.DUMMYFUNCTION("""COMPUTED_VALUE"""),253.06)</f>
        <v>253.06</v>
      </c>
    </row>
    <row r="966">
      <c r="A966" s="2">
        <f>IFERROR(__xludf.DUMMYFUNCTION("""COMPUTED_VALUE"""),45506.66666666667)</f>
        <v>45506.66667</v>
      </c>
      <c r="B966" s="1">
        <f>IFERROR(__xludf.DUMMYFUNCTION("""COMPUTED_VALUE"""),243.97)</f>
        <v>243.97</v>
      </c>
    </row>
    <row r="967">
      <c r="A967" s="2">
        <f>IFERROR(__xludf.DUMMYFUNCTION("""COMPUTED_VALUE"""),45509.66666666667)</f>
        <v>45509.66667</v>
      </c>
      <c r="B967" s="1">
        <f>IFERROR(__xludf.DUMMYFUNCTION("""COMPUTED_VALUE"""),239.01)</f>
        <v>239.01</v>
      </c>
    </row>
    <row r="968">
      <c r="A968" s="2">
        <f>IFERROR(__xludf.DUMMYFUNCTION("""COMPUTED_VALUE"""),45510.66666666667)</f>
        <v>45510.66667</v>
      </c>
      <c r="B968" s="1">
        <f>IFERROR(__xludf.DUMMYFUNCTION("""COMPUTED_VALUE"""),238.42)</f>
        <v>238.42</v>
      </c>
    </row>
    <row r="969">
      <c r="A969" s="2">
        <f>IFERROR(__xludf.DUMMYFUNCTION("""COMPUTED_VALUE"""),45511.66666666667)</f>
        <v>45511.66667</v>
      </c>
      <c r="B969" s="1">
        <f>IFERROR(__xludf.DUMMYFUNCTION("""COMPUTED_VALUE"""),240.04)</f>
        <v>240.04</v>
      </c>
    </row>
    <row r="970">
      <c r="A970" s="2">
        <f>IFERROR(__xludf.DUMMYFUNCTION("""COMPUTED_VALUE"""),45512.66666666667)</f>
        <v>45512.66667</v>
      </c>
      <c r="B970" s="1">
        <f>IFERROR(__xludf.DUMMYFUNCTION("""COMPUTED_VALUE"""),249.12)</f>
        <v>249.12</v>
      </c>
    </row>
    <row r="971">
      <c r="A971" s="2">
        <f>IFERROR(__xludf.DUMMYFUNCTION("""COMPUTED_VALUE"""),45513.66666666667)</f>
        <v>45513.66667</v>
      </c>
      <c r="B971" s="1">
        <f>IFERROR(__xludf.DUMMYFUNCTION("""COMPUTED_VALUE"""),252.53)</f>
        <v>252.53</v>
      </c>
    </row>
    <row r="972">
      <c r="A972" s="2">
        <f>IFERROR(__xludf.DUMMYFUNCTION("""COMPUTED_VALUE"""),45516.66666666667)</f>
        <v>45516.66667</v>
      </c>
      <c r="B972" s="1">
        <f>IFERROR(__xludf.DUMMYFUNCTION("""COMPUTED_VALUE"""),251.31)</f>
        <v>251.31</v>
      </c>
    </row>
    <row r="973">
      <c r="A973" s="2">
        <f>IFERROR(__xludf.DUMMYFUNCTION("""COMPUTED_VALUE"""),45517.66666666667)</f>
        <v>45517.66667</v>
      </c>
      <c r="B973" s="1">
        <f>IFERROR(__xludf.DUMMYFUNCTION("""COMPUTED_VALUE"""),254.6)</f>
        <v>254.6</v>
      </c>
    </row>
    <row r="974">
      <c r="A974" s="2">
        <f>IFERROR(__xludf.DUMMYFUNCTION("""COMPUTED_VALUE"""),45518.66666666667)</f>
        <v>45518.66667</v>
      </c>
      <c r="B974" s="1">
        <f>IFERROR(__xludf.DUMMYFUNCTION("""COMPUTED_VALUE"""),255.32)</f>
        <v>255.32</v>
      </c>
    </row>
    <row r="975">
      <c r="A975" s="2">
        <f>IFERROR(__xludf.DUMMYFUNCTION("""COMPUTED_VALUE"""),45519.66666666667)</f>
        <v>45519.66667</v>
      </c>
      <c r="B975" s="1">
        <f>IFERROR(__xludf.DUMMYFUNCTION("""COMPUTED_VALUE"""),262.79)</f>
        <v>262.79</v>
      </c>
    </row>
    <row r="976">
      <c r="A976" s="2">
        <f>IFERROR(__xludf.DUMMYFUNCTION("""COMPUTED_VALUE"""),45520.66666666667)</f>
        <v>45520.66667</v>
      </c>
      <c r="B976" s="1">
        <f>IFERROR(__xludf.DUMMYFUNCTION("""COMPUTED_VALUE"""),262.91)</f>
        <v>262.91</v>
      </c>
    </row>
    <row r="977">
      <c r="A977" s="2">
        <f>IFERROR(__xludf.DUMMYFUNCTION("""COMPUTED_VALUE"""),45523.66666666667)</f>
        <v>45523.66667</v>
      </c>
      <c r="B977" s="1">
        <f>IFERROR(__xludf.DUMMYFUNCTION("""COMPUTED_VALUE"""),265.38)</f>
        <v>265.38</v>
      </c>
    </row>
    <row r="978">
      <c r="A978" s="2">
        <f>IFERROR(__xludf.DUMMYFUNCTION("""COMPUTED_VALUE"""),45524.66666666667)</f>
        <v>45524.66667</v>
      </c>
      <c r="B978" s="1">
        <f>IFERROR(__xludf.DUMMYFUNCTION("""COMPUTED_VALUE"""),261.84)</f>
        <v>261.84</v>
      </c>
    </row>
    <row r="979">
      <c r="A979" s="2">
        <f>IFERROR(__xludf.DUMMYFUNCTION("""COMPUTED_VALUE"""),45525.66666666667)</f>
        <v>45525.66667</v>
      </c>
      <c r="B979" s="1">
        <f>IFERROR(__xludf.DUMMYFUNCTION("""COMPUTED_VALUE"""),261.09)</f>
        <v>261.09</v>
      </c>
    </row>
    <row r="980">
      <c r="A980" s="2">
        <f>IFERROR(__xludf.DUMMYFUNCTION("""COMPUTED_VALUE"""),45526.66666666667)</f>
        <v>45526.66667</v>
      </c>
      <c r="B980" s="1">
        <f>IFERROR(__xludf.DUMMYFUNCTION("""COMPUTED_VALUE"""),258.59)</f>
        <v>258.59</v>
      </c>
    </row>
    <row r="981">
      <c r="A981" s="2">
        <f>IFERROR(__xludf.DUMMYFUNCTION("""COMPUTED_VALUE"""),45527.66666666667)</f>
        <v>45527.66667</v>
      </c>
      <c r="B981" s="1">
        <f>IFERROR(__xludf.DUMMYFUNCTION("""COMPUTED_VALUE"""),264.0)</f>
        <v>264</v>
      </c>
    </row>
    <row r="982">
      <c r="A982" s="2">
        <f>IFERROR(__xludf.DUMMYFUNCTION("""COMPUTED_VALUE"""),45530.66666666667)</f>
        <v>45530.66667</v>
      </c>
      <c r="B982" s="1">
        <f>IFERROR(__xludf.DUMMYFUNCTION("""COMPUTED_VALUE"""),265.28)</f>
        <v>265.28</v>
      </c>
    </row>
    <row r="983">
      <c r="A983" s="2">
        <f>IFERROR(__xludf.DUMMYFUNCTION("""COMPUTED_VALUE"""),45531.66666666667)</f>
        <v>45531.66667</v>
      </c>
      <c r="B983" s="1">
        <f>IFERROR(__xludf.DUMMYFUNCTION("""COMPUTED_VALUE"""),264.2)</f>
        <v>264.2</v>
      </c>
    </row>
    <row r="984">
      <c r="A984" s="2">
        <f>IFERROR(__xludf.DUMMYFUNCTION("""COMPUTED_VALUE"""),45532.66666666667)</f>
        <v>45532.66667</v>
      </c>
      <c r="B984" s="1">
        <f>IFERROR(__xludf.DUMMYFUNCTION("""COMPUTED_VALUE"""),258.9)</f>
        <v>258.9</v>
      </c>
    </row>
    <row r="985">
      <c r="A985" s="2">
        <f>IFERROR(__xludf.DUMMYFUNCTION("""COMPUTED_VALUE"""),45533.66666666667)</f>
        <v>45533.66667</v>
      </c>
      <c r="B985" s="1">
        <f>IFERROR(__xludf.DUMMYFUNCTION("""COMPUTED_VALUE"""),257.01)</f>
        <v>257.01</v>
      </c>
    </row>
    <row r="986">
      <c r="A986" s="2">
        <f>IFERROR(__xludf.DUMMYFUNCTION("""COMPUTED_VALUE"""),45534.66666666667)</f>
        <v>45534.66667</v>
      </c>
      <c r="B986" s="1">
        <f>IFERROR(__xludf.DUMMYFUNCTION("""COMPUTED_VALUE"""),252.9)</f>
        <v>252.9</v>
      </c>
    </row>
    <row r="987">
      <c r="A987" s="2">
        <f>IFERROR(__xludf.DUMMYFUNCTION("""COMPUTED_VALUE"""),45538.66666666667)</f>
        <v>45538.66667</v>
      </c>
      <c r="B987" s="1">
        <f>IFERROR(__xludf.DUMMYFUNCTION("""COMPUTED_VALUE"""),248.06)</f>
        <v>248.06</v>
      </c>
    </row>
    <row r="988">
      <c r="A988" s="2">
        <f>IFERROR(__xludf.DUMMYFUNCTION("""COMPUTED_VALUE"""),45539.66666666667)</f>
        <v>45539.66667</v>
      </c>
      <c r="B988" s="1">
        <f>IFERROR(__xludf.DUMMYFUNCTION("""COMPUTED_VALUE"""),247.68)</f>
        <v>247.68</v>
      </c>
    </row>
    <row r="989">
      <c r="A989" s="2">
        <f>IFERROR(__xludf.DUMMYFUNCTION("""COMPUTED_VALUE"""),45540.66666666667)</f>
        <v>45540.66667</v>
      </c>
      <c r="B989" s="1">
        <f>IFERROR(__xludf.DUMMYFUNCTION("""COMPUTED_VALUE"""),246.12)</f>
        <v>246.12</v>
      </c>
    </row>
    <row r="990">
      <c r="A990" s="2">
        <f>IFERROR(__xludf.DUMMYFUNCTION("""COMPUTED_VALUE"""),45541.66666666667)</f>
        <v>45541.66667</v>
      </c>
      <c r="B990" s="1">
        <f>IFERROR(__xludf.DUMMYFUNCTION("""COMPUTED_VALUE"""),243.97)</f>
        <v>243.97</v>
      </c>
    </row>
    <row r="991">
      <c r="A991" s="2">
        <f>IFERROR(__xludf.DUMMYFUNCTION("""COMPUTED_VALUE"""),45544.66666666667)</f>
        <v>45544.66667</v>
      </c>
      <c r="B991" s="1">
        <f>IFERROR(__xludf.DUMMYFUNCTION("""COMPUTED_VALUE"""),245.76)</f>
        <v>245.76</v>
      </c>
    </row>
    <row r="992">
      <c r="A992" s="2">
        <f>IFERROR(__xludf.DUMMYFUNCTION("""COMPUTED_VALUE"""),45545.66666666667)</f>
        <v>45545.66667</v>
      </c>
      <c r="B992" s="1">
        <f>IFERROR(__xludf.DUMMYFUNCTION("""COMPUTED_VALUE"""),246.16)</f>
        <v>246.16</v>
      </c>
    </row>
    <row r="993">
      <c r="A993" s="2">
        <f>IFERROR(__xludf.DUMMYFUNCTION("""COMPUTED_VALUE"""),45546.66666666667)</f>
        <v>45546.66667</v>
      </c>
      <c r="B993" s="1">
        <f>IFERROR(__xludf.DUMMYFUNCTION("""COMPUTED_VALUE"""),249.57)</f>
        <v>249.57</v>
      </c>
    </row>
    <row r="994">
      <c r="A994" s="2">
        <f>IFERROR(__xludf.DUMMYFUNCTION("""COMPUTED_VALUE"""),45547.66666666667)</f>
        <v>45547.66667</v>
      </c>
      <c r="B994" s="1">
        <f>IFERROR(__xludf.DUMMYFUNCTION("""COMPUTED_VALUE"""),253.37)</f>
        <v>253.37</v>
      </c>
    </row>
    <row r="995">
      <c r="A995" s="2">
        <f>IFERROR(__xludf.DUMMYFUNCTION("""COMPUTED_VALUE"""),45548.66666666667)</f>
        <v>45548.66667</v>
      </c>
      <c r="B995" s="1">
        <f>IFERROR(__xludf.DUMMYFUNCTION("""COMPUTED_VALUE"""),254.57)</f>
        <v>254.57</v>
      </c>
    </row>
    <row r="996">
      <c r="A996" s="2">
        <f>IFERROR(__xludf.DUMMYFUNCTION("""COMPUTED_VALUE"""),45551.66666666667)</f>
        <v>45551.66667</v>
      </c>
      <c r="B996" s="1">
        <f>IFERROR(__xludf.DUMMYFUNCTION("""COMPUTED_VALUE"""),256.91)</f>
        <v>256.91</v>
      </c>
    </row>
    <row r="997">
      <c r="A997" s="2">
        <f>IFERROR(__xludf.DUMMYFUNCTION("""COMPUTED_VALUE"""),45552.66666666667)</f>
        <v>45552.66667</v>
      </c>
      <c r="B997" s="1">
        <f>IFERROR(__xludf.DUMMYFUNCTION("""COMPUTED_VALUE"""),255.19)</f>
        <v>255.19</v>
      </c>
    </row>
    <row r="998">
      <c r="A998" s="2">
        <f>IFERROR(__xludf.DUMMYFUNCTION("""COMPUTED_VALUE"""),45553.66666666667)</f>
        <v>45553.66667</v>
      </c>
      <c r="B998" s="1">
        <f>IFERROR(__xludf.DUMMYFUNCTION("""COMPUTED_VALUE"""),252.43)</f>
        <v>252.43</v>
      </c>
    </row>
    <row r="999">
      <c r="A999" s="2">
        <f>IFERROR(__xludf.DUMMYFUNCTION("""COMPUTED_VALUE"""),45554.66666666667)</f>
        <v>45554.66667</v>
      </c>
      <c r="B999" s="1">
        <f>IFERROR(__xludf.DUMMYFUNCTION("""COMPUTED_VALUE"""),265.99)</f>
        <v>265.99</v>
      </c>
    </row>
    <row r="1000">
      <c r="A1000" s="2">
        <f>IFERROR(__xludf.DUMMYFUNCTION("""COMPUTED_VALUE"""),45555.66666666667)</f>
        <v>45555.66667</v>
      </c>
      <c r="B1000" s="1">
        <f>IFERROR(__xludf.DUMMYFUNCTION("""COMPUTED_VALUE"""),266.8)</f>
        <v>266.8</v>
      </c>
    </row>
    <row r="1001">
      <c r="A1001" s="2">
        <f>IFERROR(__xludf.DUMMYFUNCTION("""COMPUTED_VALUE"""),45558.66666666667)</f>
        <v>45558.66667</v>
      </c>
      <c r="B1001" s="1">
        <f>IFERROR(__xludf.DUMMYFUNCTION("""COMPUTED_VALUE"""),264.21)</f>
        <v>264.21</v>
      </c>
    </row>
    <row r="1002">
      <c r="A1002" s="2">
        <f>IFERROR(__xludf.DUMMYFUNCTION("""COMPUTED_VALUE"""),45559.66666666667)</f>
        <v>45559.66667</v>
      </c>
      <c r="B1002" s="1">
        <f>IFERROR(__xludf.DUMMYFUNCTION("""COMPUTED_VALUE"""),270.44)</f>
        <v>270.44</v>
      </c>
    </row>
    <row r="1003">
      <c r="A1003" s="2">
        <f>IFERROR(__xludf.DUMMYFUNCTION("""COMPUTED_VALUE"""),45560.66666666667)</f>
        <v>45560.66667</v>
      </c>
      <c r="B1003" s="1">
        <f>IFERROR(__xludf.DUMMYFUNCTION("""COMPUTED_VALUE"""),274.09)</f>
        <v>274.09</v>
      </c>
    </row>
    <row r="1004">
      <c r="A1004" s="2">
        <f>IFERROR(__xludf.DUMMYFUNCTION("""COMPUTED_VALUE"""),45561.66666666667)</f>
        <v>45561.66667</v>
      </c>
      <c r="B1004" s="1">
        <f>IFERROR(__xludf.DUMMYFUNCTION("""COMPUTED_VALUE"""),275.76)</f>
        <v>275.76</v>
      </c>
    </row>
    <row r="1005">
      <c r="A1005" s="2">
        <f>IFERROR(__xludf.DUMMYFUNCTION("""COMPUTED_VALUE"""),45562.66666666667)</f>
        <v>45562.66667</v>
      </c>
      <c r="B1005" s="1">
        <f>IFERROR(__xludf.DUMMYFUNCTION("""COMPUTED_VALUE"""),276.64)</f>
        <v>276.64</v>
      </c>
    </row>
    <row r="1006">
      <c r="A1006" s="2">
        <f>IFERROR(__xludf.DUMMYFUNCTION("""COMPUTED_VALUE"""),45565.66666666667)</f>
        <v>45565.66667</v>
      </c>
      <c r="B1006" s="1">
        <f>IFERROR(__xludf.DUMMYFUNCTION("""COMPUTED_VALUE"""),273.71)</f>
        <v>273.71</v>
      </c>
    </row>
    <row r="1007">
      <c r="A1007" s="2">
        <f>IFERROR(__xludf.DUMMYFUNCTION("""COMPUTED_VALUE"""),45566.66666666667)</f>
        <v>45566.66667</v>
      </c>
      <c r="B1007" s="1">
        <f>IFERROR(__xludf.DUMMYFUNCTION("""COMPUTED_VALUE"""),270.87)</f>
        <v>270.87</v>
      </c>
    </row>
    <row r="1008">
      <c r="A1008" s="2">
        <f>IFERROR(__xludf.DUMMYFUNCTION("""COMPUTED_VALUE"""),45567.66666666667)</f>
        <v>45567.66667</v>
      </c>
      <c r="B1008" s="1">
        <f>IFERROR(__xludf.DUMMYFUNCTION("""COMPUTED_VALUE"""),279.48)</f>
        <v>279.48</v>
      </c>
    </row>
    <row r="1009">
      <c r="A1009" s="2">
        <f>IFERROR(__xludf.DUMMYFUNCTION("""COMPUTED_VALUE"""),45568.66666666667)</f>
        <v>45568.66667</v>
      </c>
      <c r="B1009" s="1">
        <f>IFERROR(__xludf.DUMMYFUNCTION("""COMPUTED_VALUE"""),280.91)</f>
        <v>280.91</v>
      </c>
    </row>
    <row r="1010">
      <c r="A1010" s="2">
        <f>IFERROR(__xludf.DUMMYFUNCTION("""COMPUTED_VALUE"""),45569.66666666667)</f>
        <v>45569.66667</v>
      </c>
      <c r="B1010" s="1">
        <f>IFERROR(__xludf.DUMMYFUNCTION("""COMPUTED_VALUE"""),287.75)</f>
        <v>287.75</v>
      </c>
    </row>
    <row r="1011">
      <c r="A1011" s="2">
        <f>IFERROR(__xludf.DUMMYFUNCTION("""COMPUTED_VALUE"""),45572.66666666667)</f>
        <v>45572.66667</v>
      </c>
      <c r="B1011" s="1">
        <f>IFERROR(__xludf.DUMMYFUNCTION("""COMPUTED_VALUE"""),284.57)</f>
        <v>284.57</v>
      </c>
    </row>
    <row r="1012">
      <c r="A1012" s="2">
        <f>IFERROR(__xludf.DUMMYFUNCTION("""COMPUTED_VALUE"""),45573.66666666667)</f>
        <v>45573.66667</v>
      </c>
      <c r="B1012" s="1">
        <f>IFERROR(__xludf.DUMMYFUNCTION("""COMPUTED_VALUE"""),291.57)</f>
        <v>291.57</v>
      </c>
    </row>
    <row r="1013">
      <c r="A1013" s="2">
        <f>IFERROR(__xludf.DUMMYFUNCTION("""COMPUTED_VALUE"""),45574.66666666667)</f>
        <v>45574.66667</v>
      </c>
      <c r="B1013" s="1">
        <f>IFERROR(__xludf.DUMMYFUNCTION("""COMPUTED_VALUE"""),287.92)</f>
        <v>287.92</v>
      </c>
    </row>
    <row r="1014">
      <c r="A1014" s="2">
        <f>IFERROR(__xludf.DUMMYFUNCTION("""COMPUTED_VALUE"""),45575.66666666667)</f>
        <v>45575.66667</v>
      </c>
      <c r="B1014" s="1">
        <f>IFERROR(__xludf.DUMMYFUNCTION("""COMPUTED_VALUE"""),290.17)</f>
        <v>290.17</v>
      </c>
    </row>
    <row r="1015">
      <c r="A1015" s="2">
        <f>IFERROR(__xludf.DUMMYFUNCTION("""COMPUTED_VALUE"""),45576.66666666667)</f>
        <v>45576.66667</v>
      </c>
      <c r="B1015" s="1">
        <f>IFERROR(__xludf.DUMMYFUNCTION("""COMPUTED_VALUE"""),288.1)</f>
        <v>288.1</v>
      </c>
    </row>
    <row r="1016">
      <c r="A1016" s="2">
        <f>IFERROR(__xludf.DUMMYFUNCTION("""COMPUTED_VALUE"""),45579.66666666667)</f>
        <v>45579.66667</v>
      </c>
      <c r="B1016" s="1">
        <f>IFERROR(__xludf.DUMMYFUNCTION("""COMPUTED_VALUE"""),291.64)</f>
        <v>291.64</v>
      </c>
    </row>
    <row r="1017">
      <c r="A1017" s="2">
        <f>IFERROR(__xludf.DUMMYFUNCTION("""COMPUTED_VALUE"""),45580.66666666667)</f>
        <v>45580.66667</v>
      </c>
      <c r="B1017" s="1">
        <f>IFERROR(__xludf.DUMMYFUNCTION("""COMPUTED_VALUE"""),288.35)</f>
        <v>288.35</v>
      </c>
    </row>
    <row r="1018">
      <c r="A1018" s="2">
        <f>IFERROR(__xludf.DUMMYFUNCTION("""COMPUTED_VALUE"""),45581.66666666667)</f>
        <v>45581.66667</v>
      </c>
      <c r="B1018" s="1">
        <f>IFERROR(__xludf.DUMMYFUNCTION("""COMPUTED_VALUE"""),290.86)</f>
        <v>290.86</v>
      </c>
    </row>
    <row r="1019">
      <c r="A1019" s="2">
        <f>IFERROR(__xludf.DUMMYFUNCTION("""COMPUTED_VALUE"""),45582.66666666667)</f>
        <v>45582.66667</v>
      </c>
      <c r="B1019" s="1">
        <f>IFERROR(__xludf.DUMMYFUNCTION("""COMPUTED_VALUE"""),291.11)</f>
        <v>291.11</v>
      </c>
    </row>
    <row r="1020">
      <c r="A1020" s="2">
        <f>IFERROR(__xludf.DUMMYFUNCTION("""COMPUTED_VALUE"""),45583.66666666667)</f>
        <v>45583.66667</v>
      </c>
      <c r="B1020" s="1">
        <f>IFERROR(__xludf.DUMMYFUNCTION("""COMPUTED_VALUE"""),292.94)</f>
        <v>292.94</v>
      </c>
    </row>
    <row r="1021">
      <c r="A1021" s="2">
        <f>IFERROR(__xludf.DUMMYFUNCTION("""COMPUTED_VALUE"""),45586.66666666667)</f>
        <v>45586.66667</v>
      </c>
      <c r="B1021" s="1">
        <f>IFERROR(__xludf.DUMMYFUNCTION("""COMPUTED_VALUE"""),291.29)</f>
        <v>291.29</v>
      </c>
    </row>
    <row r="1022">
      <c r="A1022" s="2">
        <f>IFERROR(__xludf.DUMMYFUNCTION("""COMPUTED_VALUE"""),45587.66666666667)</f>
        <v>45587.66667</v>
      </c>
      <c r="B1022" s="1">
        <f>IFERROR(__xludf.DUMMYFUNCTION("""COMPUTED_VALUE"""),288.33)</f>
        <v>288.33</v>
      </c>
    </row>
    <row r="1023">
      <c r="A1023" s="2">
        <f>IFERROR(__xludf.DUMMYFUNCTION("""COMPUTED_VALUE"""),45588.66666666667)</f>
        <v>45588.66667</v>
      </c>
      <c r="B1023" s="1">
        <f>IFERROR(__xludf.DUMMYFUNCTION("""COMPUTED_VALUE"""),284.43)</f>
        <v>284.43</v>
      </c>
    </row>
    <row r="1024">
      <c r="A1024" s="2">
        <f>IFERROR(__xludf.DUMMYFUNCTION("""COMPUTED_VALUE"""),45589.66666666667)</f>
        <v>45589.66667</v>
      </c>
      <c r="B1024" s="1">
        <f>IFERROR(__xludf.DUMMYFUNCTION("""COMPUTED_VALUE"""),286.76)</f>
        <v>286.76</v>
      </c>
    </row>
    <row r="1025">
      <c r="A1025" s="2">
        <f>IFERROR(__xludf.DUMMYFUNCTION("""COMPUTED_VALUE"""),45590.66666666667)</f>
        <v>45590.66667</v>
      </c>
      <c r="B1025" s="1">
        <f>IFERROR(__xludf.DUMMYFUNCTION("""COMPUTED_VALUE"""),290.46)</f>
        <v>290.46</v>
      </c>
    </row>
    <row r="1026">
      <c r="A1026" s="2">
        <f>IFERROR(__xludf.DUMMYFUNCTION("""COMPUTED_VALUE"""),45593.66666666667)</f>
        <v>45593.66667</v>
      </c>
      <c r="B1026" s="1">
        <f>IFERROR(__xludf.DUMMYFUNCTION("""COMPUTED_VALUE"""),293.77)</f>
        <v>293.77</v>
      </c>
    </row>
    <row r="1027">
      <c r="A1027" s="2">
        <f>IFERROR(__xludf.DUMMYFUNCTION("""COMPUTED_VALUE"""),45594.66666666667)</f>
        <v>45594.66667</v>
      </c>
      <c r="B1027" s="1">
        <f>IFERROR(__xludf.DUMMYFUNCTION("""COMPUTED_VALUE"""),298.89)</f>
        <v>298.89</v>
      </c>
    </row>
    <row r="1028">
      <c r="A1028" s="2">
        <f>IFERROR(__xludf.DUMMYFUNCTION("""COMPUTED_VALUE"""),45595.66666666667)</f>
        <v>45595.66667</v>
      </c>
      <c r="B1028" s="1">
        <f>IFERROR(__xludf.DUMMYFUNCTION("""COMPUTED_VALUE"""),296.4)</f>
        <v>296.4</v>
      </c>
    </row>
    <row r="1029">
      <c r="A1029" s="2">
        <f>IFERROR(__xludf.DUMMYFUNCTION("""COMPUTED_VALUE"""),45596.66666666667)</f>
        <v>45596.66667</v>
      </c>
      <c r="B1029" s="1">
        <f>IFERROR(__xludf.DUMMYFUNCTION("""COMPUTED_VALUE"""),291.37)</f>
        <v>291.37</v>
      </c>
    </row>
    <row r="1030">
      <c r="A1030" s="2">
        <f>IFERROR(__xludf.DUMMYFUNCTION("""COMPUTED_VALUE"""),45597.66666666667)</f>
        <v>45597.66667</v>
      </c>
      <c r="B1030" s="1">
        <f>IFERROR(__xludf.DUMMYFUNCTION("""COMPUTED_VALUE"""),294.72)</f>
        <v>294.72</v>
      </c>
    </row>
    <row r="1031">
      <c r="A1031" s="2">
        <f>IFERROR(__xludf.DUMMYFUNCTION("""COMPUTED_VALUE"""),45600.66666666667)</f>
        <v>45600.66667</v>
      </c>
      <c r="B1031" s="1">
        <f>IFERROR(__xludf.DUMMYFUNCTION("""COMPUTED_VALUE"""),298.01)</f>
        <v>298.01</v>
      </c>
    </row>
    <row r="1032">
      <c r="A1032" s="2">
        <f>IFERROR(__xludf.DUMMYFUNCTION("""COMPUTED_VALUE"""),45601.66666666667)</f>
        <v>45601.66667</v>
      </c>
      <c r="B1032" s="1">
        <f>IFERROR(__xludf.DUMMYFUNCTION("""COMPUTED_VALUE"""),297.49)</f>
        <v>297.49</v>
      </c>
    </row>
    <row r="1033">
      <c r="A1033" s="2">
        <f>IFERROR(__xludf.DUMMYFUNCTION("""COMPUTED_VALUE"""),45602.66666666667)</f>
        <v>45602.66667</v>
      </c>
      <c r="B1033" s="1">
        <f>IFERROR(__xludf.DUMMYFUNCTION("""COMPUTED_VALUE"""),306.9)</f>
        <v>306.9</v>
      </c>
    </row>
    <row r="1034">
      <c r="A1034" s="2">
        <f>IFERROR(__xludf.DUMMYFUNCTION("""COMPUTED_VALUE"""),45603.66666666667)</f>
        <v>45603.66667</v>
      </c>
      <c r="B1034" s="1">
        <f>IFERROR(__xludf.DUMMYFUNCTION("""COMPUTED_VALUE"""),310.78)</f>
        <v>310.78</v>
      </c>
    </row>
    <row r="1035">
      <c r="A1035" s="2">
        <f>IFERROR(__xludf.DUMMYFUNCTION("""COMPUTED_VALUE"""),45604.66666666667)</f>
        <v>45604.66667</v>
      </c>
      <c r="B1035" s="1">
        <f>IFERROR(__xludf.DUMMYFUNCTION("""COMPUTED_VALUE"""),321.95)</f>
        <v>321.95</v>
      </c>
    </row>
    <row r="1036">
      <c r="A1036" s="2">
        <f>IFERROR(__xludf.DUMMYFUNCTION("""COMPUTED_VALUE"""),45607.66666666667)</f>
        <v>45607.66667</v>
      </c>
      <c r="B1036" s="1">
        <f>IFERROR(__xludf.DUMMYFUNCTION("""COMPUTED_VALUE"""),341.73)</f>
        <v>341.73</v>
      </c>
    </row>
    <row r="1037">
      <c r="A1037" s="2">
        <f>IFERROR(__xludf.DUMMYFUNCTION("""COMPUTED_VALUE"""),45608.66666666667)</f>
        <v>45608.66667</v>
      </c>
      <c r="B1037" s="1">
        <f>IFERROR(__xludf.DUMMYFUNCTION("""COMPUTED_VALUE"""),341.15)</f>
        <v>341.15</v>
      </c>
    </row>
    <row r="1038">
      <c r="A1038" s="2">
        <f>IFERROR(__xludf.DUMMYFUNCTION("""COMPUTED_VALUE"""),45609.66666666667)</f>
        <v>45609.66667</v>
      </c>
      <c r="B1038" s="1">
        <f>IFERROR(__xludf.DUMMYFUNCTION("""COMPUTED_VALUE"""),341.72)</f>
        <v>341.72</v>
      </c>
    </row>
    <row r="1039">
      <c r="A1039" s="2">
        <f>IFERROR(__xludf.DUMMYFUNCTION("""COMPUTED_VALUE"""),45610.66666666667)</f>
        <v>45610.66667</v>
      </c>
      <c r="B1039" s="1">
        <f>IFERROR(__xludf.DUMMYFUNCTION("""COMPUTED_VALUE"""),331.65)</f>
        <v>331.65</v>
      </c>
    </row>
    <row r="1040">
      <c r="A1040" s="2">
        <f>IFERROR(__xludf.DUMMYFUNCTION("""COMPUTED_VALUE"""),45611.66666666667)</f>
        <v>45611.66667</v>
      </c>
      <c r="B1040" s="1">
        <f>IFERROR(__xludf.DUMMYFUNCTION("""COMPUTED_VALUE"""),325.26)</f>
        <v>325.26</v>
      </c>
    </row>
    <row r="1041">
      <c r="A1041" s="2">
        <f>IFERROR(__xludf.DUMMYFUNCTION("""COMPUTED_VALUE"""),45614.66666666667)</f>
        <v>45614.66667</v>
      </c>
      <c r="B1041" s="1">
        <f>IFERROR(__xludf.DUMMYFUNCTION("""COMPUTED_VALUE"""),322.25)</f>
        <v>322.25</v>
      </c>
    </row>
    <row r="1042">
      <c r="A1042" s="2">
        <f>IFERROR(__xludf.DUMMYFUNCTION("""COMPUTED_VALUE"""),45615.66666666667)</f>
        <v>45615.66667</v>
      </c>
      <c r="B1042" s="1">
        <f>IFERROR(__xludf.DUMMYFUNCTION("""COMPUTED_VALUE"""),323.43)</f>
        <v>323.43</v>
      </c>
    </row>
    <row r="1043">
      <c r="A1043" s="2">
        <f>IFERROR(__xludf.DUMMYFUNCTION("""COMPUTED_VALUE"""),45616.66666666667)</f>
        <v>45616.66667</v>
      </c>
      <c r="B1043" s="1">
        <f>IFERROR(__xludf.DUMMYFUNCTION("""COMPUTED_VALUE"""),325.7)</f>
        <v>325.7</v>
      </c>
    </row>
    <row r="1044">
      <c r="A1044" s="2">
        <f>IFERROR(__xludf.DUMMYFUNCTION("""COMPUTED_VALUE"""),45617.66666666667)</f>
        <v>45617.66667</v>
      </c>
      <c r="B1044" s="1">
        <f>IFERROR(__xludf.DUMMYFUNCTION("""COMPUTED_VALUE"""),335.78)</f>
        <v>335.78</v>
      </c>
    </row>
    <row r="1045">
      <c r="A1045" s="2">
        <f>IFERROR(__xludf.DUMMYFUNCTION("""COMPUTED_VALUE"""),45618.66666666667)</f>
        <v>45618.66667</v>
      </c>
      <c r="B1045" s="1">
        <f>IFERROR(__xludf.DUMMYFUNCTION("""COMPUTED_VALUE"""),342.02)</f>
        <v>342.02</v>
      </c>
    </row>
    <row r="1046">
      <c r="A1046" s="2">
        <f>IFERROR(__xludf.DUMMYFUNCTION("""COMPUTED_VALUE"""),45621.66666666667)</f>
        <v>45621.66667</v>
      </c>
      <c r="B1046" s="1">
        <f>IFERROR(__xludf.DUMMYFUNCTION("""COMPUTED_VALUE"""),339.11)</f>
        <v>339.11</v>
      </c>
    </row>
    <row r="1047">
      <c r="A1047" s="2">
        <f>IFERROR(__xludf.DUMMYFUNCTION("""COMPUTED_VALUE"""),45622.66666666667)</f>
        <v>45622.66667</v>
      </c>
      <c r="B1047" s="1">
        <f>IFERROR(__xludf.DUMMYFUNCTION("""COMPUTED_VALUE"""),343.18)</f>
        <v>343.18</v>
      </c>
    </row>
    <row r="1048">
      <c r="A1048" s="2">
        <f>IFERROR(__xludf.DUMMYFUNCTION("""COMPUTED_VALUE"""),45623.66666666667)</f>
        <v>45623.66667</v>
      </c>
      <c r="B1048" s="1">
        <f>IFERROR(__xludf.DUMMYFUNCTION("""COMPUTED_VALUE"""),330.01)</f>
        <v>330.01</v>
      </c>
    </row>
    <row r="1049">
      <c r="A1049" s="2">
        <f>IFERROR(__xludf.DUMMYFUNCTION("""COMPUTED_VALUE"""),45625.54166666667)</f>
        <v>45625.54167</v>
      </c>
      <c r="B1049" s="1">
        <f>IFERROR(__xludf.DUMMYFUNCTION("""COMPUTED_VALUE"""),329.99)</f>
        <v>329.99</v>
      </c>
    </row>
    <row r="1050">
      <c r="A1050" s="2">
        <f>IFERROR(__xludf.DUMMYFUNCTION("""COMPUTED_VALUE"""),45628.66666666667)</f>
        <v>45628.66667</v>
      </c>
      <c r="B1050" s="1">
        <f>IFERROR(__xludf.DUMMYFUNCTION("""COMPUTED_VALUE"""),331.01)</f>
        <v>331.01</v>
      </c>
    </row>
    <row r="1051">
      <c r="A1051" s="2">
        <f>IFERROR(__xludf.DUMMYFUNCTION("""COMPUTED_VALUE"""),45629.66666666667)</f>
        <v>45629.66667</v>
      </c>
      <c r="B1051" s="1">
        <f>IFERROR(__xludf.DUMMYFUNCTION("""COMPUTED_VALUE"""),331.43)</f>
        <v>331.43</v>
      </c>
    </row>
    <row r="1052">
      <c r="A1052" s="2">
        <f>IFERROR(__xludf.DUMMYFUNCTION("""COMPUTED_VALUE"""),45630.66666666667)</f>
        <v>45630.66667</v>
      </c>
      <c r="B1052" s="1">
        <f>IFERROR(__xludf.DUMMYFUNCTION("""COMPUTED_VALUE"""),367.87)</f>
        <v>367.87</v>
      </c>
    </row>
    <row r="1053">
      <c r="A1053" s="2">
        <f>IFERROR(__xludf.DUMMYFUNCTION("""COMPUTED_VALUE"""),45631.66666666667)</f>
        <v>45631.66667</v>
      </c>
      <c r="B1053" s="1">
        <f>IFERROR(__xludf.DUMMYFUNCTION("""COMPUTED_VALUE"""),361.38)</f>
        <v>361.38</v>
      </c>
    </row>
    <row r="1054">
      <c r="A1054" s="2">
        <f>IFERROR(__xludf.DUMMYFUNCTION("""COMPUTED_VALUE"""),45632.66666666667)</f>
        <v>45632.66667</v>
      </c>
      <c r="B1054" s="1">
        <f>IFERROR(__xludf.DUMMYFUNCTION("""COMPUTED_VALUE"""),361.99)</f>
        <v>361.99</v>
      </c>
    </row>
    <row r="1055">
      <c r="A1055" s="2">
        <f>IFERROR(__xludf.DUMMYFUNCTION("""COMPUTED_VALUE"""),45635.66666666667)</f>
        <v>45635.66667</v>
      </c>
      <c r="B1055" s="1">
        <f>IFERROR(__xludf.DUMMYFUNCTION("""COMPUTED_VALUE"""),351.57)</f>
        <v>351.57</v>
      </c>
    </row>
    <row r="1056">
      <c r="A1056" s="2">
        <f>IFERROR(__xludf.DUMMYFUNCTION("""COMPUTED_VALUE"""),45636.66666666667)</f>
        <v>45636.66667</v>
      </c>
      <c r="B1056" s="1">
        <f>IFERROR(__xludf.DUMMYFUNCTION("""COMPUTED_VALUE"""),348.82)</f>
        <v>348.82</v>
      </c>
    </row>
    <row r="1057">
      <c r="A1057" s="2">
        <f>IFERROR(__xludf.DUMMYFUNCTION("""COMPUTED_VALUE"""),45637.66666666667)</f>
        <v>45637.66667</v>
      </c>
      <c r="B1057" s="1">
        <f>IFERROR(__xludf.DUMMYFUNCTION("""COMPUTED_VALUE"""),354.85)</f>
        <v>354.85</v>
      </c>
    </row>
    <row r="1058">
      <c r="A1058" s="2">
        <f>IFERROR(__xludf.DUMMYFUNCTION("""COMPUTED_VALUE"""),45638.66666666667)</f>
        <v>45638.66667</v>
      </c>
      <c r="B1058" s="1">
        <f>IFERROR(__xludf.DUMMYFUNCTION("""COMPUTED_VALUE"""),358.03)</f>
        <v>358.03</v>
      </c>
    </row>
    <row r="1059">
      <c r="A1059" s="2">
        <f>IFERROR(__xludf.DUMMYFUNCTION("""COMPUTED_VALUE"""),45639.66666666667)</f>
        <v>45639.66667</v>
      </c>
      <c r="B1059" s="1">
        <f>IFERROR(__xludf.DUMMYFUNCTION("""COMPUTED_VALUE"""),354.31)</f>
        <v>354.31</v>
      </c>
    </row>
    <row r="1060">
      <c r="A1060" s="2">
        <f>IFERROR(__xludf.DUMMYFUNCTION("""COMPUTED_VALUE"""),45642.66666666667)</f>
        <v>45642.66667</v>
      </c>
      <c r="B1060" s="1">
        <f>IFERROR(__xludf.DUMMYFUNCTION("""COMPUTED_VALUE"""),357.23)</f>
        <v>357.23</v>
      </c>
    </row>
    <row r="1061">
      <c r="A1061" s="2">
        <f>IFERROR(__xludf.DUMMYFUNCTION("""COMPUTED_VALUE"""),45643.66666666667)</f>
        <v>45643.66667</v>
      </c>
      <c r="B1061" s="1">
        <f>IFERROR(__xludf.DUMMYFUNCTION("""COMPUTED_VALUE"""),350.97)</f>
        <v>350.97</v>
      </c>
    </row>
    <row r="1062">
      <c r="A1062" s="2">
        <f>IFERROR(__xludf.DUMMYFUNCTION("""COMPUTED_VALUE"""),45644.66666666667)</f>
        <v>45644.66667</v>
      </c>
      <c r="B1062" s="1">
        <f>IFERROR(__xludf.DUMMYFUNCTION("""COMPUTED_VALUE"""),337.23)</f>
        <v>337.23</v>
      </c>
    </row>
    <row r="1063">
      <c r="A1063" s="2">
        <f>IFERROR(__xludf.DUMMYFUNCTION("""COMPUTED_VALUE"""),45645.66666666667)</f>
        <v>45645.66667</v>
      </c>
      <c r="B1063" s="1">
        <f>IFERROR(__xludf.DUMMYFUNCTION("""COMPUTED_VALUE"""),336.23)</f>
        <v>336.23</v>
      </c>
    </row>
    <row r="1064">
      <c r="A1064" s="2">
        <f>IFERROR(__xludf.DUMMYFUNCTION("""COMPUTED_VALUE"""),45646.66666666667)</f>
        <v>45646.66667</v>
      </c>
      <c r="B1064" s="1">
        <f>IFERROR(__xludf.DUMMYFUNCTION("""COMPUTED_VALUE"""),343.65)</f>
        <v>343.65</v>
      </c>
    </row>
    <row r="1065">
      <c r="A1065" s="2">
        <f>IFERROR(__xludf.DUMMYFUNCTION("""COMPUTED_VALUE"""),45649.66666666667)</f>
        <v>45649.66667</v>
      </c>
      <c r="B1065" s="1">
        <f>IFERROR(__xludf.DUMMYFUNCTION("""COMPUTED_VALUE"""),342.9)</f>
        <v>342.9</v>
      </c>
    </row>
    <row r="1066">
      <c r="A1066" s="2">
        <f>IFERROR(__xludf.DUMMYFUNCTION("""COMPUTED_VALUE"""),45650.54166666667)</f>
        <v>45650.54167</v>
      </c>
      <c r="B1066" s="1">
        <f>IFERROR(__xludf.DUMMYFUNCTION("""COMPUTED_VALUE"""),344.43)</f>
        <v>344.43</v>
      </c>
    </row>
    <row r="1067">
      <c r="A1067" s="2">
        <f>IFERROR(__xludf.DUMMYFUNCTION("""COMPUTED_VALUE"""),45652.66666666667)</f>
        <v>45652.66667</v>
      </c>
      <c r="B1067" s="1">
        <f>IFERROR(__xludf.DUMMYFUNCTION("""COMPUTED_VALUE"""),341.72)</f>
        <v>341.72</v>
      </c>
    </row>
    <row r="1068">
      <c r="A1068" s="2">
        <f>IFERROR(__xludf.DUMMYFUNCTION("""COMPUTED_VALUE"""),45653.66666666667)</f>
        <v>45653.66667</v>
      </c>
      <c r="B1068" s="1">
        <f>IFERROR(__xludf.DUMMYFUNCTION("""COMPUTED_VALUE"""),338.45)</f>
        <v>338.45</v>
      </c>
    </row>
    <row r="1069">
      <c r="A1069" s="2">
        <f>IFERROR(__xludf.DUMMYFUNCTION("""COMPUTED_VALUE"""),45656.66666666667)</f>
        <v>45656.66667</v>
      </c>
      <c r="B1069" s="1">
        <f>IFERROR(__xludf.DUMMYFUNCTION("""COMPUTED_VALUE"""),335.74)</f>
        <v>335.74</v>
      </c>
    </row>
    <row r="1070">
      <c r="A1070" s="2">
        <f>IFERROR(__xludf.DUMMYFUNCTION("""COMPUTED_VALUE"""),45657.66666666667)</f>
        <v>45657.66667</v>
      </c>
      <c r="B1070" s="1">
        <f>IFERROR(__xludf.DUMMYFUNCTION("""COMPUTED_VALUE"""),334.33)</f>
        <v>334.33</v>
      </c>
    </row>
    <row r="1071">
      <c r="A1071" s="2">
        <f>IFERROR(__xludf.DUMMYFUNCTION("""COMPUTED_VALUE"""),45659.66666666667)</f>
        <v>45659.66667</v>
      </c>
      <c r="B1071" s="1">
        <f>IFERROR(__xludf.DUMMYFUNCTION("""COMPUTED_VALUE"""),330.66)</f>
        <v>330.66</v>
      </c>
    </row>
    <row r="1072">
      <c r="A1072" s="2">
        <f>IFERROR(__xludf.DUMMYFUNCTION("""COMPUTED_VALUE"""),45660.66666666667)</f>
        <v>45660.66667</v>
      </c>
      <c r="B1072" s="1">
        <f>IFERROR(__xludf.DUMMYFUNCTION("""COMPUTED_VALUE"""),332.9)</f>
        <v>332.9</v>
      </c>
    </row>
    <row r="1073">
      <c r="A1073" s="2">
        <f>IFERROR(__xludf.DUMMYFUNCTION("""COMPUTED_VALUE"""),45663.66666666667)</f>
        <v>45663.66667</v>
      </c>
      <c r="B1073" s="1">
        <f>IFERROR(__xludf.DUMMYFUNCTION("""COMPUTED_VALUE"""),330.53)</f>
        <v>330.53</v>
      </c>
    </row>
    <row r="1074">
      <c r="A1074" s="2">
        <f>IFERROR(__xludf.DUMMYFUNCTION("""COMPUTED_VALUE"""),45664.66666666667)</f>
        <v>45664.66667</v>
      </c>
      <c r="B1074" s="1">
        <f>IFERROR(__xludf.DUMMYFUNCTION("""COMPUTED_VALUE"""),324.93)</f>
        <v>324.93</v>
      </c>
    </row>
    <row r="1075">
      <c r="A1075" s="2">
        <f>IFERROR(__xludf.DUMMYFUNCTION("""COMPUTED_VALUE"""),45665.66666666667)</f>
        <v>45665.66667</v>
      </c>
      <c r="B1075" s="1">
        <f>IFERROR(__xludf.DUMMYFUNCTION("""COMPUTED_VALUE"""),326.9)</f>
        <v>326.9</v>
      </c>
    </row>
    <row r="1076">
      <c r="A1076" s="2">
        <f>IFERROR(__xludf.DUMMYFUNCTION("""COMPUTED_VALUE"""),45667.66666666667)</f>
        <v>45667.66667</v>
      </c>
      <c r="B1076" s="1">
        <f>IFERROR(__xludf.DUMMYFUNCTION("""COMPUTED_VALUE"""),317.85)</f>
        <v>317.85</v>
      </c>
    </row>
    <row r="1077">
      <c r="A1077" s="2">
        <f>IFERROR(__xludf.DUMMYFUNCTION("""COMPUTED_VALUE"""),45670.66666666667)</f>
        <v>45670.66667</v>
      </c>
      <c r="B1077" s="1">
        <f>IFERROR(__xludf.DUMMYFUNCTION("""COMPUTED_VALUE"""),319.07)</f>
        <v>319.07</v>
      </c>
    </row>
    <row r="1078">
      <c r="A1078" s="2">
        <f>IFERROR(__xludf.DUMMYFUNCTION("""COMPUTED_VALUE"""),45671.66666666667)</f>
        <v>45671.66667</v>
      </c>
      <c r="B1078" s="1">
        <f>IFERROR(__xludf.DUMMYFUNCTION("""COMPUTED_VALUE"""),323.54)</f>
        <v>323.54</v>
      </c>
    </row>
    <row r="1079">
      <c r="A1079" s="2">
        <f>IFERROR(__xludf.DUMMYFUNCTION("""COMPUTED_VALUE"""),45672.66666666667)</f>
        <v>45672.66667</v>
      </c>
      <c r="B1079" s="1">
        <f>IFERROR(__xludf.DUMMYFUNCTION("""COMPUTED_VALUE"""),321.16)</f>
        <v>321.16</v>
      </c>
    </row>
    <row r="1080">
      <c r="A1080" s="2">
        <f>IFERROR(__xludf.DUMMYFUNCTION("""COMPUTED_VALUE"""),45673.66666666667)</f>
        <v>45673.66667</v>
      </c>
      <c r="B1080" s="1">
        <f>IFERROR(__xludf.DUMMYFUNCTION("""COMPUTED_VALUE"""),320.0)</f>
        <v>320</v>
      </c>
    </row>
    <row r="1081">
      <c r="A1081" s="2">
        <f>IFERROR(__xludf.DUMMYFUNCTION("""COMPUTED_VALUE"""),45674.66666666667)</f>
        <v>45674.66667</v>
      </c>
      <c r="B1081" s="1">
        <f>IFERROR(__xludf.DUMMYFUNCTION("""COMPUTED_VALUE"""),324.56)</f>
        <v>324.56</v>
      </c>
    </row>
    <row r="1082">
      <c r="A1082" s="2">
        <f>IFERROR(__xludf.DUMMYFUNCTION("""COMPUTED_VALUE"""),45678.66666666667)</f>
        <v>45678.66667</v>
      </c>
      <c r="B1082" s="1">
        <f>IFERROR(__xludf.DUMMYFUNCTION("""COMPUTED_VALUE"""),326.84)</f>
        <v>326.84</v>
      </c>
    </row>
    <row r="1083">
      <c r="A1083" s="2">
        <f>IFERROR(__xludf.DUMMYFUNCTION("""COMPUTED_VALUE"""),45679.66666666667)</f>
        <v>45679.66667</v>
      </c>
      <c r="B1083" s="1">
        <f>IFERROR(__xludf.DUMMYFUNCTION("""COMPUTED_VALUE"""),332.62)</f>
        <v>332.62</v>
      </c>
    </row>
    <row r="1084">
      <c r="A1084" s="2">
        <f>IFERROR(__xludf.DUMMYFUNCTION("""COMPUTED_VALUE"""),45680.66666666667)</f>
        <v>45680.66667</v>
      </c>
      <c r="B1084" s="1">
        <f>IFERROR(__xludf.DUMMYFUNCTION("""COMPUTED_VALUE"""),334.66)</f>
        <v>334.66</v>
      </c>
    </row>
    <row r="1085">
      <c r="A1085" s="2">
        <f>IFERROR(__xludf.DUMMYFUNCTION("""COMPUTED_VALUE"""),45681.66666666667)</f>
        <v>45681.66667</v>
      </c>
      <c r="B1085" s="1">
        <f>IFERROR(__xludf.DUMMYFUNCTION("""COMPUTED_VALUE"""),333.88)</f>
        <v>333.88</v>
      </c>
    </row>
    <row r="1086">
      <c r="A1086" s="2">
        <f>IFERROR(__xludf.DUMMYFUNCTION("""COMPUTED_VALUE"""),45684.66666666667)</f>
        <v>45684.66667</v>
      </c>
      <c r="B1086" s="1">
        <f>IFERROR(__xludf.DUMMYFUNCTION("""COMPUTED_VALUE"""),347.1)</f>
        <v>347.1</v>
      </c>
    </row>
    <row r="1087">
      <c r="A1087" s="2">
        <f>IFERROR(__xludf.DUMMYFUNCTION("""COMPUTED_VALUE"""),45685.66666666667)</f>
        <v>45685.66667</v>
      </c>
      <c r="B1087" s="1">
        <f>IFERROR(__xludf.DUMMYFUNCTION("""COMPUTED_VALUE"""),359.95)</f>
        <v>359.95</v>
      </c>
    </row>
    <row r="1088">
      <c r="A1088" s="2">
        <f>IFERROR(__xludf.DUMMYFUNCTION("""COMPUTED_VALUE"""),45686.66666666667)</f>
        <v>45686.66667</v>
      </c>
      <c r="B1088" s="1">
        <f>IFERROR(__xludf.DUMMYFUNCTION("""COMPUTED_VALUE"""),354.0)</f>
        <v>354</v>
      </c>
    </row>
    <row r="1089">
      <c r="A1089" s="2">
        <f>IFERROR(__xludf.DUMMYFUNCTION("""COMPUTED_VALUE"""),45687.66666666667)</f>
        <v>45687.66667</v>
      </c>
      <c r="B1089" s="1">
        <f>IFERROR(__xludf.DUMMYFUNCTION("""COMPUTED_VALUE"""),343.57)</f>
        <v>343.57</v>
      </c>
    </row>
    <row r="1090">
      <c r="A1090" s="2">
        <f>IFERROR(__xludf.DUMMYFUNCTION("""COMPUTED_VALUE"""),45688.66666666667)</f>
        <v>45688.66667</v>
      </c>
      <c r="B1090" s="1">
        <f>IFERROR(__xludf.DUMMYFUNCTION("""COMPUTED_VALUE"""),341.7)</f>
        <v>341.7</v>
      </c>
    </row>
    <row r="1091">
      <c r="A1091" s="2">
        <f>IFERROR(__xludf.DUMMYFUNCTION("""COMPUTED_VALUE"""),45691.66666666667)</f>
        <v>45691.66667</v>
      </c>
      <c r="B1091" s="1">
        <f>IFERROR(__xludf.DUMMYFUNCTION("""COMPUTED_VALUE"""),339.24)</f>
        <v>339.24</v>
      </c>
    </row>
    <row r="1092">
      <c r="A1092" s="2">
        <f>IFERROR(__xludf.DUMMYFUNCTION("""COMPUTED_VALUE"""),45692.66666666667)</f>
        <v>45692.66667</v>
      </c>
      <c r="B1092" s="1">
        <f>IFERROR(__xludf.DUMMYFUNCTION("""COMPUTED_VALUE"""),344.14)</f>
        <v>344.14</v>
      </c>
    </row>
    <row r="1093">
      <c r="A1093" s="2">
        <f>IFERROR(__xludf.DUMMYFUNCTION("""COMPUTED_VALUE"""),45693.66666666667)</f>
        <v>45693.66667</v>
      </c>
      <c r="B1093" s="1">
        <f>IFERROR(__xludf.DUMMYFUNCTION("""COMPUTED_VALUE"""),347.93)</f>
        <v>347.93</v>
      </c>
    </row>
    <row r="1094">
      <c r="A1094" s="2">
        <f>IFERROR(__xludf.DUMMYFUNCTION("""COMPUTED_VALUE"""),45694.66666666667)</f>
        <v>45694.66667</v>
      </c>
      <c r="B1094" s="1">
        <f>IFERROR(__xludf.DUMMYFUNCTION("""COMPUTED_VALUE"""),330.81)</f>
        <v>330.81</v>
      </c>
    </row>
    <row r="1095">
      <c r="A1095" s="2">
        <f>IFERROR(__xludf.DUMMYFUNCTION("""COMPUTED_VALUE"""),45695.66666666667)</f>
        <v>45695.66667</v>
      </c>
      <c r="B1095" s="1">
        <f>IFERROR(__xludf.DUMMYFUNCTION("""COMPUTED_VALUE"""),325.83)</f>
        <v>325.83</v>
      </c>
    </row>
    <row r="1096">
      <c r="A1096" s="2">
        <f>IFERROR(__xludf.DUMMYFUNCTION("""COMPUTED_VALUE"""),45698.66666666667)</f>
        <v>45698.66667</v>
      </c>
      <c r="B1096" s="1">
        <f>IFERROR(__xludf.DUMMYFUNCTION("""COMPUTED_VALUE"""),327.2)</f>
        <v>327.2</v>
      </c>
    </row>
    <row r="1097">
      <c r="A1097" s="2">
        <f>IFERROR(__xludf.DUMMYFUNCTION("""COMPUTED_VALUE"""),45699.66666666667)</f>
        <v>45699.66667</v>
      </c>
      <c r="B1097" s="1">
        <f>IFERROR(__xludf.DUMMYFUNCTION("""COMPUTED_VALUE"""),324.4)</f>
        <v>324.4</v>
      </c>
    </row>
    <row r="1098">
      <c r="A1098" s="2">
        <f>IFERROR(__xludf.DUMMYFUNCTION("""COMPUTED_VALUE"""),45700.66666666667)</f>
        <v>45700.66667</v>
      </c>
      <c r="B1098" s="1">
        <f>IFERROR(__xludf.DUMMYFUNCTION("""COMPUTED_VALUE"""),326.12)</f>
        <v>326.12</v>
      </c>
    </row>
    <row r="1099">
      <c r="A1099" s="2">
        <f>IFERROR(__xludf.DUMMYFUNCTION("""COMPUTED_VALUE"""),45701.66666666667)</f>
        <v>45701.66667</v>
      </c>
      <c r="B1099" s="1">
        <f>IFERROR(__xludf.DUMMYFUNCTION("""COMPUTED_VALUE"""),329.85)</f>
        <v>329.85</v>
      </c>
    </row>
    <row r="1100">
      <c r="A1100" s="2">
        <f>IFERROR(__xludf.DUMMYFUNCTION("""COMPUTED_VALUE"""),45702.66666666667)</f>
        <v>45702.66667</v>
      </c>
      <c r="B1100" s="1">
        <f>IFERROR(__xludf.DUMMYFUNCTION("""COMPUTED_VALUE"""),326.54)</f>
        <v>326.54</v>
      </c>
    </row>
    <row r="1101">
      <c r="A1101" s="2">
        <f>IFERROR(__xludf.DUMMYFUNCTION("""COMPUTED_VALUE"""),45706.66666666667)</f>
        <v>45706.66667</v>
      </c>
      <c r="B1101" s="1">
        <f>IFERROR(__xludf.DUMMYFUNCTION("""COMPUTED_VALUE"""),328.96)</f>
        <v>328.96</v>
      </c>
    </row>
    <row r="1102">
      <c r="A1102" s="2">
        <f>IFERROR(__xludf.DUMMYFUNCTION("""COMPUTED_VALUE"""),45707.66666666667)</f>
        <v>45707.66667</v>
      </c>
      <c r="B1102" s="1">
        <f>IFERROR(__xludf.DUMMYFUNCTION("""COMPUTED_VALUE"""),324.53)</f>
        <v>324.53</v>
      </c>
    </row>
    <row r="1103">
      <c r="A1103" s="2">
        <f>IFERROR(__xludf.DUMMYFUNCTION("""COMPUTED_VALUE"""),45708.66666666667)</f>
        <v>45708.66667</v>
      </c>
      <c r="B1103" s="1">
        <f>IFERROR(__xludf.DUMMYFUNCTION("""COMPUTED_VALUE"""),318.43)</f>
        <v>318.43</v>
      </c>
    </row>
    <row r="1104">
      <c r="A1104" s="2">
        <f>IFERROR(__xludf.DUMMYFUNCTION("""COMPUTED_VALUE"""),45709.66666666667)</f>
        <v>45709.66667</v>
      </c>
      <c r="B1104" s="1">
        <f>IFERROR(__xludf.DUMMYFUNCTION("""COMPUTED_VALUE"""),309.8)</f>
        <v>309.8</v>
      </c>
    </row>
    <row r="1105">
      <c r="A1105" s="2">
        <f>IFERROR(__xludf.DUMMYFUNCTION("""COMPUTED_VALUE"""),45712.66666666667)</f>
        <v>45712.66667</v>
      </c>
      <c r="B1105" s="1">
        <f>IFERROR(__xludf.DUMMYFUNCTION("""COMPUTED_VALUE"""),308.32)</f>
        <v>308.32</v>
      </c>
    </row>
    <row r="1106">
      <c r="A1106" s="2">
        <f>IFERROR(__xludf.DUMMYFUNCTION("""COMPUTED_VALUE"""),45713.66666666667)</f>
        <v>45713.66667</v>
      </c>
      <c r="B1106" s="1">
        <f>IFERROR(__xludf.DUMMYFUNCTION("""COMPUTED_VALUE"""),305.88)</f>
        <v>305.88</v>
      </c>
    </row>
    <row r="1107">
      <c r="A1107" s="2">
        <f>IFERROR(__xludf.DUMMYFUNCTION("""COMPUTED_VALUE"""),45714.66666666667)</f>
        <v>45714.66667</v>
      </c>
      <c r="B1107" s="1">
        <f>IFERROR(__xludf.DUMMYFUNCTION("""COMPUTED_VALUE"""),307.33)</f>
        <v>307.33</v>
      </c>
    </row>
    <row r="1108">
      <c r="A1108" s="2">
        <f>IFERROR(__xludf.DUMMYFUNCTION("""COMPUTED_VALUE"""),45715.66666666667)</f>
        <v>45715.66667</v>
      </c>
      <c r="B1108" s="1">
        <f>IFERROR(__xludf.DUMMYFUNCTION("""COMPUTED_VALUE"""),294.9)</f>
        <v>294.9</v>
      </c>
    </row>
    <row r="1109">
      <c r="A1109" s="2">
        <f>IFERROR(__xludf.DUMMYFUNCTION("""COMPUTED_VALUE"""),45716.66666666667)</f>
        <v>45716.66667</v>
      </c>
      <c r="B1109" s="1">
        <f>IFERROR(__xludf.DUMMYFUNCTION("""COMPUTED_VALUE"""),297.85)</f>
        <v>297.85</v>
      </c>
    </row>
    <row r="1110">
      <c r="A1110" s="2">
        <f>IFERROR(__xludf.DUMMYFUNCTION("""COMPUTED_VALUE"""),45719.66666666667)</f>
        <v>45719.66667</v>
      </c>
      <c r="B1110" s="1">
        <f>IFERROR(__xludf.DUMMYFUNCTION("""COMPUTED_VALUE"""),293.06)</f>
        <v>293.06</v>
      </c>
    </row>
    <row r="1111">
      <c r="A1111" s="2">
        <f>IFERROR(__xludf.DUMMYFUNCTION("""COMPUTED_VALUE"""),45720.66666666667)</f>
        <v>45720.66667</v>
      </c>
      <c r="B1111" s="1">
        <f>IFERROR(__xludf.DUMMYFUNCTION("""COMPUTED_VALUE"""),287.34)</f>
        <v>287.34</v>
      </c>
    </row>
    <row r="1112">
      <c r="A1112" s="2">
        <f>IFERROR(__xludf.DUMMYFUNCTION("""COMPUTED_VALUE"""),45721.66666666667)</f>
        <v>45721.66667</v>
      </c>
      <c r="B1112" s="1">
        <f>IFERROR(__xludf.DUMMYFUNCTION("""COMPUTED_VALUE"""),291.97)</f>
        <v>291.97</v>
      </c>
    </row>
    <row r="1113">
      <c r="A1113" s="2">
        <f>IFERROR(__xludf.DUMMYFUNCTION("""COMPUTED_VALUE"""),45722.66666666667)</f>
        <v>45722.66667</v>
      </c>
      <c r="B1113" s="1">
        <f>IFERROR(__xludf.DUMMYFUNCTION("""COMPUTED_VALUE"""),286.05)</f>
        <v>286.05</v>
      </c>
    </row>
    <row r="1114">
      <c r="A1114" s="2">
        <f>IFERROR(__xludf.DUMMYFUNCTION("""COMPUTED_VALUE"""),45723.66666666667)</f>
        <v>45723.66667</v>
      </c>
      <c r="B1114" s="1">
        <f>IFERROR(__xludf.DUMMYFUNCTION("""COMPUTED_VALUE"""),282.89)</f>
        <v>282.89</v>
      </c>
    </row>
    <row r="1115">
      <c r="A1115" s="2">
        <f>IFERROR(__xludf.DUMMYFUNCTION("""COMPUTED_VALUE"""),45726.66666666667)</f>
        <v>45726.66667</v>
      </c>
      <c r="B1115" s="1">
        <f>IFERROR(__xludf.DUMMYFUNCTION("""COMPUTED_VALUE"""),272.9)</f>
        <v>272.9</v>
      </c>
    </row>
    <row r="1116">
      <c r="A1116" s="2">
        <f>IFERROR(__xludf.DUMMYFUNCTION("""COMPUTED_VALUE"""),45727.66666666667)</f>
        <v>45727.66667</v>
      </c>
      <c r="B1116" s="1">
        <f>IFERROR(__xludf.DUMMYFUNCTION("""COMPUTED_VALUE"""),277.05)</f>
        <v>277.05</v>
      </c>
    </row>
    <row r="1117">
      <c r="A1117" s="2">
        <f>IFERROR(__xludf.DUMMYFUNCTION("""COMPUTED_VALUE"""),45728.66666666667)</f>
        <v>45728.66667</v>
      </c>
      <c r="B1117" s="1">
        <f>IFERROR(__xludf.DUMMYFUNCTION("""COMPUTED_VALUE"""),284.58)</f>
        <v>284.58</v>
      </c>
    </row>
    <row r="1118">
      <c r="A1118" s="2">
        <f>IFERROR(__xludf.DUMMYFUNCTION("""COMPUTED_VALUE"""),45729.66666666667)</f>
        <v>45729.66667</v>
      </c>
      <c r="B1118" s="1">
        <f>IFERROR(__xludf.DUMMYFUNCTION("""COMPUTED_VALUE"""),271.74)</f>
        <v>271.74</v>
      </c>
    </row>
    <row r="1119">
      <c r="A1119" s="2">
        <f>IFERROR(__xludf.DUMMYFUNCTION("""COMPUTED_VALUE"""),45730.66666666667)</f>
        <v>45730.66667</v>
      </c>
      <c r="B1119" s="1">
        <f>IFERROR(__xludf.DUMMYFUNCTION("""COMPUTED_VALUE"""),279.4)</f>
        <v>279.4</v>
      </c>
    </row>
    <row r="1120">
      <c r="A1120" s="2">
        <f>IFERROR(__xludf.DUMMYFUNCTION("""COMPUTED_VALUE"""),45733.66666666667)</f>
        <v>45733.66667</v>
      </c>
      <c r="B1120" s="1">
        <f>IFERROR(__xludf.DUMMYFUNCTION("""COMPUTED_VALUE"""),280.75)</f>
        <v>280.75</v>
      </c>
    </row>
    <row r="1121">
      <c r="A1121" s="2">
        <f>IFERROR(__xludf.DUMMYFUNCTION("""COMPUTED_VALUE"""),45734.66666666667)</f>
        <v>45734.66667</v>
      </c>
      <c r="B1121" s="1">
        <f>IFERROR(__xludf.DUMMYFUNCTION("""COMPUTED_VALUE"""),278.73)</f>
        <v>278.73</v>
      </c>
    </row>
    <row r="1122">
      <c r="A1122" s="2">
        <f>IFERROR(__xludf.DUMMYFUNCTION("""COMPUTED_VALUE"""),45735.66666666667)</f>
        <v>45735.66667</v>
      </c>
      <c r="B1122" s="1">
        <f>IFERROR(__xludf.DUMMYFUNCTION("""COMPUTED_VALUE"""),279.39)</f>
        <v>279.39</v>
      </c>
    </row>
    <row r="1123">
      <c r="A1123" s="2">
        <f>IFERROR(__xludf.DUMMYFUNCTION("""COMPUTED_VALUE"""),45736.66666666667)</f>
        <v>45736.66667</v>
      </c>
      <c r="B1123" s="1">
        <f>IFERROR(__xludf.DUMMYFUNCTION("""COMPUTED_VALUE"""),279.03)</f>
        <v>279.03</v>
      </c>
    </row>
    <row r="1124">
      <c r="A1124" s="2">
        <f>IFERROR(__xludf.DUMMYFUNCTION("""COMPUTED_VALUE"""),45737.66666666667)</f>
        <v>45737.66667</v>
      </c>
      <c r="B1124" s="1">
        <f>IFERROR(__xludf.DUMMYFUNCTION("""COMPUTED_VALUE"""),280.62)</f>
        <v>280.62</v>
      </c>
    </row>
    <row r="1125">
      <c r="A1125" s="2">
        <f>IFERROR(__xludf.DUMMYFUNCTION("""COMPUTED_VALUE"""),45740.66666666667)</f>
        <v>45740.66667</v>
      </c>
      <c r="B1125" s="1">
        <f>IFERROR(__xludf.DUMMYFUNCTION("""COMPUTED_VALUE"""),285.96)</f>
        <v>285.96</v>
      </c>
    </row>
    <row r="1126">
      <c r="A1126" s="2">
        <f>IFERROR(__xludf.DUMMYFUNCTION("""COMPUTED_VALUE"""),45741.66666666667)</f>
        <v>45741.66667</v>
      </c>
      <c r="B1126" s="1">
        <f>IFERROR(__xludf.DUMMYFUNCTION("""COMPUTED_VALUE"""),288.61)</f>
        <v>288.61</v>
      </c>
    </row>
    <row r="1127">
      <c r="A1127" s="2">
        <f>IFERROR(__xludf.DUMMYFUNCTION("""COMPUTED_VALUE"""),45742.66666666667)</f>
        <v>45742.66667</v>
      </c>
      <c r="B1127" s="1">
        <f>IFERROR(__xludf.DUMMYFUNCTION("""COMPUTED_VALUE"""),280.99)</f>
        <v>280.99</v>
      </c>
    </row>
    <row r="1128">
      <c r="A1128" s="2">
        <f>IFERROR(__xludf.DUMMYFUNCTION("""COMPUTED_VALUE"""),45743.66666666667)</f>
        <v>45743.66667</v>
      </c>
      <c r="B1128" s="1">
        <f>IFERROR(__xludf.DUMMYFUNCTION("""COMPUTED_VALUE"""),277.81)</f>
        <v>277.81</v>
      </c>
    </row>
    <row r="1129">
      <c r="A1129" s="2">
        <f>IFERROR(__xludf.DUMMYFUNCTION("""COMPUTED_VALUE"""),45744.66666666667)</f>
        <v>45744.66667</v>
      </c>
      <c r="B1129" s="1">
        <f>IFERROR(__xludf.DUMMYFUNCTION("""COMPUTED_VALUE"""),269.97)</f>
        <v>269.97</v>
      </c>
    </row>
    <row r="1130">
      <c r="A1130" s="2">
        <f>IFERROR(__xludf.DUMMYFUNCTION("""COMPUTED_VALUE"""),45747.66666666667)</f>
        <v>45747.66667</v>
      </c>
      <c r="B1130" s="1">
        <f>IFERROR(__xludf.DUMMYFUNCTION("""COMPUTED_VALUE"""),268.36)</f>
        <v>268.36</v>
      </c>
    </row>
    <row r="1131">
      <c r="A1131" s="2">
        <f>IFERROR(__xludf.DUMMYFUNCTION("""COMPUTED_VALUE"""),45748.66666666667)</f>
        <v>45748.66667</v>
      </c>
      <c r="B1131" s="1">
        <f>IFERROR(__xludf.DUMMYFUNCTION("""COMPUTED_VALUE"""),270.2)</f>
        <v>270.2</v>
      </c>
    </row>
    <row r="1132">
      <c r="A1132" s="2">
        <f>IFERROR(__xludf.DUMMYFUNCTION("""COMPUTED_VALUE"""),45749.66666666667)</f>
        <v>45749.66667</v>
      </c>
      <c r="B1132" s="1">
        <f>IFERROR(__xludf.DUMMYFUNCTION("""COMPUTED_VALUE"""),271.54)</f>
        <v>271.54</v>
      </c>
    </row>
    <row r="1133">
      <c r="A1133" s="2">
        <f>IFERROR(__xludf.DUMMYFUNCTION("""COMPUTED_VALUE"""),45750.66666666667)</f>
        <v>45750.66667</v>
      </c>
      <c r="B1133" s="1">
        <f>IFERROR(__xludf.DUMMYFUNCTION("""COMPUTED_VALUE"""),255.23)</f>
        <v>255.23</v>
      </c>
    </row>
    <row r="1134">
      <c r="A1134" s="2">
        <f>IFERROR(__xludf.DUMMYFUNCTION("""COMPUTED_VALUE"""),45751.66666666667)</f>
        <v>45751.66667</v>
      </c>
      <c r="B1134" s="1">
        <f>IFERROR(__xludf.DUMMYFUNCTION("""COMPUTED_VALUE"""),240.76)</f>
        <v>240.76</v>
      </c>
    </row>
    <row r="1135">
      <c r="A1135" s="2">
        <f>IFERROR(__xludf.DUMMYFUNCTION("""COMPUTED_VALUE"""),45754.66666666667)</f>
        <v>45754.66667</v>
      </c>
      <c r="B1135" s="1">
        <f>IFERROR(__xludf.DUMMYFUNCTION("""COMPUTED_VALUE"""),244.21)</f>
        <v>244.21</v>
      </c>
    </row>
    <row r="1136">
      <c r="A1136" s="2">
        <f>IFERROR(__xludf.DUMMYFUNCTION("""COMPUTED_VALUE"""),45755.66666666667)</f>
        <v>45755.66667</v>
      </c>
      <c r="B1136" s="1">
        <f>IFERROR(__xludf.DUMMYFUNCTION("""COMPUTED_VALUE"""),243.99)</f>
        <v>243.99</v>
      </c>
    </row>
    <row r="1137">
      <c r="A1137" s="2">
        <f>IFERROR(__xludf.DUMMYFUNCTION("""COMPUTED_VALUE"""),45756.66666666667)</f>
        <v>45756.66667</v>
      </c>
      <c r="B1137" s="1">
        <f>IFERROR(__xludf.DUMMYFUNCTION("""COMPUTED_VALUE"""),265.17)</f>
        <v>265.17</v>
      </c>
    </row>
    <row r="1138">
      <c r="A1138" s="2">
        <f>IFERROR(__xludf.DUMMYFUNCTION("""COMPUTED_VALUE"""),45757.66666666667)</f>
        <v>45757.66667</v>
      </c>
      <c r="B1138" s="1">
        <f>IFERROR(__xludf.DUMMYFUNCTION("""COMPUTED_VALUE"""),255.12)</f>
        <v>255.12</v>
      </c>
    </row>
    <row r="1139">
      <c r="A1139" s="2">
        <f>IFERROR(__xludf.DUMMYFUNCTION("""COMPUTED_VALUE"""),45758.66666666667)</f>
        <v>45758.66667</v>
      </c>
      <c r="B1139" s="1">
        <f>IFERROR(__xludf.DUMMYFUNCTION("""COMPUTED_VALUE"""),255.0)</f>
        <v>255</v>
      </c>
    </row>
    <row r="1140">
      <c r="A1140" s="2">
        <f>IFERROR(__xludf.DUMMYFUNCTION("""COMPUTED_VALUE"""),45761.66666666667)</f>
        <v>45761.66667</v>
      </c>
      <c r="B1140" s="1">
        <f>IFERROR(__xludf.DUMMYFUNCTION("""COMPUTED_VALUE"""),254.55)</f>
        <v>254.55</v>
      </c>
    </row>
    <row r="1141">
      <c r="A1141" s="2">
        <f>IFERROR(__xludf.DUMMYFUNCTION("""COMPUTED_VALUE"""),45762.66666666667)</f>
        <v>45762.66667</v>
      </c>
      <c r="B1141" s="1">
        <f>IFERROR(__xludf.DUMMYFUNCTION("""COMPUTED_VALUE"""),254.93)</f>
        <v>254.93</v>
      </c>
    </row>
    <row r="1142">
      <c r="A1142" s="2">
        <f>IFERROR(__xludf.DUMMYFUNCTION("""COMPUTED_VALUE"""),45763.66666666667)</f>
        <v>45763.66667</v>
      </c>
      <c r="B1142" s="1">
        <f>IFERROR(__xludf.DUMMYFUNCTION("""COMPUTED_VALUE"""),249.84)</f>
        <v>249.84</v>
      </c>
    </row>
    <row r="1143">
      <c r="A1143" s="2">
        <f>IFERROR(__xludf.DUMMYFUNCTION("""COMPUTED_VALUE"""),45764.66666666667)</f>
        <v>45764.66667</v>
      </c>
      <c r="B1143" s="1">
        <f>IFERROR(__xludf.DUMMYFUNCTION("""COMPUTED_VALUE"""),247.26)</f>
        <v>247.26</v>
      </c>
    </row>
    <row r="1144">
      <c r="A1144" s="2">
        <f>IFERROR(__xludf.DUMMYFUNCTION("""COMPUTED_VALUE"""),45768.66666666667)</f>
        <v>45768.66667</v>
      </c>
      <c r="B1144" s="1">
        <f>IFERROR(__xludf.DUMMYFUNCTION("""COMPUTED_VALUE"""),236.26)</f>
        <v>236.26</v>
      </c>
    </row>
    <row r="1145">
      <c r="A1145" s="2">
        <f>IFERROR(__xludf.DUMMYFUNCTION("""COMPUTED_VALUE"""),45769.66666666667)</f>
        <v>45769.66667</v>
      </c>
      <c r="B1145" s="1">
        <f>IFERROR(__xludf.DUMMYFUNCTION("""COMPUTED_VALUE"""),243.39)</f>
        <v>243.39</v>
      </c>
    </row>
    <row r="1146">
      <c r="A1146" s="2">
        <f>IFERROR(__xludf.DUMMYFUNCTION("""COMPUTED_VALUE"""),45770.66666666667)</f>
        <v>45770.66667</v>
      </c>
      <c r="B1146" s="1">
        <f>IFERROR(__xludf.DUMMYFUNCTION("""COMPUTED_VALUE"""),250.48)</f>
        <v>250.48</v>
      </c>
    </row>
    <row r="1147">
      <c r="A1147" s="2">
        <f>IFERROR(__xludf.DUMMYFUNCTION("""COMPUTED_VALUE"""),45771.66666666667)</f>
        <v>45771.66667</v>
      </c>
      <c r="B1147" s="1">
        <f>IFERROR(__xludf.DUMMYFUNCTION("""COMPUTED_VALUE"""),264.7)</f>
        <v>264.7</v>
      </c>
    </row>
    <row r="1148">
      <c r="A1148" s="2">
        <f>IFERROR(__xludf.DUMMYFUNCTION("""COMPUTED_VALUE"""),45772.66666666667)</f>
        <v>45772.66667</v>
      </c>
      <c r="B1148" s="1">
        <f>IFERROR(__xludf.DUMMYFUNCTION("""COMPUTED_VALUE"""),267.85)</f>
        <v>267.85</v>
      </c>
    </row>
    <row r="1149">
      <c r="A1149" s="2">
        <f>IFERROR(__xludf.DUMMYFUNCTION("""COMPUTED_VALUE"""),45775.66666666667)</f>
        <v>45775.66667</v>
      </c>
      <c r="B1149" s="1">
        <f>IFERROR(__xludf.DUMMYFUNCTION("""COMPUTED_VALUE"""),265.64)</f>
        <v>265.64</v>
      </c>
    </row>
    <row r="1150">
      <c r="A1150" s="2">
        <f>IFERROR(__xludf.DUMMYFUNCTION("""COMPUTED_VALUE"""),45776.66666666667)</f>
        <v>45776.66667</v>
      </c>
      <c r="B1150" s="1">
        <f>IFERROR(__xludf.DUMMYFUNCTION("""COMPUTED_VALUE"""),267.76)</f>
        <v>267.76</v>
      </c>
    </row>
    <row r="1151">
      <c r="A1151" s="2">
        <f>IFERROR(__xludf.DUMMYFUNCTION("""COMPUTED_VALUE"""),45777.66666666667)</f>
        <v>45777.66667</v>
      </c>
      <c r="B1151" s="1">
        <f>IFERROR(__xludf.DUMMYFUNCTION("""COMPUTED_VALUE"""),268.71)</f>
        <v>268.71</v>
      </c>
    </row>
    <row r="1152">
      <c r="A1152" s="2">
        <f>IFERROR(__xludf.DUMMYFUNCTION("""COMPUTED_VALUE"""),45778.66666666667)</f>
        <v>45778.66667</v>
      </c>
      <c r="B1152" s="1">
        <f>IFERROR(__xludf.DUMMYFUNCTION("""COMPUTED_VALUE"""),269.33)</f>
        <v>269.33</v>
      </c>
    </row>
    <row r="1153">
      <c r="A1153" s="2">
        <f>IFERROR(__xludf.DUMMYFUNCTION("""COMPUTED_VALUE"""),45779.66666666667)</f>
        <v>45779.66667</v>
      </c>
      <c r="B1153" s="1">
        <f>IFERROR(__xludf.DUMMYFUNCTION("""COMPUTED_VALUE"""),275.08)</f>
        <v>275.08</v>
      </c>
    </row>
    <row r="1154">
      <c r="A1154" s="2">
        <f>IFERROR(__xludf.DUMMYFUNCTION("""COMPUTED_VALUE"""),45782.66666666667)</f>
        <v>45782.66667</v>
      </c>
      <c r="B1154" s="1">
        <f>IFERROR(__xludf.DUMMYFUNCTION("""COMPUTED_VALUE"""),272.63)</f>
        <v>272.63</v>
      </c>
    </row>
    <row r="1155">
      <c r="A1155" s="2">
        <f>IFERROR(__xludf.DUMMYFUNCTION("""COMPUTED_VALUE"""),45783.66666666667)</f>
        <v>45783.66667</v>
      </c>
      <c r="B1155" s="1">
        <f>IFERROR(__xludf.DUMMYFUNCTION("""COMPUTED_VALUE"""),273.36)</f>
        <v>273.36</v>
      </c>
    </row>
    <row r="1156">
      <c r="A1156" s="2">
        <f>IFERROR(__xludf.DUMMYFUNCTION("""COMPUTED_VALUE"""),45784.66666666667)</f>
        <v>45784.66667</v>
      </c>
      <c r="B1156" s="1">
        <f>IFERROR(__xludf.DUMMYFUNCTION("""COMPUTED_VALUE"""),278.23)</f>
        <v>278.23</v>
      </c>
    </row>
    <row r="1157">
      <c r="A1157" s="2">
        <f>IFERROR(__xludf.DUMMYFUNCTION("""COMPUTED_VALUE"""),45785.66666666667)</f>
        <v>45785.66667</v>
      </c>
      <c r="B1157" s="1">
        <f>IFERROR(__xludf.DUMMYFUNCTION("""COMPUTED_VALUE"""),279.74)</f>
        <v>279.74</v>
      </c>
    </row>
    <row r="1158">
      <c r="A1158" s="2">
        <f>IFERROR(__xludf.DUMMYFUNCTION("""COMPUTED_VALUE"""),45786.66666666667)</f>
        <v>45786.66667</v>
      </c>
      <c r="B1158" s="1">
        <f>IFERROR(__xludf.DUMMYFUNCTION("""COMPUTED_VALUE"""),275.42)</f>
        <v>275.42</v>
      </c>
    </row>
    <row r="1159">
      <c r="A1159" s="2">
        <f>IFERROR(__xludf.DUMMYFUNCTION("""COMPUTED_VALUE"""),45789.66666666667)</f>
        <v>45789.66667</v>
      </c>
      <c r="B1159" s="1">
        <f>IFERROR(__xludf.DUMMYFUNCTION("""COMPUTED_VALUE"""),288.82)</f>
        <v>288.82</v>
      </c>
    </row>
    <row r="1160">
      <c r="A1160" s="2">
        <f>IFERROR(__xludf.DUMMYFUNCTION("""COMPUTED_VALUE"""),45790.66666666667)</f>
        <v>45790.66667</v>
      </c>
      <c r="B1160" s="1">
        <f>IFERROR(__xludf.DUMMYFUNCTION("""COMPUTED_VALUE"""),289.17)</f>
        <v>289.17</v>
      </c>
    </row>
    <row r="1161">
      <c r="A1161" s="2">
        <f>IFERROR(__xludf.DUMMYFUNCTION("""COMPUTED_VALUE"""),45791.66666666667)</f>
        <v>45791.66667</v>
      </c>
      <c r="B1161" s="1">
        <f>IFERROR(__xludf.DUMMYFUNCTION("""COMPUTED_VALUE"""),290.74)</f>
        <v>290.74</v>
      </c>
    </row>
    <row r="1162">
      <c r="A1162" s="2">
        <f>IFERROR(__xludf.DUMMYFUNCTION("""COMPUTED_VALUE"""),45792.66666666667)</f>
        <v>45792.66667</v>
      </c>
      <c r="B1162" s="1">
        <f>IFERROR(__xludf.DUMMYFUNCTION("""COMPUTED_VALUE"""),290.76)</f>
        <v>290.76</v>
      </c>
    </row>
    <row r="1163">
      <c r="A1163" s="2">
        <f>IFERROR(__xludf.DUMMYFUNCTION("""COMPUTED_VALUE"""),45793.66666666667)</f>
        <v>45793.66667</v>
      </c>
      <c r="B1163" s="1">
        <f>IFERROR(__xludf.DUMMYFUNCTION("""COMPUTED_VALUE"""),291.15)</f>
        <v>291.15</v>
      </c>
    </row>
    <row r="1164">
      <c r="A1164" s="2">
        <f>IFERROR(__xludf.DUMMYFUNCTION("""COMPUTED_VALUE"""),45796.66666666667)</f>
        <v>45796.66667</v>
      </c>
      <c r="B1164" s="1">
        <f>IFERROR(__xludf.DUMMYFUNCTION("""COMPUTED_VALUE"""),287.63)</f>
        <v>287.63</v>
      </c>
    </row>
    <row r="1165">
      <c r="A1165" s="2">
        <f>IFERROR(__xludf.DUMMYFUNCTION("""COMPUTED_VALUE"""),45797.66666666667)</f>
        <v>45797.66667</v>
      </c>
      <c r="B1165" s="1">
        <f>IFERROR(__xludf.DUMMYFUNCTION("""COMPUTED_VALUE"""),288.06)</f>
        <v>288.06</v>
      </c>
    </row>
    <row r="1166">
      <c r="A1166" s="2">
        <f>IFERROR(__xludf.DUMMYFUNCTION("""COMPUTED_VALUE"""),45798.66666666667)</f>
        <v>45798.66667</v>
      </c>
      <c r="B1166" s="1">
        <f>IFERROR(__xludf.DUMMYFUNCTION("""COMPUTED_VALUE"""),282.28)</f>
        <v>282.28</v>
      </c>
    </row>
    <row r="1167">
      <c r="A1167" s="2">
        <f>IFERROR(__xludf.DUMMYFUNCTION("""COMPUTED_VALUE"""),45799.66666666667)</f>
        <v>45799.66667</v>
      </c>
      <c r="B1167" s="1">
        <f>IFERROR(__xludf.DUMMYFUNCTION("""COMPUTED_VALUE"""),283.42)</f>
        <v>283.42</v>
      </c>
    </row>
    <row r="1168">
      <c r="A1168" s="2">
        <f>IFERROR(__xludf.DUMMYFUNCTION("""COMPUTED_VALUE"""),45800.66666666667)</f>
        <v>45800.66667</v>
      </c>
      <c r="B1168" s="1">
        <f>IFERROR(__xludf.DUMMYFUNCTION("""COMPUTED_VALUE"""),273.13)</f>
        <v>273.13</v>
      </c>
    </row>
    <row r="1169">
      <c r="A1169" s="2">
        <f>IFERROR(__xludf.DUMMYFUNCTION("""COMPUTED_VALUE"""),45804.66666666667)</f>
        <v>45804.66667</v>
      </c>
      <c r="B1169" s="1">
        <f>IFERROR(__xludf.DUMMYFUNCTION("""COMPUTED_VALUE"""),277.19)</f>
        <v>277.19</v>
      </c>
    </row>
    <row r="1170">
      <c r="A1170" s="2">
        <f>IFERROR(__xludf.DUMMYFUNCTION("""COMPUTED_VALUE"""),45805.66666666667)</f>
        <v>45805.66667</v>
      </c>
      <c r="B1170" s="1">
        <f>IFERROR(__xludf.DUMMYFUNCTION("""COMPUTED_VALUE"""),276.03)</f>
        <v>276.03</v>
      </c>
    </row>
    <row r="1171">
      <c r="A1171" s="2">
        <f>IFERROR(__xludf.DUMMYFUNCTION("""COMPUTED_VALUE"""),45806.66666666667)</f>
        <v>45806.66667</v>
      </c>
      <c r="B1171" s="1">
        <f>IFERROR(__xludf.DUMMYFUNCTION("""COMPUTED_VALUE"""),266.92)</f>
        <v>266.92</v>
      </c>
    </row>
    <row r="1172">
      <c r="A1172" s="2">
        <f>IFERROR(__xludf.DUMMYFUNCTION("""COMPUTED_VALUE"""),45807.66666666667)</f>
        <v>45807.66667</v>
      </c>
      <c r="B1172" s="1">
        <f>IFERROR(__xludf.DUMMYFUNCTION("""COMPUTED_VALUE"""),265.37)</f>
        <v>265.37</v>
      </c>
    </row>
    <row r="1173">
      <c r="A1173" s="2">
        <f>IFERROR(__xludf.DUMMYFUNCTION("""COMPUTED_VALUE"""),45810.66666666667)</f>
        <v>45810.66667</v>
      </c>
      <c r="B1173" s="1">
        <f>IFERROR(__xludf.DUMMYFUNCTION("""COMPUTED_VALUE"""),261.62)</f>
        <v>261.62</v>
      </c>
    </row>
    <row r="1174">
      <c r="A1174" s="2">
        <f>IFERROR(__xludf.DUMMYFUNCTION("""COMPUTED_VALUE"""),45811.66666666667)</f>
        <v>45811.66667</v>
      </c>
      <c r="B1174" s="1">
        <f>IFERROR(__xludf.DUMMYFUNCTION("""COMPUTED_VALUE"""),264.47)</f>
        <v>264.47</v>
      </c>
    </row>
    <row r="1175">
      <c r="A1175" s="2">
        <f>IFERROR(__xludf.DUMMYFUNCTION("""COMPUTED_VALUE"""),45812.66666666667)</f>
        <v>45812.66667</v>
      </c>
      <c r="B1175" s="1">
        <f>IFERROR(__xludf.DUMMYFUNCTION("""COMPUTED_VALUE"""),263.17)</f>
        <v>263.17</v>
      </c>
    </row>
    <row r="1176">
      <c r="A1176" s="2">
        <f>IFERROR(__xludf.DUMMYFUNCTION("""COMPUTED_VALUE"""),45813.66666666667)</f>
        <v>45813.66667</v>
      </c>
      <c r="B1176" s="1">
        <f>IFERROR(__xludf.DUMMYFUNCTION("""COMPUTED_VALUE"""),267.14)</f>
        <v>267.14</v>
      </c>
    </row>
    <row r="1177">
      <c r="A1177" s="2">
        <f>IFERROR(__xludf.DUMMYFUNCTION("""COMPUTED_VALUE"""),45814.66666666667)</f>
        <v>45814.66667</v>
      </c>
      <c r="B1177" s="1">
        <f>IFERROR(__xludf.DUMMYFUNCTION("""COMPUTED_VALUE"""),274.51)</f>
        <v>274.51</v>
      </c>
    </row>
    <row r="1178">
      <c r="A1178" s="2">
        <f>IFERROR(__xludf.DUMMYFUNCTION("""COMPUTED_VALUE"""),45817.66666666667)</f>
        <v>45817.66667</v>
      </c>
      <c r="B1178" s="1">
        <f>IFERROR(__xludf.DUMMYFUNCTION("""COMPUTED_VALUE"""),272.25)</f>
        <v>272.25</v>
      </c>
    </row>
    <row r="1179">
      <c r="A1179" s="2">
        <f>IFERROR(__xludf.DUMMYFUNCTION("""COMPUTED_VALUE"""),45818.66666666667)</f>
        <v>45818.66667</v>
      </c>
      <c r="B1179" s="1">
        <f>IFERROR(__xludf.DUMMYFUNCTION("""COMPUTED_VALUE"""),268.22)</f>
        <v>268.22</v>
      </c>
    </row>
    <row r="1180">
      <c r="A1180" s="2">
        <f>IFERROR(__xludf.DUMMYFUNCTION("""COMPUTED_VALUE"""),45819.66666666667)</f>
        <v>45819.66667</v>
      </c>
      <c r="B1180" s="1">
        <f>IFERROR(__xludf.DUMMYFUNCTION("""COMPUTED_VALUE"""),265.91)</f>
        <v>265.91</v>
      </c>
    </row>
    <row r="1181">
      <c r="A1181" s="2">
        <f>IFERROR(__xludf.DUMMYFUNCTION("""COMPUTED_VALUE"""),45820.66666666667)</f>
        <v>45820.66667</v>
      </c>
      <c r="B1181" s="1">
        <f>IFERROR(__xludf.DUMMYFUNCTION("""COMPUTED_VALUE"""),266.91)</f>
        <v>266.91</v>
      </c>
    </row>
    <row r="1182">
      <c r="A1182" s="2">
        <f>IFERROR(__xludf.DUMMYFUNCTION("""COMPUTED_VALUE"""),45821.66666666667)</f>
        <v>45821.66667</v>
      </c>
      <c r="B1182" s="1">
        <f>IFERROR(__xludf.DUMMYFUNCTION("""COMPUTED_VALUE"""),258.4)</f>
        <v>258.4</v>
      </c>
    </row>
    <row r="1183">
      <c r="A1183" s="2">
        <f>IFERROR(__xludf.DUMMYFUNCTION("""COMPUTED_VALUE"""),45824.66666666667)</f>
        <v>45824.66667</v>
      </c>
      <c r="B1183" s="1">
        <f>IFERROR(__xludf.DUMMYFUNCTION("""COMPUTED_VALUE"""),263.88)</f>
        <v>263.88</v>
      </c>
    </row>
    <row r="1184">
      <c r="A1184" s="2">
        <f>IFERROR(__xludf.DUMMYFUNCTION("""COMPUTED_VALUE"""),45825.66666666667)</f>
        <v>45825.66667</v>
      </c>
      <c r="B1184" s="1">
        <f>IFERROR(__xludf.DUMMYFUNCTION("""COMPUTED_VALUE"""),262.76)</f>
        <v>262.76</v>
      </c>
    </row>
    <row r="1185">
      <c r="A1185" s="2">
        <f>IFERROR(__xludf.DUMMYFUNCTION("""COMPUTED_VALUE"""),45826.66666666667)</f>
        <v>45826.66667</v>
      </c>
      <c r="B1185" s="1">
        <f>IFERROR(__xludf.DUMMYFUNCTION("""COMPUTED_VALUE"""),259.5)</f>
        <v>259.5</v>
      </c>
    </row>
    <row r="1186">
      <c r="A1186" s="2">
        <f>IFERROR(__xludf.DUMMYFUNCTION("""COMPUTED_VALUE"""),45828.66666666667)</f>
        <v>45828.66667</v>
      </c>
      <c r="B1186" s="1">
        <f>IFERROR(__xludf.DUMMYFUNCTION("""COMPUTED_VALUE"""),260.63)</f>
        <v>260.63</v>
      </c>
    </row>
    <row r="1187">
      <c r="A1187" s="2">
        <f>IFERROR(__xludf.DUMMYFUNCTION("""COMPUTED_VALUE"""),45831.66666666667)</f>
        <v>45831.66667</v>
      </c>
      <c r="B1187" s="1">
        <f>IFERROR(__xludf.DUMMYFUNCTION("""COMPUTED_VALUE"""),263.41)</f>
        <v>263.41</v>
      </c>
    </row>
    <row r="1188">
      <c r="A1188" s="2">
        <f>IFERROR(__xludf.DUMMYFUNCTION("""COMPUTED_VALUE"""),45832.66666666667)</f>
        <v>45832.66667</v>
      </c>
      <c r="B1188" s="1">
        <f>IFERROR(__xludf.DUMMYFUNCTION("""COMPUTED_VALUE"""),271.17)</f>
        <v>271.17</v>
      </c>
    </row>
    <row r="1189">
      <c r="A1189" s="2">
        <f>IFERROR(__xludf.DUMMYFUNCTION("""COMPUTED_VALUE"""),45833.66666666667)</f>
        <v>45833.66667</v>
      </c>
      <c r="B1189" s="1">
        <f>IFERROR(__xludf.DUMMYFUNCTION("""COMPUTED_VALUE"""),267.76)</f>
        <v>267.76</v>
      </c>
    </row>
    <row r="1190">
      <c r="A1190" s="2">
        <f>IFERROR(__xludf.DUMMYFUNCTION("""COMPUTED_VALUE"""),45834.66666666667)</f>
        <v>45834.66667</v>
      </c>
      <c r="B1190" s="1">
        <f>IFERROR(__xludf.DUMMYFUNCTION("""COMPUTED_VALUE"""),270.74)</f>
        <v>270.74</v>
      </c>
    </row>
    <row r="1191">
      <c r="A1191" s="2">
        <f>IFERROR(__xludf.DUMMYFUNCTION("""COMPUTED_VALUE"""),45835.66666666667)</f>
        <v>45835.66667</v>
      </c>
      <c r="B1191" s="1">
        <f>IFERROR(__xludf.DUMMYFUNCTION("""COMPUTED_VALUE"""),273.42)</f>
        <v>273.42</v>
      </c>
    </row>
    <row r="1192">
      <c r="A1192" s="2">
        <f>IFERROR(__xludf.DUMMYFUNCTION("""COMPUTED_VALUE"""),45838.66666666667)</f>
        <v>45838.66667</v>
      </c>
      <c r="B1192" s="1">
        <f>IFERROR(__xludf.DUMMYFUNCTION("""COMPUTED_VALUE"""),272.69)</f>
        <v>272.69</v>
      </c>
    </row>
    <row r="1193">
      <c r="A1193" s="2">
        <f>IFERROR(__xludf.DUMMYFUNCTION("""COMPUTED_VALUE"""),45839.66666666667)</f>
        <v>45839.66667</v>
      </c>
      <c r="B1193" s="1">
        <f>IFERROR(__xludf.DUMMYFUNCTION("""COMPUTED_VALUE"""),271.91)</f>
        <v>271.91</v>
      </c>
    </row>
    <row r="1194">
      <c r="A1194" s="2">
        <f>IFERROR(__xludf.DUMMYFUNCTION("""COMPUTED_VALUE"""),45840.66666666667)</f>
        <v>45840.66667</v>
      </c>
      <c r="B1194" s="1">
        <f>IFERROR(__xludf.DUMMYFUNCTION("""COMPUTED_VALUE"""),269.21)</f>
        <v>269.21</v>
      </c>
    </row>
    <row r="1195">
      <c r="A1195" s="2">
        <f>IFERROR(__xludf.DUMMYFUNCTION("""COMPUTED_VALUE"""),45841.54166666667)</f>
        <v>45841.54167</v>
      </c>
      <c r="B1195" s="1">
        <f>IFERROR(__xludf.DUMMYFUNCTION("""COMPUTED_VALUE"""),272.15)</f>
        <v>272.15</v>
      </c>
    </row>
    <row r="1196">
      <c r="A1196" s="2">
        <f>IFERROR(__xludf.DUMMYFUNCTION("""COMPUTED_VALUE"""),45845.66666666667)</f>
        <v>45845.66667</v>
      </c>
      <c r="B1196" s="1">
        <f>IFERROR(__xludf.DUMMYFUNCTION("""COMPUTED_VALUE"""),269.8)</f>
        <v>269.8</v>
      </c>
    </row>
    <row r="1197">
      <c r="A1197" s="2">
        <f>IFERROR(__xludf.DUMMYFUNCTION("""COMPUTED_VALUE"""),45846.66666666667)</f>
        <v>45846.66667</v>
      </c>
      <c r="B1197" s="1">
        <f>IFERROR(__xludf.DUMMYFUNCTION("""COMPUTED_VALUE"""),273.65)</f>
        <v>273.65</v>
      </c>
    </row>
    <row r="1198">
      <c r="A1198" s="2">
        <f>IFERROR(__xludf.DUMMYFUNCTION("""COMPUTED_VALUE"""),45847.66666666667)</f>
        <v>45847.66667</v>
      </c>
      <c r="B1198" s="1">
        <f>IFERROR(__xludf.DUMMYFUNCTION("""COMPUTED_VALUE"""),270.92)</f>
        <v>270.92</v>
      </c>
    </row>
    <row r="1199">
      <c r="A1199" s="2">
        <f>IFERROR(__xludf.DUMMYFUNCTION("""COMPUTED_VALUE"""),45848.66666666667)</f>
        <v>45848.66667</v>
      </c>
      <c r="B1199" s="1">
        <f>IFERROR(__xludf.DUMMYFUNCTION("""COMPUTED_VALUE"""),263.97)</f>
        <v>263.97</v>
      </c>
    </row>
    <row r="1200">
      <c r="A1200" s="2">
        <f>IFERROR(__xludf.DUMMYFUNCTION("""COMPUTED_VALUE"""),45849.66666666667)</f>
        <v>45849.66667</v>
      </c>
      <c r="B1200" s="1">
        <f>IFERROR(__xludf.DUMMYFUNCTION("""COMPUTED_VALUE"""),258.07)</f>
        <v>258.07</v>
      </c>
    </row>
    <row r="1201">
      <c r="A1201" s="2">
        <f>IFERROR(__xludf.DUMMYFUNCTION("""COMPUTED_VALUE"""),45852.66666666667)</f>
        <v>45852.66667</v>
      </c>
      <c r="B1201" s="1">
        <f>IFERROR(__xludf.DUMMYFUNCTION("""COMPUTED_VALUE"""),259.68)</f>
        <v>259.68</v>
      </c>
    </row>
    <row r="1202">
      <c r="A1202" s="2">
        <f>IFERROR(__xludf.DUMMYFUNCTION("""COMPUTED_VALUE"""),45853.66666666667)</f>
        <v>45853.66667</v>
      </c>
      <c r="B1202" s="1">
        <f>IFERROR(__xludf.DUMMYFUNCTION("""COMPUTED_VALUE"""),257.58)</f>
        <v>257.58</v>
      </c>
    </row>
    <row r="1203">
      <c r="A1203" s="2">
        <f>IFERROR(__xludf.DUMMYFUNCTION("""COMPUTED_VALUE"""),45854.66666666667)</f>
        <v>45854.66667</v>
      </c>
      <c r="B1203" s="1">
        <f>IFERROR(__xludf.DUMMYFUNCTION("""COMPUTED_VALUE"""),257.95)</f>
        <v>257.95</v>
      </c>
    </row>
    <row r="1204">
      <c r="A1204" s="2">
        <f>IFERROR(__xludf.DUMMYFUNCTION("""COMPUTED_VALUE"""),45855.66666666667)</f>
        <v>45855.66667</v>
      </c>
      <c r="B1204" s="1">
        <f>IFERROR(__xludf.DUMMYFUNCTION("""COMPUTED_VALUE"""),259.88)</f>
        <v>259.88</v>
      </c>
    </row>
    <row r="1205">
      <c r="A1205" s="2">
        <f>IFERROR(__xludf.DUMMYFUNCTION("""COMPUTED_VALUE"""),45856.66666666667)</f>
        <v>45856.66667</v>
      </c>
      <c r="B1205" s="1">
        <f>IFERROR(__xludf.DUMMYFUNCTION("""COMPUTED_VALUE"""),262.38)</f>
        <v>262.38</v>
      </c>
    </row>
    <row r="1206">
      <c r="A1206" s="2">
        <f>IFERROR(__xludf.DUMMYFUNCTION("""COMPUTED_VALUE"""),45859.66666666667)</f>
        <v>45859.66667</v>
      </c>
      <c r="B1206" s="1">
        <f>IFERROR(__xludf.DUMMYFUNCTION("""COMPUTED_VALUE"""),262.28)</f>
        <v>262.28</v>
      </c>
    </row>
    <row r="1207">
      <c r="A1207" s="2">
        <f>IFERROR(__xludf.DUMMYFUNCTION("""COMPUTED_VALUE"""),45860.66666666667)</f>
        <v>45860.66667</v>
      </c>
      <c r="B1207" s="1">
        <f>IFERROR(__xludf.DUMMYFUNCTION("""COMPUTED_VALUE"""),263.59)</f>
        <v>263.59</v>
      </c>
    </row>
    <row r="1208">
      <c r="A1208" s="2">
        <f>IFERROR(__xludf.DUMMYFUNCTION("""COMPUTED_VALUE"""),45861.66666666667)</f>
        <v>45861.66667</v>
      </c>
      <c r="B1208" s="1">
        <f>IFERROR(__xludf.DUMMYFUNCTION("""COMPUTED_VALUE"""),267.22)</f>
        <v>267.22</v>
      </c>
    </row>
    <row r="1209">
      <c r="A1209" s="2">
        <f>IFERROR(__xludf.DUMMYFUNCTION("""COMPUTED_VALUE"""),45862.66666666667)</f>
        <v>45862.66667</v>
      </c>
      <c r="B1209" s="1">
        <f>IFERROR(__xludf.DUMMYFUNCTION("""COMPUTED_VALUE"""),267.7)</f>
        <v>267.7</v>
      </c>
    </row>
    <row r="1210">
      <c r="A1210" s="2">
        <f>IFERROR(__xludf.DUMMYFUNCTION("""COMPUTED_VALUE"""),45863.66666666667)</f>
        <v>45863.66667</v>
      </c>
      <c r="B1210" s="1">
        <f>IFERROR(__xludf.DUMMYFUNCTION("""COMPUTED_VALUE"""),269.11)</f>
        <v>269.11</v>
      </c>
    </row>
    <row r="1211">
      <c r="A1211" s="2">
        <f>IFERROR(__xludf.DUMMYFUNCTION("""COMPUTED_VALUE"""),45866.66666666667)</f>
        <v>45866.66667</v>
      </c>
      <c r="B1211" s="1">
        <f>IFERROR(__xludf.DUMMYFUNCTION("""COMPUTED_VALUE"""),270.25)</f>
        <v>270.25</v>
      </c>
    </row>
    <row r="1212">
      <c r="A1212" s="2">
        <f>IFERROR(__xludf.DUMMYFUNCTION("""COMPUTED_VALUE"""),45867.66666666667)</f>
        <v>45867.66667</v>
      </c>
      <c r="B1212" s="1">
        <f>IFERROR(__xludf.DUMMYFUNCTION("""COMPUTED_VALUE"""),267.39)</f>
        <v>267.39</v>
      </c>
    </row>
    <row r="1213">
      <c r="A1213" s="2">
        <f>IFERROR(__xludf.DUMMYFUNCTION("""COMPUTED_VALUE"""),45868.66666666667)</f>
        <v>45868.66667</v>
      </c>
      <c r="B1213" s="1">
        <f>IFERROR(__xludf.DUMMYFUNCTION("""COMPUTED_VALUE"""),264.81)</f>
        <v>264.81</v>
      </c>
    </row>
    <row r="1214">
      <c r="A1214" s="2">
        <f>IFERROR(__xludf.DUMMYFUNCTION("""COMPUTED_VALUE"""),45869.66666666667)</f>
        <v>45869.66667</v>
      </c>
      <c r="B1214" s="1">
        <f>IFERROR(__xludf.DUMMYFUNCTION("""COMPUTED_VALUE"""),258.33)</f>
        <v>258.33</v>
      </c>
    </row>
    <row r="1215">
      <c r="A1215" s="2">
        <f>IFERROR(__xludf.DUMMYFUNCTION("""COMPUTED_VALUE"""),45870.66666666667)</f>
        <v>45870.66667</v>
      </c>
      <c r="B1215" s="1">
        <f>IFERROR(__xludf.DUMMYFUNCTION("""COMPUTED_VALUE"""),250.74)</f>
        <v>250.74</v>
      </c>
    </row>
    <row r="1216">
      <c r="A1216" s="2">
        <f>IFERROR(__xludf.DUMMYFUNCTION("""COMPUTED_VALUE"""),45873.66666666667)</f>
        <v>45873.66667</v>
      </c>
      <c r="B1216" s="1">
        <f>IFERROR(__xludf.DUMMYFUNCTION("""COMPUTED_VALUE"""),252.32)</f>
        <v>252.32</v>
      </c>
    </row>
    <row r="1217">
      <c r="A1217" s="2">
        <f>IFERROR(__xludf.DUMMYFUNCTION("""COMPUTED_VALUE"""),45874.66666666667)</f>
        <v>45874.66667</v>
      </c>
      <c r="B1217" s="1">
        <f>IFERROR(__xludf.DUMMYFUNCTION("""COMPUTED_VALUE"""),247.49)</f>
        <v>247.49</v>
      </c>
    </row>
    <row r="1218">
      <c r="A1218" s="2">
        <f>IFERROR(__xludf.DUMMYFUNCTION("""COMPUTED_VALUE"""),45875.66666666667)</f>
        <v>45875.66667</v>
      </c>
      <c r="B1218" s="1">
        <f>IFERROR(__xludf.DUMMYFUNCTION("""COMPUTED_VALUE"""),249.17)</f>
        <v>249.17</v>
      </c>
    </row>
    <row r="1219">
      <c r="A1219" s="2">
        <f>IFERROR(__xludf.DUMMYFUNCTION("""COMPUTED_VALUE"""),45876.66666666667)</f>
        <v>45876.66667</v>
      </c>
      <c r="B1219" s="1">
        <f>IFERROR(__xludf.DUMMYFUNCTION("""COMPUTED_VALUE"""),240.88)</f>
        <v>240.88</v>
      </c>
    </row>
    <row r="1220">
      <c r="A1220" s="2">
        <f>IFERROR(__xludf.DUMMYFUNCTION("""COMPUTED_VALUE"""),45877.66666666667)</f>
        <v>45877.66667</v>
      </c>
      <c r="B1220" s="1">
        <f>IFERROR(__xludf.DUMMYFUNCTION("""COMPUTED_VALUE"""),240.51)</f>
        <v>240.51</v>
      </c>
    </row>
    <row r="1221">
      <c r="A1221" s="2">
        <f>IFERROR(__xludf.DUMMYFUNCTION("""COMPUTED_VALUE"""),45880.66666666667)</f>
        <v>45880.66667</v>
      </c>
      <c r="B1221" s="1">
        <f>IFERROR(__xludf.DUMMYFUNCTION("""COMPUTED_VALUE"""),232.68)</f>
        <v>232.68</v>
      </c>
    </row>
    <row r="1222">
      <c r="A1222" s="2">
        <f>IFERROR(__xludf.DUMMYFUNCTION("""COMPUTED_VALUE"""),45881.66666666667)</f>
        <v>45881.66667</v>
      </c>
      <c r="B1222" s="1">
        <f>IFERROR(__xludf.DUMMYFUNCTION("""COMPUTED_VALUE"""),231.66)</f>
        <v>231.66</v>
      </c>
    </row>
    <row r="1223">
      <c r="A1223" s="2">
        <f>IFERROR(__xludf.DUMMYFUNCTION("""COMPUTED_VALUE"""),45882.66666666667)</f>
        <v>45882.66667</v>
      </c>
      <c r="B1223" s="1">
        <f>IFERROR(__xludf.DUMMYFUNCTION("""COMPUTED_VALUE"""),237.03)</f>
        <v>237.03</v>
      </c>
    </row>
    <row r="1224">
      <c r="A1224" s="2">
        <f>IFERROR(__xludf.DUMMYFUNCTION("""COMPUTED_VALUE"""),45883.66666666667)</f>
        <v>45883.66667</v>
      </c>
      <c r="B1224" s="1">
        <f>IFERROR(__xludf.DUMMYFUNCTION("""COMPUTED_VALUE"""),233.37)</f>
        <v>233.37</v>
      </c>
    </row>
    <row r="1225">
      <c r="A1225" s="2">
        <f>IFERROR(__xludf.DUMMYFUNCTION("""COMPUTED_VALUE"""),45884.66666666667)</f>
        <v>45884.66667</v>
      </c>
      <c r="B1225" s="1">
        <f>IFERROR(__xludf.DUMMYFUNCTION("""COMPUTED_VALUE"""),242.44)</f>
        <v>242.44</v>
      </c>
    </row>
    <row r="1226">
      <c r="A1226" s="2">
        <f>IFERROR(__xludf.DUMMYFUNCTION("""COMPUTED_VALUE"""),45887.66666666667)</f>
        <v>45887.66667</v>
      </c>
      <c r="B1226" s="1">
        <f>IFERROR(__xludf.DUMMYFUNCTION("""COMPUTED_VALUE"""),243.97)</f>
        <v>243.97</v>
      </c>
    </row>
    <row r="1227">
      <c r="A1227" s="2">
        <f>IFERROR(__xludf.DUMMYFUNCTION("""COMPUTED_VALUE"""),45888.66666666667)</f>
        <v>45888.66667</v>
      </c>
      <c r="B1227" s="1">
        <f>IFERROR(__xludf.DUMMYFUNCTION("""COMPUTED_VALUE"""),246.0)</f>
        <v>246</v>
      </c>
    </row>
    <row r="1228">
      <c r="A1228" s="2">
        <f>IFERROR(__xludf.DUMMYFUNCTION("""COMPUTED_VALUE"""),45889.66666666667)</f>
        <v>45889.66667</v>
      </c>
      <c r="B1228" s="1">
        <f>IFERROR(__xludf.DUMMYFUNCTION("""COMPUTED_VALUE"""),246.45)</f>
        <v>246.45</v>
      </c>
    </row>
    <row r="1229">
      <c r="A1229" s="2">
        <f>IFERROR(__xludf.DUMMYFUNCTION("""COMPUTED_VALUE"""),45890.66666666667)</f>
        <v>45890.66667</v>
      </c>
      <c r="B1229" s="1">
        <f>IFERROR(__xludf.DUMMYFUNCTION("""COMPUTED_VALUE"""),245.83)</f>
        <v>245.83</v>
      </c>
    </row>
    <row r="1230">
      <c r="A1230" s="2">
        <f>IFERROR(__xludf.DUMMYFUNCTION("""COMPUTED_VALUE"""),45891.66666666667)</f>
        <v>45891.66667</v>
      </c>
      <c r="B1230" s="1">
        <f>IFERROR(__xludf.DUMMYFUNCTION("""COMPUTED_VALUE"""),248.29)</f>
        <v>248.29</v>
      </c>
    </row>
    <row r="1231">
      <c r="A1231" s="2">
        <f>IFERROR(__xludf.DUMMYFUNCTION("""COMPUTED_VALUE"""),45894.66666666667)</f>
        <v>45894.66667</v>
      </c>
      <c r="B1231" s="1">
        <f>IFERROR(__xludf.DUMMYFUNCTION("""COMPUTED_VALUE"""),247.87)</f>
        <v>247.87</v>
      </c>
    </row>
    <row r="1232">
      <c r="A1232" s="2">
        <f>IFERROR(__xludf.DUMMYFUNCTION("""COMPUTED_VALUE"""),45895.66666666667)</f>
        <v>45895.66667</v>
      </c>
      <c r="B1232" s="1">
        <f>IFERROR(__xludf.DUMMYFUNCTION("""COMPUTED_VALUE"""),243.74)</f>
        <v>243.74</v>
      </c>
    </row>
    <row r="1233">
      <c r="A1233" s="2">
        <f>IFERROR(__xludf.DUMMYFUNCTION("""COMPUTED_VALUE"""),45896.66666666667)</f>
        <v>45896.66667</v>
      </c>
      <c r="B1233" s="1">
        <f>IFERROR(__xludf.DUMMYFUNCTION("""COMPUTED_VALUE"""),250.16)</f>
        <v>250.16</v>
      </c>
    </row>
    <row r="1234">
      <c r="A1234" s="2">
        <f>IFERROR(__xludf.DUMMYFUNCTION("""COMPUTED_VALUE"""),45897.66666666667)</f>
        <v>45897.66667</v>
      </c>
      <c r="B1234" s="1">
        <f>IFERROR(__xludf.DUMMYFUNCTION("""COMPUTED_VALUE"""),254.53)</f>
        <v>254.53</v>
      </c>
    </row>
    <row r="1235">
      <c r="A1235" s="2">
        <f>IFERROR(__xludf.DUMMYFUNCTION("""COMPUTED_VALUE"""),45898.66666666667)</f>
        <v>45898.66667</v>
      </c>
      <c r="B1235" s="1">
        <f>IFERROR(__xludf.DUMMYFUNCTION("""COMPUTED_VALUE"""),256.25)</f>
        <v>256.25</v>
      </c>
    </row>
    <row r="1236">
      <c r="A1236" s="2">
        <f>IFERROR(__xludf.DUMMYFUNCTION("""COMPUTED_VALUE"""),45902.66666666667)</f>
        <v>45902.66667</v>
      </c>
      <c r="B1236" s="1">
        <f>IFERROR(__xludf.DUMMYFUNCTION("""COMPUTED_VALUE"""),252.86)</f>
        <v>252.86</v>
      </c>
    </row>
    <row r="1237">
      <c r="A1237" s="2">
        <f>IFERROR(__xludf.DUMMYFUNCTION("""COMPUTED_VALUE"""),45903.66666666667)</f>
        <v>45903.66667</v>
      </c>
      <c r="B1237" s="1">
        <f>IFERROR(__xludf.DUMMYFUNCTION("""COMPUTED_VALUE"""),256.45)</f>
        <v>256.45</v>
      </c>
    </row>
    <row r="1238">
      <c r="A1238" s="2">
        <f>IFERROR(__xludf.DUMMYFUNCTION("""COMPUTED_VALUE"""),45904.66666666667)</f>
        <v>45904.66667</v>
      </c>
      <c r="B1238" s="1">
        <f>IFERROR(__xludf.DUMMYFUNCTION("""COMPUTED_VALUE"""),244.01)</f>
        <v>244.01</v>
      </c>
    </row>
    <row r="1239">
      <c r="A1239" s="2">
        <f>IFERROR(__xludf.DUMMYFUNCTION("""COMPUTED_VALUE"""),45905.66666666667)</f>
        <v>45905.66667</v>
      </c>
      <c r="B1239" s="1">
        <f>IFERROR(__xludf.DUMMYFUNCTION("""COMPUTED_VALUE"""),250.76)</f>
        <v>250.76</v>
      </c>
    </row>
    <row r="1240">
      <c r="A1240" s="2">
        <f>IFERROR(__xludf.DUMMYFUNCTION("""COMPUTED_VALUE"""),45908.66666666667)</f>
        <v>45908.66667</v>
      </c>
      <c r="B1240" s="1">
        <f>IFERROR(__xludf.DUMMYFUNCTION("""COMPUTED_VALUE"""),252.27)</f>
        <v>252.27</v>
      </c>
    </row>
    <row r="1241">
      <c r="A1241" s="2">
        <f>IFERROR(__xludf.DUMMYFUNCTION("""COMPUTED_VALUE"""),45909.66666666667)</f>
        <v>45909.66667</v>
      </c>
      <c r="B1241" s="1">
        <f>IFERROR(__xludf.DUMMYFUNCTION("""COMPUTED_VALUE"""),252.06)</f>
        <v>252.06</v>
      </c>
    </row>
    <row r="1242">
      <c r="A1242" s="2">
        <f>IFERROR(__xludf.DUMMYFUNCTION("""COMPUTED_VALUE"""),45910.66666666667)</f>
        <v>45910.66667</v>
      </c>
      <c r="B1242" s="1">
        <f>IFERROR(__xludf.DUMMYFUNCTION("""COMPUTED_VALUE"""),242.57)</f>
        <v>242.57</v>
      </c>
    </row>
    <row r="1243">
      <c r="A1243" s="2">
        <f>IFERROR(__xludf.DUMMYFUNCTION("""COMPUTED_VALUE"""),45911.66666666667)</f>
        <v>45911.66667</v>
      </c>
      <c r="B1243" s="1">
        <f>IFERROR(__xludf.DUMMYFUNCTION("""COMPUTED_VALUE"""),246.28)</f>
        <v>246.28</v>
      </c>
    </row>
    <row r="1244">
      <c r="A1244" s="2">
        <f>IFERROR(__xludf.DUMMYFUNCTION("""COMPUTED_VALUE"""),45912.66666666667)</f>
        <v>45912.66667</v>
      </c>
      <c r="B1244" s="1">
        <f>IFERROR(__xludf.DUMMYFUNCTION("""COMPUTED_VALUE"""),242.76)</f>
        <v>242.76</v>
      </c>
    </row>
    <row r="1245">
      <c r="A1245" s="2">
        <f>IFERROR(__xludf.DUMMYFUNCTION("""COMPUTED_VALUE"""),45915.66666666667)</f>
        <v>45915.66667</v>
      </c>
      <c r="B1245" s="1">
        <f>IFERROR(__xludf.DUMMYFUNCTION("""COMPUTED_VALUE"""),242.52)</f>
        <v>242.52</v>
      </c>
    </row>
    <row r="1246">
      <c r="A1246" s="2">
        <f>IFERROR(__xludf.DUMMYFUNCTION("""COMPUTED_VALUE"""),45916.66666666667)</f>
        <v>45916.66667</v>
      </c>
      <c r="B1246" s="1">
        <f>IFERROR(__xludf.DUMMYFUNCTION("""COMPUTED_VALUE"""),239.31)</f>
        <v>239.31</v>
      </c>
    </row>
    <row r="1247">
      <c r="A1247" s="2">
        <f>IFERROR(__xludf.DUMMYFUNCTION("""COMPUTED_VALUE"""),45917.66666666667)</f>
        <v>45917.66667</v>
      </c>
      <c r="B1247" s="1">
        <f>IFERROR(__xludf.DUMMYFUNCTION("""COMPUTED_VALUE"""),242.21)</f>
        <v>242.21</v>
      </c>
    </row>
    <row r="1248">
      <c r="A1248" s="2">
        <f>IFERROR(__xludf.DUMMYFUNCTION("""COMPUTED_VALUE"""),45918.66666666667)</f>
        <v>45918.66667</v>
      </c>
      <c r="B1248" s="1">
        <f>IFERROR(__xludf.DUMMYFUNCTION("""COMPUTED_VALUE"""),244.28)</f>
        <v>244.28</v>
      </c>
    </row>
    <row r="1249">
      <c r="A1249" s="2">
        <f>IFERROR(__xludf.DUMMYFUNCTION("""COMPUTED_VALUE"""),45919.66666666667)</f>
        <v>45919.66667</v>
      </c>
      <c r="B1249" s="1">
        <f>IFERROR(__xludf.DUMMYFUNCTION("""COMPUTED_VALUE"""),247.09)</f>
        <v>247.09</v>
      </c>
    </row>
    <row r="1250">
      <c r="A1250" s="2">
        <f>IFERROR(__xludf.DUMMYFUNCTION("""COMPUTED_VALUE"""),45922.66666666667)</f>
        <v>45922.66667</v>
      </c>
      <c r="B1250" s="1">
        <f>IFERROR(__xludf.DUMMYFUNCTION("""COMPUTED_VALUE"""),249.69)</f>
        <v>249.69</v>
      </c>
    </row>
    <row r="1251">
      <c r="A1251" s="2">
        <f>IFERROR(__xludf.DUMMYFUNCTION("""COMPUTED_VALUE"""),45923.66666666667)</f>
        <v>45923.66667</v>
      </c>
      <c r="B1251" s="1">
        <f>IFERROR(__xludf.DUMMYFUNCTION("""COMPUTED_VALUE"""),244.56)</f>
        <v>244.56</v>
      </c>
    </row>
    <row r="1252">
      <c r="A1252" s="2">
        <f>IFERROR(__xludf.DUMMYFUNCTION("""COMPUTED_VALUE"""),45924.66666666667)</f>
        <v>45924.66667</v>
      </c>
      <c r="B1252" s="1">
        <f>IFERROR(__xludf.DUMMYFUNCTION("""COMPUTED_VALUE"""),245.89)</f>
        <v>245.89</v>
      </c>
    </row>
    <row r="1253">
      <c r="A1253" s="2">
        <f>IFERROR(__xludf.DUMMYFUNCTION("""COMPUTED_VALUE"""),45925.66666666667)</f>
        <v>45925.66667</v>
      </c>
      <c r="B1253" s="1">
        <f>IFERROR(__xludf.DUMMYFUNCTION("""COMPUTED_VALUE"""),240.95)</f>
        <v>240.95</v>
      </c>
    </row>
    <row r="1254">
      <c r="A1254" s="2">
        <f>IFERROR(__xludf.DUMMYFUNCTION("""COMPUTED_VALUE"""),45926.66666666667)</f>
        <v>45926.66667</v>
      </c>
      <c r="B1254" s="1">
        <f>IFERROR(__xludf.DUMMYFUNCTION("""COMPUTED_VALUE"""),243.43)</f>
        <v>243.43</v>
      </c>
    </row>
    <row r="1255">
      <c r="A1255" s="2">
        <f>IFERROR(__xludf.DUMMYFUNCTION("""COMPUTED_VALUE"""),45929.66666666667)</f>
        <v>45929.66667</v>
      </c>
      <c r="B1255" s="1">
        <f>IFERROR(__xludf.DUMMYFUNCTION("""COMPUTED_VALUE"""),245.1)</f>
        <v>245.1</v>
      </c>
    </row>
    <row r="1256">
      <c r="A1256" s="2">
        <f>IFERROR(__xludf.DUMMYFUNCTION("""COMPUTED_VALUE"""),45930.66666666667)</f>
        <v>45930.66667</v>
      </c>
      <c r="B1256" s="1">
        <f>IFERROR(__xludf.DUMMYFUNCTION("""COMPUTED_VALUE"""),237.0)</f>
        <v>237</v>
      </c>
    </row>
    <row r="1257">
      <c r="A1257" s="2">
        <f>IFERROR(__xludf.DUMMYFUNCTION("""COMPUTED_VALUE"""),45931.66666666667)</f>
        <v>45931.66667</v>
      </c>
      <c r="B1257" s="1">
        <f>IFERROR(__xludf.DUMMYFUNCTION("""COMPUTED_VALUE"""),235.69)</f>
        <v>235.69</v>
      </c>
    </row>
    <row r="1258">
      <c r="A1258" s="2">
        <f>IFERROR(__xludf.DUMMYFUNCTION("""COMPUTED_VALUE"""),45932.66666666667)</f>
        <v>45932.66667</v>
      </c>
      <c r="B1258" s="1">
        <f>IFERROR(__xludf.DUMMYFUNCTION("""COMPUTED_VALUE"""),238.88)</f>
        <v>238.88</v>
      </c>
    </row>
    <row r="1259">
      <c r="A1259" s="2">
        <f>IFERROR(__xludf.DUMMYFUNCTION("""COMPUTED_VALUE"""),45933.66666666667)</f>
        <v>45933.66667</v>
      </c>
      <c r="B1259" s="1">
        <f>IFERROR(__xludf.DUMMYFUNCTION("""COMPUTED_VALUE"""),240.36)</f>
        <v>240.36</v>
      </c>
    </row>
    <row r="1260">
      <c r="A1260" s="2">
        <f>IFERROR(__xludf.DUMMYFUNCTION("""COMPUTED_VALUE"""),45936.66666666667)</f>
        <v>45936.66667</v>
      </c>
      <c r="B1260" s="1">
        <f>IFERROR(__xludf.DUMMYFUNCTION("""COMPUTED_VALUE"""),245.78)</f>
        <v>245.78</v>
      </c>
    </row>
    <row r="1261">
      <c r="A1261" s="2">
        <f>IFERROR(__xludf.DUMMYFUNCTION("""COMPUTED_VALUE"""),45937.66666666667)</f>
        <v>45937.66667</v>
      </c>
      <c r="B1261" s="1">
        <f>IFERROR(__xludf.DUMMYFUNCTION("""COMPUTED_VALUE"""),239.74)</f>
        <v>239.74</v>
      </c>
    </row>
    <row r="1262">
      <c r="A1262" s="2">
        <f>IFERROR(__xludf.DUMMYFUNCTION("""COMPUTED_VALUE"""),45938.66666666667)</f>
        <v>45938.66667</v>
      </c>
      <c r="B1262" s="1">
        <f>IFERROR(__xludf.DUMMYFUNCTION("""COMPUTED_VALUE"""),240.43)</f>
        <v>240.43</v>
      </c>
    </row>
    <row r="1263">
      <c r="A1263" s="2">
        <f>IFERROR(__xludf.DUMMYFUNCTION("""COMPUTED_VALUE"""),45939.66666666667)</f>
        <v>45939.66667</v>
      </c>
      <c r="B1263" s="1">
        <f>IFERROR(__xludf.DUMMYFUNCTION("""COMPUTED_VALUE"""),245.33)</f>
        <v>245.33</v>
      </c>
    </row>
    <row r="1264">
      <c r="A1264" s="2">
        <f>IFERROR(__xludf.DUMMYFUNCTION("""COMPUTED_VALUE"""),45940.66666666667)</f>
        <v>45940.66667</v>
      </c>
      <c r="B1264" s="1">
        <f>IFERROR(__xludf.DUMMYFUNCTION("""COMPUTED_VALUE"""),241.68)</f>
        <v>241.68</v>
      </c>
    </row>
    <row r="1265">
      <c r="A1265" s="2">
        <f>IFERROR(__xludf.DUMMYFUNCTION("""COMPUTED_VALUE"""),45943.66666666667)</f>
        <v>45943.66667</v>
      </c>
      <c r="B1265" s="1">
        <f>IFERROR(__xludf.DUMMYFUNCTION("""COMPUTED_VALUE"""),248.75)</f>
        <v>248.75</v>
      </c>
    </row>
    <row r="1266">
      <c r="A1266" s="2">
        <f>IFERROR(__xludf.DUMMYFUNCTION("""COMPUTED_VALUE"""),45944.66666666667)</f>
        <v>45944.66667</v>
      </c>
      <c r="B1266" s="1">
        <f>IFERROR(__xludf.DUMMYFUNCTION("""COMPUTED_VALUE"""),239.77)</f>
        <v>239.77</v>
      </c>
    </row>
    <row r="1267">
      <c r="A1267" s="2">
        <f>IFERROR(__xludf.DUMMYFUNCTION("""COMPUTED_VALUE"""),45945.66666666667)</f>
        <v>45945.66667</v>
      </c>
      <c r="B1267" s="1">
        <f>IFERROR(__xludf.DUMMYFUNCTION("""COMPUTED_VALUE"""),236.58)</f>
        <v>236.58</v>
      </c>
    </row>
    <row r="1268">
      <c r="A1268" s="2">
        <f>IFERROR(__xludf.DUMMYFUNCTION("""COMPUTED_VALUE"""),45946.66666666667)</f>
        <v>45946.66667</v>
      </c>
      <c r="B1268" s="1">
        <f>IFERROR(__xludf.DUMMYFUNCTION("""COMPUTED_VALUE"""),246.0)</f>
        <v>246</v>
      </c>
    </row>
    <row r="1269">
      <c r="A1269" s="2">
        <f>IFERROR(__xludf.DUMMYFUNCTION("""COMPUTED_VALUE"""),45947.66666666667)</f>
        <v>45947.66667</v>
      </c>
      <c r="B1269" s="1">
        <f>IFERROR(__xludf.DUMMYFUNCTION("""COMPUTED_VALUE"""),243.08)</f>
        <v>243.08</v>
      </c>
    </row>
    <row r="1270">
      <c r="A1270" s="2">
        <f>IFERROR(__xludf.DUMMYFUNCTION("""COMPUTED_VALUE"""),45950.66666666667)</f>
        <v>45950.66667</v>
      </c>
      <c r="B1270" s="1">
        <f>IFERROR(__xludf.DUMMYFUNCTION("""COMPUTED_VALUE"""),254.28)</f>
        <v>254.28</v>
      </c>
    </row>
    <row r="1271">
      <c r="A1271" s="2">
        <f>IFERROR(__xludf.DUMMYFUNCTION("""COMPUTED_VALUE"""),45951.66666666667)</f>
        <v>45951.66667</v>
      </c>
      <c r="B1271" s="1">
        <f>IFERROR(__xludf.DUMMYFUNCTION("""COMPUTED_VALUE"""),263.41)</f>
        <v>263.41</v>
      </c>
    </row>
    <row r="1272">
      <c r="A1272" s="2">
        <f>IFERROR(__xludf.DUMMYFUNCTION("""COMPUTED_VALUE"""),45952.66666666667)</f>
        <v>45952.66667</v>
      </c>
      <c r="B1272" s="1">
        <f>IFERROR(__xludf.DUMMYFUNCTION("""COMPUTED_VALUE"""),256.64)</f>
        <v>256.64</v>
      </c>
    </row>
    <row r="1273">
      <c r="A1273" s="2">
        <f>IFERROR(__xludf.DUMMYFUNCTION("""COMPUTED_VALUE"""),45953.66666666667)</f>
        <v>45953.66667</v>
      </c>
      <c r="B1273" s="1">
        <f>IFERROR(__xludf.DUMMYFUNCTION("""COMPUTED_VALUE"""),255.05)</f>
        <v>255.05</v>
      </c>
    </row>
    <row r="1274">
      <c r="A1274" s="2">
        <f>IFERROR(__xludf.DUMMYFUNCTION("""COMPUTED_VALUE"""),45954.66666666667)</f>
        <v>45954.66667</v>
      </c>
      <c r="B1274" s="1">
        <f>IFERROR(__xludf.DUMMYFUNCTION("""COMPUTED_VALUE"""),254.83)</f>
        <v>254.83</v>
      </c>
    </row>
    <row r="1275">
      <c r="A1275" s="2">
        <f>IFERROR(__xludf.DUMMYFUNCTION("""COMPUTED_VALUE"""),45957.66666666667)</f>
        <v>45957.66667</v>
      </c>
      <c r="B1275" s="1">
        <f>IFERROR(__xludf.DUMMYFUNCTION("""COMPUTED_VALUE"""),255.47)</f>
        <v>255.47</v>
      </c>
    </row>
    <row r="1276">
      <c r="A1276" s="2">
        <f>IFERROR(__xludf.DUMMYFUNCTION("""COMPUTED_VALUE"""),45958.66666666667)</f>
        <v>45958.66667</v>
      </c>
      <c r="B1276" s="1">
        <f>IFERROR(__xludf.DUMMYFUNCTION("""COMPUTED_VALUE"""),254.26)</f>
        <v>254.26</v>
      </c>
    </row>
    <row r="1277">
      <c r="A1277" s="2">
        <f>IFERROR(__xludf.DUMMYFUNCTION("""COMPUTED_VALUE"""),45959.66666666667)</f>
        <v>45959.66667</v>
      </c>
      <c r="B1277" s="1">
        <f>IFERROR(__xludf.DUMMYFUNCTION("""COMPUTED_VALUE"""),251.46)</f>
        <v>251.46</v>
      </c>
    </row>
    <row r="1278">
      <c r="A1278" s="2">
        <f>IFERROR(__xludf.DUMMYFUNCTION("""COMPUTED_VALUE"""),45960.66666666667)</f>
        <v>45960.66667</v>
      </c>
      <c r="B1278" s="1">
        <f>IFERROR(__xludf.DUMMYFUNCTION("""COMPUTED_VALUE"""),256.65)</f>
        <v>256.65</v>
      </c>
    </row>
    <row r="1279">
      <c r="A1279" s="2">
        <f>IFERROR(__xludf.DUMMYFUNCTION("""COMPUTED_VALUE"""),45961.66666666667)</f>
        <v>45961.66667</v>
      </c>
      <c r="B1279" s="1">
        <f>IFERROR(__xludf.DUMMYFUNCTION("""COMPUTED_VALUE"""),260.41)</f>
        <v>260.41</v>
      </c>
    </row>
    <row r="1280">
      <c r="A1280" s="2">
        <f>IFERROR(__xludf.DUMMYFUNCTION("""COMPUTED_VALUE"""),45964.66666666667)</f>
        <v>45964.66667</v>
      </c>
      <c r="B1280" s="1">
        <f>IFERROR(__xludf.DUMMYFUNCTION("""COMPUTED_VALUE"""),261.34)</f>
        <v>261.34</v>
      </c>
    </row>
    <row r="1281">
      <c r="A1281" s="2">
        <f>IFERROR(__xludf.DUMMYFUNCTION("""COMPUTED_VALUE"""),45965.66666666667)</f>
        <v>45965.66667</v>
      </c>
      <c r="B1281" s="1">
        <f>IFERROR(__xludf.DUMMYFUNCTION("""COMPUTED_VALUE"""),254.44)</f>
        <v>254.44</v>
      </c>
    </row>
    <row r="1282">
      <c r="A1282" s="2">
        <f>IFERROR(__xludf.DUMMYFUNCTION("""COMPUTED_VALUE"""),45966.66666666667)</f>
        <v>45966.66667</v>
      </c>
      <c r="B1282" s="1">
        <f>IFERROR(__xludf.DUMMYFUNCTION("""COMPUTED_VALUE"""),252.68)</f>
        <v>252.68</v>
      </c>
    </row>
    <row r="1283">
      <c r="A1283" s="2">
        <f>IFERROR(__xludf.DUMMYFUNCTION("""COMPUTED_VALUE"""),45967.66666666667)</f>
        <v>45967.66667</v>
      </c>
      <c r="B1283" s="1">
        <f>IFERROR(__xludf.DUMMYFUNCTION("""COMPUTED_VALUE"""),239.27)</f>
        <v>239.27</v>
      </c>
    </row>
    <row r="1284">
      <c r="A1284" s="2">
        <f>IFERROR(__xludf.DUMMYFUNCTION("""COMPUTED_VALUE"""),45968.66666666667)</f>
        <v>45968.66667</v>
      </c>
      <c r="B1284" s="1">
        <f>IFERROR(__xludf.DUMMYFUNCTION("""COMPUTED_VALUE"""),239.88)</f>
        <v>239.88</v>
      </c>
    </row>
    <row r="1285">
      <c r="A1285" s="2">
        <f>IFERROR(__xludf.DUMMYFUNCTION("""COMPUTED_VALUE"""),45971.66666666667)</f>
        <v>45971.66667</v>
      </c>
      <c r="B1285" s="1">
        <f>IFERROR(__xludf.DUMMYFUNCTION("""COMPUTED_VALUE"""),241.71)</f>
        <v>241.71</v>
      </c>
    </row>
    <row r="1286">
      <c r="A1286" s="2">
        <f>IFERROR(__xludf.DUMMYFUNCTION("""COMPUTED_VALUE"""),45972.66666666667)</f>
        <v>45972.66667</v>
      </c>
      <c r="B1286" s="1">
        <f>IFERROR(__xludf.DUMMYFUNCTION("""COMPUTED_VALUE"""),244.5)</f>
        <v>244.5</v>
      </c>
    </row>
    <row r="1287">
      <c r="A1287" s="2">
        <f>IFERROR(__xludf.DUMMYFUNCTION("""COMPUTED_VALUE"""),45973.66666666667)</f>
        <v>45973.66667</v>
      </c>
      <c r="B1287" s="1">
        <f>IFERROR(__xludf.DUMMYFUNCTION("""COMPUTED_VALUE"""),246.02)</f>
        <v>246.02</v>
      </c>
    </row>
    <row r="1288">
      <c r="A1288" s="2">
        <f>IFERROR(__xludf.DUMMYFUNCTION("""COMPUTED_VALUE"""),45974.66666666667)</f>
        <v>45974.66667</v>
      </c>
      <c r="B1288" s="1">
        <f>IFERROR(__xludf.DUMMYFUNCTION("""COMPUTED_VALUE"""),240.43)</f>
        <v>240.43</v>
      </c>
    </row>
    <row r="1289">
      <c r="A1289" s="2">
        <f>IFERROR(__xludf.DUMMYFUNCTION("""COMPUTED_VALUE"""),45975.66666666667)</f>
        <v>45975.66667</v>
      </c>
      <c r="B1289" s="1">
        <f>IFERROR(__xludf.DUMMYFUNCTION("""COMPUTED_VALUE"""),243.66)</f>
        <v>243.66</v>
      </c>
    </row>
    <row r="1290">
      <c r="A1290" s="2">
        <f>IFERROR(__xludf.DUMMYFUNCTION("""COMPUTED_VALUE"""),45978.66666666667)</f>
        <v>45978.66667</v>
      </c>
      <c r="B1290" s="1">
        <f>IFERROR(__xludf.DUMMYFUNCTION("""COMPUTED_VALUE"""),237.03)</f>
        <v>237.03</v>
      </c>
    </row>
    <row r="1291">
      <c r="A1291" s="2">
        <f>IFERROR(__xludf.DUMMYFUNCTION("""COMPUTED_VALUE"""),45979.66666666667)</f>
        <v>45979.66667</v>
      </c>
      <c r="B1291" s="1">
        <f>IFERROR(__xludf.DUMMYFUNCTION("""COMPUTED_VALUE"""),233.5)</f>
        <v>233.5</v>
      </c>
    </row>
    <row r="1292">
      <c r="A1292" s="2">
        <f>IFERROR(__xludf.DUMMYFUNCTION("""COMPUTED_VALUE"""),45980.66666666667)</f>
        <v>45980.66667</v>
      </c>
      <c r="B1292" s="1">
        <f>IFERROR(__xludf.DUMMYFUNCTION("""COMPUTED_VALUE"""),227.88)</f>
        <v>227.88</v>
      </c>
    </row>
    <row r="1293">
      <c r="A1293" s="2">
        <f>IFERROR(__xludf.DUMMYFUNCTION("""COMPUTED_VALUE"""),45981.66666666667)</f>
        <v>45981.66667</v>
      </c>
      <c r="B1293" s="1">
        <f>IFERROR(__xludf.DUMMYFUNCTION("""COMPUTED_VALUE"""),225.37)</f>
        <v>225.37</v>
      </c>
    </row>
    <row r="1294">
      <c r="A1294" s="2">
        <f>IFERROR(__xludf.DUMMYFUNCTION("""COMPUTED_VALUE"""),45982.66666666667)</f>
        <v>45982.66667</v>
      </c>
      <c r="B1294" s="1">
        <f>IFERROR(__xludf.DUMMYFUNCTION("""COMPUTED_VALUE"""),227.11)</f>
        <v>227.11</v>
      </c>
    </row>
    <row r="1295">
      <c r="A1295" s="2">
        <f>IFERROR(__xludf.DUMMYFUNCTION("""COMPUTED_VALUE"""),45985.66666666667)</f>
        <v>45985.66667</v>
      </c>
      <c r="B1295" s="1">
        <f>IFERROR(__xludf.DUMMYFUNCTION("""COMPUTED_VALUE"""),226.82)</f>
        <v>226.82</v>
      </c>
    </row>
    <row r="1296">
      <c r="A1296" s="2">
        <f>IFERROR(__xludf.DUMMYFUNCTION("""COMPUTED_VALUE"""),45986.66666666667)</f>
        <v>45986.66667</v>
      </c>
      <c r="B1296" s="1">
        <f>IFERROR(__xludf.DUMMYFUNCTION("""COMPUTED_VALUE"""),234.12)</f>
        <v>234.12</v>
      </c>
    </row>
    <row r="1297">
      <c r="A1297" s="2">
        <f>IFERROR(__xludf.DUMMYFUNCTION("""COMPUTED_VALUE"""),45987.66666666667)</f>
        <v>45987.66667</v>
      </c>
      <c r="B1297" s="1">
        <f>IFERROR(__xludf.DUMMYFUNCTION("""COMPUTED_VALUE"""),228.15)</f>
        <v>228.15</v>
      </c>
    </row>
    <row r="1298">
      <c r="A1298" s="2">
        <f>IFERROR(__xludf.DUMMYFUNCTION("""COMPUTED_VALUE"""),45989.54166666667)</f>
        <v>45989.54167</v>
      </c>
      <c r="B1298" s="1">
        <f>IFERROR(__xludf.DUMMYFUNCTION("""COMPUTED_VALUE"""),230.54)</f>
        <v>230.54</v>
      </c>
    </row>
    <row r="1299">
      <c r="A1299" s="2">
        <f>IFERROR(__xludf.DUMMYFUNCTION("""COMPUTED_VALUE"""),45992.66666666667)</f>
        <v>45992.66667</v>
      </c>
      <c r="B1299" s="1">
        <f>IFERROR(__xludf.DUMMYFUNCTION("""COMPUTED_VALUE"""),232.83)</f>
        <v>232.83</v>
      </c>
    </row>
    <row r="1300">
      <c r="A1300" s="2">
        <f>IFERROR(__xludf.DUMMYFUNCTION("""COMPUTED_VALUE"""),45993.66666666667)</f>
        <v>45993.66667</v>
      </c>
      <c r="B1300" s="1">
        <f>IFERROR(__xludf.DUMMYFUNCTION("""COMPUTED_VALUE"""),234.71)</f>
        <v>234.71</v>
      </c>
    </row>
    <row r="1301">
      <c r="A1301" s="2">
        <f>IFERROR(__xludf.DUMMYFUNCTION("""COMPUTED_VALUE"""),45994.66666666667)</f>
        <v>45994.66667</v>
      </c>
      <c r="B1301" s="1">
        <f>IFERROR(__xludf.DUMMYFUNCTION("""COMPUTED_VALUE"""),238.72)</f>
        <v>238.72</v>
      </c>
    </row>
    <row r="1302">
      <c r="A1302" s="2">
        <f>IFERROR(__xludf.DUMMYFUNCTION("""COMPUTED_VALUE"""),45995.66666666667)</f>
        <v>45995.66667</v>
      </c>
      <c r="B1302" s="1">
        <f>IFERROR(__xludf.DUMMYFUNCTION("""COMPUTED_VALUE"""),247.46)</f>
        <v>247.46</v>
      </c>
    </row>
    <row r="1303">
      <c r="A1303" s="2">
        <f>IFERROR(__xludf.DUMMYFUNCTION("""COMPUTED_VALUE"""),45996.66666666667)</f>
        <v>45996.66667</v>
      </c>
      <c r="B1303" s="1">
        <f>IFERROR(__xludf.DUMMYFUNCTION("""COMPUTED_VALUE"""),260.57)</f>
        <v>260.57</v>
      </c>
    </row>
    <row r="1304">
      <c r="A1304" s="2">
        <f>IFERROR(__xludf.DUMMYFUNCTION("""COMPUTED_VALUE"""),45999.66666666667)</f>
        <v>45999.66667</v>
      </c>
      <c r="B1304" s="1">
        <f>IFERROR(__xludf.DUMMYFUNCTION("""COMPUTED_VALUE"""),259.53)</f>
        <v>259.53</v>
      </c>
    </row>
    <row r="1305">
      <c r="A1305" s="2">
        <f>IFERROR(__xludf.DUMMYFUNCTION("""COMPUTED_VALUE"""),46000.66666666667)</f>
        <v>46000.66667</v>
      </c>
      <c r="B1305" s="1">
        <f>IFERROR(__xludf.DUMMYFUNCTION("""COMPUTED_VALUE"""),261.02)</f>
        <v>261.02</v>
      </c>
    </row>
    <row r="1306">
      <c r="A1306" s="2">
        <f>IFERROR(__xludf.DUMMYFUNCTION("""COMPUTED_VALUE"""),46001.66666666667)</f>
        <v>46001.66667</v>
      </c>
      <c r="B1306" s="1">
        <f>IFERROR(__xludf.DUMMYFUNCTION("""COMPUTED_VALUE"""),264.2)</f>
        <v>264.2</v>
      </c>
    </row>
    <row r="1307">
      <c r="A1307" s="2">
        <f>IFERROR(__xludf.DUMMYFUNCTION("""COMPUTED_VALUE"""),46002.66666666667)</f>
        <v>46002.66667</v>
      </c>
      <c r="B1307" s="1">
        <f>IFERROR(__xludf.DUMMYFUNCTION("""COMPUTED_VALUE"""),262.35)</f>
        <v>262.35</v>
      </c>
    </row>
    <row r="1308">
      <c r="A1308" s="2">
        <f>IFERROR(__xludf.DUMMYFUNCTION("""COMPUTED_VALUE"""),46003.66666666667)</f>
        <v>46003.66667</v>
      </c>
      <c r="B1308" s="1">
        <f>IFERROR(__xludf.DUMMYFUNCTION("""COMPUTED_VALUE"""),262.23)</f>
        <v>262.23</v>
      </c>
    </row>
    <row r="1309">
      <c r="A1309" s="2">
        <f>IFERROR(__xludf.DUMMYFUNCTION("""COMPUTED_VALUE"""),46006.66666666667)</f>
        <v>46006.66667</v>
      </c>
      <c r="B1309" s="1">
        <f>IFERROR(__xludf.DUMMYFUNCTION("""COMPUTED_VALUE"""),254.58)</f>
        <v>254.58</v>
      </c>
    </row>
    <row r="1310">
      <c r="A1310" s="2">
        <f>IFERROR(__xludf.DUMMYFUNCTION("""COMPUTED_VALUE"""),46007.66666666667)</f>
        <v>46007.66667</v>
      </c>
      <c r="B1310" s="1">
        <f>IFERROR(__xludf.DUMMYFUNCTION("""COMPUTED_VALUE"""),254.91)</f>
        <v>254.91</v>
      </c>
    </row>
    <row r="1311">
      <c r="A1311" s="2">
        <f>IFERROR(__xludf.DUMMYFUNCTION("""COMPUTED_VALUE"""),46008.66666666667)</f>
        <v>46008.66667</v>
      </c>
      <c r="B1311" s="1">
        <f>IFERROR(__xludf.DUMMYFUNCTION("""COMPUTED_VALUE"""),258.14)</f>
        <v>258.14</v>
      </c>
    </row>
    <row r="1312">
      <c r="A1312" s="2">
        <f>IFERROR(__xludf.DUMMYFUNCTION("""COMPUTED_VALUE"""),46009.66666666667)</f>
        <v>46009.66667</v>
      </c>
      <c r="B1312" s="1">
        <f>IFERROR(__xludf.DUMMYFUNCTION("""COMPUTED_VALUE"""),257.85)</f>
        <v>257.85</v>
      </c>
    </row>
    <row r="1313">
      <c r="A1313" s="2">
        <f>IFERROR(__xludf.DUMMYFUNCTION("""COMPUTED_VALUE"""),46010.66666666667)</f>
        <v>46010.66667</v>
      </c>
      <c r="B1313" s="1">
        <f>IFERROR(__xludf.DUMMYFUNCTION("""COMPUTED_VALUE"""),259.91)</f>
        <v>259.91</v>
      </c>
    </row>
    <row r="1314">
      <c r="A1314" s="2">
        <f>IFERROR(__xludf.DUMMYFUNCTION("""COMPUTED_VALUE"""),46013.66666666667)</f>
        <v>46013.66667</v>
      </c>
      <c r="B1314" s="1">
        <f>IFERROR(__xludf.DUMMYFUNCTION("""COMPUTED_VALUE"""),264.63)</f>
        <v>264.63</v>
      </c>
    </row>
    <row r="1315">
      <c r="A1315" s="2">
        <f>IFERROR(__xludf.DUMMYFUNCTION("""COMPUTED_VALUE"""),46014.66666666667)</f>
        <v>46014.66667</v>
      </c>
      <c r="B1315" s="1">
        <f>IFERROR(__xludf.DUMMYFUNCTION("""COMPUTED_VALUE"""),263.43)</f>
        <v>263.43</v>
      </c>
    </row>
    <row r="1316">
      <c r="A1316" s="2">
        <f>IFERROR(__xludf.DUMMYFUNCTION("""COMPUTED_VALUE"""),46015.54166666667)</f>
        <v>46015.54167</v>
      </c>
      <c r="B1316" s="1">
        <f>IFERROR(__xludf.DUMMYFUNCTION("""COMPUTED_VALUE"""),265.26)</f>
        <v>265.26</v>
      </c>
    </row>
    <row r="1317">
      <c r="A1317" s="2">
        <f>IFERROR(__xludf.DUMMYFUNCTION("""COMPUTED_VALUE"""),46017.66666666667)</f>
        <v>46017.66667</v>
      </c>
      <c r="B1317" s="1">
        <f>IFERROR(__xludf.DUMMYFUNCTION("""COMPUTED_VALUE"""),266.08)</f>
        <v>266.08</v>
      </c>
    </row>
    <row r="1318">
      <c r="A1318" s="2">
        <f>IFERROR(__xludf.DUMMYFUNCTION("""COMPUTED_VALUE"""),46020.66666666667)</f>
        <v>46020.66667</v>
      </c>
      <c r="B1318" s="1">
        <f>IFERROR(__xludf.DUMMYFUNCTION("""COMPUTED_VALUE"""),266.23)</f>
        <v>266.23</v>
      </c>
    </row>
    <row r="1319">
      <c r="A1319" s="2">
        <f>IFERROR(__xludf.DUMMYFUNCTION("""COMPUTED_VALUE"""),46021.66666666667)</f>
        <v>46021.66667</v>
      </c>
      <c r="B1319" s="1">
        <f>IFERROR(__xludf.DUMMYFUNCTION("""COMPUTED_VALUE"""),265.92)</f>
        <v>265.92</v>
      </c>
    </row>
    <row r="1320">
      <c r="A1320" s="2">
        <f>IFERROR(__xludf.DUMMYFUNCTION("""COMPUTED_VALUE"""),46022.66666666667)</f>
        <v>46022.66667</v>
      </c>
      <c r="B1320" s="1">
        <f>IFERROR(__xludf.DUMMYFUNCTION("""COMPUTED_VALUE"""),264.91)</f>
        <v>264.91</v>
      </c>
    </row>
    <row r="1321">
      <c r="A1321" s="2">
        <f>IFERROR(__xludf.DUMMYFUNCTION("""COMPUTED_VALUE"""),46024.66666666667)</f>
        <v>46024.66667</v>
      </c>
      <c r="B1321" s="1">
        <f>IFERROR(__xludf.DUMMYFUNCTION("""COMPUTED_VALUE"""),253.62)</f>
        <v>253.62</v>
      </c>
    </row>
    <row r="1322">
      <c r="A1322" s="2">
        <f>IFERROR(__xludf.DUMMYFUNCTION("""COMPUTED_VALUE"""),46027.66666666667)</f>
        <v>46027.66667</v>
      </c>
      <c r="B1322" s="1">
        <f>IFERROR(__xludf.DUMMYFUNCTION("""COMPUTED_VALUE"""),256.26)</f>
        <v>256.26</v>
      </c>
    </row>
    <row r="1323">
      <c r="A1323" s="2">
        <f>IFERROR(__xludf.DUMMYFUNCTION("""COMPUTED_VALUE"""),46028.66666666667)</f>
        <v>46028.66667</v>
      </c>
      <c r="B1323" s="1">
        <f>IFERROR(__xludf.DUMMYFUNCTION("""COMPUTED_VALUE"""),262.9)</f>
        <v>262.9</v>
      </c>
    </row>
    <row r="1324">
      <c r="A1324" s="2">
        <f>IFERROR(__xludf.DUMMYFUNCTION("""COMPUTED_VALUE"""),46029.66666666667)</f>
        <v>46029.66667</v>
      </c>
      <c r="B1324" s="1">
        <f>IFERROR(__xludf.DUMMYFUNCTION("""COMPUTED_VALUE"""),266.12)</f>
        <v>266.12</v>
      </c>
    </row>
    <row r="1325">
      <c r="A1325" s="2">
        <f>IFERROR(__xludf.DUMMYFUNCTION("""COMPUTED_VALUE"""),46030.66666666667)</f>
        <v>46030.66667</v>
      </c>
      <c r="B1325" s="1">
        <f>IFERROR(__xludf.DUMMYFUNCTION("""COMPUTED_VALUE"""),260.53)</f>
        <v>260.53</v>
      </c>
    </row>
    <row r="1326">
      <c r="A1326" s="2">
        <f>IFERROR(__xludf.DUMMYFUNCTION("""COMPUTED_VALUE"""),46031.66666666667)</f>
        <v>46031.66667</v>
      </c>
      <c r="B1326" s="1">
        <f>IFERROR(__xludf.DUMMYFUNCTION("""COMPUTED_VALUE"""),259.94)</f>
        <v>259.94</v>
      </c>
    </row>
    <row r="1327">
      <c r="A1327" s="2">
        <f>IFERROR(__xludf.DUMMYFUNCTION("""COMPUTED_VALUE"""),46034.66666666667)</f>
        <v>46034.66667</v>
      </c>
      <c r="B1327" s="1">
        <f>IFERROR(__xludf.DUMMYFUNCTION("""COMPUTED_VALUE"""),259.4)</f>
        <v>259.4</v>
      </c>
    </row>
    <row r="1328">
      <c r="A1328" s="2">
        <f>IFERROR(__xludf.DUMMYFUNCTION("""COMPUTED_VALUE"""),46035.66666666667)</f>
        <v>46035.66667</v>
      </c>
      <c r="B1328" s="1">
        <f>IFERROR(__xludf.DUMMYFUNCTION("""COMPUTED_VALUE"""),241.06)</f>
        <v>241.06</v>
      </c>
    </row>
    <row r="1329">
      <c r="A1329" s="2">
        <f>IFERROR(__xludf.DUMMYFUNCTION("""COMPUTED_VALUE"""),46036.66666666667)</f>
        <v>46036.66667</v>
      </c>
      <c r="B1329" s="1">
        <f>IFERROR(__xludf.DUMMYFUNCTION("""COMPUTED_VALUE"""),239.57)</f>
        <v>239.57</v>
      </c>
    </row>
    <row r="1330">
      <c r="A1330" s="2">
        <f>IFERROR(__xludf.DUMMYFUNCTION("""COMPUTED_VALUE"""),46037.66666666667)</f>
        <v>46037.66667</v>
      </c>
      <c r="B1330" s="1">
        <f>IFERROR(__xludf.DUMMYFUNCTION("""COMPUTED_VALUE"""),233.53)</f>
        <v>233.53</v>
      </c>
    </row>
    <row r="1331">
      <c r="A1331" s="2">
        <f>IFERROR(__xludf.DUMMYFUNCTION("""COMPUTED_VALUE"""),46038.66666666667)</f>
        <v>46038.66667</v>
      </c>
      <c r="B1331" s="1">
        <f>IFERROR(__xludf.DUMMYFUNCTION("""COMPUTED_VALUE"""),227.11)</f>
        <v>227.11</v>
      </c>
    </row>
    <row r="1332">
      <c r="A1332" s="2">
        <f>IFERROR(__xludf.DUMMYFUNCTION("""COMPUTED_VALUE"""),46042.66666666667)</f>
        <v>46042.66667</v>
      </c>
      <c r="B1332" s="1">
        <f>IFERROR(__xludf.DUMMYFUNCTION("""COMPUTED_VALUE"""),220.07)</f>
        <v>220.07</v>
      </c>
    </row>
    <row r="1333">
      <c r="A1333" s="2">
        <f>IFERROR(__xludf.DUMMYFUNCTION("""COMPUTED_VALUE"""),46043.66666666667)</f>
        <v>46043.66667</v>
      </c>
      <c r="B1333" s="1">
        <f>IFERROR(__xludf.DUMMYFUNCTION("""COMPUTED_VALUE"""),221.58)</f>
        <v>221.58</v>
      </c>
    </row>
    <row r="1334">
      <c r="A1334" s="2">
        <f>IFERROR(__xludf.DUMMYFUNCTION("""COMPUTED_VALUE"""),46044.66666666667)</f>
        <v>46044.66667</v>
      </c>
      <c r="B1334" s="1">
        <f>IFERROR(__xludf.DUMMYFUNCTION("""COMPUTED_VALUE"""),228.09)</f>
        <v>228.09</v>
      </c>
    </row>
    <row r="1335">
      <c r="A1335" s="2">
        <f>IFERROR(__xludf.DUMMYFUNCTION("""COMPUTED_VALUE"""),46045.66666666667)</f>
        <v>46045.66667</v>
      </c>
      <c r="B1335" s="1">
        <f>IFERROR(__xludf.DUMMYFUNCTION("""COMPUTED_VALUE"""),228.05)</f>
        <v>228.05</v>
      </c>
    </row>
    <row r="1336">
      <c r="A1336" s="2">
        <f>IFERROR(__xludf.DUMMYFUNCTION("""COMPUTED_VALUE"""),46048.66666666667)</f>
        <v>46048.66667</v>
      </c>
      <c r="B1336" s="1">
        <f>IFERROR(__xludf.DUMMYFUNCTION("""COMPUTED_VALUE"""),229.4)</f>
        <v>229.4</v>
      </c>
    </row>
    <row r="1337">
      <c r="A1337" s="2">
        <f>IFERROR(__xludf.DUMMYFUNCTION("""COMPUTED_VALUE"""),46049.66666666667)</f>
        <v>46049.66667</v>
      </c>
      <c r="B1337" s="1">
        <f>IFERROR(__xludf.DUMMYFUNCTION("""COMPUTED_VALUE"""),228.53)</f>
        <v>228.53</v>
      </c>
    </row>
    <row r="1338">
      <c r="A1338" s="2">
        <f>IFERROR(__xludf.DUMMYFUNCTION("""COMPUTED_VALUE"""),46050.66666666667)</f>
        <v>46050.66667</v>
      </c>
      <c r="B1338" s="1">
        <f>IFERROR(__xludf.DUMMYFUNCTION("""COMPUTED_VALUE"""),227.96)</f>
        <v>227.96</v>
      </c>
    </row>
    <row r="1339">
      <c r="A1339" s="2">
        <f>IFERROR(__xludf.DUMMYFUNCTION("""COMPUTED_VALUE"""),46051.66666666667)</f>
        <v>46051.66667</v>
      </c>
      <c r="B1339" s="1">
        <f>IFERROR(__xludf.DUMMYFUNCTION("""COMPUTED_VALUE"""),214.08)</f>
        <v>214.08</v>
      </c>
    </row>
    <row r="1340">
      <c r="A1340" s="2">
        <f>IFERROR(__xludf.DUMMYFUNCTION("""COMPUTED_VALUE"""),46052.66666666667)</f>
        <v>46052.66667</v>
      </c>
      <c r="B1340" s="1">
        <f>IFERROR(__xludf.DUMMYFUNCTION("""COMPUTED_VALUE"""),212.29)</f>
        <v>212.29</v>
      </c>
    </row>
    <row r="1341">
      <c r="A1341" s="2">
        <f>IFERROR(__xludf.DUMMYFUNCTION("""COMPUTED_VALUE"""),46055.66666666667)</f>
        <v>46055.66667</v>
      </c>
      <c r="B1341" s="1">
        <f>IFERROR(__xludf.DUMMYFUNCTION("""COMPUTED_VALUE"""),210.81)</f>
        <v>210.81</v>
      </c>
    </row>
    <row r="1342">
      <c r="A1342" s="2">
        <f>IFERROR(__xludf.DUMMYFUNCTION("""COMPUTED_VALUE"""),46056.66666666667)</f>
        <v>46056.66667</v>
      </c>
      <c r="B1342" s="1">
        <f>IFERROR(__xludf.DUMMYFUNCTION("""COMPUTED_VALUE"""),196.38)</f>
        <v>196.38</v>
      </c>
    </row>
    <row r="1343">
      <c r="A1343" s="2">
        <f>IFERROR(__xludf.DUMMYFUNCTION("""COMPUTED_VALUE"""),46057.66666666667)</f>
        <v>46057.66667</v>
      </c>
      <c r="B1343" s="1">
        <f>IFERROR(__xludf.DUMMYFUNCTION("""COMPUTED_VALUE"""),199.44)</f>
        <v>199.44</v>
      </c>
    </row>
    <row r="1344">
      <c r="A1344" s="2">
        <f>IFERROR(__xludf.DUMMYFUNCTION("""COMPUTED_VALUE"""),46058.66666666667)</f>
        <v>46058.66667</v>
      </c>
      <c r="B1344" s="1">
        <f>IFERROR(__xludf.DUMMYFUNCTION("""COMPUTED_VALUE"""),189.97)</f>
        <v>189.97</v>
      </c>
    </row>
    <row r="1345">
      <c r="A1345" s="2">
        <f>IFERROR(__xludf.DUMMYFUNCTION("""COMPUTED_VALUE"""),46059.66666666667)</f>
        <v>46059.66667</v>
      </c>
      <c r="B1345" s="1">
        <f>IFERROR(__xludf.DUMMYFUNCTION("""COMPUTED_VALUE"""),191.35)</f>
        <v>191.35</v>
      </c>
    </row>
    <row r="1346">
      <c r="A1346" s="2">
        <f>IFERROR(__xludf.DUMMYFUNCTION("""COMPUTED_VALUE"""),46062.66666666667)</f>
        <v>46062.66667</v>
      </c>
      <c r="B1346" s="1">
        <f>IFERROR(__xludf.DUMMYFUNCTION("""COMPUTED_VALUE"""),194.03)</f>
        <v>194.03</v>
      </c>
    </row>
    <row r="1347">
      <c r="A1347" s="2">
        <f>IFERROR(__xludf.DUMMYFUNCTION("""COMPUTED_VALUE"""),46063.66666666667)</f>
        <v>46063.66667</v>
      </c>
      <c r="B1347" s="1">
        <f>IFERROR(__xludf.DUMMYFUNCTION("""COMPUTED_VALUE"""),193.45)</f>
        <v>193.45</v>
      </c>
    </row>
    <row r="1348">
      <c r="A1348" s="2">
        <f>IFERROR(__xludf.DUMMYFUNCTION("""COMPUTED_VALUE"""),46064.66666666667)</f>
        <v>46064.66667</v>
      </c>
      <c r="B1348" s="1">
        <f>IFERROR(__xludf.DUMMYFUNCTION("""COMPUTED_VALUE"""),185.0)</f>
        <v>185</v>
      </c>
    </row>
    <row r="1349">
      <c r="A1349" s="2">
        <f>IFERROR(__xludf.DUMMYFUNCTION("""COMPUTED_VALUE"""),46065.66666666667)</f>
        <v>46065.66667</v>
      </c>
      <c r="B1349" s="1">
        <f>IFERROR(__xludf.DUMMYFUNCTION("""COMPUTED_VALUE"""),185.43)</f>
        <v>185.43</v>
      </c>
    </row>
    <row r="1350">
      <c r="A1350" s="2">
        <f>IFERROR(__xludf.DUMMYFUNCTION("""COMPUTED_VALUE"""),46066.66666666667)</f>
        <v>46066.66667</v>
      </c>
      <c r="B1350" s="1">
        <f>IFERROR(__xludf.DUMMYFUNCTION("""COMPUTED_VALUE"""),189.72)</f>
        <v>189.72</v>
      </c>
    </row>
    <row r="1351">
      <c r="A1351" s="2">
        <f>IFERROR(__xludf.DUMMYFUNCTION("""COMPUTED_VALUE"""),46070.66666666667)</f>
        <v>46070.66667</v>
      </c>
      <c r="B1351" s="1">
        <f>IFERROR(__xludf.DUMMYFUNCTION("""COMPUTED_VALUE"""),184.29)</f>
        <v>184.29</v>
      </c>
    </row>
    <row r="1352">
      <c r="A1352" s="2">
        <f>IFERROR(__xludf.DUMMYFUNCTION("""COMPUTED_VALUE"""),46071.66666666667)</f>
        <v>46071.66667</v>
      </c>
      <c r="B1352" s="1">
        <f>IFERROR(__xludf.DUMMYFUNCTION("""COMPUTED_VALUE"""),187.79)</f>
        <v>187.79</v>
      </c>
    </row>
    <row r="1353">
      <c r="A1353" s="2">
        <f>IFERROR(__xludf.DUMMYFUNCTION("""COMPUTED_VALUE"""),46072.66666666667)</f>
        <v>46072.66667</v>
      </c>
      <c r="B1353" s="1">
        <f>IFERROR(__xludf.DUMMYFUNCTION("""COMPUTED_VALUE"""),185.29)</f>
        <v>185.29</v>
      </c>
    </row>
    <row r="1354">
      <c r="A1354" s="2">
        <f>IFERROR(__xludf.DUMMYFUNCTION("""COMPUTED_VALUE"""),46073.66666666667)</f>
        <v>46073.66667</v>
      </c>
      <c r="B1354" s="1">
        <f>IFERROR(__xludf.DUMMYFUNCTION("""COMPUTED_VALUE"""),185.16)</f>
        <v>185.16</v>
      </c>
    </row>
    <row r="1355">
      <c r="A1355" s="2">
        <f>IFERROR(__xludf.DUMMYFUNCTION("""COMPUTED_VALUE"""),46076.66666666667)</f>
        <v>46076.66667</v>
      </c>
      <c r="B1355" s="1">
        <f>IFERROR(__xludf.DUMMYFUNCTION("""COMPUTED_VALUE"""),178.16)</f>
        <v>178.16</v>
      </c>
    </row>
    <row r="1356">
      <c r="A1356" s="2">
        <f>IFERROR(__xludf.DUMMYFUNCTION("""COMPUTED_VALUE"""),46077.66666666667)</f>
        <v>46077.66667</v>
      </c>
      <c r="B1356" s="1">
        <f>IFERROR(__xludf.DUMMYFUNCTION("""COMPUTED_VALUE"""),185.42)</f>
        <v>185.42</v>
      </c>
    </row>
    <row r="1357">
      <c r="A1357" s="2">
        <f>IFERROR(__xludf.DUMMYFUNCTION("""COMPUTED_VALUE"""),46078.66666666667)</f>
        <v>46078.66667</v>
      </c>
      <c r="B1357" s="1">
        <f>IFERROR(__xludf.DUMMYFUNCTION("""COMPUTED_VALUE"""),191.75)</f>
        <v>191.75</v>
      </c>
    </row>
    <row r="1358">
      <c r="A1358" s="2">
        <f>IFERROR(__xludf.DUMMYFUNCTION("""COMPUTED_VALUE"""),46079.66666666667)</f>
        <v>46079.66667</v>
      </c>
      <c r="B1358" s="1">
        <f>IFERROR(__xludf.DUMMYFUNCTION("""COMPUTED_VALUE"""),199.47)</f>
        <v>199.47</v>
      </c>
    </row>
    <row r="1359">
      <c r="A1359" s="2">
        <f>IFERROR(__xludf.DUMMYFUNCTION("""COMPUTED_VALUE"""),46080.66666666667)</f>
        <v>46080.66667</v>
      </c>
      <c r="B1359" s="1">
        <f>IFERROR(__xludf.DUMMYFUNCTION("""COMPUTED_VALUE"""),194.79)</f>
        <v>194.79</v>
      </c>
    </row>
    <row r="1360">
      <c r="A1360" s="2">
        <f>IFERROR(__xludf.DUMMYFUNCTION("""COMPUTED_VALUE"""),46083.66666666667)</f>
        <v>46083.66667</v>
      </c>
      <c r="B1360" s="1">
        <f>IFERROR(__xludf.DUMMYFUNCTION("""COMPUTED_VALUE"""),192.95)</f>
        <v>192.95</v>
      </c>
    </row>
    <row r="1361">
      <c r="A1361" s="2">
        <f>IFERROR(__xludf.DUMMYFUNCTION("""COMPUTED_VALUE"""),46084.66666666667)</f>
        <v>46084.66667</v>
      </c>
      <c r="B1361" s="1">
        <f>IFERROR(__xludf.DUMMYFUNCTION("""COMPUTED_VALUE"""),196.05)</f>
        <v>196.05</v>
      </c>
    </row>
    <row r="1362">
      <c r="A1362" s="2">
        <f>IFERROR(__xludf.DUMMYFUNCTION("""COMPUTED_VALUE"""),46085.66666666667)</f>
        <v>46085.66667</v>
      </c>
      <c r="B1362" s="1">
        <f>IFERROR(__xludf.DUMMYFUNCTION("""COMPUTED_VALUE"""),193.08)</f>
        <v>193.08</v>
      </c>
    </row>
    <row r="1363">
      <c r="A1363" s="2">
        <f>IFERROR(__xludf.DUMMYFUNCTION("""COMPUTED_VALUE"""),46086.66666666667)</f>
        <v>46086.66667</v>
      </c>
      <c r="B1363" s="1">
        <f>IFERROR(__xludf.DUMMYFUNCTION("""COMPUTED_VALUE"""),201.39)</f>
        <v>201.39</v>
      </c>
    </row>
    <row r="1364">
      <c r="A1364" s="2">
        <f>IFERROR(__xludf.DUMMYFUNCTION("""COMPUTED_VALUE"""),46087.66666666667)</f>
        <v>46087.66667</v>
      </c>
      <c r="B1364" s="1">
        <f>IFERROR(__xludf.DUMMYFUNCTION("""COMPUTED_VALUE"""),202.11)</f>
        <v>202.11</v>
      </c>
    </row>
    <row r="1365">
      <c r="A1365" s="2">
        <f>IFERROR(__xludf.DUMMYFUNCTION("""COMPUTED_VALUE"""),46090.66666666667)</f>
        <v>46090.66667</v>
      </c>
      <c r="B1365" s="1">
        <f>IFERROR(__xludf.DUMMYFUNCTION("""COMPUTED_VALUE"""),198.79)</f>
        <v>198.79</v>
      </c>
    </row>
    <row r="1366">
      <c r="A1366" s="2">
        <f>IFERROR(__xludf.DUMMYFUNCTION("""COMPUTED_VALUE"""),46091.66666666667)</f>
        <v>46091.66667</v>
      </c>
      <c r="B1366" s="1">
        <f>IFERROR(__xludf.DUMMYFUNCTION("""COMPUTED_VALUE"""),194.91)</f>
        <v>194.91</v>
      </c>
    </row>
    <row r="1367">
      <c r="A1367" s="2">
        <f>IFERROR(__xludf.DUMMYFUNCTION("""COMPUTED_VALUE"""),46092.66666666667)</f>
        <v>46092.66667</v>
      </c>
      <c r="B1367" s="1">
        <f>IFERROR(__xludf.DUMMYFUNCTION("""COMPUTED_VALUE"""),194.13)</f>
        <v>194.13</v>
      </c>
    </row>
    <row r="1368">
      <c r="A1368" s="2">
        <f>IFERROR(__xludf.DUMMYFUNCTION("""COMPUTED_VALUE"""),46093.66666666667)</f>
        <v>46093.66667</v>
      </c>
      <c r="B1368" s="1">
        <f>IFERROR(__xludf.DUMMYFUNCTION("""COMPUTED_VALUE"""),199.28)</f>
        <v>199.28</v>
      </c>
    </row>
    <row r="1369">
      <c r="A1369" s="2">
        <f>IFERROR(__xludf.DUMMYFUNCTION("""COMPUTED_VALUE"""),46094.66666666667)</f>
        <v>46094.66667</v>
      </c>
      <c r="B1369" s="1">
        <f>IFERROR(__xludf.DUMMYFUNCTION("""COMPUTED_VALUE"""),192.83)</f>
        <v>192.83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IFERROR(__xludf.DUMMYFUNCTION("GOOGLEFINANCE(""DIS"",""close"",DATE(2020,10,1),TODAY(),""daily"")"),"Date")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IFERROR(__xludf.DUMMYFUNCTION("""COMPUTED_VALUE"""),123.31)</f>
        <v>123.31</v>
      </c>
    </row>
    <row r="3">
      <c r="A3" s="2">
        <f>IFERROR(__xludf.DUMMYFUNCTION("""COMPUTED_VALUE"""),44106.66666666667)</f>
        <v>44106.66667</v>
      </c>
      <c r="B3" s="1">
        <f>IFERROR(__xludf.DUMMYFUNCTION("""COMPUTED_VALUE"""),122.55)</f>
        <v>122.55</v>
      </c>
    </row>
    <row r="4">
      <c r="A4" s="2">
        <f>IFERROR(__xludf.DUMMYFUNCTION("""COMPUTED_VALUE"""),44109.66666666667)</f>
        <v>44109.66667</v>
      </c>
      <c r="B4" s="1">
        <f>IFERROR(__xludf.DUMMYFUNCTION("""COMPUTED_VALUE"""),123.37)</f>
        <v>123.37</v>
      </c>
    </row>
    <row r="5">
      <c r="A5" s="2">
        <f>IFERROR(__xludf.DUMMYFUNCTION("""COMPUTED_VALUE"""),44110.66666666667)</f>
        <v>44110.66667</v>
      </c>
      <c r="B5" s="1">
        <f>IFERROR(__xludf.DUMMYFUNCTION("""COMPUTED_VALUE"""),120.93)</f>
        <v>120.93</v>
      </c>
    </row>
    <row r="6">
      <c r="A6" s="2">
        <f>IFERROR(__xludf.DUMMYFUNCTION("""COMPUTED_VALUE"""),44111.66666666667)</f>
        <v>44111.66667</v>
      </c>
      <c r="B6" s="1">
        <f>IFERROR(__xludf.DUMMYFUNCTION("""COMPUTED_VALUE"""),122.91)</f>
        <v>122.91</v>
      </c>
    </row>
    <row r="7">
      <c r="A7" s="2">
        <f>IFERROR(__xludf.DUMMYFUNCTION("""COMPUTED_VALUE"""),44112.66666666667)</f>
        <v>44112.66667</v>
      </c>
      <c r="B7" s="1">
        <f>IFERROR(__xludf.DUMMYFUNCTION("""COMPUTED_VALUE"""),123.09)</f>
        <v>123.09</v>
      </c>
    </row>
    <row r="8">
      <c r="A8" s="2">
        <f>IFERROR(__xludf.DUMMYFUNCTION("""COMPUTED_VALUE"""),44113.66666666667)</f>
        <v>44113.66667</v>
      </c>
      <c r="B8" s="1">
        <f>IFERROR(__xludf.DUMMYFUNCTION("""COMPUTED_VALUE"""),124.98)</f>
        <v>124.98</v>
      </c>
    </row>
    <row r="9">
      <c r="A9" s="2">
        <f>IFERROR(__xludf.DUMMYFUNCTION("""COMPUTED_VALUE"""),44116.66666666667)</f>
        <v>44116.66667</v>
      </c>
      <c r="B9" s="1">
        <f>IFERROR(__xludf.DUMMYFUNCTION("""COMPUTED_VALUE"""),124.97)</f>
        <v>124.97</v>
      </c>
    </row>
    <row r="10">
      <c r="A10" s="2">
        <f>IFERROR(__xludf.DUMMYFUNCTION("""COMPUTED_VALUE"""),44117.66666666667)</f>
        <v>44117.66667</v>
      </c>
      <c r="B10" s="1">
        <f>IFERROR(__xludf.DUMMYFUNCTION("""COMPUTED_VALUE"""),128.96)</f>
        <v>128.96</v>
      </c>
    </row>
    <row r="11">
      <c r="A11" s="2">
        <f>IFERROR(__xludf.DUMMYFUNCTION("""COMPUTED_VALUE"""),44118.66666666667)</f>
        <v>44118.66667</v>
      </c>
      <c r="B11" s="1">
        <f>IFERROR(__xludf.DUMMYFUNCTION("""COMPUTED_VALUE"""),126.59)</f>
        <v>126.59</v>
      </c>
    </row>
    <row r="12">
      <c r="A12" s="2">
        <f>IFERROR(__xludf.DUMMYFUNCTION("""COMPUTED_VALUE"""),44119.66666666667)</f>
        <v>44119.66667</v>
      </c>
      <c r="B12" s="1">
        <f>IFERROR(__xludf.DUMMYFUNCTION("""COMPUTED_VALUE"""),127.36)</f>
        <v>127.36</v>
      </c>
    </row>
    <row r="13">
      <c r="A13" s="2">
        <f>IFERROR(__xludf.DUMMYFUNCTION("""COMPUTED_VALUE"""),44120.66666666667)</f>
        <v>44120.66667</v>
      </c>
      <c r="B13" s="1">
        <f>IFERROR(__xludf.DUMMYFUNCTION("""COMPUTED_VALUE"""),126.81)</f>
        <v>126.81</v>
      </c>
    </row>
    <row r="14">
      <c r="A14" s="2">
        <f>IFERROR(__xludf.DUMMYFUNCTION("""COMPUTED_VALUE"""),44123.66666666667)</f>
        <v>44123.66667</v>
      </c>
      <c r="B14" s="1">
        <f>IFERROR(__xludf.DUMMYFUNCTION("""COMPUTED_VALUE"""),124.23)</f>
        <v>124.23</v>
      </c>
    </row>
    <row r="15">
      <c r="A15" s="2">
        <f>IFERROR(__xludf.DUMMYFUNCTION("""COMPUTED_VALUE"""),44124.66666666667)</f>
        <v>44124.66667</v>
      </c>
      <c r="B15" s="1">
        <f>IFERROR(__xludf.DUMMYFUNCTION("""COMPUTED_VALUE"""),124.95)</f>
        <v>124.95</v>
      </c>
    </row>
    <row r="16">
      <c r="A16" s="2">
        <f>IFERROR(__xludf.DUMMYFUNCTION("""COMPUTED_VALUE"""),44125.66666666667)</f>
        <v>44125.66667</v>
      </c>
      <c r="B16" s="1">
        <f>IFERROR(__xludf.DUMMYFUNCTION("""COMPUTED_VALUE"""),126.63)</f>
        <v>126.63</v>
      </c>
    </row>
    <row r="17">
      <c r="A17" s="2">
        <f>IFERROR(__xludf.DUMMYFUNCTION("""COMPUTED_VALUE"""),44126.66666666667)</f>
        <v>44126.66667</v>
      </c>
      <c r="B17" s="1">
        <f>IFERROR(__xludf.DUMMYFUNCTION("""COMPUTED_VALUE"""),127.56)</f>
        <v>127.56</v>
      </c>
    </row>
    <row r="18">
      <c r="A18" s="2">
        <f>IFERROR(__xludf.DUMMYFUNCTION("""COMPUTED_VALUE"""),44127.66666666667)</f>
        <v>44127.66667</v>
      </c>
      <c r="B18" s="1">
        <f>IFERROR(__xludf.DUMMYFUNCTION("""COMPUTED_VALUE"""),128.35)</f>
        <v>128.35</v>
      </c>
    </row>
    <row r="19">
      <c r="A19" s="2">
        <f>IFERROR(__xludf.DUMMYFUNCTION("""COMPUTED_VALUE"""),44130.66666666667)</f>
        <v>44130.66667</v>
      </c>
      <c r="B19" s="1">
        <f>IFERROR(__xludf.DUMMYFUNCTION("""COMPUTED_VALUE"""),124.06)</f>
        <v>124.06</v>
      </c>
    </row>
    <row r="20">
      <c r="A20" s="2">
        <f>IFERROR(__xludf.DUMMYFUNCTION("""COMPUTED_VALUE"""),44131.66666666667)</f>
        <v>44131.66667</v>
      </c>
      <c r="B20" s="1">
        <f>IFERROR(__xludf.DUMMYFUNCTION("""COMPUTED_VALUE"""),123.31)</f>
        <v>123.31</v>
      </c>
    </row>
    <row r="21">
      <c r="A21" s="2">
        <f>IFERROR(__xludf.DUMMYFUNCTION("""COMPUTED_VALUE"""),44132.66666666667)</f>
        <v>44132.66667</v>
      </c>
      <c r="B21" s="1">
        <f>IFERROR(__xludf.DUMMYFUNCTION("""COMPUTED_VALUE"""),118.47)</f>
        <v>118.47</v>
      </c>
    </row>
    <row r="22">
      <c r="A22" s="2">
        <f>IFERROR(__xludf.DUMMYFUNCTION("""COMPUTED_VALUE"""),44133.66666666667)</f>
        <v>44133.66667</v>
      </c>
      <c r="B22" s="1">
        <f>IFERROR(__xludf.DUMMYFUNCTION("""COMPUTED_VALUE"""),121.54)</f>
        <v>121.54</v>
      </c>
    </row>
    <row r="23">
      <c r="A23" s="2">
        <f>IFERROR(__xludf.DUMMYFUNCTION("""COMPUTED_VALUE"""),44134.66666666667)</f>
        <v>44134.66667</v>
      </c>
      <c r="B23" s="1">
        <f>IFERROR(__xludf.DUMMYFUNCTION("""COMPUTED_VALUE"""),121.25)</f>
        <v>121.25</v>
      </c>
    </row>
    <row r="24">
      <c r="A24" s="2">
        <f>IFERROR(__xludf.DUMMYFUNCTION("""COMPUTED_VALUE"""),44137.66666666667)</f>
        <v>44137.66667</v>
      </c>
      <c r="B24" s="1">
        <f>IFERROR(__xludf.DUMMYFUNCTION("""COMPUTED_VALUE"""),120.13)</f>
        <v>120.13</v>
      </c>
    </row>
    <row r="25">
      <c r="A25" s="2">
        <f>IFERROR(__xludf.DUMMYFUNCTION("""COMPUTED_VALUE"""),44138.66666666667)</f>
        <v>44138.66667</v>
      </c>
      <c r="B25" s="1">
        <f>IFERROR(__xludf.DUMMYFUNCTION("""COMPUTED_VALUE"""),124.02)</f>
        <v>124.02</v>
      </c>
    </row>
    <row r="26">
      <c r="A26" s="2">
        <f>IFERROR(__xludf.DUMMYFUNCTION("""COMPUTED_VALUE"""),44139.66666666667)</f>
        <v>44139.66667</v>
      </c>
      <c r="B26" s="1">
        <f>IFERROR(__xludf.DUMMYFUNCTION("""COMPUTED_VALUE"""),125.07)</f>
        <v>125.07</v>
      </c>
    </row>
    <row r="27">
      <c r="A27" s="2">
        <f>IFERROR(__xludf.DUMMYFUNCTION("""COMPUTED_VALUE"""),44140.66666666667)</f>
        <v>44140.66667</v>
      </c>
      <c r="B27" s="1">
        <f>IFERROR(__xludf.DUMMYFUNCTION("""COMPUTED_VALUE"""),126.96)</f>
        <v>126.96</v>
      </c>
    </row>
    <row r="28">
      <c r="A28" s="2">
        <f>IFERROR(__xludf.DUMMYFUNCTION("""COMPUTED_VALUE"""),44141.66666666667)</f>
        <v>44141.66667</v>
      </c>
      <c r="B28" s="1">
        <f>IFERROR(__xludf.DUMMYFUNCTION("""COMPUTED_VALUE"""),127.46)</f>
        <v>127.46</v>
      </c>
    </row>
    <row r="29">
      <c r="A29" s="2">
        <f>IFERROR(__xludf.DUMMYFUNCTION("""COMPUTED_VALUE"""),44144.66666666667)</f>
        <v>44144.66667</v>
      </c>
      <c r="B29" s="1">
        <f>IFERROR(__xludf.DUMMYFUNCTION("""COMPUTED_VALUE"""),142.59)</f>
        <v>142.59</v>
      </c>
    </row>
    <row r="30">
      <c r="A30" s="2">
        <f>IFERROR(__xludf.DUMMYFUNCTION("""COMPUTED_VALUE"""),44145.66666666667)</f>
        <v>44145.66667</v>
      </c>
      <c r="B30" s="1">
        <f>IFERROR(__xludf.DUMMYFUNCTION("""COMPUTED_VALUE"""),142.11)</f>
        <v>142.11</v>
      </c>
    </row>
    <row r="31">
      <c r="A31" s="2">
        <f>IFERROR(__xludf.DUMMYFUNCTION("""COMPUTED_VALUE"""),44146.66666666667)</f>
        <v>44146.66667</v>
      </c>
      <c r="B31" s="1">
        <f>IFERROR(__xludf.DUMMYFUNCTION("""COMPUTED_VALUE"""),137.82)</f>
        <v>137.82</v>
      </c>
    </row>
    <row r="32">
      <c r="A32" s="2">
        <f>IFERROR(__xludf.DUMMYFUNCTION("""COMPUTED_VALUE"""),44147.66666666667)</f>
        <v>44147.66667</v>
      </c>
      <c r="B32" s="1">
        <f>IFERROR(__xludf.DUMMYFUNCTION("""COMPUTED_VALUE"""),135.52)</f>
        <v>135.52</v>
      </c>
    </row>
    <row r="33">
      <c r="A33" s="2">
        <f>IFERROR(__xludf.DUMMYFUNCTION("""COMPUTED_VALUE"""),44148.66666666667)</f>
        <v>44148.66667</v>
      </c>
      <c r="B33" s="1">
        <f>IFERROR(__xludf.DUMMYFUNCTION("""COMPUTED_VALUE"""),138.36)</f>
        <v>138.36</v>
      </c>
    </row>
    <row r="34">
      <c r="A34" s="2">
        <f>IFERROR(__xludf.DUMMYFUNCTION("""COMPUTED_VALUE"""),44151.66666666667)</f>
        <v>44151.66667</v>
      </c>
      <c r="B34" s="1">
        <f>IFERROR(__xludf.DUMMYFUNCTION("""COMPUTED_VALUE"""),144.67)</f>
        <v>144.67</v>
      </c>
    </row>
    <row r="35">
      <c r="A35" s="2">
        <f>IFERROR(__xludf.DUMMYFUNCTION("""COMPUTED_VALUE"""),44152.66666666667)</f>
        <v>44152.66667</v>
      </c>
      <c r="B35" s="1">
        <f>IFERROR(__xludf.DUMMYFUNCTION("""COMPUTED_VALUE"""),144.5)</f>
        <v>144.5</v>
      </c>
    </row>
    <row r="36">
      <c r="A36" s="2">
        <f>IFERROR(__xludf.DUMMYFUNCTION("""COMPUTED_VALUE"""),44153.66666666667)</f>
        <v>44153.66667</v>
      </c>
      <c r="B36" s="1">
        <f>IFERROR(__xludf.DUMMYFUNCTION("""COMPUTED_VALUE"""),143.9)</f>
        <v>143.9</v>
      </c>
    </row>
    <row r="37">
      <c r="A37" s="2">
        <f>IFERROR(__xludf.DUMMYFUNCTION("""COMPUTED_VALUE"""),44154.66666666667)</f>
        <v>44154.66667</v>
      </c>
      <c r="B37" s="1">
        <f>IFERROR(__xludf.DUMMYFUNCTION("""COMPUTED_VALUE"""),141.72)</f>
        <v>141.72</v>
      </c>
    </row>
    <row r="38">
      <c r="A38" s="2">
        <f>IFERROR(__xludf.DUMMYFUNCTION("""COMPUTED_VALUE"""),44155.66666666667)</f>
        <v>44155.66667</v>
      </c>
      <c r="B38" s="1">
        <f>IFERROR(__xludf.DUMMYFUNCTION("""COMPUTED_VALUE"""),141.07)</f>
        <v>141.07</v>
      </c>
    </row>
    <row r="39">
      <c r="A39" s="2">
        <f>IFERROR(__xludf.DUMMYFUNCTION("""COMPUTED_VALUE"""),44158.66666666667)</f>
        <v>44158.66667</v>
      </c>
      <c r="B39" s="1">
        <f>IFERROR(__xludf.DUMMYFUNCTION("""COMPUTED_VALUE"""),145.98)</f>
        <v>145.98</v>
      </c>
    </row>
    <row r="40">
      <c r="A40" s="2">
        <f>IFERROR(__xludf.DUMMYFUNCTION("""COMPUTED_VALUE"""),44159.66666666667)</f>
        <v>44159.66667</v>
      </c>
      <c r="B40" s="1">
        <f>IFERROR(__xludf.DUMMYFUNCTION("""COMPUTED_VALUE"""),151.49)</f>
        <v>151.49</v>
      </c>
    </row>
    <row r="41">
      <c r="A41" s="2">
        <f>IFERROR(__xludf.DUMMYFUNCTION("""COMPUTED_VALUE"""),44160.66666666667)</f>
        <v>44160.66667</v>
      </c>
      <c r="B41" s="1">
        <f>IFERROR(__xludf.DUMMYFUNCTION("""COMPUTED_VALUE"""),149.09)</f>
        <v>149.09</v>
      </c>
    </row>
    <row r="42">
      <c r="A42" s="2">
        <f>IFERROR(__xludf.DUMMYFUNCTION("""COMPUTED_VALUE"""),44162.54166666667)</f>
        <v>44162.54167</v>
      </c>
      <c r="B42" s="1">
        <f>IFERROR(__xludf.DUMMYFUNCTION("""COMPUTED_VALUE"""),147.13)</f>
        <v>147.13</v>
      </c>
    </row>
    <row r="43">
      <c r="A43" s="2">
        <f>IFERROR(__xludf.DUMMYFUNCTION("""COMPUTED_VALUE"""),44165.66666666667)</f>
        <v>44165.66667</v>
      </c>
      <c r="B43" s="1">
        <f>IFERROR(__xludf.DUMMYFUNCTION("""COMPUTED_VALUE"""),148.01)</f>
        <v>148.01</v>
      </c>
    </row>
    <row r="44">
      <c r="A44" s="2">
        <f>IFERROR(__xludf.DUMMYFUNCTION("""COMPUTED_VALUE"""),44166.66666666667)</f>
        <v>44166.66667</v>
      </c>
      <c r="B44" s="1">
        <f>IFERROR(__xludf.DUMMYFUNCTION("""COMPUTED_VALUE"""),149.44)</f>
        <v>149.44</v>
      </c>
    </row>
    <row r="45">
      <c r="A45" s="2">
        <f>IFERROR(__xludf.DUMMYFUNCTION("""COMPUTED_VALUE"""),44167.66666666667)</f>
        <v>44167.66667</v>
      </c>
      <c r="B45" s="1">
        <f>IFERROR(__xludf.DUMMYFUNCTION("""COMPUTED_VALUE"""),153.61)</f>
        <v>153.61</v>
      </c>
    </row>
    <row r="46">
      <c r="A46" s="2">
        <f>IFERROR(__xludf.DUMMYFUNCTION("""COMPUTED_VALUE"""),44168.66666666667)</f>
        <v>44168.66667</v>
      </c>
      <c r="B46" s="1">
        <f>IFERROR(__xludf.DUMMYFUNCTION("""COMPUTED_VALUE"""),153.24)</f>
        <v>153.24</v>
      </c>
    </row>
    <row r="47">
      <c r="A47" s="2">
        <f>IFERROR(__xludf.DUMMYFUNCTION("""COMPUTED_VALUE"""),44169.66666666667)</f>
        <v>44169.66667</v>
      </c>
      <c r="B47" s="1">
        <f>IFERROR(__xludf.DUMMYFUNCTION("""COMPUTED_VALUE"""),154.14)</f>
        <v>154.14</v>
      </c>
    </row>
    <row r="48">
      <c r="A48" s="2">
        <f>IFERROR(__xludf.DUMMYFUNCTION("""COMPUTED_VALUE"""),44172.66666666667)</f>
        <v>44172.66667</v>
      </c>
      <c r="B48" s="1">
        <f>IFERROR(__xludf.DUMMYFUNCTION("""COMPUTED_VALUE"""),153.68)</f>
        <v>153.68</v>
      </c>
    </row>
    <row r="49">
      <c r="A49" s="2">
        <f>IFERROR(__xludf.DUMMYFUNCTION("""COMPUTED_VALUE"""),44173.66666666667)</f>
        <v>44173.66667</v>
      </c>
      <c r="B49" s="1">
        <f>IFERROR(__xludf.DUMMYFUNCTION("""COMPUTED_VALUE"""),153.72)</f>
        <v>153.72</v>
      </c>
    </row>
    <row r="50">
      <c r="A50" s="2">
        <f>IFERROR(__xludf.DUMMYFUNCTION("""COMPUTED_VALUE"""),44174.66666666667)</f>
        <v>44174.66667</v>
      </c>
      <c r="B50" s="1">
        <f>IFERROR(__xludf.DUMMYFUNCTION("""COMPUTED_VALUE"""),154.43)</f>
        <v>154.43</v>
      </c>
    </row>
    <row r="51">
      <c r="A51" s="2">
        <f>IFERROR(__xludf.DUMMYFUNCTION("""COMPUTED_VALUE"""),44175.66666666667)</f>
        <v>44175.66667</v>
      </c>
      <c r="B51" s="1">
        <f>IFERROR(__xludf.DUMMYFUNCTION("""COMPUTED_VALUE"""),154.69)</f>
        <v>154.69</v>
      </c>
    </row>
    <row r="52">
      <c r="A52" s="2">
        <f>IFERROR(__xludf.DUMMYFUNCTION("""COMPUTED_VALUE"""),44176.66666666667)</f>
        <v>44176.66667</v>
      </c>
      <c r="B52" s="1">
        <f>IFERROR(__xludf.DUMMYFUNCTION("""COMPUTED_VALUE"""),175.72)</f>
        <v>175.72</v>
      </c>
    </row>
    <row r="53">
      <c r="A53" s="2">
        <f>IFERROR(__xludf.DUMMYFUNCTION("""COMPUTED_VALUE"""),44179.66666666667)</f>
        <v>44179.66667</v>
      </c>
      <c r="B53" s="1">
        <f>IFERROR(__xludf.DUMMYFUNCTION("""COMPUTED_VALUE"""),169.3)</f>
        <v>169.3</v>
      </c>
    </row>
    <row r="54">
      <c r="A54" s="2">
        <f>IFERROR(__xludf.DUMMYFUNCTION("""COMPUTED_VALUE"""),44180.66666666667)</f>
        <v>44180.66667</v>
      </c>
      <c r="B54" s="1">
        <f>IFERROR(__xludf.DUMMYFUNCTION("""COMPUTED_VALUE"""),173.94)</f>
        <v>173.94</v>
      </c>
    </row>
    <row r="55">
      <c r="A55" s="2">
        <f>IFERROR(__xludf.DUMMYFUNCTION("""COMPUTED_VALUE"""),44181.66666666667)</f>
        <v>44181.66667</v>
      </c>
      <c r="B55" s="1">
        <f>IFERROR(__xludf.DUMMYFUNCTION("""COMPUTED_VALUE"""),173.12)</f>
        <v>173.12</v>
      </c>
    </row>
    <row r="56">
      <c r="A56" s="2">
        <f>IFERROR(__xludf.DUMMYFUNCTION("""COMPUTED_VALUE"""),44182.66666666667)</f>
        <v>44182.66667</v>
      </c>
      <c r="B56" s="1">
        <f>IFERROR(__xludf.DUMMYFUNCTION("""COMPUTED_VALUE"""),173.55)</f>
        <v>173.55</v>
      </c>
    </row>
    <row r="57">
      <c r="A57" s="2">
        <f>IFERROR(__xludf.DUMMYFUNCTION("""COMPUTED_VALUE"""),44183.66666666667)</f>
        <v>44183.66667</v>
      </c>
      <c r="B57" s="1">
        <f>IFERROR(__xludf.DUMMYFUNCTION("""COMPUTED_VALUE"""),172.89)</f>
        <v>172.89</v>
      </c>
    </row>
    <row r="58">
      <c r="A58" s="2">
        <f>IFERROR(__xludf.DUMMYFUNCTION("""COMPUTED_VALUE"""),44186.66666666667)</f>
        <v>44186.66667</v>
      </c>
      <c r="B58" s="1">
        <f>IFERROR(__xludf.DUMMYFUNCTION("""COMPUTED_VALUE"""),170.69)</f>
        <v>170.69</v>
      </c>
    </row>
    <row r="59">
      <c r="A59" s="2">
        <f>IFERROR(__xludf.DUMMYFUNCTION("""COMPUTED_VALUE"""),44187.66666666667)</f>
        <v>44187.66667</v>
      </c>
      <c r="B59" s="1">
        <f>IFERROR(__xludf.DUMMYFUNCTION("""COMPUTED_VALUE"""),170.45)</f>
        <v>170.45</v>
      </c>
    </row>
    <row r="60">
      <c r="A60" s="2">
        <f>IFERROR(__xludf.DUMMYFUNCTION("""COMPUTED_VALUE"""),44188.66666666667)</f>
        <v>44188.66667</v>
      </c>
      <c r="B60" s="1">
        <f>IFERROR(__xludf.DUMMYFUNCTION("""COMPUTED_VALUE"""),173.55)</f>
        <v>173.55</v>
      </c>
    </row>
    <row r="61">
      <c r="A61" s="2">
        <f>IFERROR(__xludf.DUMMYFUNCTION("""COMPUTED_VALUE"""),44189.54166666667)</f>
        <v>44189.54167</v>
      </c>
      <c r="B61" s="1">
        <f>IFERROR(__xludf.DUMMYFUNCTION("""COMPUTED_VALUE"""),173.73)</f>
        <v>173.73</v>
      </c>
    </row>
    <row r="62">
      <c r="A62" s="2">
        <f>IFERROR(__xludf.DUMMYFUNCTION("""COMPUTED_VALUE"""),44193.66666666667)</f>
        <v>44193.66667</v>
      </c>
      <c r="B62" s="1">
        <f>IFERROR(__xludf.DUMMYFUNCTION("""COMPUTED_VALUE"""),178.86)</f>
        <v>178.86</v>
      </c>
    </row>
    <row r="63">
      <c r="A63" s="2">
        <f>IFERROR(__xludf.DUMMYFUNCTION("""COMPUTED_VALUE"""),44194.66666666667)</f>
        <v>44194.66667</v>
      </c>
      <c r="B63" s="1">
        <f>IFERROR(__xludf.DUMMYFUNCTION("""COMPUTED_VALUE"""),177.3)</f>
        <v>177.3</v>
      </c>
    </row>
    <row r="64">
      <c r="A64" s="2">
        <f>IFERROR(__xludf.DUMMYFUNCTION("""COMPUTED_VALUE"""),44195.66666666667)</f>
        <v>44195.66667</v>
      </c>
      <c r="B64" s="1">
        <f>IFERROR(__xludf.DUMMYFUNCTION("""COMPUTED_VALUE"""),181.17)</f>
        <v>181.17</v>
      </c>
    </row>
    <row r="65">
      <c r="A65" s="2">
        <f>IFERROR(__xludf.DUMMYFUNCTION("""COMPUTED_VALUE"""),44196.66666666667)</f>
        <v>44196.66667</v>
      </c>
      <c r="B65" s="1">
        <f>IFERROR(__xludf.DUMMYFUNCTION("""COMPUTED_VALUE"""),181.18)</f>
        <v>181.18</v>
      </c>
    </row>
    <row r="66">
      <c r="A66" s="2">
        <f>IFERROR(__xludf.DUMMYFUNCTION("""COMPUTED_VALUE"""),44200.66666666667)</f>
        <v>44200.66667</v>
      </c>
      <c r="B66" s="1">
        <f>IFERROR(__xludf.DUMMYFUNCTION("""COMPUTED_VALUE"""),177.68)</f>
        <v>177.68</v>
      </c>
    </row>
    <row r="67">
      <c r="A67" s="2">
        <f>IFERROR(__xludf.DUMMYFUNCTION("""COMPUTED_VALUE"""),44201.66666666667)</f>
        <v>44201.66667</v>
      </c>
      <c r="B67" s="1">
        <f>IFERROR(__xludf.DUMMYFUNCTION("""COMPUTED_VALUE"""),178.44)</f>
        <v>178.44</v>
      </c>
    </row>
    <row r="68">
      <c r="A68" s="2">
        <f>IFERROR(__xludf.DUMMYFUNCTION("""COMPUTED_VALUE"""),44202.66666666667)</f>
        <v>44202.66667</v>
      </c>
      <c r="B68" s="1">
        <f>IFERROR(__xludf.DUMMYFUNCTION("""COMPUTED_VALUE"""),179.12)</f>
        <v>179.12</v>
      </c>
    </row>
    <row r="69">
      <c r="A69" s="2">
        <f>IFERROR(__xludf.DUMMYFUNCTION("""COMPUTED_VALUE"""),44203.66666666667)</f>
        <v>44203.66667</v>
      </c>
      <c r="B69" s="1">
        <f>IFERROR(__xludf.DUMMYFUNCTION("""COMPUTED_VALUE"""),178.58)</f>
        <v>178.58</v>
      </c>
    </row>
    <row r="70">
      <c r="A70" s="2">
        <f>IFERROR(__xludf.DUMMYFUNCTION("""COMPUTED_VALUE"""),44204.66666666667)</f>
        <v>44204.66667</v>
      </c>
      <c r="B70" s="1">
        <f>IFERROR(__xludf.DUMMYFUNCTION("""COMPUTED_VALUE"""),178.69)</f>
        <v>178.69</v>
      </c>
    </row>
    <row r="71">
      <c r="A71" s="2">
        <f>IFERROR(__xludf.DUMMYFUNCTION("""COMPUTED_VALUE"""),44207.66666666667)</f>
        <v>44207.66667</v>
      </c>
      <c r="B71" s="1">
        <f>IFERROR(__xludf.DUMMYFUNCTION("""COMPUTED_VALUE"""),179.09)</f>
        <v>179.09</v>
      </c>
    </row>
    <row r="72">
      <c r="A72" s="2">
        <f>IFERROR(__xludf.DUMMYFUNCTION("""COMPUTED_VALUE"""),44208.66666666667)</f>
        <v>44208.66667</v>
      </c>
      <c r="B72" s="1">
        <f>IFERROR(__xludf.DUMMYFUNCTION("""COMPUTED_VALUE"""),175.99)</f>
        <v>175.99</v>
      </c>
    </row>
    <row r="73">
      <c r="A73" s="2">
        <f>IFERROR(__xludf.DUMMYFUNCTION("""COMPUTED_VALUE"""),44209.66666666667)</f>
        <v>44209.66667</v>
      </c>
      <c r="B73" s="1">
        <f>IFERROR(__xludf.DUMMYFUNCTION("""COMPUTED_VALUE"""),176.12)</f>
        <v>176.12</v>
      </c>
    </row>
    <row r="74">
      <c r="A74" s="2">
        <f>IFERROR(__xludf.DUMMYFUNCTION("""COMPUTED_VALUE"""),44210.66666666667)</f>
        <v>44210.66667</v>
      </c>
      <c r="B74" s="1">
        <f>IFERROR(__xludf.DUMMYFUNCTION("""COMPUTED_VALUE"""),173.43)</f>
        <v>173.43</v>
      </c>
    </row>
    <row r="75">
      <c r="A75" s="2">
        <f>IFERROR(__xludf.DUMMYFUNCTION("""COMPUTED_VALUE"""),44211.66666666667)</f>
        <v>44211.66667</v>
      </c>
      <c r="B75" s="1">
        <f>IFERROR(__xludf.DUMMYFUNCTION("""COMPUTED_VALUE"""),171.44)</f>
        <v>171.44</v>
      </c>
    </row>
    <row r="76">
      <c r="A76" s="2">
        <f>IFERROR(__xludf.DUMMYFUNCTION("""COMPUTED_VALUE"""),44215.66666666667)</f>
        <v>44215.66667</v>
      </c>
      <c r="B76" s="1">
        <f>IFERROR(__xludf.DUMMYFUNCTION("""COMPUTED_VALUE"""),172.26)</f>
        <v>172.26</v>
      </c>
    </row>
    <row r="77">
      <c r="A77" s="2">
        <f>IFERROR(__xludf.DUMMYFUNCTION("""COMPUTED_VALUE"""),44216.66666666667)</f>
        <v>44216.66667</v>
      </c>
      <c r="B77" s="1">
        <f>IFERROR(__xludf.DUMMYFUNCTION("""COMPUTED_VALUE"""),173.64)</f>
        <v>173.64</v>
      </c>
    </row>
    <row r="78">
      <c r="A78" s="2">
        <f>IFERROR(__xludf.DUMMYFUNCTION("""COMPUTED_VALUE"""),44217.66666666667)</f>
        <v>44217.66667</v>
      </c>
      <c r="B78" s="1">
        <f>IFERROR(__xludf.DUMMYFUNCTION("""COMPUTED_VALUE"""),171.28)</f>
        <v>171.28</v>
      </c>
    </row>
    <row r="79">
      <c r="A79" s="2">
        <f>IFERROR(__xludf.DUMMYFUNCTION("""COMPUTED_VALUE"""),44218.66666666667)</f>
        <v>44218.66667</v>
      </c>
      <c r="B79" s="1">
        <f>IFERROR(__xludf.DUMMYFUNCTION("""COMPUTED_VALUE"""),172.78)</f>
        <v>172.78</v>
      </c>
    </row>
    <row r="80">
      <c r="A80" s="2">
        <f>IFERROR(__xludf.DUMMYFUNCTION("""COMPUTED_VALUE"""),44221.66666666667)</f>
        <v>44221.66667</v>
      </c>
      <c r="B80" s="1">
        <f>IFERROR(__xludf.DUMMYFUNCTION("""COMPUTED_VALUE"""),171.89)</f>
        <v>171.89</v>
      </c>
    </row>
    <row r="81">
      <c r="A81" s="2">
        <f>IFERROR(__xludf.DUMMYFUNCTION("""COMPUTED_VALUE"""),44222.66666666667)</f>
        <v>44222.66667</v>
      </c>
      <c r="B81" s="1">
        <f>IFERROR(__xludf.DUMMYFUNCTION("""COMPUTED_VALUE"""),169.56)</f>
        <v>169.56</v>
      </c>
    </row>
    <row r="82">
      <c r="A82" s="2">
        <f>IFERROR(__xludf.DUMMYFUNCTION("""COMPUTED_VALUE"""),44223.66666666667)</f>
        <v>44223.66667</v>
      </c>
      <c r="B82" s="1">
        <f>IFERROR(__xludf.DUMMYFUNCTION("""COMPUTED_VALUE"""),163.03)</f>
        <v>163.03</v>
      </c>
    </row>
    <row r="83">
      <c r="A83" s="2">
        <f>IFERROR(__xludf.DUMMYFUNCTION("""COMPUTED_VALUE"""),44224.66666666667)</f>
        <v>44224.66667</v>
      </c>
      <c r="B83" s="1">
        <f>IFERROR(__xludf.DUMMYFUNCTION("""COMPUTED_VALUE"""),171.88)</f>
        <v>171.88</v>
      </c>
    </row>
    <row r="84">
      <c r="A84" s="2">
        <f>IFERROR(__xludf.DUMMYFUNCTION("""COMPUTED_VALUE"""),44225.66666666667)</f>
        <v>44225.66667</v>
      </c>
      <c r="B84" s="1">
        <f>IFERROR(__xludf.DUMMYFUNCTION("""COMPUTED_VALUE"""),168.17)</f>
        <v>168.17</v>
      </c>
    </row>
    <row r="85">
      <c r="A85" s="2">
        <f>IFERROR(__xludf.DUMMYFUNCTION("""COMPUTED_VALUE"""),44228.66666666667)</f>
        <v>44228.66667</v>
      </c>
      <c r="B85" s="1">
        <f>IFERROR(__xludf.DUMMYFUNCTION("""COMPUTED_VALUE"""),170.97)</f>
        <v>170.97</v>
      </c>
    </row>
    <row r="86">
      <c r="A86" s="2">
        <f>IFERROR(__xludf.DUMMYFUNCTION("""COMPUTED_VALUE"""),44229.66666666667)</f>
        <v>44229.66667</v>
      </c>
      <c r="B86" s="1">
        <f>IFERROR(__xludf.DUMMYFUNCTION("""COMPUTED_VALUE"""),176.96)</f>
        <v>176.96</v>
      </c>
    </row>
    <row r="87">
      <c r="A87" s="2">
        <f>IFERROR(__xludf.DUMMYFUNCTION("""COMPUTED_VALUE"""),44230.66666666667)</f>
        <v>44230.66667</v>
      </c>
      <c r="B87" s="1">
        <f>IFERROR(__xludf.DUMMYFUNCTION("""COMPUTED_VALUE"""),176.43)</f>
        <v>176.43</v>
      </c>
    </row>
    <row r="88">
      <c r="A88" s="2">
        <f>IFERROR(__xludf.DUMMYFUNCTION("""COMPUTED_VALUE"""),44231.66666666667)</f>
        <v>44231.66667</v>
      </c>
      <c r="B88" s="1">
        <f>IFERROR(__xludf.DUMMYFUNCTION("""COMPUTED_VALUE"""),180.23)</f>
        <v>180.23</v>
      </c>
    </row>
    <row r="89">
      <c r="A89" s="2">
        <f>IFERROR(__xludf.DUMMYFUNCTION("""COMPUTED_VALUE"""),44232.66666666667)</f>
        <v>44232.66667</v>
      </c>
      <c r="B89" s="1">
        <f>IFERROR(__xludf.DUMMYFUNCTION("""COMPUTED_VALUE"""),181.16)</f>
        <v>181.16</v>
      </c>
    </row>
    <row r="90">
      <c r="A90" s="2">
        <f>IFERROR(__xludf.DUMMYFUNCTION("""COMPUTED_VALUE"""),44235.66666666667)</f>
        <v>44235.66667</v>
      </c>
      <c r="B90" s="1">
        <f>IFERROR(__xludf.DUMMYFUNCTION("""COMPUTED_VALUE"""),190.0)</f>
        <v>190</v>
      </c>
    </row>
    <row r="91">
      <c r="A91" s="2">
        <f>IFERROR(__xludf.DUMMYFUNCTION("""COMPUTED_VALUE"""),44236.66666666667)</f>
        <v>44236.66667</v>
      </c>
      <c r="B91" s="1">
        <f>IFERROR(__xludf.DUMMYFUNCTION("""COMPUTED_VALUE"""),188.21)</f>
        <v>188.21</v>
      </c>
    </row>
    <row r="92">
      <c r="A92" s="2">
        <f>IFERROR(__xludf.DUMMYFUNCTION("""COMPUTED_VALUE"""),44237.66666666667)</f>
        <v>44237.66667</v>
      </c>
      <c r="B92" s="1">
        <f>IFERROR(__xludf.DUMMYFUNCTION("""COMPUTED_VALUE"""),189.63)</f>
        <v>189.63</v>
      </c>
    </row>
    <row r="93">
      <c r="A93" s="2">
        <f>IFERROR(__xludf.DUMMYFUNCTION("""COMPUTED_VALUE"""),44238.66666666667)</f>
        <v>44238.66667</v>
      </c>
      <c r="B93" s="1">
        <f>IFERROR(__xludf.DUMMYFUNCTION("""COMPUTED_VALUE"""),190.91)</f>
        <v>190.91</v>
      </c>
    </row>
    <row r="94">
      <c r="A94" s="2">
        <f>IFERROR(__xludf.DUMMYFUNCTION("""COMPUTED_VALUE"""),44239.66666666667)</f>
        <v>44239.66667</v>
      </c>
      <c r="B94" s="1">
        <f>IFERROR(__xludf.DUMMYFUNCTION("""COMPUTED_VALUE"""),187.67)</f>
        <v>187.67</v>
      </c>
    </row>
    <row r="95">
      <c r="A95" s="2">
        <f>IFERROR(__xludf.DUMMYFUNCTION("""COMPUTED_VALUE"""),44243.66666666667)</f>
        <v>44243.66667</v>
      </c>
      <c r="B95" s="1">
        <f>IFERROR(__xludf.DUMMYFUNCTION("""COMPUTED_VALUE"""),186.35)</f>
        <v>186.35</v>
      </c>
    </row>
    <row r="96">
      <c r="A96" s="2">
        <f>IFERROR(__xludf.DUMMYFUNCTION("""COMPUTED_VALUE"""),44244.66666666667)</f>
        <v>44244.66667</v>
      </c>
      <c r="B96" s="1">
        <f>IFERROR(__xludf.DUMMYFUNCTION("""COMPUTED_VALUE"""),186.44)</f>
        <v>186.44</v>
      </c>
    </row>
    <row r="97">
      <c r="A97" s="2">
        <f>IFERROR(__xludf.DUMMYFUNCTION("""COMPUTED_VALUE"""),44245.66666666667)</f>
        <v>44245.66667</v>
      </c>
      <c r="B97" s="1">
        <f>IFERROR(__xludf.DUMMYFUNCTION("""COMPUTED_VALUE"""),183.0)</f>
        <v>183</v>
      </c>
    </row>
    <row r="98">
      <c r="A98" s="2">
        <f>IFERROR(__xludf.DUMMYFUNCTION("""COMPUTED_VALUE"""),44246.66666666667)</f>
        <v>44246.66667</v>
      </c>
      <c r="B98" s="1">
        <f>IFERROR(__xludf.DUMMYFUNCTION("""COMPUTED_VALUE"""),183.65)</f>
        <v>183.65</v>
      </c>
    </row>
    <row r="99">
      <c r="A99" s="2">
        <f>IFERROR(__xludf.DUMMYFUNCTION("""COMPUTED_VALUE"""),44249.66666666667)</f>
        <v>44249.66667</v>
      </c>
      <c r="B99" s="1">
        <f>IFERROR(__xludf.DUMMYFUNCTION("""COMPUTED_VALUE"""),191.76)</f>
        <v>191.76</v>
      </c>
    </row>
    <row r="100">
      <c r="A100" s="2">
        <f>IFERROR(__xludf.DUMMYFUNCTION("""COMPUTED_VALUE"""),44250.66666666667)</f>
        <v>44250.66667</v>
      </c>
      <c r="B100" s="1">
        <f>IFERROR(__xludf.DUMMYFUNCTION("""COMPUTED_VALUE"""),197.09)</f>
        <v>197.09</v>
      </c>
    </row>
    <row r="101">
      <c r="A101" s="2">
        <f>IFERROR(__xludf.DUMMYFUNCTION("""COMPUTED_VALUE"""),44251.66666666667)</f>
        <v>44251.66667</v>
      </c>
      <c r="B101" s="1">
        <f>IFERROR(__xludf.DUMMYFUNCTION("""COMPUTED_VALUE"""),197.51)</f>
        <v>197.51</v>
      </c>
    </row>
    <row r="102">
      <c r="A102" s="2">
        <f>IFERROR(__xludf.DUMMYFUNCTION("""COMPUTED_VALUE"""),44252.66666666667)</f>
        <v>44252.66667</v>
      </c>
      <c r="B102" s="1">
        <f>IFERROR(__xludf.DUMMYFUNCTION("""COMPUTED_VALUE"""),190.98)</f>
        <v>190.98</v>
      </c>
    </row>
    <row r="103">
      <c r="A103" s="2">
        <f>IFERROR(__xludf.DUMMYFUNCTION("""COMPUTED_VALUE"""),44253.66666666667)</f>
        <v>44253.66667</v>
      </c>
      <c r="B103" s="1">
        <f>IFERROR(__xludf.DUMMYFUNCTION("""COMPUTED_VALUE"""),189.04)</f>
        <v>189.04</v>
      </c>
    </row>
    <row r="104">
      <c r="A104" s="2">
        <f>IFERROR(__xludf.DUMMYFUNCTION("""COMPUTED_VALUE"""),44256.66666666667)</f>
        <v>44256.66667</v>
      </c>
      <c r="B104" s="1">
        <f>IFERROR(__xludf.DUMMYFUNCTION("""COMPUTED_VALUE"""),194.98)</f>
        <v>194.98</v>
      </c>
    </row>
    <row r="105">
      <c r="A105" s="2">
        <f>IFERROR(__xludf.DUMMYFUNCTION("""COMPUTED_VALUE"""),44257.66666666667)</f>
        <v>44257.66667</v>
      </c>
      <c r="B105" s="1">
        <f>IFERROR(__xludf.DUMMYFUNCTION("""COMPUTED_VALUE"""),193.94)</f>
        <v>193.94</v>
      </c>
    </row>
    <row r="106">
      <c r="A106" s="2">
        <f>IFERROR(__xludf.DUMMYFUNCTION("""COMPUTED_VALUE"""),44258.66666666667)</f>
        <v>44258.66667</v>
      </c>
      <c r="B106" s="1">
        <f>IFERROR(__xludf.DUMMYFUNCTION("""COMPUTED_VALUE"""),192.26)</f>
        <v>192.26</v>
      </c>
    </row>
    <row r="107">
      <c r="A107" s="2">
        <f>IFERROR(__xludf.DUMMYFUNCTION("""COMPUTED_VALUE"""),44259.66666666667)</f>
        <v>44259.66667</v>
      </c>
      <c r="B107" s="1">
        <f>IFERROR(__xludf.DUMMYFUNCTION("""COMPUTED_VALUE"""),188.03)</f>
        <v>188.03</v>
      </c>
    </row>
    <row r="108">
      <c r="A108" s="2">
        <f>IFERROR(__xludf.DUMMYFUNCTION("""COMPUTED_VALUE"""),44260.66666666667)</f>
        <v>44260.66667</v>
      </c>
      <c r="B108" s="1">
        <f>IFERROR(__xludf.DUMMYFUNCTION("""COMPUTED_VALUE"""),189.99)</f>
        <v>189.99</v>
      </c>
    </row>
    <row r="109">
      <c r="A109" s="2">
        <f>IFERROR(__xludf.DUMMYFUNCTION("""COMPUTED_VALUE"""),44263.66666666667)</f>
        <v>44263.66667</v>
      </c>
      <c r="B109" s="1">
        <f>IFERROR(__xludf.DUMMYFUNCTION("""COMPUTED_VALUE"""),201.91)</f>
        <v>201.91</v>
      </c>
    </row>
    <row r="110">
      <c r="A110" s="2">
        <f>IFERROR(__xludf.DUMMYFUNCTION("""COMPUTED_VALUE"""),44264.66666666667)</f>
        <v>44264.66667</v>
      </c>
      <c r="B110" s="1">
        <f>IFERROR(__xludf.DUMMYFUNCTION("""COMPUTED_VALUE"""),194.51)</f>
        <v>194.51</v>
      </c>
    </row>
    <row r="111">
      <c r="A111" s="2">
        <f>IFERROR(__xludf.DUMMYFUNCTION("""COMPUTED_VALUE"""),44265.66666666667)</f>
        <v>44265.66667</v>
      </c>
      <c r="B111" s="1">
        <f>IFERROR(__xludf.DUMMYFUNCTION("""COMPUTED_VALUE"""),195.06)</f>
        <v>195.06</v>
      </c>
    </row>
    <row r="112">
      <c r="A112" s="2">
        <f>IFERROR(__xludf.DUMMYFUNCTION("""COMPUTED_VALUE"""),44266.66666666667)</f>
        <v>44266.66667</v>
      </c>
      <c r="B112" s="1">
        <f>IFERROR(__xludf.DUMMYFUNCTION("""COMPUTED_VALUE"""),196.75)</f>
        <v>196.75</v>
      </c>
    </row>
    <row r="113">
      <c r="A113" s="2">
        <f>IFERROR(__xludf.DUMMYFUNCTION("""COMPUTED_VALUE"""),44267.66666666667)</f>
        <v>44267.66667</v>
      </c>
      <c r="B113" s="1">
        <f>IFERROR(__xludf.DUMMYFUNCTION("""COMPUTED_VALUE"""),197.16)</f>
        <v>197.16</v>
      </c>
    </row>
    <row r="114">
      <c r="A114" s="2">
        <f>IFERROR(__xludf.DUMMYFUNCTION("""COMPUTED_VALUE"""),44270.66666666667)</f>
        <v>44270.66667</v>
      </c>
      <c r="B114" s="1">
        <f>IFERROR(__xludf.DUMMYFUNCTION("""COMPUTED_VALUE"""),196.76)</f>
        <v>196.76</v>
      </c>
    </row>
    <row r="115">
      <c r="A115" s="2">
        <f>IFERROR(__xludf.DUMMYFUNCTION("""COMPUTED_VALUE"""),44271.66666666667)</f>
        <v>44271.66667</v>
      </c>
      <c r="B115" s="1">
        <f>IFERROR(__xludf.DUMMYFUNCTION("""COMPUTED_VALUE"""),194.24)</f>
        <v>194.24</v>
      </c>
    </row>
    <row r="116">
      <c r="A116" s="2">
        <f>IFERROR(__xludf.DUMMYFUNCTION("""COMPUTED_VALUE"""),44272.66666666667)</f>
        <v>44272.66667</v>
      </c>
      <c r="B116" s="1">
        <f>IFERROR(__xludf.DUMMYFUNCTION("""COMPUTED_VALUE"""),195.24)</f>
        <v>195.24</v>
      </c>
    </row>
    <row r="117">
      <c r="A117" s="2">
        <f>IFERROR(__xludf.DUMMYFUNCTION("""COMPUTED_VALUE"""),44273.66666666667)</f>
        <v>44273.66667</v>
      </c>
      <c r="B117" s="1">
        <f>IFERROR(__xludf.DUMMYFUNCTION("""COMPUTED_VALUE"""),192.28)</f>
        <v>192.28</v>
      </c>
    </row>
    <row r="118">
      <c r="A118" s="2">
        <f>IFERROR(__xludf.DUMMYFUNCTION("""COMPUTED_VALUE"""),44274.66666666667)</f>
        <v>44274.66667</v>
      </c>
      <c r="B118" s="1">
        <f>IFERROR(__xludf.DUMMYFUNCTION("""COMPUTED_VALUE"""),191.14)</f>
        <v>191.14</v>
      </c>
    </row>
    <row r="119">
      <c r="A119" s="2">
        <f>IFERROR(__xludf.DUMMYFUNCTION("""COMPUTED_VALUE"""),44277.66666666667)</f>
        <v>44277.66667</v>
      </c>
      <c r="B119" s="1">
        <f>IFERROR(__xludf.DUMMYFUNCTION("""COMPUTED_VALUE"""),192.86)</f>
        <v>192.86</v>
      </c>
    </row>
    <row r="120">
      <c r="A120" s="2">
        <f>IFERROR(__xludf.DUMMYFUNCTION("""COMPUTED_VALUE"""),44278.66666666667)</f>
        <v>44278.66667</v>
      </c>
      <c r="B120" s="1">
        <f>IFERROR(__xludf.DUMMYFUNCTION("""COMPUTED_VALUE"""),188.73)</f>
        <v>188.73</v>
      </c>
    </row>
    <row r="121">
      <c r="A121" s="2">
        <f>IFERROR(__xludf.DUMMYFUNCTION("""COMPUTED_VALUE"""),44279.66666666667)</f>
        <v>44279.66667</v>
      </c>
      <c r="B121" s="1">
        <f>IFERROR(__xludf.DUMMYFUNCTION("""COMPUTED_VALUE"""),184.72)</f>
        <v>184.72</v>
      </c>
    </row>
    <row r="122">
      <c r="A122" s="2">
        <f>IFERROR(__xludf.DUMMYFUNCTION("""COMPUTED_VALUE"""),44280.66666666667)</f>
        <v>44280.66667</v>
      </c>
      <c r="B122" s="1">
        <f>IFERROR(__xludf.DUMMYFUNCTION("""COMPUTED_VALUE"""),186.91)</f>
        <v>186.91</v>
      </c>
    </row>
    <row r="123">
      <c r="A123" s="2">
        <f>IFERROR(__xludf.DUMMYFUNCTION("""COMPUTED_VALUE"""),44281.66666666667)</f>
        <v>44281.66667</v>
      </c>
      <c r="B123" s="1">
        <f>IFERROR(__xludf.DUMMYFUNCTION("""COMPUTED_VALUE"""),185.92)</f>
        <v>185.92</v>
      </c>
    </row>
    <row r="124">
      <c r="A124" s="2">
        <f>IFERROR(__xludf.DUMMYFUNCTION("""COMPUTED_VALUE"""),44284.66666666667)</f>
        <v>44284.66667</v>
      </c>
      <c r="B124" s="1">
        <f>IFERROR(__xludf.DUMMYFUNCTION("""COMPUTED_VALUE"""),184.85)</f>
        <v>184.85</v>
      </c>
    </row>
    <row r="125">
      <c r="A125" s="2">
        <f>IFERROR(__xludf.DUMMYFUNCTION("""COMPUTED_VALUE"""),44285.66666666667)</f>
        <v>44285.66667</v>
      </c>
      <c r="B125" s="1">
        <f>IFERROR(__xludf.DUMMYFUNCTION("""COMPUTED_VALUE"""),185.53)</f>
        <v>185.53</v>
      </c>
    </row>
    <row r="126">
      <c r="A126" s="2">
        <f>IFERROR(__xludf.DUMMYFUNCTION("""COMPUTED_VALUE"""),44286.66666666667)</f>
        <v>44286.66667</v>
      </c>
      <c r="B126" s="1">
        <f>IFERROR(__xludf.DUMMYFUNCTION("""COMPUTED_VALUE"""),184.52)</f>
        <v>184.52</v>
      </c>
    </row>
    <row r="127">
      <c r="A127" s="2">
        <f>IFERROR(__xludf.DUMMYFUNCTION("""COMPUTED_VALUE"""),44287.66666666667)</f>
        <v>44287.66667</v>
      </c>
      <c r="B127" s="1">
        <f>IFERROR(__xludf.DUMMYFUNCTION("""COMPUTED_VALUE"""),188.97)</f>
        <v>188.97</v>
      </c>
    </row>
    <row r="128">
      <c r="A128" s="2">
        <f>IFERROR(__xludf.DUMMYFUNCTION("""COMPUTED_VALUE"""),44291.66666666667)</f>
        <v>44291.66667</v>
      </c>
      <c r="B128" s="1">
        <f>IFERROR(__xludf.DUMMYFUNCTION("""COMPUTED_VALUE"""),188.5)</f>
        <v>188.5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IFERROR(__xludf.DUMMYFUNCTION("""COMPUTED_VALUE"""),189.73)</f>
        <v>189.73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IFERROR(__xludf.DUMMYFUNCTION("""COMPUTED_VALUE"""),187.56)</f>
        <v>187.56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IFERROR(__xludf.DUMMYFUNCTION("""COMPUTED_VALUE"""),187.32)</f>
        <v>187.32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IFERROR(__xludf.DUMMYFUNCTION("""COMPUTED_VALUE"""),187.89)</f>
        <v>187.89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IFERROR(__xludf.DUMMYFUNCTION("""COMPUTED_VALUE"""),186.49)</f>
        <v>186.49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IFERROR(__xludf.DUMMYFUNCTION("""COMPUTED_VALUE"""),185.49)</f>
        <v>185.49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IFERROR(__xludf.DUMMYFUNCTION("""COMPUTED_VALUE"""),187.46)</f>
        <v>187.46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IFERROR(__xludf.DUMMYFUNCTION("""COMPUTED_VALUE"""),185.93)</f>
        <v>185.93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IFERROR(__xludf.DUMMYFUNCTION("""COMPUTED_VALUE"""),187.26)</f>
        <v>187.26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IFERROR(__xludf.DUMMYFUNCTION("""COMPUTED_VALUE"""),187.43)</f>
        <v>187.43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IFERROR(__xludf.DUMMYFUNCTION("""COMPUTED_VALUE"""),182.79)</f>
        <v>182.79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IFERROR(__xludf.DUMMYFUNCTION("""COMPUTED_VALUE"""),183.11)</f>
        <v>183.11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IFERROR(__xludf.DUMMYFUNCTION("""COMPUTED_VALUE"""),182.76)</f>
        <v>182.76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IFERROR(__xludf.DUMMYFUNCTION("""COMPUTED_VALUE"""),183.02)</f>
        <v>183.02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IFERROR(__xludf.DUMMYFUNCTION("""COMPUTED_VALUE"""),184.27)</f>
        <v>184.27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IFERROR(__xludf.DUMMYFUNCTION("""COMPUTED_VALUE"""),184.64)</f>
        <v>184.64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IFERROR(__xludf.DUMMYFUNCTION("""COMPUTED_VALUE"""),183.39)</f>
        <v>183.39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IFERROR(__xludf.DUMMYFUNCTION("""COMPUTED_VALUE"""),185.33)</f>
        <v>185.33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IFERROR(__xludf.DUMMYFUNCTION("""COMPUTED_VALUE"""),186.02)</f>
        <v>186.02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IFERROR(__xludf.DUMMYFUNCTION("""COMPUTED_VALUE"""),185.51)</f>
        <v>185.51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IFERROR(__xludf.DUMMYFUNCTION("""COMPUTED_VALUE"""),184.25)</f>
        <v>184.25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IFERROR(__xludf.DUMMYFUNCTION("""COMPUTED_VALUE"""),181.51)</f>
        <v>181.51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IFERROR(__xludf.DUMMYFUNCTION("""COMPUTED_VALUE"""),181.79)</f>
        <v>181.79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IFERROR(__xludf.DUMMYFUNCTION("""COMPUTED_VALUE"""),184.84)</f>
        <v>184.84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IFERROR(__xludf.DUMMYFUNCTION("""COMPUTED_VALUE"""),184.3)</f>
        <v>184.3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IFERROR(__xludf.DUMMYFUNCTION("""COMPUTED_VALUE"""),181.67)</f>
        <v>181.67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IFERROR(__xludf.DUMMYFUNCTION("""COMPUTED_VALUE"""),177.85)</f>
        <v>177.85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IFERROR(__xludf.DUMMYFUNCTION("""COMPUTED_VALUE"""),178.34)</f>
        <v>178.34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IFERROR(__xludf.DUMMYFUNCTION("""COMPUTED_VALUE"""),173.7)</f>
        <v>173.7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IFERROR(__xludf.DUMMYFUNCTION("""COMPUTED_VALUE"""),170.08)</f>
        <v>170.08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IFERROR(__xludf.DUMMYFUNCTION("""COMPUTED_VALUE"""),169.68)</f>
        <v>169.68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IFERROR(__xludf.DUMMYFUNCTION("""COMPUTED_VALUE"""),169.27)</f>
        <v>169.27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IFERROR(__xludf.DUMMYFUNCTION("""COMPUTED_VALUE"""),171.36)</f>
        <v>171.36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IFERROR(__xludf.DUMMYFUNCTION("""COMPUTED_VALUE"""),172.4)</f>
        <v>172.4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IFERROR(__xludf.DUMMYFUNCTION("""COMPUTED_VALUE"""),174.31)</f>
        <v>174.31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IFERROR(__xludf.DUMMYFUNCTION("""COMPUTED_VALUE"""),176.17)</f>
        <v>176.17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IFERROR(__xludf.DUMMYFUNCTION("""COMPUTED_VALUE"""),176.47)</f>
        <v>176.47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IFERROR(__xludf.DUMMYFUNCTION("""COMPUTED_VALUE"""),179.04)</f>
        <v>179.04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IFERROR(__xludf.DUMMYFUNCTION("""COMPUTED_VALUE"""),178.65)</f>
        <v>178.65</v>
      </c>
    </row>
    <row r="168">
      <c r="A168" s="2">
        <f>IFERROR(__xludf.DUMMYFUNCTION("""COMPUTED_VALUE"""),44348.66666666667)</f>
        <v>44348.66667</v>
      </c>
      <c r="B168" s="1">
        <f>IFERROR(__xludf.DUMMYFUNCTION("""COMPUTED_VALUE"""),178.84)</f>
        <v>178.84</v>
      </c>
    </row>
    <row r="169">
      <c r="A169" s="2">
        <f>IFERROR(__xludf.DUMMYFUNCTION("""COMPUTED_VALUE"""),44349.66666666667)</f>
        <v>44349.66667</v>
      </c>
      <c r="B169" s="1">
        <f>IFERROR(__xludf.DUMMYFUNCTION("""COMPUTED_VALUE"""),177.0)</f>
        <v>177</v>
      </c>
    </row>
    <row r="170">
      <c r="A170" s="2">
        <f>IFERROR(__xludf.DUMMYFUNCTION("""COMPUTED_VALUE"""),44350.66666666667)</f>
        <v>44350.66667</v>
      </c>
      <c r="B170" s="1">
        <f>IFERROR(__xludf.DUMMYFUNCTION("""COMPUTED_VALUE"""),176.24)</f>
        <v>176.24</v>
      </c>
    </row>
    <row r="171">
      <c r="A171" s="2">
        <f>IFERROR(__xludf.DUMMYFUNCTION("""COMPUTED_VALUE"""),44351.66666666667)</f>
        <v>44351.66667</v>
      </c>
      <c r="B171" s="1">
        <f>IFERROR(__xludf.DUMMYFUNCTION("""COMPUTED_VALUE"""),177.18)</f>
        <v>177.18</v>
      </c>
    </row>
    <row r="172">
      <c r="A172" s="2">
        <f>IFERROR(__xludf.DUMMYFUNCTION("""COMPUTED_VALUE"""),44354.66666666667)</f>
        <v>44354.66667</v>
      </c>
      <c r="B172" s="1">
        <f>IFERROR(__xludf.DUMMYFUNCTION("""COMPUTED_VALUE"""),176.99)</f>
        <v>176.99</v>
      </c>
    </row>
    <row r="173">
      <c r="A173" s="2">
        <f>IFERROR(__xludf.DUMMYFUNCTION("""COMPUTED_VALUE"""),44355.66666666667)</f>
        <v>44355.66667</v>
      </c>
      <c r="B173" s="1">
        <f>IFERROR(__xludf.DUMMYFUNCTION("""COMPUTED_VALUE"""),176.33)</f>
        <v>176.33</v>
      </c>
    </row>
    <row r="174">
      <c r="A174" s="2">
        <f>IFERROR(__xludf.DUMMYFUNCTION("""COMPUTED_VALUE"""),44356.66666666667)</f>
        <v>44356.66667</v>
      </c>
      <c r="B174" s="1">
        <f>IFERROR(__xludf.DUMMYFUNCTION("""COMPUTED_VALUE"""),176.04)</f>
        <v>176.04</v>
      </c>
    </row>
    <row r="175">
      <c r="A175" s="2">
        <f>IFERROR(__xludf.DUMMYFUNCTION("""COMPUTED_VALUE"""),44357.66666666667)</f>
        <v>44357.66667</v>
      </c>
      <c r="B175" s="1">
        <f>IFERROR(__xludf.DUMMYFUNCTION("""COMPUTED_VALUE"""),176.57)</f>
        <v>176.57</v>
      </c>
    </row>
    <row r="176">
      <c r="A176" s="2">
        <f>IFERROR(__xludf.DUMMYFUNCTION("""COMPUTED_VALUE"""),44358.66666666667)</f>
        <v>44358.66667</v>
      </c>
      <c r="B176" s="1">
        <f>IFERROR(__xludf.DUMMYFUNCTION("""COMPUTED_VALUE"""),177.38)</f>
        <v>177.38</v>
      </c>
    </row>
    <row r="177">
      <c r="A177" s="2">
        <f>IFERROR(__xludf.DUMMYFUNCTION("""COMPUTED_VALUE"""),44361.66666666667)</f>
        <v>44361.66667</v>
      </c>
      <c r="B177" s="1">
        <f>IFERROR(__xludf.DUMMYFUNCTION("""COMPUTED_VALUE"""),178.18)</f>
        <v>178.18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IFERROR(__xludf.DUMMYFUNCTION("""COMPUTED_VALUE"""),175.86)</f>
        <v>175.86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IFERROR(__xludf.DUMMYFUNCTION("""COMPUTED_VALUE"""),174.66)</f>
        <v>174.66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IFERROR(__xludf.DUMMYFUNCTION("""COMPUTED_VALUE"""),174.65)</f>
        <v>174.65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IFERROR(__xludf.DUMMYFUNCTION("""COMPUTED_VALUE"""),172.42)</f>
        <v>172.42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IFERROR(__xludf.DUMMYFUNCTION("""COMPUTED_VALUE"""),173.97)</f>
        <v>173.97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IFERROR(__xludf.DUMMYFUNCTION("""COMPUTED_VALUE"""),173.5)</f>
        <v>173.5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IFERROR(__xludf.DUMMYFUNCTION("""COMPUTED_VALUE"""),175.33)</f>
        <v>175.33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IFERROR(__xludf.DUMMYFUNCTION("""COMPUTED_VALUE"""),177.93)</f>
        <v>177.93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IFERROR(__xludf.DUMMYFUNCTION("""COMPUTED_VALUE"""),178.35)</f>
        <v>178.35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IFERROR(__xludf.DUMMYFUNCTION("""COMPUTED_VALUE"""),176.57)</f>
        <v>176.57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IFERROR(__xludf.DUMMYFUNCTION("""COMPUTED_VALUE"""),173.93)</f>
        <v>173.93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IFERROR(__xludf.DUMMYFUNCTION("""COMPUTED_VALUE"""),175.77)</f>
        <v>175.77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IFERROR(__xludf.DUMMYFUNCTION("""COMPUTED_VALUE"""),177.26)</f>
        <v>177.26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IFERROR(__xludf.DUMMYFUNCTION("""COMPUTED_VALUE"""),177.11)</f>
        <v>177.11</v>
      </c>
    </row>
    <row r="192">
      <c r="A192" s="2">
        <f>IFERROR(__xludf.DUMMYFUNCTION("""COMPUTED_VALUE"""),44383.66666666667)</f>
        <v>44383.66667</v>
      </c>
      <c r="B192" s="1">
        <f>IFERROR(__xludf.DUMMYFUNCTION("""COMPUTED_VALUE"""),173.69)</f>
        <v>173.69</v>
      </c>
    </row>
    <row r="193">
      <c r="A193" s="2">
        <f>IFERROR(__xludf.DUMMYFUNCTION("""COMPUTED_VALUE"""),44384.66666666667)</f>
        <v>44384.66667</v>
      </c>
      <c r="B193" s="1">
        <f>IFERROR(__xludf.DUMMYFUNCTION("""COMPUTED_VALUE"""),172.82)</f>
        <v>172.82</v>
      </c>
    </row>
    <row r="194">
      <c r="A194" s="2">
        <f>IFERROR(__xludf.DUMMYFUNCTION("""COMPUTED_VALUE"""),44385.66666666667)</f>
        <v>44385.66667</v>
      </c>
      <c r="B194" s="1">
        <f>IFERROR(__xludf.DUMMYFUNCTION("""COMPUTED_VALUE"""),172.8)</f>
        <v>172.8</v>
      </c>
    </row>
    <row r="195">
      <c r="A195" s="2">
        <f>IFERROR(__xludf.DUMMYFUNCTION("""COMPUTED_VALUE"""),44386.66666666667)</f>
        <v>44386.66667</v>
      </c>
      <c r="B195" s="1">
        <f>IFERROR(__xludf.DUMMYFUNCTION("""COMPUTED_VALUE"""),177.04)</f>
        <v>177.04</v>
      </c>
    </row>
    <row r="196">
      <c r="A196" s="2">
        <f>IFERROR(__xludf.DUMMYFUNCTION("""COMPUTED_VALUE"""),44389.66666666667)</f>
        <v>44389.66667</v>
      </c>
      <c r="B196" s="1">
        <f>IFERROR(__xludf.DUMMYFUNCTION("""COMPUTED_VALUE"""),184.38)</f>
        <v>184.38</v>
      </c>
    </row>
    <row r="197">
      <c r="A197" s="2">
        <f>IFERROR(__xludf.DUMMYFUNCTION("""COMPUTED_VALUE"""),44390.66666666667)</f>
        <v>44390.66667</v>
      </c>
      <c r="B197" s="1">
        <f>IFERROR(__xludf.DUMMYFUNCTION("""COMPUTED_VALUE"""),183.65)</f>
        <v>183.65</v>
      </c>
    </row>
    <row r="198">
      <c r="A198" s="2">
        <f>IFERROR(__xludf.DUMMYFUNCTION("""COMPUTED_VALUE"""),44391.66666666667)</f>
        <v>44391.66667</v>
      </c>
      <c r="B198" s="1">
        <f>IFERROR(__xludf.DUMMYFUNCTION("""COMPUTED_VALUE"""),183.42)</f>
        <v>183.42</v>
      </c>
    </row>
    <row r="199">
      <c r="A199" s="2">
        <f>IFERROR(__xludf.DUMMYFUNCTION("""COMPUTED_VALUE"""),44392.66666666667)</f>
        <v>44392.66667</v>
      </c>
      <c r="B199" s="1">
        <f>IFERROR(__xludf.DUMMYFUNCTION("""COMPUTED_VALUE"""),184.15)</f>
        <v>184.15</v>
      </c>
    </row>
    <row r="200">
      <c r="A200" s="2">
        <f>IFERROR(__xludf.DUMMYFUNCTION("""COMPUTED_VALUE"""),44393.66666666667)</f>
        <v>44393.66667</v>
      </c>
      <c r="B200" s="1">
        <f>IFERROR(__xludf.DUMMYFUNCTION("""COMPUTED_VALUE"""),179.31)</f>
        <v>179.31</v>
      </c>
    </row>
    <row r="201">
      <c r="A201" s="2">
        <f>IFERROR(__xludf.DUMMYFUNCTION("""COMPUTED_VALUE"""),44396.66666666667)</f>
        <v>44396.66667</v>
      </c>
      <c r="B201" s="1">
        <f>IFERROR(__xludf.DUMMYFUNCTION("""COMPUTED_VALUE"""),172.95)</f>
        <v>172.95</v>
      </c>
    </row>
    <row r="202">
      <c r="A202" s="2">
        <f>IFERROR(__xludf.DUMMYFUNCTION("""COMPUTED_VALUE"""),44397.66666666667)</f>
        <v>44397.66667</v>
      </c>
      <c r="B202" s="1">
        <f>IFERROR(__xludf.DUMMYFUNCTION("""COMPUTED_VALUE"""),176.75)</f>
        <v>176.75</v>
      </c>
    </row>
    <row r="203">
      <c r="A203" s="2">
        <f>IFERROR(__xludf.DUMMYFUNCTION("""COMPUTED_VALUE"""),44398.66666666667)</f>
        <v>44398.66667</v>
      </c>
      <c r="B203" s="1">
        <f>IFERROR(__xludf.DUMMYFUNCTION("""COMPUTED_VALUE"""),176.89)</f>
        <v>176.89</v>
      </c>
    </row>
    <row r="204">
      <c r="A204" s="2">
        <f>IFERROR(__xludf.DUMMYFUNCTION("""COMPUTED_VALUE"""),44399.66666666667)</f>
        <v>44399.66667</v>
      </c>
      <c r="B204" s="1">
        <f>IFERROR(__xludf.DUMMYFUNCTION("""COMPUTED_VALUE"""),175.13)</f>
        <v>175.13</v>
      </c>
    </row>
    <row r="205">
      <c r="A205" s="2">
        <f>IFERROR(__xludf.DUMMYFUNCTION("""COMPUTED_VALUE"""),44400.66666666667)</f>
        <v>44400.66667</v>
      </c>
      <c r="B205" s="1">
        <f>IFERROR(__xludf.DUMMYFUNCTION("""COMPUTED_VALUE"""),176.14)</f>
        <v>176.14</v>
      </c>
    </row>
    <row r="206">
      <c r="A206" s="2">
        <f>IFERROR(__xludf.DUMMYFUNCTION("""COMPUTED_VALUE"""),44403.66666666667)</f>
        <v>44403.66667</v>
      </c>
      <c r="B206" s="1">
        <f>IFERROR(__xludf.DUMMYFUNCTION("""COMPUTED_VALUE"""),178.74)</f>
        <v>178.74</v>
      </c>
    </row>
    <row r="207">
      <c r="A207" s="2">
        <f>IFERROR(__xludf.DUMMYFUNCTION("""COMPUTED_VALUE"""),44404.66666666667)</f>
        <v>44404.66667</v>
      </c>
      <c r="B207" s="1">
        <f>IFERROR(__xludf.DUMMYFUNCTION("""COMPUTED_VALUE"""),179.5)</f>
        <v>179.5</v>
      </c>
    </row>
    <row r="208">
      <c r="A208" s="2">
        <f>IFERROR(__xludf.DUMMYFUNCTION("""COMPUTED_VALUE"""),44405.66666666667)</f>
        <v>44405.66667</v>
      </c>
      <c r="B208" s="1">
        <f>IFERROR(__xludf.DUMMYFUNCTION("""COMPUTED_VALUE"""),179.1)</f>
        <v>179.1</v>
      </c>
    </row>
    <row r="209">
      <c r="A209" s="2">
        <f>IFERROR(__xludf.DUMMYFUNCTION("""COMPUTED_VALUE"""),44406.66666666667)</f>
        <v>44406.66667</v>
      </c>
      <c r="B209" s="1">
        <f>IFERROR(__xludf.DUMMYFUNCTION("""COMPUTED_VALUE"""),178.35)</f>
        <v>178.35</v>
      </c>
    </row>
    <row r="210">
      <c r="A210" s="2">
        <f>IFERROR(__xludf.DUMMYFUNCTION("""COMPUTED_VALUE"""),44407.66666666667)</f>
        <v>44407.66667</v>
      </c>
      <c r="B210" s="1">
        <f>IFERROR(__xludf.DUMMYFUNCTION("""COMPUTED_VALUE"""),176.02)</f>
        <v>176.02</v>
      </c>
    </row>
    <row r="211">
      <c r="A211" s="2">
        <f>IFERROR(__xludf.DUMMYFUNCTION("""COMPUTED_VALUE"""),44410.66666666667)</f>
        <v>44410.66667</v>
      </c>
      <c r="B211" s="1">
        <f>IFERROR(__xludf.DUMMYFUNCTION("""COMPUTED_VALUE"""),175.55)</f>
        <v>175.55</v>
      </c>
    </row>
    <row r="212">
      <c r="A212" s="2">
        <f>IFERROR(__xludf.DUMMYFUNCTION("""COMPUTED_VALUE"""),44411.66666666667)</f>
        <v>44411.66667</v>
      </c>
      <c r="B212" s="1">
        <f>IFERROR(__xludf.DUMMYFUNCTION("""COMPUTED_VALUE"""),172.99)</f>
        <v>172.99</v>
      </c>
    </row>
    <row r="213">
      <c r="A213" s="2">
        <f>IFERROR(__xludf.DUMMYFUNCTION("""COMPUTED_VALUE"""),44412.66666666667)</f>
        <v>44412.66667</v>
      </c>
      <c r="B213" s="1">
        <f>IFERROR(__xludf.DUMMYFUNCTION("""COMPUTED_VALUE"""),172.58)</f>
        <v>172.58</v>
      </c>
    </row>
    <row r="214">
      <c r="A214" s="2">
        <f>IFERROR(__xludf.DUMMYFUNCTION("""COMPUTED_VALUE"""),44413.66666666667)</f>
        <v>44413.66667</v>
      </c>
      <c r="B214" s="1">
        <f>IFERROR(__xludf.DUMMYFUNCTION("""COMPUTED_VALUE"""),176.71)</f>
        <v>176.71</v>
      </c>
    </row>
    <row r="215">
      <c r="A215" s="2">
        <f>IFERROR(__xludf.DUMMYFUNCTION("""COMPUTED_VALUE"""),44414.66666666667)</f>
        <v>44414.66667</v>
      </c>
      <c r="B215" s="1">
        <f>IFERROR(__xludf.DUMMYFUNCTION("""COMPUTED_VALUE"""),177.13)</f>
        <v>177.13</v>
      </c>
    </row>
    <row r="216">
      <c r="A216" s="2">
        <f>IFERROR(__xludf.DUMMYFUNCTION("""COMPUTED_VALUE"""),44417.66666666667)</f>
        <v>44417.66667</v>
      </c>
      <c r="B216" s="1">
        <f>IFERROR(__xludf.DUMMYFUNCTION("""COMPUTED_VALUE"""),176.72)</f>
        <v>176.72</v>
      </c>
    </row>
    <row r="217">
      <c r="A217" s="2">
        <f>IFERROR(__xludf.DUMMYFUNCTION("""COMPUTED_VALUE"""),44418.66666666667)</f>
        <v>44418.66667</v>
      </c>
      <c r="B217" s="1">
        <f>IFERROR(__xludf.DUMMYFUNCTION("""COMPUTED_VALUE"""),177.07)</f>
        <v>177.07</v>
      </c>
    </row>
    <row r="218">
      <c r="A218" s="2">
        <f>IFERROR(__xludf.DUMMYFUNCTION("""COMPUTED_VALUE"""),44419.66666666667)</f>
        <v>44419.66667</v>
      </c>
      <c r="B218" s="1">
        <f>IFERROR(__xludf.DUMMYFUNCTION("""COMPUTED_VALUE"""),178.09)</f>
        <v>178.09</v>
      </c>
    </row>
    <row r="219">
      <c r="A219" s="2">
        <f>IFERROR(__xludf.DUMMYFUNCTION("""COMPUTED_VALUE"""),44420.66666666667)</f>
        <v>44420.66667</v>
      </c>
      <c r="B219" s="1">
        <f>IFERROR(__xludf.DUMMYFUNCTION("""COMPUTED_VALUE"""),179.29)</f>
        <v>179.29</v>
      </c>
    </row>
    <row r="220">
      <c r="A220" s="2">
        <f>IFERROR(__xludf.DUMMYFUNCTION("""COMPUTED_VALUE"""),44421.66666666667)</f>
        <v>44421.66667</v>
      </c>
      <c r="B220" s="1">
        <f>IFERROR(__xludf.DUMMYFUNCTION("""COMPUTED_VALUE"""),181.08)</f>
        <v>181.08</v>
      </c>
    </row>
    <row r="221">
      <c r="A221" s="2">
        <f>IFERROR(__xludf.DUMMYFUNCTION("""COMPUTED_VALUE"""),44424.66666666667)</f>
        <v>44424.66667</v>
      </c>
      <c r="B221" s="1">
        <f>IFERROR(__xludf.DUMMYFUNCTION("""COMPUTED_VALUE"""),179.09)</f>
        <v>179.09</v>
      </c>
    </row>
    <row r="222">
      <c r="A222" s="2">
        <f>IFERROR(__xludf.DUMMYFUNCTION("""COMPUTED_VALUE"""),44425.66666666667)</f>
        <v>44425.66667</v>
      </c>
      <c r="B222" s="1">
        <f>IFERROR(__xludf.DUMMYFUNCTION("""COMPUTED_VALUE"""),175.83)</f>
        <v>175.83</v>
      </c>
    </row>
    <row r="223">
      <c r="A223" s="2">
        <f>IFERROR(__xludf.DUMMYFUNCTION("""COMPUTED_VALUE"""),44426.66666666667)</f>
        <v>44426.66667</v>
      </c>
      <c r="B223" s="1">
        <f>IFERROR(__xludf.DUMMYFUNCTION("""COMPUTED_VALUE"""),174.74)</f>
        <v>174.74</v>
      </c>
    </row>
    <row r="224">
      <c r="A224" s="2">
        <f>IFERROR(__xludf.DUMMYFUNCTION("""COMPUTED_VALUE"""),44427.66666666667)</f>
        <v>44427.66667</v>
      </c>
      <c r="B224" s="1">
        <f>IFERROR(__xludf.DUMMYFUNCTION("""COMPUTED_VALUE"""),173.25)</f>
        <v>173.25</v>
      </c>
    </row>
    <row r="225">
      <c r="A225" s="2">
        <f>IFERROR(__xludf.DUMMYFUNCTION("""COMPUTED_VALUE"""),44428.66666666667)</f>
        <v>44428.66667</v>
      </c>
      <c r="B225" s="1">
        <f>IFERROR(__xludf.DUMMYFUNCTION("""COMPUTED_VALUE"""),175.12)</f>
        <v>175.12</v>
      </c>
    </row>
    <row r="226">
      <c r="A226" s="2">
        <f>IFERROR(__xludf.DUMMYFUNCTION("""COMPUTED_VALUE"""),44431.66666666667)</f>
        <v>44431.66667</v>
      </c>
      <c r="B226" s="1">
        <f>IFERROR(__xludf.DUMMYFUNCTION("""COMPUTED_VALUE"""),177.66)</f>
        <v>177.66</v>
      </c>
    </row>
    <row r="227">
      <c r="A227" s="2">
        <f>IFERROR(__xludf.DUMMYFUNCTION("""COMPUTED_VALUE"""),44432.66666666667)</f>
        <v>44432.66667</v>
      </c>
      <c r="B227" s="1">
        <f>IFERROR(__xludf.DUMMYFUNCTION("""COMPUTED_VALUE"""),178.47)</f>
        <v>178.47</v>
      </c>
    </row>
    <row r="228">
      <c r="A228" s="2">
        <f>IFERROR(__xludf.DUMMYFUNCTION("""COMPUTED_VALUE"""),44433.66666666667)</f>
        <v>44433.66667</v>
      </c>
      <c r="B228" s="1">
        <f>IFERROR(__xludf.DUMMYFUNCTION("""COMPUTED_VALUE"""),178.31)</f>
        <v>178.31</v>
      </c>
    </row>
    <row r="229">
      <c r="A229" s="2">
        <f>IFERROR(__xludf.DUMMYFUNCTION("""COMPUTED_VALUE"""),44434.66666666667)</f>
        <v>44434.66667</v>
      </c>
      <c r="B229" s="1">
        <f>IFERROR(__xludf.DUMMYFUNCTION("""COMPUTED_VALUE"""),176.56)</f>
        <v>176.56</v>
      </c>
    </row>
    <row r="230">
      <c r="A230" s="2">
        <f>IFERROR(__xludf.DUMMYFUNCTION("""COMPUTED_VALUE"""),44435.66666666667)</f>
        <v>44435.66667</v>
      </c>
      <c r="B230" s="1">
        <f>IFERROR(__xludf.DUMMYFUNCTION("""COMPUTED_VALUE"""),180.14)</f>
        <v>180.14</v>
      </c>
    </row>
    <row r="231">
      <c r="A231" s="2">
        <f>IFERROR(__xludf.DUMMYFUNCTION("""COMPUTED_VALUE"""),44438.66666666667)</f>
        <v>44438.66667</v>
      </c>
      <c r="B231" s="1">
        <f>IFERROR(__xludf.DUMMYFUNCTION("""COMPUTED_VALUE"""),179.98)</f>
        <v>179.98</v>
      </c>
    </row>
    <row r="232">
      <c r="A232" s="2">
        <f>IFERROR(__xludf.DUMMYFUNCTION("""COMPUTED_VALUE"""),44439.66666666667)</f>
        <v>44439.66667</v>
      </c>
      <c r="B232" s="1">
        <f>IFERROR(__xludf.DUMMYFUNCTION("""COMPUTED_VALUE"""),181.3)</f>
        <v>181.3</v>
      </c>
    </row>
    <row r="233">
      <c r="A233" s="2">
        <f>IFERROR(__xludf.DUMMYFUNCTION("""COMPUTED_VALUE"""),44440.66666666667)</f>
        <v>44440.66667</v>
      </c>
      <c r="B233" s="1">
        <f>IFERROR(__xludf.DUMMYFUNCTION("""COMPUTED_VALUE"""),183.48)</f>
        <v>183.48</v>
      </c>
    </row>
    <row r="234">
      <c r="A234" s="2">
        <f>IFERROR(__xludf.DUMMYFUNCTION("""COMPUTED_VALUE"""),44441.66666666667)</f>
        <v>44441.66667</v>
      </c>
      <c r="B234" s="1">
        <f>IFERROR(__xludf.DUMMYFUNCTION("""COMPUTED_VALUE"""),181.86)</f>
        <v>181.86</v>
      </c>
    </row>
    <row r="235">
      <c r="A235" s="2">
        <f>IFERROR(__xludf.DUMMYFUNCTION("""COMPUTED_VALUE"""),44442.66666666667)</f>
        <v>44442.66667</v>
      </c>
      <c r="B235" s="1">
        <f>IFERROR(__xludf.DUMMYFUNCTION("""COMPUTED_VALUE"""),181.0)</f>
        <v>181</v>
      </c>
    </row>
    <row r="236">
      <c r="A236" s="2">
        <f>IFERROR(__xludf.DUMMYFUNCTION("""COMPUTED_VALUE"""),44446.66666666667)</f>
        <v>44446.66667</v>
      </c>
      <c r="B236" s="1">
        <f>IFERROR(__xludf.DUMMYFUNCTION("""COMPUTED_VALUE"""),184.34)</f>
        <v>184.34</v>
      </c>
    </row>
    <row r="237">
      <c r="A237" s="2">
        <f>IFERROR(__xludf.DUMMYFUNCTION("""COMPUTED_VALUE"""),44447.66666666667)</f>
        <v>44447.66667</v>
      </c>
      <c r="B237" s="1">
        <f>IFERROR(__xludf.DUMMYFUNCTION("""COMPUTED_VALUE"""),185.15)</f>
        <v>185.15</v>
      </c>
    </row>
    <row r="238">
      <c r="A238" s="2">
        <f>IFERROR(__xludf.DUMMYFUNCTION("""COMPUTED_VALUE"""),44448.66666666667)</f>
        <v>44448.66667</v>
      </c>
      <c r="B238" s="1">
        <f>IFERROR(__xludf.DUMMYFUNCTION("""COMPUTED_VALUE"""),185.91)</f>
        <v>185.91</v>
      </c>
    </row>
    <row r="239">
      <c r="A239" s="2">
        <f>IFERROR(__xludf.DUMMYFUNCTION("""COMPUTED_VALUE"""),44449.66666666667)</f>
        <v>44449.66667</v>
      </c>
      <c r="B239" s="1">
        <f>IFERROR(__xludf.DUMMYFUNCTION("""COMPUTED_VALUE"""),184.12)</f>
        <v>184.12</v>
      </c>
    </row>
    <row r="240">
      <c r="A240" s="2">
        <f>IFERROR(__xludf.DUMMYFUNCTION("""COMPUTED_VALUE"""),44452.66666666667)</f>
        <v>44452.66667</v>
      </c>
      <c r="B240" s="1">
        <f>IFERROR(__xludf.DUMMYFUNCTION("""COMPUTED_VALUE"""),184.98)</f>
        <v>184.98</v>
      </c>
    </row>
    <row r="241">
      <c r="A241" s="2">
        <f>IFERROR(__xludf.DUMMYFUNCTION("""COMPUTED_VALUE"""),44453.66666666667)</f>
        <v>44453.66667</v>
      </c>
      <c r="B241" s="1">
        <f>IFERROR(__xludf.DUMMYFUNCTION("""COMPUTED_VALUE"""),182.4)</f>
        <v>182.4</v>
      </c>
    </row>
    <row r="242">
      <c r="A242" s="2">
        <f>IFERROR(__xludf.DUMMYFUNCTION("""COMPUTED_VALUE"""),44454.66666666667)</f>
        <v>44454.66667</v>
      </c>
      <c r="B242" s="1">
        <f>IFERROR(__xludf.DUMMYFUNCTION("""COMPUTED_VALUE"""),184.41)</f>
        <v>184.41</v>
      </c>
    </row>
    <row r="243">
      <c r="A243" s="2">
        <f>IFERROR(__xludf.DUMMYFUNCTION("""COMPUTED_VALUE"""),44455.66666666667)</f>
        <v>44455.66667</v>
      </c>
      <c r="B243" s="1">
        <f>IFERROR(__xludf.DUMMYFUNCTION("""COMPUTED_VALUE"""),183.34)</f>
        <v>183.34</v>
      </c>
    </row>
    <row r="244">
      <c r="A244" s="2">
        <f>IFERROR(__xludf.DUMMYFUNCTION("""COMPUTED_VALUE"""),44456.66666666667)</f>
        <v>44456.66667</v>
      </c>
      <c r="B244" s="1">
        <f>IFERROR(__xludf.DUMMYFUNCTION("""COMPUTED_VALUE"""),183.47)</f>
        <v>183.47</v>
      </c>
    </row>
    <row r="245">
      <c r="A245" s="2">
        <f>IFERROR(__xludf.DUMMYFUNCTION("""COMPUTED_VALUE"""),44459.66666666667)</f>
        <v>44459.66667</v>
      </c>
      <c r="B245" s="1">
        <f>IFERROR(__xludf.DUMMYFUNCTION("""COMPUTED_VALUE"""),178.61)</f>
        <v>178.61</v>
      </c>
    </row>
    <row r="246">
      <c r="A246" s="2">
        <f>IFERROR(__xludf.DUMMYFUNCTION("""COMPUTED_VALUE"""),44460.66666666667)</f>
        <v>44460.66667</v>
      </c>
      <c r="B246" s="1">
        <f>IFERROR(__xludf.DUMMYFUNCTION("""COMPUTED_VALUE"""),171.17)</f>
        <v>171.17</v>
      </c>
    </row>
    <row r="247">
      <c r="A247" s="2">
        <f>IFERROR(__xludf.DUMMYFUNCTION("""COMPUTED_VALUE"""),44461.66666666667)</f>
        <v>44461.66667</v>
      </c>
      <c r="B247" s="1">
        <f>IFERROR(__xludf.DUMMYFUNCTION("""COMPUTED_VALUE"""),173.65)</f>
        <v>173.65</v>
      </c>
    </row>
    <row r="248">
      <c r="A248" s="2">
        <f>IFERROR(__xludf.DUMMYFUNCTION("""COMPUTED_VALUE"""),44462.66666666667)</f>
        <v>44462.66667</v>
      </c>
      <c r="B248" s="1">
        <f>IFERROR(__xludf.DUMMYFUNCTION("""COMPUTED_VALUE"""),176.25)</f>
        <v>176.25</v>
      </c>
    </row>
    <row r="249">
      <c r="A249" s="2">
        <f>IFERROR(__xludf.DUMMYFUNCTION("""COMPUTED_VALUE"""),44463.66666666667)</f>
        <v>44463.66667</v>
      </c>
      <c r="B249" s="1">
        <f>IFERROR(__xludf.DUMMYFUNCTION("""COMPUTED_VALUE"""),176.0)</f>
        <v>176</v>
      </c>
    </row>
    <row r="250">
      <c r="A250" s="2">
        <f>IFERROR(__xludf.DUMMYFUNCTION("""COMPUTED_VALUE"""),44466.66666666667)</f>
        <v>44466.66667</v>
      </c>
      <c r="B250" s="1">
        <f>IFERROR(__xludf.DUMMYFUNCTION("""COMPUTED_VALUE"""),178.26)</f>
        <v>178.26</v>
      </c>
    </row>
    <row r="251">
      <c r="A251" s="2">
        <f>IFERROR(__xludf.DUMMYFUNCTION("""COMPUTED_VALUE"""),44467.66666666667)</f>
        <v>44467.66667</v>
      </c>
      <c r="B251" s="1">
        <f>IFERROR(__xludf.DUMMYFUNCTION("""COMPUTED_VALUE"""),174.52)</f>
        <v>174.52</v>
      </c>
    </row>
    <row r="252">
      <c r="A252" s="2">
        <f>IFERROR(__xludf.DUMMYFUNCTION("""COMPUTED_VALUE"""),44468.66666666667)</f>
        <v>44468.66667</v>
      </c>
      <c r="B252" s="1">
        <f>IFERROR(__xludf.DUMMYFUNCTION("""COMPUTED_VALUE"""),172.68)</f>
        <v>172.68</v>
      </c>
    </row>
    <row r="253">
      <c r="A253" s="2">
        <f>IFERROR(__xludf.DUMMYFUNCTION("""COMPUTED_VALUE"""),44469.66666666667)</f>
        <v>44469.66667</v>
      </c>
      <c r="B253" s="1">
        <f>IFERROR(__xludf.DUMMYFUNCTION("""COMPUTED_VALUE"""),169.17)</f>
        <v>169.17</v>
      </c>
    </row>
    <row r="254">
      <c r="A254" s="2">
        <f>IFERROR(__xludf.DUMMYFUNCTION("""COMPUTED_VALUE"""),44470.66666666667)</f>
        <v>44470.66667</v>
      </c>
      <c r="B254" s="1">
        <f>IFERROR(__xludf.DUMMYFUNCTION("""COMPUTED_VALUE"""),176.01)</f>
        <v>176.01</v>
      </c>
    </row>
    <row r="255">
      <c r="A255" s="2">
        <f>IFERROR(__xludf.DUMMYFUNCTION("""COMPUTED_VALUE"""),44473.66666666667)</f>
        <v>44473.66667</v>
      </c>
      <c r="B255" s="1">
        <f>IFERROR(__xludf.DUMMYFUNCTION("""COMPUTED_VALUE"""),173.46)</f>
        <v>173.46</v>
      </c>
    </row>
    <row r="256">
      <c r="A256" s="2">
        <f>IFERROR(__xludf.DUMMYFUNCTION("""COMPUTED_VALUE"""),44474.66666666667)</f>
        <v>44474.66667</v>
      </c>
      <c r="B256" s="1">
        <f>IFERROR(__xludf.DUMMYFUNCTION("""COMPUTED_VALUE"""),174.61)</f>
        <v>174.61</v>
      </c>
    </row>
    <row r="257">
      <c r="A257" s="2">
        <f>IFERROR(__xludf.DUMMYFUNCTION("""COMPUTED_VALUE"""),44475.66666666667)</f>
        <v>44475.66667</v>
      </c>
      <c r="B257" s="1">
        <f>IFERROR(__xludf.DUMMYFUNCTION("""COMPUTED_VALUE"""),175.48)</f>
        <v>175.48</v>
      </c>
    </row>
    <row r="258">
      <c r="A258" s="2">
        <f>IFERROR(__xludf.DUMMYFUNCTION("""COMPUTED_VALUE"""),44476.66666666667)</f>
        <v>44476.66667</v>
      </c>
      <c r="B258" s="1">
        <f>IFERROR(__xludf.DUMMYFUNCTION("""COMPUTED_VALUE"""),177.71)</f>
        <v>177.71</v>
      </c>
    </row>
    <row r="259">
      <c r="A259" s="2">
        <f>IFERROR(__xludf.DUMMYFUNCTION("""COMPUTED_VALUE"""),44477.66666666667)</f>
        <v>44477.66667</v>
      </c>
      <c r="B259" s="1">
        <f>IFERROR(__xludf.DUMMYFUNCTION("""COMPUTED_VALUE"""),176.74)</f>
        <v>176.74</v>
      </c>
    </row>
    <row r="260">
      <c r="A260" s="2">
        <f>IFERROR(__xludf.DUMMYFUNCTION("""COMPUTED_VALUE"""),44480.66666666667)</f>
        <v>44480.66667</v>
      </c>
      <c r="B260" s="1">
        <f>IFERROR(__xludf.DUMMYFUNCTION("""COMPUTED_VALUE"""),173.52)</f>
        <v>173.52</v>
      </c>
    </row>
    <row r="261">
      <c r="A261" s="2">
        <f>IFERROR(__xludf.DUMMYFUNCTION("""COMPUTED_VALUE"""),44481.66666666667)</f>
        <v>44481.66667</v>
      </c>
      <c r="B261" s="1">
        <f>IFERROR(__xludf.DUMMYFUNCTION("""COMPUTED_VALUE"""),173.13)</f>
        <v>173.13</v>
      </c>
    </row>
    <row r="262">
      <c r="A262" s="2">
        <f>IFERROR(__xludf.DUMMYFUNCTION("""COMPUTED_VALUE"""),44482.66666666667)</f>
        <v>44482.66667</v>
      </c>
      <c r="B262" s="1">
        <f>IFERROR(__xludf.DUMMYFUNCTION("""COMPUTED_VALUE"""),172.96)</f>
        <v>172.96</v>
      </c>
    </row>
    <row r="263">
      <c r="A263" s="2">
        <f>IFERROR(__xludf.DUMMYFUNCTION("""COMPUTED_VALUE"""),44483.66666666667)</f>
        <v>44483.66667</v>
      </c>
      <c r="B263" s="1">
        <f>IFERROR(__xludf.DUMMYFUNCTION("""COMPUTED_VALUE"""),174.41)</f>
        <v>174.41</v>
      </c>
    </row>
    <row r="264">
      <c r="A264" s="2">
        <f>IFERROR(__xludf.DUMMYFUNCTION("""COMPUTED_VALUE"""),44484.66666666667)</f>
        <v>44484.66667</v>
      </c>
      <c r="B264" s="1">
        <f>IFERROR(__xludf.DUMMYFUNCTION("""COMPUTED_VALUE"""),176.46)</f>
        <v>176.46</v>
      </c>
    </row>
    <row r="265">
      <c r="A265" s="2">
        <f>IFERROR(__xludf.DUMMYFUNCTION("""COMPUTED_VALUE"""),44487.66666666667)</f>
        <v>44487.66667</v>
      </c>
      <c r="B265" s="1">
        <f>IFERROR(__xludf.DUMMYFUNCTION("""COMPUTED_VALUE"""),171.14)</f>
        <v>171.14</v>
      </c>
    </row>
    <row r="266">
      <c r="A266" s="2">
        <f>IFERROR(__xludf.DUMMYFUNCTION("""COMPUTED_VALUE"""),44488.66666666667)</f>
        <v>44488.66667</v>
      </c>
      <c r="B266" s="1">
        <f>IFERROR(__xludf.DUMMYFUNCTION("""COMPUTED_VALUE"""),171.18)</f>
        <v>171.18</v>
      </c>
    </row>
    <row r="267">
      <c r="A267" s="2">
        <f>IFERROR(__xludf.DUMMYFUNCTION("""COMPUTED_VALUE"""),44489.66666666667)</f>
        <v>44489.66667</v>
      </c>
      <c r="B267" s="1">
        <f>IFERROR(__xludf.DUMMYFUNCTION("""COMPUTED_VALUE"""),170.55)</f>
        <v>170.55</v>
      </c>
    </row>
    <row r="268">
      <c r="A268" s="2">
        <f>IFERROR(__xludf.DUMMYFUNCTION("""COMPUTED_VALUE"""),44490.66666666667)</f>
        <v>44490.66667</v>
      </c>
      <c r="B268" s="1">
        <f>IFERROR(__xludf.DUMMYFUNCTION("""COMPUTED_VALUE"""),171.34)</f>
        <v>171.34</v>
      </c>
    </row>
    <row r="269">
      <c r="A269" s="2">
        <f>IFERROR(__xludf.DUMMYFUNCTION("""COMPUTED_VALUE"""),44491.66666666667)</f>
        <v>44491.66667</v>
      </c>
      <c r="B269" s="1">
        <f>IFERROR(__xludf.DUMMYFUNCTION("""COMPUTED_VALUE"""),169.42)</f>
        <v>169.42</v>
      </c>
    </row>
    <row r="270">
      <c r="A270" s="2">
        <f>IFERROR(__xludf.DUMMYFUNCTION("""COMPUTED_VALUE"""),44494.66666666667)</f>
        <v>44494.66667</v>
      </c>
      <c r="B270" s="1">
        <f>IFERROR(__xludf.DUMMYFUNCTION("""COMPUTED_VALUE"""),172.01)</f>
        <v>172.01</v>
      </c>
    </row>
    <row r="271">
      <c r="A271" s="2">
        <f>IFERROR(__xludf.DUMMYFUNCTION("""COMPUTED_VALUE"""),44495.66666666667)</f>
        <v>44495.66667</v>
      </c>
      <c r="B271" s="1">
        <f>IFERROR(__xludf.DUMMYFUNCTION("""COMPUTED_VALUE"""),172.04)</f>
        <v>172.04</v>
      </c>
    </row>
    <row r="272">
      <c r="A272" s="2">
        <f>IFERROR(__xludf.DUMMYFUNCTION("""COMPUTED_VALUE"""),44496.66666666667)</f>
        <v>44496.66667</v>
      </c>
      <c r="B272" s="1">
        <f>IFERROR(__xludf.DUMMYFUNCTION("""COMPUTED_VALUE"""),169.55)</f>
        <v>169.55</v>
      </c>
    </row>
    <row r="273">
      <c r="A273" s="2">
        <f>IFERROR(__xludf.DUMMYFUNCTION("""COMPUTED_VALUE"""),44497.66666666667)</f>
        <v>44497.66667</v>
      </c>
      <c r="B273" s="1">
        <f>IFERROR(__xludf.DUMMYFUNCTION("""COMPUTED_VALUE"""),169.68)</f>
        <v>169.68</v>
      </c>
    </row>
    <row r="274">
      <c r="A274" s="2">
        <f>IFERROR(__xludf.DUMMYFUNCTION("""COMPUTED_VALUE"""),44498.66666666667)</f>
        <v>44498.66667</v>
      </c>
      <c r="B274" s="1">
        <f>IFERROR(__xludf.DUMMYFUNCTION("""COMPUTED_VALUE"""),169.07)</f>
        <v>169.07</v>
      </c>
    </row>
    <row r="275">
      <c r="A275" s="2">
        <f>IFERROR(__xludf.DUMMYFUNCTION("""COMPUTED_VALUE"""),44501.66666666667)</f>
        <v>44501.66667</v>
      </c>
      <c r="B275" s="1">
        <f>IFERROR(__xludf.DUMMYFUNCTION("""COMPUTED_VALUE"""),170.19)</f>
        <v>170.19</v>
      </c>
    </row>
    <row r="276">
      <c r="A276" s="2">
        <f>IFERROR(__xludf.DUMMYFUNCTION("""COMPUTED_VALUE"""),44502.66666666667)</f>
        <v>44502.66667</v>
      </c>
      <c r="B276" s="1">
        <f>IFERROR(__xludf.DUMMYFUNCTION("""COMPUTED_VALUE"""),169.83)</f>
        <v>169.83</v>
      </c>
    </row>
    <row r="277">
      <c r="A277" s="2">
        <f>IFERROR(__xludf.DUMMYFUNCTION("""COMPUTED_VALUE"""),44503.66666666667)</f>
        <v>44503.66667</v>
      </c>
      <c r="B277" s="1">
        <f>IFERROR(__xludf.DUMMYFUNCTION("""COMPUTED_VALUE"""),170.08)</f>
        <v>170.08</v>
      </c>
    </row>
    <row r="278">
      <c r="A278" s="2">
        <f>IFERROR(__xludf.DUMMYFUNCTION("""COMPUTED_VALUE"""),44504.66666666667)</f>
        <v>44504.66667</v>
      </c>
      <c r="B278" s="1">
        <f>IFERROR(__xludf.DUMMYFUNCTION("""COMPUTED_VALUE"""),170.28)</f>
        <v>170.28</v>
      </c>
    </row>
    <row r="279">
      <c r="A279" s="2">
        <f>IFERROR(__xludf.DUMMYFUNCTION("""COMPUTED_VALUE"""),44505.66666666667)</f>
        <v>44505.66667</v>
      </c>
      <c r="B279" s="1">
        <f>IFERROR(__xludf.DUMMYFUNCTION("""COMPUTED_VALUE"""),175.63)</f>
        <v>175.63</v>
      </c>
    </row>
    <row r="280">
      <c r="A280" s="2">
        <f>IFERROR(__xludf.DUMMYFUNCTION("""COMPUTED_VALUE"""),44508.66666666667)</f>
        <v>44508.66667</v>
      </c>
      <c r="B280" s="1">
        <f>IFERROR(__xludf.DUMMYFUNCTION("""COMPUTED_VALUE"""),176.87)</f>
        <v>176.87</v>
      </c>
    </row>
    <row r="281">
      <c r="A281" s="2">
        <f>IFERROR(__xludf.DUMMYFUNCTION("""COMPUTED_VALUE"""),44509.66666666667)</f>
        <v>44509.66667</v>
      </c>
      <c r="B281" s="1">
        <f>IFERROR(__xludf.DUMMYFUNCTION("""COMPUTED_VALUE"""),175.11)</f>
        <v>175.11</v>
      </c>
    </row>
    <row r="282">
      <c r="A282" s="2">
        <f>IFERROR(__xludf.DUMMYFUNCTION("""COMPUTED_VALUE"""),44510.66666666667)</f>
        <v>44510.66667</v>
      </c>
      <c r="B282" s="1">
        <f>IFERROR(__xludf.DUMMYFUNCTION("""COMPUTED_VALUE"""),174.45)</f>
        <v>174.45</v>
      </c>
    </row>
    <row r="283">
      <c r="A283" s="2">
        <f>IFERROR(__xludf.DUMMYFUNCTION("""COMPUTED_VALUE"""),44511.66666666667)</f>
        <v>44511.66667</v>
      </c>
      <c r="B283" s="1">
        <f>IFERROR(__xludf.DUMMYFUNCTION("""COMPUTED_VALUE"""),162.11)</f>
        <v>162.11</v>
      </c>
    </row>
    <row r="284">
      <c r="A284" s="2">
        <f>IFERROR(__xludf.DUMMYFUNCTION("""COMPUTED_VALUE"""),44512.66666666667)</f>
        <v>44512.66667</v>
      </c>
      <c r="B284" s="1">
        <f>IFERROR(__xludf.DUMMYFUNCTION("""COMPUTED_VALUE"""),159.63)</f>
        <v>159.63</v>
      </c>
    </row>
    <row r="285">
      <c r="A285" s="2">
        <f>IFERROR(__xludf.DUMMYFUNCTION("""COMPUTED_VALUE"""),44515.66666666667)</f>
        <v>44515.66667</v>
      </c>
      <c r="B285" s="1">
        <f>IFERROR(__xludf.DUMMYFUNCTION("""COMPUTED_VALUE"""),158.43)</f>
        <v>158.43</v>
      </c>
    </row>
    <row r="286">
      <c r="A286" s="2">
        <f>IFERROR(__xludf.DUMMYFUNCTION("""COMPUTED_VALUE"""),44516.66666666667)</f>
        <v>44516.66667</v>
      </c>
      <c r="B286" s="1">
        <f>IFERROR(__xludf.DUMMYFUNCTION("""COMPUTED_VALUE"""),158.83)</f>
        <v>158.83</v>
      </c>
    </row>
    <row r="287">
      <c r="A287" s="2">
        <f>IFERROR(__xludf.DUMMYFUNCTION("""COMPUTED_VALUE"""),44517.66666666667)</f>
        <v>44517.66667</v>
      </c>
      <c r="B287" s="1">
        <f>IFERROR(__xludf.DUMMYFUNCTION("""COMPUTED_VALUE"""),157.33)</f>
        <v>157.33</v>
      </c>
    </row>
    <row r="288">
      <c r="A288" s="2">
        <f>IFERROR(__xludf.DUMMYFUNCTION("""COMPUTED_VALUE"""),44518.66666666667)</f>
        <v>44518.66667</v>
      </c>
      <c r="B288" s="1">
        <f>IFERROR(__xludf.DUMMYFUNCTION("""COMPUTED_VALUE"""),155.58)</f>
        <v>155.58</v>
      </c>
    </row>
    <row r="289">
      <c r="A289" s="2">
        <f>IFERROR(__xludf.DUMMYFUNCTION("""COMPUTED_VALUE"""),44519.66666666667)</f>
        <v>44519.66667</v>
      </c>
      <c r="B289" s="1">
        <f>IFERROR(__xludf.DUMMYFUNCTION("""COMPUTED_VALUE"""),154.0)</f>
        <v>154</v>
      </c>
    </row>
    <row r="290">
      <c r="A290" s="2">
        <f>IFERROR(__xludf.DUMMYFUNCTION("""COMPUTED_VALUE"""),44522.66666666667)</f>
        <v>44522.66667</v>
      </c>
      <c r="B290" s="1">
        <f>IFERROR(__xludf.DUMMYFUNCTION("""COMPUTED_VALUE"""),154.16)</f>
        <v>154.16</v>
      </c>
    </row>
    <row r="291">
      <c r="A291" s="2">
        <f>IFERROR(__xludf.DUMMYFUNCTION("""COMPUTED_VALUE"""),44523.66666666667)</f>
        <v>44523.66667</v>
      </c>
      <c r="B291" s="1">
        <f>IFERROR(__xludf.DUMMYFUNCTION("""COMPUTED_VALUE"""),151.03)</f>
        <v>151.03</v>
      </c>
    </row>
    <row r="292">
      <c r="A292" s="2">
        <f>IFERROR(__xludf.DUMMYFUNCTION("""COMPUTED_VALUE"""),44524.66666666667)</f>
        <v>44524.66667</v>
      </c>
      <c r="B292" s="1">
        <f>IFERROR(__xludf.DUMMYFUNCTION("""COMPUTED_VALUE"""),151.34)</f>
        <v>151.34</v>
      </c>
    </row>
    <row r="293">
      <c r="A293" s="2">
        <f>IFERROR(__xludf.DUMMYFUNCTION("""COMPUTED_VALUE"""),44526.54166666667)</f>
        <v>44526.54167</v>
      </c>
      <c r="B293" s="1">
        <f>IFERROR(__xludf.DUMMYFUNCTION("""COMPUTED_VALUE"""),148.11)</f>
        <v>148.11</v>
      </c>
    </row>
    <row r="294">
      <c r="A294" s="2">
        <f>IFERROR(__xludf.DUMMYFUNCTION("""COMPUTED_VALUE"""),44529.66666666667)</f>
        <v>44529.66667</v>
      </c>
      <c r="B294" s="1">
        <f>IFERROR(__xludf.DUMMYFUNCTION("""COMPUTED_VALUE"""),147.81)</f>
        <v>147.81</v>
      </c>
    </row>
    <row r="295">
      <c r="A295" s="2">
        <f>IFERROR(__xludf.DUMMYFUNCTION("""COMPUTED_VALUE"""),44530.66666666667)</f>
        <v>44530.66667</v>
      </c>
      <c r="B295" s="1">
        <f>IFERROR(__xludf.DUMMYFUNCTION("""COMPUTED_VALUE"""),144.9)</f>
        <v>144.9</v>
      </c>
    </row>
    <row r="296">
      <c r="A296" s="2">
        <f>IFERROR(__xludf.DUMMYFUNCTION("""COMPUTED_VALUE"""),44531.66666666667)</f>
        <v>44531.66667</v>
      </c>
      <c r="B296" s="1">
        <f>IFERROR(__xludf.DUMMYFUNCTION("""COMPUTED_VALUE"""),142.15)</f>
        <v>142.15</v>
      </c>
    </row>
    <row r="297">
      <c r="A297" s="2">
        <f>IFERROR(__xludf.DUMMYFUNCTION("""COMPUTED_VALUE"""),44532.66666666667)</f>
        <v>44532.66667</v>
      </c>
      <c r="B297" s="1">
        <f>IFERROR(__xludf.DUMMYFUNCTION("""COMPUTED_VALUE"""),147.2)</f>
        <v>147.2</v>
      </c>
    </row>
    <row r="298">
      <c r="A298" s="2">
        <f>IFERROR(__xludf.DUMMYFUNCTION("""COMPUTED_VALUE"""),44533.66666666667)</f>
        <v>44533.66667</v>
      </c>
      <c r="B298" s="1">
        <f>IFERROR(__xludf.DUMMYFUNCTION("""COMPUTED_VALUE"""),146.22)</f>
        <v>146.22</v>
      </c>
    </row>
    <row r="299">
      <c r="A299" s="2">
        <f>IFERROR(__xludf.DUMMYFUNCTION("""COMPUTED_VALUE"""),44536.66666666667)</f>
        <v>44536.66667</v>
      </c>
      <c r="B299" s="1">
        <f>IFERROR(__xludf.DUMMYFUNCTION("""COMPUTED_VALUE"""),150.37)</f>
        <v>150.37</v>
      </c>
    </row>
    <row r="300">
      <c r="A300" s="2">
        <f>IFERROR(__xludf.DUMMYFUNCTION("""COMPUTED_VALUE"""),44537.66666666667)</f>
        <v>44537.66667</v>
      </c>
      <c r="B300" s="1">
        <f>IFERROR(__xludf.DUMMYFUNCTION("""COMPUTED_VALUE"""),150.81)</f>
        <v>150.81</v>
      </c>
    </row>
    <row r="301">
      <c r="A301" s="2">
        <f>IFERROR(__xludf.DUMMYFUNCTION("""COMPUTED_VALUE"""),44538.66666666667)</f>
        <v>44538.66667</v>
      </c>
      <c r="B301" s="1">
        <f>IFERROR(__xludf.DUMMYFUNCTION("""COMPUTED_VALUE"""),153.34)</f>
        <v>153.34</v>
      </c>
    </row>
    <row r="302">
      <c r="A302" s="2">
        <f>IFERROR(__xludf.DUMMYFUNCTION("""COMPUTED_VALUE"""),44539.66666666667)</f>
        <v>44539.66667</v>
      </c>
      <c r="B302" s="1">
        <f>IFERROR(__xludf.DUMMYFUNCTION("""COMPUTED_VALUE"""),152.94)</f>
        <v>152.94</v>
      </c>
    </row>
    <row r="303">
      <c r="A303" s="2">
        <f>IFERROR(__xludf.DUMMYFUNCTION("""COMPUTED_VALUE"""),44540.66666666667)</f>
        <v>44540.66667</v>
      </c>
      <c r="B303" s="1">
        <f>IFERROR(__xludf.DUMMYFUNCTION("""COMPUTED_VALUE"""),152.71)</f>
        <v>152.71</v>
      </c>
    </row>
    <row r="304">
      <c r="A304" s="2">
        <f>IFERROR(__xludf.DUMMYFUNCTION("""COMPUTED_VALUE"""),44543.66666666667)</f>
        <v>44543.66667</v>
      </c>
      <c r="B304" s="1">
        <f>IFERROR(__xludf.DUMMYFUNCTION("""COMPUTED_VALUE"""),150.43)</f>
        <v>150.43</v>
      </c>
    </row>
    <row r="305">
      <c r="A305" s="2">
        <f>IFERROR(__xludf.DUMMYFUNCTION("""COMPUTED_VALUE"""),44544.66666666667)</f>
        <v>44544.66667</v>
      </c>
      <c r="B305" s="1">
        <f>IFERROR(__xludf.DUMMYFUNCTION("""COMPUTED_VALUE"""),149.1)</f>
        <v>149.1</v>
      </c>
    </row>
    <row r="306">
      <c r="A306" s="2">
        <f>IFERROR(__xludf.DUMMYFUNCTION("""COMPUTED_VALUE"""),44545.66666666667)</f>
        <v>44545.66667</v>
      </c>
      <c r="B306" s="1">
        <f>IFERROR(__xludf.DUMMYFUNCTION("""COMPUTED_VALUE"""),150.4)</f>
        <v>150.4</v>
      </c>
    </row>
    <row r="307">
      <c r="A307" s="2">
        <f>IFERROR(__xludf.DUMMYFUNCTION("""COMPUTED_VALUE"""),44546.66666666667)</f>
        <v>44546.66667</v>
      </c>
      <c r="B307" s="1">
        <f>IFERROR(__xludf.DUMMYFUNCTION("""COMPUTED_VALUE"""),148.75)</f>
        <v>148.75</v>
      </c>
    </row>
    <row r="308">
      <c r="A308" s="2">
        <f>IFERROR(__xludf.DUMMYFUNCTION("""COMPUTED_VALUE"""),44547.66666666667)</f>
        <v>44547.66667</v>
      </c>
      <c r="B308" s="1">
        <f>IFERROR(__xludf.DUMMYFUNCTION("""COMPUTED_VALUE"""),148.76)</f>
        <v>148.76</v>
      </c>
    </row>
    <row r="309">
      <c r="A309" s="2">
        <f>IFERROR(__xludf.DUMMYFUNCTION("""COMPUTED_VALUE"""),44550.66666666667)</f>
        <v>44550.66667</v>
      </c>
      <c r="B309" s="1">
        <f>IFERROR(__xludf.DUMMYFUNCTION("""COMPUTED_VALUE"""),146.47)</f>
        <v>146.47</v>
      </c>
    </row>
    <row r="310">
      <c r="A310" s="2">
        <f>IFERROR(__xludf.DUMMYFUNCTION("""COMPUTED_VALUE"""),44551.66666666667)</f>
        <v>44551.66667</v>
      </c>
      <c r="B310" s="1">
        <f>IFERROR(__xludf.DUMMYFUNCTION("""COMPUTED_VALUE"""),151.05)</f>
        <v>151.05</v>
      </c>
    </row>
    <row r="311">
      <c r="A311" s="2">
        <f>IFERROR(__xludf.DUMMYFUNCTION("""COMPUTED_VALUE"""),44552.66666666667)</f>
        <v>44552.66667</v>
      </c>
      <c r="B311" s="1">
        <f>IFERROR(__xludf.DUMMYFUNCTION("""COMPUTED_VALUE"""),151.88)</f>
        <v>151.88</v>
      </c>
    </row>
    <row r="312">
      <c r="A312" s="2">
        <f>IFERROR(__xludf.DUMMYFUNCTION("""COMPUTED_VALUE"""),44553.66666666667)</f>
        <v>44553.66667</v>
      </c>
      <c r="B312" s="1">
        <f>IFERROR(__xludf.DUMMYFUNCTION("""COMPUTED_VALUE"""),153.63)</f>
        <v>153.63</v>
      </c>
    </row>
    <row r="313">
      <c r="A313" s="2">
        <f>IFERROR(__xludf.DUMMYFUNCTION("""COMPUTED_VALUE"""),44557.66666666667)</f>
        <v>44557.66667</v>
      </c>
      <c r="B313" s="1">
        <f>IFERROR(__xludf.DUMMYFUNCTION("""COMPUTED_VALUE"""),152.8)</f>
        <v>152.8</v>
      </c>
    </row>
    <row r="314">
      <c r="A314" s="2">
        <f>IFERROR(__xludf.DUMMYFUNCTION("""COMPUTED_VALUE"""),44558.66666666667)</f>
        <v>44558.66667</v>
      </c>
      <c r="B314" s="1">
        <f>IFERROR(__xludf.DUMMYFUNCTION("""COMPUTED_VALUE"""),155.2)</f>
        <v>155.2</v>
      </c>
    </row>
    <row r="315">
      <c r="A315" s="2">
        <f>IFERROR(__xludf.DUMMYFUNCTION("""COMPUTED_VALUE"""),44559.66666666667)</f>
        <v>44559.66667</v>
      </c>
      <c r="B315" s="1">
        <f>IFERROR(__xludf.DUMMYFUNCTION("""COMPUTED_VALUE"""),154.87)</f>
        <v>154.87</v>
      </c>
    </row>
    <row r="316">
      <c r="A316" s="2">
        <f>IFERROR(__xludf.DUMMYFUNCTION("""COMPUTED_VALUE"""),44560.66666666667)</f>
        <v>44560.66667</v>
      </c>
      <c r="B316" s="1">
        <f>IFERROR(__xludf.DUMMYFUNCTION("""COMPUTED_VALUE"""),155.93)</f>
        <v>155.93</v>
      </c>
    </row>
    <row r="317">
      <c r="A317" s="2">
        <f>IFERROR(__xludf.DUMMYFUNCTION("""COMPUTED_VALUE"""),44561.66666666667)</f>
        <v>44561.66667</v>
      </c>
      <c r="B317" s="1">
        <f>IFERROR(__xludf.DUMMYFUNCTION("""COMPUTED_VALUE"""),154.89)</f>
        <v>154.89</v>
      </c>
    </row>
    <row r="318">
      <c r="A318" s="2">
        <f>IFERROR(__xludf.DUMMYFUNCTION("""COMPUTED_VALUE"""),44564.66666666667)</f>
        <v>44564.66667</v>
      </c>
      <c r="B318" s="1">
        <f>IFERROR(__xludf.DUMMYFUNCTION("""COMPUTED_VALUE"""),156.76)</f>
        <v>156.76</v>
      </c>
    </row>
    <row r="319">
      <c r="A319" s="2">
        <f>IFERROR(__xludf.DUMMYFUNCTION("""COMPUTED_VALUE"""),44565.66666666667)</f>
        <v>44565.66667</v>
      </c>
      <c r="B319" s="1">
        <f>IFERROR(__xludf.DUMMYFUNCTION("""COMPUTED_VALUE"""),155.73)</f>
        <v>155.73</v>
      </c>
    </row>
    <row r="320">
      <c r="A320" s="2">
        <f>IFERROR(__xludf.DUMMYFUNCTION("""COMPUTED_VALUE"""),44566.66666666667)</f>
        <v>44566.66667</v>
      </c>
      <c r="B320" s="1">
        <f>IFERROR(__xludf.DUMMYFUNCTION("""COMPUTED_VALUE"""),155.19)</f>
        <v>155.19</v>
      </c>
    </row>
    <row r="321">
      <c r="A321" s="2">
        <f>IFERROR(__xludf.DUMMYFUNCTION("""COMPUTED_VALUE"""),44567.66666666667)</f>
        <v>44567.66667</v>
      </c>
      <c r="B321" s="1">
        <f>IFERROR(__xludf.DUMMYFUNCTION("""COMPUTED_VALUE"""),156.9)</f>
        <v>156.9</v>
      </c>
    </row>
    <row r="322">
      <c r="A322" s="2">
        <f>IFERROR(__xludf.DUMMYFUNCTION("""COMPUTED_VALUE"""),44568.66666666667)</f>
        <v>44568.66667</v>
      </c>
      <c r="B322" s="1">
        <f>IFERROR(__xludf.DUMMYFUNCTION("""COMPUTED_VALUE"""),157.83)</f>
        <v>157.83</v>
      </c>
    </row>
    <row r="323">
      <c r="A323" s="2">
        <f>IFERROR(__xludf.DUMMYFUNCTION("""COMPUTED_VALUE"""),44571.66666666667)</f>
        <v>44571.66667</v>
      </c>
      <c r="B323" s="1">
        <f>IFERROR(__xludf.DUMMYFUNCTION("""COMPUTED_VALUE"""),156.6)</f>
        <v>156.6</v>
      </c>
    </row>
    <row r="324">
      <c r="A324" s="2">
        <f>IFERROR(__xludf.DUMMYFUNCTION("""COMPUTED_VALUE"""),44572.66666666667)</f>
        <v>44572.66667</v>
      </c>
      <c r="B324" s="1">
        <f>IFERROR(__xludf.DUMMYFUNCTION("""COMPUTED_VALUE"""),157.89)</f>
        <v>157.89</v>
      </c>
    </row>
    <row r="325">
      <c r="A325" s="2">
        <f>IFERROR(__xludf.DUMMYFUNCTION("""COMPUTED_VALUE"""),44573.66666666667)</f>
        <v>44573.66667</v>
      </c>
      <c r="B325" s="1">
        <f>IFERROR(__xludf.DUMMYFUNCTION("""COMPUTED_VALUE"""),157.8)</f>
        <v>157.8</v>
      </c>
    </row>
    <row r="326">
      <c r="A326" s="2">
        <f>IFERROR(__xludf.DUMMYFUNCTION("""COMPUTED_VALUE"""),44574.66666666667)</f>
        <v>44574.66667</v>
      </c>
      <c r="B326" s="1">
        <f>IFERROR(__xludf.DUMMYFUNCTION("""COMPUTED_VALUE"""),155.44)</f>
        <v>155.44</v>
      </c>
    </row>
    <row r="327">
      <c r="A327" s="2">
        <f>IFERROR(__xludf.DUMMYFUNCTION("""COMPUTED_VALUE"""),44575.66666666667)</f>
        <v>44575.66667</v>
      </c>
      <c r="B327" s="1">
        <f>IFERROR(__xludf.DUMMYFUNCTION("""COMPUTED_VALUE"""),151.94)</f>
        <v>151.94</v>
      </c>
    </row>
    <row r="328">
      <c r="A328" s="2">
        <f>IFERROR(__xludf.DUMMYFUNCTION("""COMPUTED_VALUE"""),44579.66666666667)</f>
        <v>44579.66667</v>
      </c>
      <c r="B328" s="1">
        <f>IFERROR(__xludf.DUMMYFUNCTION("""COMPUTED_VALUE"""),152.27)</f>
        <v>152.27</v>
      </c>
    </row>
    <row r="329">
      <c r="A329" s="2">
        <f>IFERROR(__xludf.DUMMYFUNCTION("""COMPUTED_VALUE"""),44580.66666666667)</f>
        <v>44580.66667</v>
      </c>
      <c r="B329" s="1">
        <f>IFERROR(__xludf.DUMMYFUNCTION("""COMPUTED_VALUE"""),150.11)</f>
        <v>150.11</v>
      </c>
    </row>
    <row r="330">
      <c r="A330" s="2">
        <f>IFERROR(__xludf.DUMMYFUNCTION("""COMPUTED_VALUE"""),44581.66666666667)</f>
        <v>44581.66667</v>
      </c>
      <c r="B330" s="1">
        <f>IFERROR(__xludf.DUMMYFUNCTION("""COMPUTED_VALUE"""),147.62)</f>
        <v>147.62</v>
      </c>
    </row>
    <row r="331">
      <c r="A331" s="2">
        <f>IFERROR(__xludf.DUMMYFUNCTION("""COMPUTED_VALUE"""),44582.66666666667)</f>
        <v>44582.66667</v>
      </c>
      <c r="B331" s="1">
        <f>IFERROR(__xludf.DUMMYFUNCTION("""COMPUTED_VALUE"""),137.38)</f>
        <v>137.38</v>
      </c>
    </row>
    <row r="332">
      <c r="A332" s="2">
        <f>IFERROR(__xludf.DUMMYFUNCTION("""COMPUTED_VALUE"""),44585.66666666667)</f>
        <v>44585.66667</v>
      </c>
      <c r="B332" s="1">
        <f>IFERROR(__xludf.DUMMYFUNCTION("""COMPUTED_VALUE"""),137.46)</f>
        <v>137.46</v>
      </c>
    </row>
    <row r="333">
      <c r="A333" s="2">
        <f>IFERROR(__xludf.DUMMYFUNCTION("""COMPUTED_VALUE"""),44586.66666666667)</f>
        <v>44586.66667</v>
      </c>
      <c r="B333" s="1">
        <f>IFERROR(__xludf.DUMMYFUNCTION("""COMPUTED_VALUE"""),136.51)</f>
        <v>136.51</v>
      </c>
    </row>
    <row r="334">
      <c r="A334" s="2">
        <f>IFERROR(__xludf.DUMMYFUNCTION("""COMPUTED_VALUE"""),44587.66666666667)</f>
        <v>44587.66667</v>
      </c>
      <c r="B334" s="1">
        <f>IFERROR(__xludf.DUMMYFUNCTION("""COMPUTED_VALUE"""),133.6)</f>
        <v>133.6</v>
      </c>
    </row>
    <row r="335">
      <c r="A335" s="2">
        <f>IFERROR(__xludf.DUMMYFUNCTION("""COMPUTED_VALUE"""),44588.66666666667)</f>
        <v>44588.66667</v>
      </c>
      <c r="B335" s="1">
        <f>IFERROR(__xludf.DUMMYFUNCTION("""COMPUTED_VALUE"""),135.42)</f>
        <v>135.42</v>
      </c>
    </row>
    <row r="336">
      <c r="A336" s="2">
        <f>IFERROR(__xludf.DUMMYFUNCTION("""COMPUTED_VALUE"""),44589.66666666667)</f>
        <v>44589.66667</v>
      </c>
      <c r="B336" s="1">
        <f>IFERROR(__xludf.DUMMYFUNCTION("""COMPUTED_VALUE"""),138.63)</f>
        <v>138.63</v>
      </c>
    </row>
    <row r="337">
      <c r="A337" s="2">
        <f>IFERROR(__xludf.DUMMYFUNCTION("""COMPUTED_VALUE"""),44592.66666666667)</f>
        <v>44592.66667</v>
      </c>
      <c r="B337" s="1">
        <f>IFERROR(__xludf.DUMMYFUNCTION("""COMPUTED_VALUE"""),142.97)</f>
        <v>142.97</v>
      </c>
    </row>
    <row r="338">
      <c r="A338" s="2">
        <f>IFERROR(__xludf.DUMMYFUNCTION("""COMPUTED_VALUE"""),44593.66666666667)</f>
        <v>44593.66667</v>
      </c>
      <c r="B338" s="1">
        <f>IFERROR(__xludf.DUMMYFUNCTION("""COMPUTED_VALUE"""),144.49)</f>
        <v>144.49</v>
      </c>
    </row>
    <row r="339">
      <c r="A339" s="2">
        <f>IFERROR(__xludf.DUMMYFUNCTION("""COMPUTED_VALUE"""),44594.66666666667)</f>
        <v>44594.66667</v>
      </c>
      <c r="B339" s="1">
        <f>IFERROR(__xludf.DUMMYFUNCTION("""COMPUTED_VALUE"""),142.62)</f>
        <v>142.62</v>
      </c>
    </row>
    <row r="340">
      <c r="A340" s="2">
        <f>IFERROR(__xludf.DUMMYFUNCTION("""COMPUTED_VALUE"""),44595.66666666667)</f>
        <v>44595.66667</v>
      </c>
      <c r="B340" s="1">
        <f>IFERROR(__xludf.DUMMYFUNCTION("""COMPUTED_VALUE"""),140.03)</f>
        <v>140.03</v>
      </c>
    </row>
    <row r="341">
      <c r="A341" s="2">
        <f>IFERROR(__xludf.DUMMYFUNCTION("""COMPUTED_VALUE"""),44596.66666666667)</f>
        <v>44596.66667</v>
      </c>
      <c r="B341" s="1">
        <f>IFERROR(__xludf.DUMMYFUNCTION("""COMPUTED_VALUE"""),142.02)</f>
        <v>142.02</v>
      </c>
    </row>
    <row r="342">
      <c r="A342" s="2">
        <f>IFERROR(__xludf.DUMMYFUNCTION("""COMPUTED_VALUE"""),44599.66666666667)</f>
        <v>44599.66667</v>
      </c>
      <c r="B342" s="1">
        <f>IFERROR(__xludf.DUMMYFUNCTION("""COMPUTED_VALUE"""),142.51)</f>
        <v>142.51</v>
      </c>
    </row>
    <row r="343">
      <c r="A343" s="2">
        <f>IFERROR(__xludf.DUMMYFUNCTION("""COMPUTED_VALUE"""),44600.66666666667)</f>
        <v>44600.66667</v>
      </c>
      <c r="B343" s="1">
        <f>IFERROR(__xludf.DUMMYFUNCTION("""COMPUTED_VALUE"""),142.48)</f>
        <v>142.48</v>
      </c>
    </row>
    <row r="344">
      <c r="A344" s="2">
        <f>IFERROR(__xludf.DUMMYFUNCTION("""COMPUTED_VALUE"""),44601.66666666667)</f>
        <v>44601.66667</v>
      </c>
      <c r="B344" s="1">
        <f>IFERROR(__xludf.DUMMYFUNCTION("""COMPUTED_VALUE"""),147.23)</f>
        <v>147.23</v>
      </c>
    </row>
    <row r="345">
      <c r="A345" s="2">
        <f>IFERROR(__xludf.DUMMYFUNCTION("""COMPUTED_VALUE"""),44602.66666666667)</f>
        <v>44602.66667</v>
      </c>
      <c r="B345" s="1">
        <f>IFERROR(__xludf.DUMMYFUNCTION("""COMPUTED_VALUE"""),152.16)</f>
        <v>152.16</v>
      </c>
    </row>
    <row r="346">
      <c r="A346" s="2">
        <f>IFERROR(__xludf.DUMMYFUNCTION("""COMPUTED_VALUE"""),44603.66666666667)</f>
        <v>44603.66667</v>
      </c>
      <c r="B346" s="1">
        <f>IFERROR(__xludf.DUMMYFUNCTION("""COMPUTED_VALUE"""),149.47)</f>
        <v>149.47</v>
      </c>
    </row>
    <row r="347">
      <c r="A347" s="2">
        <f>IFERROR(__xludf.DUMMYFUNCTION("""COMPUTED_VALUE"""),44606.66666666667)</f>
        <v>44606.66667</v>
      </c>
      <c r="B347" s="1">
        <f>IFERROR(__xludf.DUMMYFUNCTION("""COMPUTED_VALUE"""),150.85)</f>
        <v>150.85</v>
      </c>
    </row>
    <row r="348">
      <c r="A348" s="2">
        <f>IFERROR(__xludf.DUMMYFUNCTION("""COMPUTED_VALUE"""),44607.66666666667)</f>
        <v>44607.66667</v>
      </c>
      <c r="B348" s="1">
        <f>IFERROR(__xludf.DUMMYFUNCTION("""COMPUTED_VALUE"""),154.72)</f>
        <v>154.72</v>
      </c>
    </row>
    <row r="349">
      <c r="A349" s="2">
        <f>IFERROR(__xludf.DUMMYFUNCTION("""COMPUTED_VALUE"""),44608.66666666667)</f>
        <v>44608.66667</v>
      </c>
      <c r="B349" s="1">
        <f>IFERROR(__xludf.DUMMYFUNCTION("""COMPUTED_VALUE"""),156.35)</f>
        <v>156.35</v>
      </c>
    </row>
    <row r="350">
      <c r="A350" s="2">
        <f>IFERROR(__xludf.DUMMYFUNCTION("""COMPUTED_VALUE"""),44609.66666666667)</f>
        <v>44609.66667</v>
      </c>
      <c r="B350" s="1">
        <f>IFERROR(__xludf.DUMMYFUNCTION("""COMPUTED_VALUE"""),152.95)</f>
        <v>152.95</v>
      </c>
    </row>
    <row r="351">
      <c r="A351" s="2">
        <f>IFERROR(__xludf.DUMMYFUNCTION("""COMPUTED_VALUE"""),44610.66666666667)</f>
        <v>44610.66667</v>
      </c>
      <c r="B351" s="1">
        <f>IFERROR(__xludf.DUMMYFUNCTION("""COMPUTED_VALUE"""),151.36)</f>
        <v>151.36</v>
      </c>
    </row>
    <row r="352">
      <c r="A352" s="2">
        <f>IFERROR(__xludf.DUMMYFUNCTION("""COMPUTED_VALUE"""),44614.66666666667)</f>
        <v>44614.66667</v>
      </c>
      <c r="B352" s="1">
        <f>IFERROR(__xludf.DUMMYFUNCTION("""COMPUTED_VALUE"""),148.09)</f>
        <v>148.09</v>
      </c>
    </row>
    <row r="353">
      <c r="A353" s="2">
        <f>IFERROR(__xludf.DUMMYFUNCTION("""COMPUTED_VALUE"""),44615.66666666667)</f>
        <v>44615.66667</v>
      </c>
      <c r="B353" s="1">
        <f>IFERROR(__xludf.DUMMYFUNCTION("""COMPUTED_VALUE"""),145.87)</f>
        <v>145.87</v>
      </c>
    </row>
    <row r="354">
      <c r="A354" s="2">
        <f>IFERROR(__xludf.DUMMYFUNCTION("""COMPUTED_VALUE"""),44616.66666666667)</f>
        <v>44616.66667</v>
      </c>
      <c r="B354" s="1">
        <f>IFERROR(__xludf.DUMMYFUNCTION("""COMPUTED_VALUE"""),149.4)</f>
        <v>149.4</v>
      </c>
    </row>
    <row r="355">
      <c r="A355" s="2">
        <f>IFERROR(__xludf.DUMMYFUNCTION("""COMPUTED_VALUE"""),44617.66666666667)</f>
        <v>44617.66667</v>
      </c>
      <c r="B355" s="1">
        <f>IFERROR(__xludf.DUMMYFUNCTION("""COMPUTED_VALUE"""),149.53)</f>
        <v>149.53</v>
      </c>
    </row>
    <row r="356">
      <c r="A356" s="2">
        <f>IFERROR(__xludf.DUMMYFUNCTION("""COMPUTED_VALUE"""),44620.66666666667)</f>
        <v>44620.66667</v>
      </c>
      <c r="B356" s="1">
        <f>IFERROR(__xludf.DUMMYFUNCTION("""COMPUTED_VALUE"""),148.46)</f>
        <v>148.46</v>
      </c>
    </row>
    <row r="357">
      <c r="A357" s="2">
        <f>IFERROR(__xludf.DUMMYFUNCTION("""COMPUTED_VALUE"""),44621.66666666667)</f>
        <v>44621.66667</v>
      </c>
      <c r="B357" s="1">
        <f>IFERROR(__xludf.DUMMYFUNCTION("""COMPUTED_VALUE"""),145.7)</f>
        <v>145.7</v>
      </c>
    </row>
    <row r="358">
      <c r="A358" s="2">
        <f>IFERROR(__xludf.DUMMYFUNCTION("""COMPUTED_VALUE"""),44622.66666666667)</f>
        <v>44622.66667</v>
      </c>
      <c r="B358" s="1">
        <f>IFERROR(__xludf.DUMMYFUNCTION("""COMPUTED_VALUE"""),147.34)</f>
        <v>147.34</v>
      </c>
    </row>
    <row r="359">
      <c r="A359" s="2">
        <f>IFERROR(__xludf.DUMMYFUNCTION("""COMPUTED_VALUE"""),44623.66666666667)</f>
        <v>44623.66667</v>
      </c>
      <c r="B359" s="1">
        <f>IFERROR(__xludf.DUMMYFUNCTION("""COMPUTED_VALUE"""),145.57)</f>
        <v>145.57</v>
      </c>
    </row>
    <row r="360">
      <c r="A360" s="2">
        <f>IFERROR(__xludf.DUMMYFUNCTION("""COMPUTED_VALUE"""),44624.66666666667)</f>
        <v>44624.66667</v>
      </c>
      <c r="B360" s="1">
        <f>IFERROR(__xludf.DUMMYFUNCTION("""COMPUTED_VALUE"""),140.72)</f>
        <v>140.72</v>
      </c>
    </row>
    <row r="361">
      <c r="A361" s="2">
        <f>IFERROR(__xludf.DUMMYFUNCTION("""COMPUTED_VALUE"""),44627.66666666667)</f>
        <v>44627.66667</v>
      </c>
      <c r="B361" s="1">
        <f>IFERROR(__xludf.DUMMYFUNCTION("""COMPUTED_VALUE"""),133.5)</f>
        <v>133.5</v>
      </c>
    </row>
    <row r="362">
      <c r="A362" s="2">
        <f>IFERROR(__xludf.DUMMYFUNCTION("""COMPUTED_VALUE"""),44628.66666666667)</f>
        <v>44628.66667</v>
      </c>
      <c r="B362" s="1">
        <f>IFERROR(__xludf.DUMMYFUNCTION("""COMPUTED_VALUE"""),131.75)</f>
        <v>131.75</v>
      </c>
    </row>
    <row r="363">
      <c r="A363" s="2">
        <f>IFERROR(__xludf.DUMMYFUNCTION("""COMPUTED_VALUE"""),44629.66666666667)</f>
        <v>44629.66667</v>
      </c>
      <c r="B363" s="1">
        <f>IFERROR(__xludf.DUMMYFUNCTION("""COMPUTED_VALUE"""),133.65)</f>
        <v>133.65</v>
      </c>
    </row>
    <row r="364">
      <c r="A364" s="2">
        <f>IFERROR(__xludf.DUMMYFUNCTION("""COMPUTED_VALUE"""),44630.66666666667)</f>
        <v>44630.66667</v>
      </c>
      <c r="B364" s="1">
        <f>IFERROR(__xludf.DUMMYFUNCTION("""COMPUTED_VALUE"""),133.64)</f>
        <v>133.64</v>
      </c>
    </row>
    <row r="365">
      <c r="A365" s="2">
        <f>IFERROR(__xludf.DUMMYFUNCTION("""COMPUTED_VALUE"""),44631.66666666667)</f>
        <v>44631.66667</v>
      </c>
      <c r="B365" s="1">
        <f>IFERROR(__xludf.DUMMYFUNCTION("""COMPUTED_VALUE"""),131.75)</f>
        <v>131.75</v>
      </c>
    </row>
    <row r="366">
      <c r="A366" s="2">
        <f>IFERROR(__xludf.DUMMYFUNCTION("""COMPUTED_VALUE"""),44634.66666666667)</f>
        <v>44634.66667</v>
      </c>
      <c r="B366" s="1">
        <f>IFERROR(__xludf.DUMMYFUNCTION("""COMPUTED_VALUE"""),129.03)</f>
        <v>129.03</v>
      </c>
    </row>
    <row r="367">
      <c r="A367" s="2">
        <f>IFERROR(__xludf.DUMMYFUNCTION("""COMPUTED_VALUE"""),44635.66666666667)</f>
        <v>44635.66667</v>
      </c>
      <c r="B367" s="1">
        <f>IFERROR(__xludf.DUMMYFUNCTION("""COMPUTED_VALUE"""),134.2)</f>
        <v>134.2</v>
      </c>
    </row>
    <row r="368">
      <c r="A368" s="2">
        <f>IFERROR(__xludf.DUMMYFUNCTION("""COMPUTED_VALUE"""),44636.66666666667)</f>
        <v>44636.66667</v>
      </c>
      <c r="B368" s="1">
        <f>IFERROR(__xludf.DUMMYFUNCTION("""COMPUTED_VALUE"""),138.14)</f>
        <v>138.14</v>
      </c>
    </row>
    <row r="369">
      <c r="A369" s="2">
        <f>IFERROR(__xludf.DUMMYFUNCTION("""COMPUTED_VALUE"""),44637.66666666667)</f>
        <v>44637.66667</v>
      </c>
      <c r="B369" s="1">
        <f>IFERROR(__xludf.DUMMYFUNCTION("""COMPUTED_VALUE"""),139.47)</f>
        <v>139.47</v>
      </c>
    </row>
    <row r="370">
      <c r="A370" s="2">
        <f>IFERROR(__xludf.DUMMYFUNCTION("""COMPUTED_VALUE"""),44638.66666666667)</f>
        <v>44638.66667</v>
      </c>
      <c r="B370" s="1">
        <f>IFERROR(__xludf.DUMMYFUNCTION("""COMPUTED_VALUE"""),140.3)</f>
        <v>140.3</v>
      </c>
    </row>
    <row r="371">
      <c r="A371" s="2">
        <f>IFERROR(__xludf.DUMMYFUNCTION("""COMPUTED_VALUE"""),44641.66666666667)</f>
        <v>44641.66667</v>
      </c>
      <c r="B371" s="1">
        <f>IFERROR(__xludf.DUMMYFUNCTION("""COMPUTED_VALUE"""),138.62)</f>
        <v>138.62</v>
      </c>
    </row>
    <row r="372">
      <c r="A372" s="2">
        <f>IFERROR(__xludf.DUMMYFUNCTION("""COMPUTED_VALUE"""),44642.66666666667)</f>
        <v>44642.66667</v>
      </c>
      <c r="B372" s="1">
        <f>IFERROR(__xludf.DUMMYFUNCTION("""COMPUTED_VALUE"""),140.11)</f>
        <v>140.11</v>
      </c>
    </row>
    <row r="373">
      <c r="A373" s="2">
        <f>IFERROR(__xludf.DUMMYFUNCTION("""COMPUTED_VALUE"""),44643.66666666667)</f>
        <v>44643.66667</v>
      </c>
      <c r="B373" s="1">
        <f>IFERROR(__xludf.DUMMYFUNCTION("""COMPUTED_VALUE"""),137.64)</f>
        <v>137.64</v>
      </c>
    </row>
    <row r="374">
      <c r="A374" s="2">
        <f>IFERROR(__xludf.DUMMYFUNCTION("""COMPUTED_VALUE"""),44644.66666666667)</f>
        <v>44644.66667</v>
      </c>
      <c r="B374" s="1">
        <f>IFERROR(__xludf.DUMMYFUNCTION("""COMPUTED_VALUE"""),138.96)</f>
        <v>138.96</v>
      </c>
    </row>
    <row r="375">
      <c r="A375" s="2">
        <f>IFERROR(__xludf.DUMMYFUNCTION("""COMPUTED_VALUE"""),44645.66666666667)</f>
        <v>44645.66667</v>
      </c>
      <c r="B375" s="1">
        <f>IFERROR(__xludf.DUMMYFUNCTION("""COMPUTED_VALUE"""),139.14)</f>
        <v>139.14</v>
      </c>
    </row>
    <row r="376">
      <c r="A376" s="2">
        <f>IFERROR(__xludf.DUMMYFUNCTION("""COMPUTED_VALUE"""),44648.66666666667)</f>
        <v>44648.66667</v>
      </c>
      <c r="B376" s="1">
        <f>IFERROR(__xludf.DUMMYFUNCTION("""COMPUTED_VALUE"""),138.72)</f>
        <v>138.72</v>
      </c>
    </row>
    <row r="377">
      <c r="A377" s="2">
        <f>IFERROR(__xludf.DUMMYFUNCTION("""COMPUTED_VALUE"""),44649.66666666667)</f>
        <v>44649.66667</v>
      </c>
      <c r="B377" s="1">
        <f>IFERROR(__xludf.DUMMYFUNCTION("""COMPUTED_VALUE"""),142.38)</f>
        <v>142.38</v>
      </c>
    </row>
    <row r="378">
      <c r="A378" s="2">
        <f>IFERROR(__xludf.DUMMYFUNCTION("""COMPUTED_VALUE"""),44650.66666666667)</f>
        <v>44650.66667</v>
      </c>
      <c r="B378" s="1">
        <f>IFERROR(__xludf.DUMMYFUNCTION("""COMPUTED_VALUE"""),140.96)</f>
        <v>140.96</v>
      </c>
    </row>
    <row r="379">
      <c r="A379" s="2">
        <f>IFERROR(__xludf.DUMMYFUNCTION("""COMPUTED_VALUE"""),44651.66666666667)</f>
        <v>44651.66667</v>
      </c>
      <c r="B379" s="1">
        <f>IFERROR(__xludf.DUMMYFUNCTION("""COMPUTED_VALUE"""),137.16)</f>
        <v>137.16</v>
      </c>
    </row>
    <row r="380">
      <c r="A380" s="2">
        <f>IFERROR(__xludf.DUMMYFUNCTION("""COMPUTED_VALUE"""),44652.66666666667)</f>
        <v>44652.66667</v>
      </c>
      <c r="B380" s="1">
        <f>IFERROR(__xludf.DUMMYFUNCTION("""COMPUTED_VALUE"""),137.0)</f>
        <v>137</v>
      </c>
    </row>
    <row r="381">
      <c r="A381" s="2">
        <f>IFERROR(__xludf.DUMMYFUNCTION("""COMPUTED_VALUE"""),44655.66666666667)</f>
        <v>44655.66667</v>
      </c>
      <c r="B381" s="1">
        <f>IFERROR(__xludf.DUMMYFUNCTION("""COMPUTED_VALUE"""),138.58)</f>
        <v>138.58</v>
      </c>
    </row>
    <row r="382">
      <c r="A382" s="2">
        <f>IFERROR(__xludf.DUMMYFUNCTION("""COMPUTED_VALUE"""),44656.66666666667)</f>
        <v>44656.66667</v>
      </c>
      <c r="B382" s="1">
        <f>IFERROR(__xludf.DUMMYFUNCTION("""COMPUTED_VALUE"""),135.62)</f>
        <v>135.62</v>
      </c>
    </row>
    <row r="383">
      <c r="A383" s="2">
        <f>IFERROR(__xludf.DUMMYFUNCTION("""COMPUTED_VALUE"""),44657.66666666667)</f>
        <v>44657.66667</v>
      </c>
      <c r="B383" s="1">
        <f>IFERROR(__xludf.DUMMYFUNCTION("""COMPUTED_VALUE"""),132.57)</f>
        <v>132.57</v>
      </c>
    </row>
    <row r="384">
      <c r="A384" s="2">
        <f>IFERROR(__xludf.DUMMYFUNCTION("""COMPUTED_VALUE"""),44658.66666666667)</f>
        <v>44658.66667</v>
      </c>
      <c r="B384" s="1">
        <f>IFERROR(__xludf.DUMMYFUNCTION("""COMPUTED_VALUE"""),131.87)</f>
        <v>131.87</v>
      </c>
    </row>
    <row r="385">
      <c r="A385" s="2">
        <f>IFERROR(__xludf.DUMMYFUNCTION("""COMPUTED_VALUE"""),44659.66666666667)</f>
        <v>44659.66667</v>
      </c>
      <c r="B385" s="1">
        <f>IFERROR(__xludf.DUMMYFUNCTION("""COMPUTED_VALUE"""),131.87)</f>
        <v>131.87</v>
      </c>
    </row>
    <row r="386">
      <c r="A386" s="2">
        <f>IFERROR(__xludf.DUMMYFUNCTION("""COMPUTED_VALUE"""),44662.66666666667)</f>
        <v>44662.66667</v>
      </c>
      <c r="B386" s="1">
        <f>IFERROR(__xludf.DUMMYFUNCTION("""COMPUTED_VALUE"""),130.65)</f>
        <v>130.65</v>
      </c>
    </row>
    <row r="387">
      <c r="A387" s="2">
        <f>IFERROR(__xludf.DUMMYFUNCTION("""COMPUTED_VALUE"""),44663.66666666667)</f>
        <v>44663.66667</v>
      </c>
      <c r="B387" s="1">
        <f>IFERROR(__xludf.DUMMYFUNCTION("""COMPUTED_VALUE"""),130.84)</f>
        <v>130.84</v>
      </c>
    </row>
    <row r="388">
      <c r="A388" s="2">
        <f>IFERROR(__xludf.DUMMYFUNCTION("""COMPUTED_VALUE"""),44664.66666666667)</f>
        <v>44664.66667</v>
      </c>
      <c r="B388" s="1">
        <f>IFERROR(__xludf.DUMMYFUNCTION("""COMPUTED_VALUE"""),132.35)</f>
        <v>132.35</v>
      </c>
    </row>
    <row r="389">
      <c r="A389" s="2">
        <f>IFERROR(__xludf.DUMMYFUNCTION("""COMPUTED_VALUE"""),44665.66666666667)</f>
        <v>44665.66667</v>
      </c>
      <c r="B389" s="1">
        <f>IFERROR(__xludf.DUMMYFUNCTION("""COMPUTED_VALUE"""),130.47)</f>
        <v>130.47</v>
      </c>
    </row>
    <row r="390">
      <c r="A390" s="2">
        <f>IFERROR(__xludf.DUMMYFUNCTION("""COMPUTED_VALUE"""),44669.66666666667)</f>
        <v>44669.66667</v>
      </c>
      <c r="B390" s="1">
        <f>IFERROR(__xludf.DUMMYFUNCTION("""COMPUTED_VALUE"""),127.77)</f>
        <v>127.77</v>
      </c>
    </row>
    <row r="391">
      <c r="A391" s="2">
        <f>IFERROR(__xludf.DUMMYFUNCTION("""COMPUTED_VALUE"""),44670.66666666667)</f>
        <v>44670.66667</v>
      </c>
      <c r="B391" s="1">
        <f>IFERROR(__xludf.DUMMYFUNCTION("""COMPUTED_VALUE"""),131.9)</f>
        <v>131.9</v>
      </c>
    </row>
    <row r="392">
      <c r="A392" s="2">
        <f>IFERROR(__xludf.DUMMYFUNCTION("""COMPUTED_VALUE"""),44671.66666666667)</f>
        <v>44671.66667</v>
      </c>
      <c r="B392" s="1">
        <f>IFERROR(__xludf.DUMMYFUNCTION("""COMPUTED_VALUE"""),124.57)</f>
        <v>124.57</v>
      </c>
    </row>
    <row r="393">
      <c r="A393" s="2">
        <f>IFERROR(__xludf.DUMMYFUNCTION("""COMPUTED_VALUE"""),44672.66666666667)</f>
        <v>44672.66667</v>
      </c>
      <c r="B393" s="1">
        <f>IFERROR(__xludf.DUMMYFUNCTION("""COMPUTED_VALUE"""),121.66)</f>
        <v>121.66</v>
      </c>
    </row>
    <row r="394">
      <c r="A394" s="2">
        <f>IFERROR(__xludf.DUMMYFUNCTION("""COMPUTED_VALUE"""),44673.66666666667)</f>
        <v>44673.66667</v>
      </c>
      <c r="B394" s="1">
        <f>IFERROR(__xludf.DUMMYFUNCTION("""COMPUTED_VALUE"""),118.27)</f>
        <v>118.27</v>
      </c>
    </row>
    <row r="395">
      <c r="A395" s="2">
        <f>IFERROR(__xludf.DUMMYFUNCTION("""COMPUTED_VALUE"""),44676.66666666667)</f>
        <v>44676.66667</v>
      </c>
      <c r="B395" s="1">
        <f>IFERROR(__xludf.DUMMYFUNCTION("""COMPUTED_VALUE"""),119.95)</f>
        <v>119.95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IFERROR(__xludf.DUMMYFUNCTION("""COMPUTED_VALUE"""),115.77)</f>
        <v>115.77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IFERROR(__xludf.DUMMYFUNCTION("""COMPUTED_VALUE"""),115.21)</f>
        <v>115.21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IFERROR(__xludf.DUMMYFUNCTION("""COMPUTED_VALUE"""),115.29)</f>
        <v>115.29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IFERROR(__xludf.DUMMYFUNCTION("""COMPUTED_VALUE"""),111.63)</f>
        <v>111.63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IFERROR(__xludf.DUMMYFUNCTION("""COMPUTED_VALUE"""),113.5)</f>
        <v>113.5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IFERROR(__xludf.DUMMYFUNCTION("""COMPUTED_VALUE"""),113.55)</f>
        <v>113.55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IFERROR(__xludf.DUMMYFUNCTION("""COMPUTED_VALUE"""),116.19)</f>
        <v>116.19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IFERROR(__xludf.DUMMYFUNCTION("""COMPUTED_VALUE"""),112.61)</f>
        <v>112.61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IFERROR(__xludf.DUMMYFUNCTION("""COMPUTED_VALUE"""),110.29)</f>
        <v>110.29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IFERROR(__xludf.DUMMYFUNCTION("""COMPUTED_VALUE"""),106.98)</f>
        <v>106.98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IFERROR(__xludf.DUMMYFUNCTION("""COMPUTED_VALUE"""),107.68)</f>
        <v>107.68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IFERROR(__xludf.DUMMYFUNCTION("""COMPUTED_VALUE"""),105.21)</f>
        <v>105.21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IFERROR(__xludf.DUMMYFUNCTION("""COMPUTED_VALUE"""),104.31)</f>
        <v>104.31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IFERROR(__xludf.DUMMYFUNCTION("""COMPUTED_VALUE"""),107.33)</f>
        <v>107.33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IFERROR(__xludf.DUMMYFUNCTION("""COMPUTED_VALUE"""),105.18)</f>
        <v>105.18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IFERROR(__xludf.DUMMYFUNCTION("""COMPUTED_VALUE"""),108.64)</f>
        <v>108.64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IFERROR(__xludf.DUMMYFUNCTION("""COMPUTED_VALUE"""),104.3)</f>
        <v>104.3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IFERROR(__xludf.DUMMYFUNCTION("""COMPUTED_VALUE"""),103.14)</f>
        <v>103.14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IFERROR(__xludf.DUMMYFUNCTION("""COMPUTED_VALUE"""),102.42)</f>
        <v>102.42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IFERROR(__xludf.DUMMYFUNCTION("""COMPUTED_VALUE"""),105.83)</f>
        <v>105.83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IFERROR(__xludf.DUMMYFUNCTION("""COMPUTED_VALUE"""),101.59)</f>
        <v>101.59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IFERROR(__xludf.DUMMYFUNCTION("""COMPUTED_VALUE"""),103.26)</f>
        <v>103.26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IFERROR(__xludf.DUMMYFUNCTION("""COMPUTED_VALUE"""),105.61)</f>
        <v>105.61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IFERROR(__xludf.DUMMYFUNCTION("""COMPUTED_VALUE"""),109.32)</f>
        <v>109.32</v>
      </c>
    </row>
    <row r="420">
      <c r="A420" s="2">
        <f>IFERROR(__xludf.DUMMYFUNCTION("""COMPUTED_VALUE"""),44712.66666666667)</f>
        <v>44712.66667</v>
      </c>
      <c r="B420" s="1">
        <f>IFERROR(__xludf.DUMMYFUNCTION("""COMPUTED_VALUE"""),110.44)</f>
        <v>110.44</v>
      </c>
    </row>
    <row r="421">
      <c r="A421" s="2">
        <f>IFERROR(__xludf.DUMMYFUNCTION("""COMPUTED_VALUE"""),44713.66666666667)</f>
        <v>44713.66667</v>
      </c>
      <c r="B421" s="1">
        <f>IFERROR(__xludf.DUMMYFUNCTION("""COMPUTED_VALUE"""),109.19)</f>
        <v>109.19</v>
      </c>
    </row>
    <row r="422">
      <c r="A422" s="2">
        <f>IFERROR(__xludf.DUMMYFUNCTION("""COMPUTED_VALUE"""),44714.66666666667)</f>
        <v>44714.66667</v>
      </c>
      <c r="B422" s="1">
        <f>IFERROR(__xludf.DUMMYFUNCTION("""COMPUTED_VALUE"""),110.87)</f>
        <v>110.87</v>
      </c>
    </row>
    <row r="423">
      <c r="A423" s="2">
        <f>IFERROR(__xludf.DUMMYFUNCTION("""COMPUTED_VALUE"""),44715.66666666667)</f>
        <v>44715.66667</v>
      </c>
      <c r="B423" s="1">
        <f>IFERROR(__xludf.DUMMYFUNCTION("""COMPUTED_VALUE"""),108.67)</f>
        <v>108.67</v>
      </c>
    </row>
    <row r="424">
      <c r="A424" s="2">
        <f>IFERROR(__xludf.DUMMYFUNCTION("""COMPUTED_VALUE"""),44718.66666666667)</f>
        <v>44718.66667</v>
      </c>
      <c r="B424" s="1">
        <f>IFERROR(__xludf.DUMMYFUNCTION("""COMPUTED_VALUE"""),107.83)</f>
        <v>107.83</v>
      </c>
    </row>
    <row r="425">
      <c r="A425" s="2">
        <f>IFERROR(__xludf.DUMMYFUNCTION("""COMPUTED_VALUE"""),44719.66666666667)</f>
        <v>44719.66667</v>
      </c>
      <c r="B425" s="1">
        <f>IFERROR(__xludf.DUMMYFUNCTION("""COMPUTED_VALUE"""),107.79)</f>
        <v>107.79</v>
      </c>
    </row>
    <row r="426">
      <c r="A426" s="2">
        <f>IFERROR(__xludf.DUMMYFUNCTION("""COMPUTED_VALUE"""),44720.66666666667)</f>
        <v>44720.66667</v>
      </c>
      <c r="B426" s="1">
        <f>IFERROR(__xludf.DUMMYFUNCTION("""COMPUTED_VALUE"""),107.34)</f>
        <v>107.34</v>
      </c>
    </row>
    <row r="427">
      <c r="A427" s="2">
        <f>IFERROR(__xludf.DUMMYFUNCTION("""COMPUTED_VALUE"""),44721.66666666667)</f>
        <v>44721.66667</v>
      </c>
      <c r="B427" s="1">
        <f>IFERROR(__xludf.DUMMYFUNCTION("""COMPUTED_VALUE"""),103.3)</f>
        <v>103.3</v>
      </c>
    </row>
    <row r="428">
      <c r="A428" s="2">
        <f>IFERROR(__xludf.DUMMYFUNCTION("""COMPUTED_VALUE"""),44722.66666666667)</f>
        <v>44722.66667</v>
      </c>
      <c r="B428" s="1">
        <f>IFERROR(__xludf.DUMMYFUNCTION("""COMPUTED_VALUE"""),99.4)</f>
        <v>99.4</v>
      </c>
    </row>
    <row r="429">
      <c r="A429" s="2">
        <f>IFERROR(__xludf.DUMMYFUNCTION("""COMPUTED_VALUE"""),44725.66666666667)</f>
        <v>44725.66667</v>
      </c>
      <c r="B429" s="1">
        <f>IFERROR(__xludf.DUMMYFUNCTION("""COMPUTED_VALUE"""),95.71)</f>
        <v>95.71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IFERROR(__xludf.DUMMYFUNCTION("""COMPUTED_VALUE"""),94.22)</f>
        <v>94.22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IFERROR(__xludf.DUMMYFUNCTION("""COMPUTED_VALUE"""),95.88)</f>
        <v>95.88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IFERROR(__xludf.DUMMYFUNCTION("""COMPUTED_VALUE"""),94.28)</f>
        <v>94.28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IFERROR(__xludf.DUMMYFUNCTION("""COMPUTED_VALUE"""),94.34)</f>
        <v>94.34</v>
      </c>
    </row>
    <row r="434">
      <c r="A434" s="2">
        <f>IFERROR(__xludf.DUMMYFUNCTION("""COMPUTED_VALUE"""),44733.66666666667)</f>
        <v>44733.66667</v>
      </c>
      <c r="B434" s="1">
        <f>IFERROR(__xludf.DUMMYFUNCTION("""COMPUTED_VALUE"""),93.29)</f>
        <v>93.29</v>
      </c>
    </row>
    <row r="435">
      <c r="A435" s="2">
        <f>IFERROR(__xludf.DUMMYFUNCTION("""COMPUTED_VALUE"""),44734.66666666667)</f>
        <v>44734.66667</v>
      </c>
      <c r="B435" s="1">
        <f>IFERROR(__xludf.DUMMYFUNCTION("""COMPUTED_VALUE"""),93.5)</f>
        <v>93.5</v>
      </c>
    </row>
    <row r="436">
      <c r="A436" s="2">
        <f>IFERROR(__xludf.DUMMYFUNCTION("""COMPUTED_VALUE"""),44735.66666666667)</f>
        <v>44735.66667</v>
      </c>
      <c r="B436" s="1">
        <f>IFERROR(__xludf.DUMMYFUNCTION("""COMPUTED_VALUE"""),94.3)</f>
        <v>94.3</v>
      </c>
    </row>
    <row r="437">
      <c r="A437" s="2">
        <f>IFERROR(__xludf.DUMMYFUNCTION("""COMPUTED_VALUE"""),44736.66666666667)</f>
        <v>44736.66667</v>
      </c>
      <c r="B437" s="1">
        <f>IFERROR(__xludf.DUMMYFUNCTION("""COMPUTED_VALUE"""),97.78)</f>
        <v>97.78</v>
      </c>
    </row>
    <row r="438">
      <c r="A438" s="2">
        <f>IFERROR(__xludf.DUMMYFUNCTION("""COMPUTED_VALUE"""),44739.66666666667)</f>
        <v>44739.66667</v>
      </c>
      <c r="B438" s="1">
        <f>IFERROR(__xludf.DUMMYFUNCTION("""COMPUTED_VALUE"""),96.61)</f>
        <v>96.61</v>
      </c>
    </row>
    <row r="439">
      <c r="A439" s="2">
        <f>IFERROR(__xludf.DUMMYFUNCTION("""COMPUTED_VALUE"""),44740.66666666667)</f>
        <v>44740.66667</v>
      </c>
      <c r="B439" s="1">
        <f>IFERROR(__xludf.DUMMYFUNCTION("""COMPUTED_VALUE"""),95.92)</f>
        <v>95.92</v>
      </c>
    </row>
    <row r="440">
      <c r="A440" s="2">
        <f>IFERROR(__xludf.DUMMYFUNCTION("""COMPUTED_VALUE"""),44741.66666666667)</f>
        <v>44741.66667</v>
      </c>
      <c r="B440" s="1">
        <f>IFERROR(__xludf.DUMMYFUNCTION("""COMPUTED_VALUE"""),95.65)</f>
        <v>95.65</v>
      </c>
    </row>
    <row r="441">
      <c r="A441" s="2">
        <f>IFERROR(__xludf.DUMMYFUNCTION("""COMPUTED_VALUE"""),44742.66666666667)</f>
        <v>44742.66667</v>
      </c>
      <c r="B441" s="1">
        <f>IFERROR(__xludf.DUMMYFUNCTION("""COMPUTED_VALUE"""),94.4)</f>
        <v>94.4</v>
      </c>
    </row>
    <row r="442">
      <c r="A442" s="2">
        <f>IFERROR(__xludf.DUMMYFUNCTION("""COMPUTED_VALUE"""),44743.66666666667)</f>
        <v>44743.66667</v>
      </c>
      <c r="B442" s="1">
        <f>IFERROR(__xludf.DUMMYFUNCTION("""COMPUTED_VALUE"""),96.14)</f>
        <v>96.14</v>
      </c>
    </row>
    <row r="443">
      <c r="A443" s="2">
        <f>IFERROR(__xludf.DUMMYFUNCTION("""COMPUTED_VALUE"""),44747.66666666667)</f>
        <v>44747.66667</v>
      </c>
      <c r="B443" s="1">
        <f>IFERROR(__xludf.DUMMYFUNCTION("""COMPUTED_VALUE"""),97.18)</f>
        <v>97.18</v>
      </c>
    </row>
    <row r="444">
      <c r="A444" s="2">
        <f>IFERROR(__xludf.DUMMYFUNCTION("""COMPUTED_VALUE"""),44748.66666666667)</f>
        <v>44748.66667</v>
      </c>
      <c r="B444" s="1">
        <f>IFERROR(__xludf.DUMMYFUNCTION("""COMPUTED_VALUE"""),96.08)</f>
        <v>96.08</v>
      </c>
    </row>
    <row r="445">
      <c r="A445" s="2">
        <f>IFERROR(__xludf.DUMMYFUNCTION("""COMPUTED_VALUE"""),44749.66666666667)</f>
        <v>44749.66667</v>
      </c>
      <c r="B445" s="1">
        <f>IFERROR(__xludf.DUMMYFUNCTION("""COMPUTED_VALUE"""),97.43)</f>
        <v>97.43</v>
      </c>
    </row>
    <row r="446">
      <c r="A446" s="2">
        <f>IFERROR(__xludf.DUMMYFUNCTION("""COMPUTED_VALUE"""),44750.66666666667)</f>
        <v>44750.66667</v>
      </c>
      <c r="B446" s="1">
        <f>IFERROR(__xludf.DUMMYFUNCTION("""COMPUTED_VALUE"""),95.86)</f>
        <v>95.86</v>
      </c>
    </row>
    <row r="447">
      <c r="A447" s="2">
        <f>IFERROR(__xludf.DUMMYFUNCTION("""COMPUTED_VALUE"""),44753.66666666667)</f>
        <v>44753.66667</v>
      </c>
      <c r="B447" s="1">
        <f>IFERROR(__xludf.DUMMYFUNCTION("""COMPUTED_VALUE"""),93.64)</f>
        <v>93.64</v>
      </c>
    </row>
    <row r="448">
      <c r="A448" s="2">
        <f>IFERROR(__xludf.DUMMYFUNCTION("""COMPUTED_VALUE"""),44754.66666666667)</f>
        <v>44754.66667</v>
      </c>
      <c r="B448" s="1">
        <f>IFERROR(__xludf.DUMMYFUNCTION("""COMPUTED_VALUE"""),93.6)</f>
        <v>93.6</v>
      </c>
    </row>
    <row r="449">
      <c r="A449" s="2">
        <f>IFERROR(__xludf.DUMMYFUNCTION("""COMPUTED_VALUE"""),44755.66666666667)</f>
        <v>44755.66667</v>
      </c>
      <c r="B449" s="1">
        <f>IFERROR(__xludf.DUMMYFUNCTION("""COMPUTED_VALUE"""),92.94)</f>
        <v>92.94</v>
      </c>
    </row>
    <row r="450">
      <c r="A450" s="2">
        <f>IFERROR(__xludf.DUMMYFUNCTION("""COMPUTED_VALUE"""),44756.66666666667)</f>
        <v>44756.66667</v>
      </c>
      <c r="B450" s="1">
        <f>IFERROR(__xludf.DUMMYFUNCTION("""COMPUTED_VALUE"""),91.84)</f>
        <v>91.84</v>
      </c>
    </row>
    <row r="451">
      <c r="A451" s="2">
        <f>IFERROR(__xludf.DUMMYFUNCTION("""COMPUTED_VALUE"""),44757.66666666667)</f>
        <v>44757.66667</v>
      </c>
      <c r="B451" s="1">
        <f>IFERROR(__xludf.DUMMYFUNCTION("""COMPUTED_VALUE"""),95.2)</f>
        <v>95.2</v>
      </c>
    </row>
    <row r="452">
      <c r="A452" s="2">
        <f>IFERROR(__xludf.DUMMYFUNCTION("""COMPUTED_VALUE"""),44760.66666666667)</f>
        <v>44760.66667</v>
      </c>
      <c r="B452" s="1">
        <f>IFERROR(__xludf.DUMMYFUNCTION("""COMPUTED_VALUE"""),95.7)</f>
        <v>95.7</v>
      </c>
    </row>
    <row r="453">
      <c r="A453" s="2">
        <f>IFERROR(__xludf.DUMMYFUNCTION("""COMPUTED_VALUE"""),44761.66666666667)</f>
        <v>44761.66667</v>
      </c>
      <c r="B453" s="1">
        <f>IFERROR(__xludf.DUMMYFUNCTION("""COMPUTED_VALUE"""),99.61)</f>
        <v>99.61</v>
      </c>
    </row>
    <row r="454">
      <c r="A454" s="2">
        <f>IFERROR(__xludf.DUMMYFUNCTION("""COMPUTED_VALUE"""),44762.66666666667)</f>
        <v>44762.66667</v>
      </c>
      <c r="B454" s="1">
        <f>IFERROR(__xludf.DUMMYFUNCTION("""COMPUTED_VALUE"""),103.35)</f>
        <v>103.35</v>
      </c>
    </row>
    <row r="455">
      <c r="A455" s="2">
        <f>IFERROR(__xludf.DUMMYFUNCTION("""COMPUTED_VALUE"""),44763.66666666667)</f>
        <v>44763.66667</v>
      </c>
      <c r="B455" s="1">
        <f>IFERROR(__xludf.DUMMYFUNCTION("""COMPUTED_VALUE"""),104.18)</f>
        <v>104.18</v>
      </c>
    </row>
    <row r="456">
      <c r="A456" s="2">
        <f>IFERROR(__xludf.DUMMYFUNCTION("""COMPUTED_VALUE"""),44764.66666666667)</f>
        <v>44764.66667</v>
      </c>
      <c r="B456" s="1">
        <f>IFERROR(__xludf.DUMMYFUNCTION("""COMPUTED_VALUE"""),102.72)</f>
        <v>102.72</v>
      </c>
    </row>
    <row r="457">
      <c r="A457" s="2">
        <f>IFERROR(__xludf.DUMMYFUNCTION("""COMPUTED_VALUE"""),44767.66666666667)</f>
        <v>44767.66667</v>
      </c>
      <c r="B457" s="1">
        <f>IFERROR(__xludf.DUMMYFUNCTION("""COMPUTED_VALUE"""),102.69)</f>
        <v>102.69</v>
      </c>
    </row>
    <row r="458">
      <c r="A458" s="2">
        <f>IFERROR(__xludf.DUMMYFUNCTION("""COMPUTED_VALUE"""),44768.66666666667)</f>
        <v>44768.66667</v>
      </c>
      <c r="B458" s="1">
        <f>IFERROR(__xludf.DUMMYFUNCTION("""COMPUTED_VALUE"""),99.78)</f>
        <v>99.78</v>
      </c>
    </row>
    <row r="459">
      <c r="A459" s="2">
        <f>IFERROR(__xludf.DUMMYFUNCTION("""COMPUTED_VALUE"""),44769.66666666667)</f>
        <v>44769.66667</v>
      </c>
      <c r="B459" s="1">
        <f>IFERROR(__xludf.DUMMYFUNCTION("""COMPUTED_VALUE"""),103.5)</f>
        <v>103.5</v>
      </c>
    </row>
    <row r="460">
      <c r="A460" s="2">
        <f>IFERROR(__xludf.DUMMYFUNCTION("""COMPUTED_VALUE"""),44770.66666666667)</f>
        <v>44770.66667</v>
      </c>
      <c r="B460" s="1">
        <f>IFERROR(__xludf.DUMMYFUNCTION("""COMPUTED_VALUE"""),104.9)</f>
        <v>104.9</v>
      </c>
    </row>
    <row r="461">
      <c r="A461" s="2">
        <f>IFERROR(__xludf.DUMMYFUNCTION("""COMPUTED_VALUE"""),44771.66666666667)</f>
        <v>44771.66667</v>
      </c>
      <c r="B461" s="1">
        <f>IFERROR(__xludf.DUMMYFUNCTION("""COMPUTED_VALUE"""),106.1)</f>
        <v>106.1</v>
      </c>
    </row>
    <row r="462">
      <c r="A462" s="2">
        <f>IFERROR(__xludf.DUMMYFUNCTION("""COMPUTED_VALUE"""),44774.66666666667)</f>
        <v>44774.66667</v>
      </c>
      <c r="B462" s="1">
        <f>IFERROR(__xludf.DUMMYFUNCTION("""COMPUTED_VALUE"""),106.22)</f>
        <v>106.22</v>
      </c>
    </row>
    <row r="463">
      <c r="A463" s="2">
        <f>IFERROR(__xludf.DUMMYFUNCTION("""COMPUTED_VALUE"""),44775.66666666667)</f>
        <v>44775.66667</v>
      </c>
      <c r="B463" s="1">
        <f>IFERROR(__xludf.DUMMYFUNCTION("""COMPUTED_VALUE"""),104.71)</f>
        <v>104.71</v>
      </c>
    </row>
    <row r="464">
      <c r="A464" s="2">
        <f>IFERROR(__xludf.DUMMYFUNCTION("""COMPUTED_VALUE"""),44776.66666666667)</f>
        <v>44776.66667</v>
      </c>
      <c r="B464" s="1">
        <f>IFERROR(__xludf.DUMMYFUNCTION("""COMPUTED_VALUE"""),109.02)</f>
        <v>109.02</v>
      </c>
    </row>
    <row r="465">
      <c r="A465" s="2">
        <f>IFERROR(__xludf.DUMMYFUNCTION("""COMPUTED_VALUE"""),44777.66666666667)</f>
        <v>44777.66667</v>
      </c>
      <c r="B465" s="1">
        <f>IFERROR(__xludf.DUMMYFUNCTION("""COMPUTED_VALUE"""),108.12)</f>
        <v>108.12</v>
      </c>
    </row>
    <row r="466">
      <c r="A466" s="2">
        <f>IFERROR(__xludf.DUMMYFUNCTION("""COMPUTED_VALUE"""),44778.66666666667)</f>
        <v>44778.66667</v>
      </c>
      <c r="B466" s="1">
        <f>IFERROR(__xludf.DUMMYFUNCTION("""COMPUTED_VALUE"""),106.63)</f>
        <v>106.63</v>
      </c>
    </row>
    <row r="467">
      <c r="A467" s="2">
        <f>IFERROR(__xludf.DUMMYFUNCTION("""COMPUTED_VALUE"""),44781.66666666667)</f>
        <v>44781.66667</v>
      </c>
      <c r="B467" s="1">
        <f>IFERROR(__xludf.DUMMYFUNCTION("""COMPUTED_VALUE"""),109.11)</f>
        <v>109.11</v>
      </c>
    </row>
    <row r="468">
      <c r="A468" s="2">
        <f>IFERROR(__xludf.DUMMYFUNCTION("""COMPUTED_VALUE"""),44782.66666666667)</f>
        <v>44782.66667</v>
      </c>
      <c r="B468" s="1">
        <f>IFERROR(__xludf.DUMMYFUNCTION("""COMPUTED_VALUE"""),108.13)</f>
        <v>108.13</v>
      </c>
    </row>
    <row r="469">
      <c r="A469" s="2">
        <f>IFERROR(__xludf.DUMMYFUNCTION("""COMPUTED_VALUE"""),44783.66666666667)</f>
        <v>44783.66667</v>
      </c>
      <c r="B469" s="1">
        <f>IFERROR(__xludf.DUMMYFUNCTION("""COMPUTED_VALUE"""),112.43)</f>
        <v>112.43</v>
      </c>
    </row>
    <row r="470">
      <c r="A470" s="2">
        <f>IFERROR(__xludf.DUMMYFUNCTION("""COMPUTED_VALUE"""),44784.66666666667)</f>
        <v>44784.66667</v>
      </c>
      <c r="B470" s="1">
        <f>IFERROR(__xludf.DUMMYFUNCTION("""COMPUTED_VALUE"""),117.69)</f>
        <v>117.69</v>
      </c>
    </row>
    <row r="471">
      <c r="A471" s="2">
        <f>IFERROR(__xludf.DUMMYFUNCTION("""COMPUTED_VALUE"""),44785.66666666667)</f>
        <v>44785.66667</v>
      </c>
      <c r="B471" s="1">
        <f>IFERROR(__xludf.DUMMYFUNCTION("""COMPUTED_VALUE"""),121.57)</f>
        <v>121.57</v>
      </c>
    </row>
    <row r="472">
      <c r="A472" s="2">
        <f>IFERROR(__xludf.DUMMYFUNCTION("""COMPUTED_VALUE"""),44788.66666666667)</f>
        <v>44788.66667</v>
      </c>
      <c r="B472" s="1">
        <f>IFERROR(__xludf.DUMMYFUNCTION("""COMPUTED_VALUE"""),124.26)</f>
        <v>124.26</v>
      </c>
    </row>
    <row r="473">
      <c r="A473" s="2">
        <f>IFERROR(__xludf.DUMMYFUNCTION("""COMPUTED_VALUE"""),44789.66666666667)</f>
        <v>44789.66667</v>
      </c>
      <c r="B473" s="1">
        <f>IFERROR(__xludf.DUMMYFUNCTION("""COMPUTED_VALUE"""),124.96)</f>
        <v>124.96</v>
      </c>
    </row>
    <row r="474">
      <c r="A474" s="2">
        <f>IFERROR(__xludf.DUMMYFUNCTION("""COMPUTED_VALUE"""),44790.66666666667)</f>
        <v>44790.66667</v>
      </c>
      <c r="B474" s="1">
        <f>IFERROR(__xludf.DUMMYFUNCTION("""COMPUTED_VALUE"""),122.81)</f>
        <v>122.81</v>
      </c>
    </row>
    <row r="475">
      <c r="A475" s="2">
        <f>IFERROR(__xludf.DUMMYFUNCTION("""COMPUTED_VALUE"""),44791.66666666667)</f>
        <v>44791.66667</v>
      </c>
      <c r="B475" s="1">
        <f>IFERROR(__xludf.DUMMYFUNCTION("""COMPUTED_VALUE"""),122.67)</f>
        <v>122.67</v>
      </c>
    </row>
    <row r="476">
      <c r="A476" s="2">
        <f>IFERROR(__xludf.DUMMYFUNCTION("""COMPUTED_VALUE"""),44792.66666666667)</f>
        <v>44792.66667</v>
      </c>
      <c r="B476" s="1">
        <f>IFERROR(__xludf.DUMMYFUNCTION("""COMPUTED_VALUE"""),120.14)</f>
        <v>120.14</v>
      </c>
    </row>
    <row r="477">
      <c r="A477" s="2">
        <f>IFERROR(__xludf.DUMMYFUNCTION("""COMPUTED_VALUE"""),44795.66666666667)</f>
        <v>44795.66667</v>
      </c>
      <c r="B477" s="1">
        <f>IFERROR(__xludf.DUMMYFUNCTION("""COMPUTED_VALUE"""),115.94)</f>
        <v>115.94</v>
      </c>
    </row>
    <row r="478">
      <c r="A478" s="2">
        <f>IFERROR(__xludf.DUMMYFUNCTION("""COMPUTED_VALUE"""),44796.66666666667)</f>
        <v>44796.66667</v>
      </c>
      <c r="B478" s="1">
        <f>IFERROR(__xludf.DUMMYFUNCTION("""COMPUTED_VALUE"""),114.86)</f>
        <v>114.86</v>
      </c>
    </row>
    <row r="479">
      <c r="A479" s="2">
        <f>IFERROR(__xludf.DUMMYFUNCTION("""COMPUTED_VALUE"""),44797.66666666667)</f>
        <v>44797.66667</v>
      </c>
      <c r="B479" s="1">
        <f>IFERROR(__xludf.DUMMYFUNCTION("""COMPUTED_VALUE"""),116.41)</f>
        <v>116.41</v>
      </c>
    </row>
    <row r="480">
      <c r="A480" s="2">
        <f>IFERROR(__xludf.DUMMYFUNCTION("""COMPUTED_VALUE"""),44798.66666666667)</f>
        <v>44798.66667</v>
      </c>
      <c r="B480" s="1">
        <f>IFERROR(__xludf.DUMMYFUNCTION("""COMPUTED_VALUE"""),117.46)</f>
        <v>117.46</v>
      </c>
    </row>
    <row r="481">
      <c r="A481" s="2">
        <f>IFERROR(__xludf.DUMMYFUNCTION("""COMPUTED_VALUE"""),44799.66666666667)</f>
        <v>44799.66667</v>
      </c>
      <c r="B481" s="1">
        <f>IFERROR(__xludf.DUMMYFUNCTION("""COMPUTED_VALUE"""),114.07)</f>
        <v>114.07</v>
      </c>
    </row>
    <row r="482">
      <c r="A482" s="2">
        <f>IFERROR(__xludf.DUMMYFUNCTION("""COMPUTED_VALUE"""),44802.66666666667)</f>
        <v>44802.66667</v>
      </c>
      <c r="B482" s="1">
        <f>IFERROR(__xludf.DUMMYFUNCTION("""COMPUTED_VALUE"""),113.53)</f>
        <v>113.53</v>
      </c>
    </row>
    <row r="483">
      <c r="A483" s="2">
        <f>IFERROR(__xludf.DUMMYFUNCTION("""COMPUTED_VALUE"""),44803.66666666667)</f>
        <v>44803.66667</v>
      </c>
      <c r="B483" s="1">
        <f>IFERROR(__xludf.DUMMYFUNCTION("""COMPUTED_VALUE"""),112.43)</f>
        <v>112.43</v>
      </c>
    </row>
    <row r="484">
      <c r="A484" s="2">
        <f>IFERROR(__xludf.DUMMYFUNCTION("""COMPUTED_VALUE"""),44804.66666666667)</f>
        <v>44804.66667</v>
      </c>
      <c r="B484" s="1">
        <f>IFERROR(__xludf.DUMMYFUNCTION("""COMPUTED_VALUE"""),112.08)</f>
        <v>112.08</v>
      </c>
    </row>
    <row r="485">
      <c r="A485" s="2">
        <f>IFERROR(__xludf.DUMMYFUNCTION("""COMPUTED_VALUE"""),44805.66666666667)</f>
        <v>44805.66667</v>
      </c>
      <c r="B485" s="1">
        <f>IFERROR(__xludf.DUMMYFUNCTION("""COMPUTED_VALUE"""),112.53)</f>
        <v>112.53</v>
      </c>
    </row>
    <row r="486">
      <c r="A486" s="2">
        <f>IFERROR(__xludf.DUMMYFUNCTION("""COMPUTED_VALUE"""),44806.66666666667)</f>
        <v>44806.66667</v>
      </c>
      <c r="B486" s="1">
        <f>IFERROR(__xludf.DUMMYFUNCTION("""COMPUTED_VALUE"""),111.2)</f>
        <v>111.2</v>
      </c>
    </row>
    <row r="487">
      <c r="A487" s="2">
        <f>IFERROR(__xludf.DUMMYFUNCTION("""COMPUTED_VALUE"""),44810.66666666667)</f>
        <v>44810.66667</v>
      </c>
      <c r="B487" s="1">
        <f>IFERROR(__xludf.DUMMYFUNCTION("""COMPUTED_VALUE"""),110.09)</f>
        <v>110.09</v>
      </c>
    </row>
    <row r="488">
      <c r="A488" s="2">
        <f>IFERROR(__xludf.DUMMYFUNCTION("""COMPUTED_VALUE"""),44811.66666666667)</f>
        <v>44811.66667</v>
      </c>
      <c r="B488" s="1">
        <f>IFERROR(__xludf.DUMMYFUNCTION("""COMPUTED_VALUE"""),112.69)</f>
        <v>112.69</v>
      </c>
    </row>
    <row r="489">
      <c r="A489" s="2">
        <f>IFERROR(__xludf.DUMMYFUNCTION("""COMPUTED_VALUE"""),44812.66666666667)</f>
        <v>44812.66667</v>
      </c>
      <c r="B489" s="1">
        <f>IFERROR(__xludf.DUMMYFUNCTION("""COMPUTED_VALUE"""),112.33)</f>
        <v>112.33</v>
      </c>
    </row>
    <row r="490">
      <c r="A490" s="2">
        <f>IFERROR(__xludf.DUMMYFUNCTION("""COMPUTED_VALUE"""),44813.66666666667)</f>
        <v>44813.66667</v>
      </c>
      <c r="B490" s="1">
        <f>IFERROR(__xludf.DUMMYFUNCTION("""COMPUTED_VALUE"""),115.18)</f>
        <v>115.18</v>
      </c>
    </row>
    <row r="491">
      <c r="A491" s="2">
        <f>IFERROR(__xludf.DUMMYFUNCTION("""COMPUTED_VALUE"""),44816.66666666667)</f>
        <v>44816.66667</v>
      </c>
      <c r="B491" s="1">
        <f>IFERROR(__xludf.DUMMYFUNCTION("""COMPUTED_VALUE"""),116.39)</f>
        <v>116.39</v>
      </c>
    </row>
    <row r="492">
      <c r="A492" s="2">
        <f>IFERROR(__xludf.DUMMYFUNCTION("""COMPUTED_VALUE"""),44817.66666666667)</f>
        <v>44817.66667</v>
      </c>
      <c r="B492" s="1">
        <f>IFERROR(__xludf.DUMMYFUNCTION("""COMPUTED_VALUE"""),111.76)</f>
        <v>111.76</v>
      </c>
    </row>
    <row r="493">
      <c r="A493" s="2">
        <f>IFERROR(__xludf.DUMMYFUNCTION("""COMPUTED_VALUE"""),44818.66666666667)</f>
        <v>44818.66667</v>
      </c>
      <c r="B493" s="1">
        <f>IFERROR(__xludf.DUMMYFUNCTION("""COMPUTED_VALUE"""),112.5)</f>
        <v>112.5</v>
      </c>
    </row>
    <row r="494">
      <c r="A494" s="2">
        <f>IFERROR(__xludf.DUMMYFUNCTION("""COMPUTED_VALUE"""),44819.66666666667)</f>
        <v>44819.66667</v>
      </c>
      <c r="B494" s="1">
        <f>IFERROR(__xludf.DUMMYFUNCTION("""COMPUTED_VALUE"""),110.77)</f>
        <v>110.77</v>
      </c>
    </row>
    <row r="495">
      <c r="A495" s="2">
        <f>IFERROR(__xludf.DUMMYFUNCTION("""COMPUTED_VALUE"""),44820.66666666667)</f>
        <v>44820.66667</v>
      </c>
      <c r="B495" s="1">
        <f>IFERROR(__xludf.DUMMYFUNCTION("""COMPUTED_VALUE"""),108.25)</f>
        <v>108.25</v>
      </c>
    </row>
    <row r="496">
      <c r="A496" s="2">
        <f>IFERROR(__xludf.DUMMYFUNCTION("""COMPUTED_VALUE"""),44823.66666666667)</f>
        <v>44823.66667</v>
      </c>
      <c r="B496" s="1">
        <f>IFERROR(__xludf.DUMMYFUNCTION("""COMPUTED_VALUE"""),109.17)</f>
        <v>109.17</v>
      </c>
    </row>
    <row r="497">
      <c r="A497" s="2">
        <f>IFERROR(__xludf.DUMMYFUNCTION("""COMPUTED_VALUE"""),44824.66666666667)</f>
        <v>44824.66667</v>
      </c>
      <c r="B497" s="1">
        <f>IFERROR(__xludf.DUMMYFUNCTION("""COMPUTED_VALUE"""),107.57)</f>
        <v>107.57</v>
      </c>
    </row>
    <row r="498">
      <c r="A498" s="2">
        <f>IFERROR(__xludf.DUMMYFUNCTION("""COMPUTED_VALUE"""),44825.66666666667)</f>
        <v>44825.66667</v>
      </c>
      <c r="B498" s="1">
        <f>IFERROR(__xludf.DUMMYFUNCTION("""COMPUTED_VALUE"""),104.49)</f>
        <v>104.49</v>
      </c>
    </row>
    <row r="499">
      <c r="A499" s="2">
        <f>IFERROR(__xludf.DUMMYFUNCTION("""COMPUTED_VALUE"""),44826.66666666667)</f>
        <v>44826.66667</v>
      </c>
      <c r="B499" s="1">
        <f>IFERROR(__xludf.DUMMYFUNCTION("""COMPUTED_VALUE"""),102.16)</f>
        <v>102.16</v>
      </c>
    </row>
    <row r="500">
      <c r="A500" s="2">
        <f>IFERROR(__xludf.DUMMYFUNCTION("""COMPUTED_VALUE"""),44827.66666666667)</f>
        <v>44827.66667</v>
      </c>
      <c r="B500" s="1">
        <f>IFERROR(__xludf.DUMMYFUNCTION("""COMPUTED_VALUE"""),99.5)</f>
        <v>99.5</v>
      </c>
    </row>
    <row r="501">
      <c r="A501" s="2">
        <f>IFERROR(__xludf.DUMMYFUNCTION("""COMPUTED_VALUE"""),44830.66666666667)</f>
        <v>44830.66667</v>
      </c>
      <c r="B501" s="1">
        <f>IFERROR(__xludf.DUMMYFUNCTION("""COMPUTED_VALUE"""),98.12)</f>
        <v>98.12</v>
      </c>
    </row>
    <row r="502">
      <c r="A502" s="2">
        <f>IFERROR(__xludf.DUMMYFUNCTION("""COMPUTED_VALUE"""),44831.66666666667)</f>
        <v>44831.66667</v>
      </c>
      <c r="B502" s="1">
        <f>IFERROR(__xludf.DUMMYFUNCTION("""COMPUTED_VALUE"""),95.85)</f>
        <v>95.85</v>
      </c>
    </row>
    <row r="503">
      <c r="A503" s="2">
        <f>IFERROR(__xludf.DUMMYFUNCTION("""COMPUTED_VALUE"""),44832.66666666667)</f>
        <v>44832.66667</v>
      </c>
      <c r="B503" s="1">
        <f>IFERROR(__xludf.DUMMYFUNCTION("""COMPUTED_VALUE"""),99.4)</f>
        <v>99.4</v>
      </c>
    </row>
    <row r="504">
      <c r="A504" s="2">
        <f>IFERROR(__xludf.DUMMYFUNCTION("""COMPUTED_VALUE"""),44833.66666666667)</f>
        <v>44833.66667</v>
      </c>
      <c r="B504" s="1">
        <f>IFERROR(__xludf.DUMMYFUNCTION("""COMPUTED_VALUE"""),97.45)</f>
        <v>97.45</v>
      </c>
    </row>
    <row r="505">
      <c r="A505" s="2">
        <f>IFERROR(__xludf.DUMMYFUNCTION("""COMPUTED_VALUE"""),44834.66666666667)</f>
        <v>44834.66667</v>
      </c>
      <c r="B505" s="1">
        <f>IFERROR(__xludf.DUMMYFUNCTION("""COMPUTED_VALUE"""),94.33)</f>
        <v>94.33</v>
      </c>
    </row>
    <row r="506">
      <c r="A506" s="2">
        <f>IFERROR(__xludf.DUMMYFUNCTION("""COMPUTED_VALUE"""),44837.66666666667)</f>
        <v>44837.66667</v>
      </c>
      <c r="B506" s="1">
        <f>IFERROR(__xludf.DUMMYFUNCTION("""COMPUTED_VALUE"""),97.13)</f>
        <v>97.13</v>
      </c>
    </row>
    <row r="507">
      <c r="A507" s="2">
        <f>IFERROR(__xludf.DUMMYFUNCTION("""COMPUTED_VALUE"""),44838.66666666667)</f>
        <v>44838.66667</v>
      </c>
      <c r="B507" s="1">
        <f>IFERROR(__xludf.DUMMYFUNCTION("""COMPUTED_VALUE"""),101.44)</f>
        <v>101.44</v>
      </c>
    </row>
    <row r="508">
      <c r="A508" s="2">
        <f>IFERROR(__xludf.DUMMYFUNCTION("""COMPUTED_VALUE"""),44839.66666666667)</f>
        <v>44839.66667</v>
      </c>
      <c r="B508" s="1">
        <f>IFERROR(__xludf.DUMMYFUNCTION("""COMPUTED_VALUE"""),100.8)</f>
        <v>100.8</v>
      </c>
    </row>
    <row r="509">
      <c r="A509" s="2">
        <f>IFERROR(__xludf.DUMMYFUNCTION("""COMPUTED_VALUE"""),44840.66666666667)</f>
        <v>44840.66667</v>
      </c>
      <c r="B509" s="1">
        <f>IFERROR(__xludf.DUMMYFUNCTION("""COMPUTED_VALUE"""),100.04)</f>
        <v>100.04</v>
      </c>
    </row>
    <row r="510">
      <c r="A510" s="2">
        <f>IFERROR(__xludf.DUMMYFUNCTION("""COMPUTED_VALUE"""),44841.66666666667)</f>
        <v>44841.66667</v>
      </c>
      <c r="B510" s="1">
        <f>IFERROR(__xludf.DUMMYFUNCTION("""COMPUTED_VALUE"""),97.16)</f>
        <v>97.16</v>
      </c>
    </row>
    <row r="511">
      <c r="A511" s="2">
        <f>IFERROR(__xludf.DUMMYFUNCTION("""COMPUTED_VALUE"""),44844.66666666667)</f>
        <v>44844.66667</v>
      </c>
      <c r="B511" s="1">
        <f>IFERROR(__xludf.DUMMYFUNCTION("""COMPUTED_VALUE"""),95.16)</f>
        <v>95.16</v>
      </c>
    </row>
    <row r="512">
      <c r="A512" s="2">
        <f>IFERROR(__xludf.DUMMYFUNCTION("""COMPUTED_VALUE"""),44845.66666666667)</f>
        <v>44845.66667</v>
      </c>
      <c r="B512" s="1">
        <f>IFERROR(__xludf.DUMMYFUNCTION("""COMPUTED_VALUE"""),93.1)</f>
        <v>93.1</v>
      </c>
    </row>
    <row r="513">
      <c r="A513" s="2">
        <f>IFERROR(__xludf.DUMMYFUNCTION("""COMPUTED_VALUE"""),44846.66666666667)</f>
        <v>44846.66667</v>
      </c>
      <c r="B513" s="1">
        <f>IFERROR(__xludf.DUMMYFUNCTION("""COMPUTED_VALUE"""),93.41)</f>
        <v>93.41</v>
      </c>
    </row>
    <row r="514">
      <c r="A514" s="2">
        <f>IFERROR(__xludf.DUMMYFUNCTION("""COMPUTED_VALUE"""),44847.66666666667)</f>
        <v>44847.66667</v>
      </c>
      <c r="B514" s="1">
        <f>IFERROR(__xludf.DUMMYFUNCTION("""COMPUTED_VALUE"""),96.64)</f>
        <v>96.64</v>
      </c>
    </row>
    <row r="515">
      <c r="A515" s="2">
        <f>IFERROR(__xludf.DUMMYFUNCTION("""COMPUTED_VALUE"""),44848.66666666667)</f>
        <v>44848.66667</v>
      </c>
      <c r="B515" s="1">
        <f>IFERROR(__xludf.DUMMYFUNCTION("""COMPUTED_VALUE"""),94.45)</f>
        <v>94.45</v>
      </c>
    </row>
    <row r="516">
      <c r="A516" s="2">
        <f>IFERROR(__xludf.DUMMYFUNCTION("""COMPUTED_VALUE"""),44851.66666666667)</f>
        <v>44851.66667</v>
      </c>
      <c r="B516" s="1">
        <f>IFERROR(__xludf.DUMMYFUNCTION("""COMPUTED_VALUE"""),97.33)</f>
        <v>97.33</v>
      </c>
    </row>
    <row r="517">
      <c r="A517" s="2">
        <f>IFERROR(__xludf.DUMMYFUNCTION("""COMPUTED_VALUE"""),44852.66666666667)</f>
        <v>44852.66667</v>
      </c>
      <c r="B517" s="1">
        <f>IFERROR(__xludf.DUMMYFUNCTION("""COMPUTED_VALUE"""),98.48)</f>
        <v>98.48</v>
      </c>
    </row>
    <row r="518">
      <c r="A518" s="2">
        <f>IFERROR(__xludf.DUMMYFUNCTION("""COMPUTED_VALUE"""),44853.66666666667)</f>
        <v>44853.66667</v>
      </c>
      <c r="B518" s="1">
        <f>IFERROR(__xludf.DUMMYFUNCTION("""COMPUTED_VALUE"""),98.99)</f>
        <v>98.99</v>
      </c>
    </row>
    <row r="519">
      <c r="A519" s="2">
        <f>IFERROR(__xludf.DUMMYFUNCTION("""COMPUTED_VALUE"""),44854.66666666667)</f>
        <v>44854.66667</v>
      </c>
      <c r="B519" s="1">
        <f>IFERROR(__xludf.DUMMYFUNCTION("""COMPUTED_VALUE"""),98.59)</f>
        <v>98.59</v>
      </c>
    </row>
    <row r="520">
      <c r="A520" s="2">
        <f>IFERROR(__xludf.DUMMYFUNCTION("""COMPUTED_VALUE"""),44855.66666666667)</f>
        <v>44855.66667</v>
      </c>
      <c r="B520" s="1">
        <f>IFERROR(__xludf.DUMMYFUNCTION("""COMPUTED_VALUE"""),102.04)</f>
        <v>102.04</v>
      </c>
    </row>
    <row r="521">
      <c r="A521" s="2">
        <f>IFERROR(__xludf.DUMMYFUNCTION("""COMPUTED_VALUE"""),44858.66666666667)</f>
        <v>44858.66667</v>
      </c>
      <c r="B521" s="1">
        <f>IFERROR(__xludf.DUMMYFUNCTION("""COMPUTED_VALUE"""),101.72)</f>
        <v>101.72</v>
      </c>
    </row>
    <row r="522">
      <c r="A522" s="2">
        <f>IFERROR(__xludf.DUMMYFUNCTION("""COMPUTED_VALUE"""),44859.66666666667)</f>
        <v>44859.66667</v>
      </c>
      <c r="B522" s="1">
        <f>IFERROR(__xludf.DUMMYFUNCTION("""COMPUTED_VALUE"""),104.36)</f>
        <v>104.36</v>
      </c>
    </row>
    <row r="523">
      <c r="A523" s="2">
        <f>IFERROR(__xludf.DUMMYFUNCTION("""COMPUTED_VALUE"""),44860.66666666667)</f>
        <v>44860.66667</v>
      </c>
      <c r="B523" s="1">
        <f>IFERROR(__xludf.DUMMYFUNCTION("""COMPUTED_VALUE"""),104.63)</f>
        <v>104.63</v>
      </c>
    </row>
    <row r="524">
      <c r="A524" s="2">
        <f>IFERROR(__xludf.DUMMYFUNCTION("""COMPUTED_VALUE"""),44861.66666666667)</f>
        <v>44861.66667</v>
      </c>
      <c r="B524" s="1">
        <f>IFERROR(__xludf.DUMMYFUNCTION("""COMPUTED_VALUE"""),104.44)</f>
        <v>104.44</v>
      </c>
    </row>
    <row r="525">
      <c r="A525" s="2">
        <f>IFERROR(__xludf.DUMMYFUNCTION("""COMPUTED_VALUE"""),44862.66666666667)</f>
        <v>44862.66667</v>
      </c>
      <c r="B525" s="1">
        <f>IFERROR(__xludf.DUMMYFUNCTION("""COMPUTED_VALUE"""),105.95)</f>
        <v>105.95</v>
      </c>
    </row>
    <row r="526">
      <c r="A526" s="2">
        <f>IFERROR(__xludf.DUMMYFUNCTION("""COMPUTED_VALUE"""),44865.66666666667)</f>
        <v>44865.66667</v>
      </c>
      <c r="B526" s="1">
        <f>IFERROR(__xludf.DUMMYFUNCTION("""COMPUTED_VALUE"""),106.54)</f>
        <v>106.54</v>
      </c>
    </row>
    <row r="527">
      <c r="A527" s="2">
        <f>IFERROR(__xludf.DUMMYFUNCTION("""COMPUTED_VALUE"""),44866.66666666667)</f>
        <v>44866.66667</v>
      </c>
      <c r="B527" s="1">
        <f>IFERROR(__xludf.DUMMYFUNCTION("""COMPUTED_VALUE"""),106.0)</f>
        <v>106</v>
      </c>
    </row>
    <row r="528">
      <c r="A528" s="2">
        <f>IFERROR(__xludf.DUMMYFUNCTION("""COMPUTED_VALUE"""),44867.66666666667)</f>
        <v>44867.66667</v>
      </c>
      <c r="B528" s="1">
        <f>IFERROR(__xludf.DUMMYFUNCTION("""COMPUTED_VALUE"""),101.82)</f>
        <v>101.82</v>
      </c>
    </row>
    <row r="529">
      <c r="A529" s="2">
        <f>IFERROR(__xludf.DUMMYFUNCTION("""COMPUTED_VALUE"""),44868.66666666667)</f>
        <v>44868.66667</v>
      </c>
      <c r="B529" s="1">
        <f>IFERROR(__xludf.DUMMYFUNCTION("""COMPUTED_VALUE"""),99.25)</f>
        <v>99.25</v>
      </c>
    </row>
    <row r="530">
      <c r="A530" s="2">
        <f>IFERROR(__xludf.DUMMYFUNCTION("""COMPUTED_VALUE"""),44869.66666666667)</f>
        <v>44869.66667</v>
      </c>
      <c r="B530" s="1">
        <f>IFERROR(__xludf.DUMMYFUNCTION("""COMPUTED_VALUE"""),99.58)</f>
        <v>99.58</v>
      </c>
    </row>
    <row r="531">
      <c r="A531" s="2">
        <f>IFERROR(__xludf.DUMMYFUNCTION("""COMPUTED_VALUE"""),44872.66666666667)</f>
        <v>44872.66667</v>
      </c>
      <c r="B531" s="1">
        <f>IFERROR(__xludf.DUMMYFUNCTION("""COMPUTED_VALUE"""),100.43)</f>
        <v>100.43</v>
      </c>
    </row>
    <row r="532">
      <c r="A532" s="2">
        <f>IFERROR(__xludf.DUMMYFUNCTION("""COMPUTED_VALUE"""),44873.66666666667)</f>
        <v>44873.66667</v>
      </c>
      <c r="B532" s="1">
        <f>IFERROR(__xludf.DUMMYFUNCTION("""COMPUTED_VALUE"""),99.9)</f>
        <v>99.9</v>
      </c>
    </row>
    <row r="533">
      <c r="A533" s="2">
        <f>IFERROR(__xludf.DUMMYFUNCTION("""COMPUTED_VALUE"""),44874.66666666667)</f>
        <v>44874.66667</v>
      </c>
      <c r="B533" s="1">
        <f>IFERROR(__xludf.DUMMYFUNCTION("""COMPUTED_VALUE"""),86.75)</f>
        <v>86.75</v>
      </c>
    </row>
    <row r="534">
      <c r="A534" s="2">
        <f>IFERROR(__xludf.DUMMYFUNCTION("""COMPUTED_VALUE"""),44875.66666666667)</f>
        <v>44875.66667</v>
      </c>
      <c r="B534" s="1">
        <f>IFERROR(__xludf.DUMMYFUNCTION("""COMPUTED_VALUE"""),90.46)</f>
        <v>90.46</v>
      </c>
    </row>
    <row r="535">
      <c r="A535" s="2">
        <f>IFERROR(__xludf.DUMMYFUNCTION("""COMPUTED_VALUE"""),44876.66666666667)</f>
        <v>44876.66667</v>
      </c>
      <c r="B535" s="1">
        <f>IFERROR(__xludf.DUMMYFUNCTION("""COMPUTED_VALUE"""),95.01)</f>
        <v>95.01</v>
      </c>
    </row>
    <row r="536">
      <c r="A536" s="2">
        <f>IFERROR(__xludf.DUMMYFUNCTION("""COMPUTED_VALUE"""),44879.66666666667)</f>
        <v>44879.66667</v>
      </c>
      <c r="B536" s="1">
        <f>IFERROR(__xludf.DUMMYFUNCTION("""COMPUTED_VALUE"""),94.28)</f>
        <v>94.28</v>
      </c>
    </row>
    <row r="537">
      <c r="A537" s="2">
        <f>IFERROR(__xludf.DUMMYFUNCTION("""COMPUTED_VALUE"""),44880.66666666667)</f>
        <v>44880.66667</v>
      </c>
      <c r="B537" s="1">
        <f>IFERROR(__xludf.DUMMYFUNCTION("""COMPUTED_VALUE"""),95.51)</f>
        <v>95.51</v>
      </c>
    </row>
    <row r="538">
      <c r="A538" s="2">
        <f>IFERROR(__xludf.DUMMYFUNCTION("""COMPUTED_VALUE"""),44881.66666666667)</f>
        <v>44881.66667</v>
      </c>
      <c r="B538" s="1">
        <f>IFERROR(__xludf.DUMMYFUNCTION("""COMPUTED_VALUE"""),93.95)</f>
        <v>93.95</v>
      </c>
    </row>
    <row r="539">
      <c r="A539" s="2">
        <f>IFERROR(__xludf.DUMMYFUNCTION("""COMPUTED_VALUE"""),44882.66666666667)</f>
        <v>44882.66667</v>
      </c>
      <c r="B539" s="1">
        <f>IFERROR(__xludf.DUMMYFUNCTION("""COMPUTED_VALUE"""),91.45)</f>
        <v>91.45</v>
      </c>
    </row>
    <row r="540">
      <c r="A540" s="2">
        <f>IFERROR(__xludf.DUMMYFUNCTION("""COMPUTED_VALUE"""),44883.66666666667)</f>
        <v>44883.66667</v>
      </c>
      <c r="B540" s="1">
        <f>IFERROR(__xludf.DUMMYFUNCTION("""COMPUTED_VALUE"""),91.8)</f>
        <v>91.8</v>
      </c>
    </row>
    <row r="541">
      <c r="A541" s="2">
        <f>IFERROR(__xludf.DUMMYFUNCTION("""COMPUTED_VALUE"""),44886.66666666667)</f>
        <v>44886.66667</v>
      </c>
      <c r="B541" s="1">
        <f>IFERROR(__xludf.DUMMYFUNCTION("""COMPUTED_VALUE"""),97.58)</f>
        <v>97.58</v>
      </c>
    </row>
    <row r="542">
      <c r="A542" s="2">
        <f>IFERROR(__xludf.DUMMYFUNCTION("""COMPUTED_VALUE"""),44887.66666666667)</f>
        <v>44887.66667</v>
      </c>
      <c r="B542" s="1">
        <f>IFERROR(__xludf.DUMMYFUNCTION("""COMPUTED_VALUE"""),96.21)</f>
        <v>96.21</v>
      </c>
    </row>
    <row r="543">
      <c r="A543" s="2">
        <f>IFERROR(__xludf.DUMMYFUNCTION("""COMPUTED_VALUE"""),44888.66666666667)</f>
        <v>44888.66667</v>
      </c>
      <c r="B543" s="1">
        <f>IFERROR(__xludf.DUMMYFUNCTION("""COMPUTED_VALUE"""),98.88)</f>
        <v>98.88</v>
      </c>
    </row>
    <row r="544">
      <c r="A544" s="2">
        <f>IFERROR(__xludf.DUMMYFUNCTION("""COMPUTED_VALUE"""),44890.54166666667)</f>
        <v>44890.54167</v>
      </c>
      <c r="B544" s="1">
        <f>IFERROR(__xludf.DUMMYFUNCTION("""COMPUTED_VALUE"""),98.87)</f>
        <v>98.87</v>
      </c>
    </row>
    <row r="545">
      <c r="A545" s="2">
        <f>IFERROR(__xludf.DUMMYFUNCTION("""COMPUTED_VALUE"""),44893.66666666667)</f>
        <v>44893.66667</v>
      </c>
      <c r="B545" s="1">
        <f>IFERROR(__xludf.DUMMYFUNCTION("""COMPUTED_VALUE"""),95.69)</f>
        <v>95.69</v>
      </c>
    </row>
    <row r="546">
      <c r="A546" s="2">
        <f>IFERROR(__xludf.DUMMYFUNCTION("""COMPUTED_VALUE"""),44894.66666666667)</f>
        <v>44894.66667</v>
      </c>
      <c r="B546" s="1">
        <f>IFERROR(__xludf.DUMMYFUNCTION("""COMPUTED_VALUE"""),94.69)</f>
        <v>94.69</v>
      </c>
    </row>
    <row r="547">
      <c r="A547" s="2">
        <f>IFERROR(__xludf.DUMMYFUNCTION("""COMPUTED_VALUE"""),44895.66666666667)</f>
        <v>44895.66667</v>
      </c>
      <c r="B547" s="1">
        <f>IFERROR(__xludf.DUMMYFUNCTION("""COMPUTED_VALUE"""),97.87)</f>
        <v>97.87</v>
      </c>
    </row>
    <row r="548">
      <c r="A548" s="2">
        <f>IFERROR(__xludf.DUMMYFUNCTION("""COMPUTED_VALUE"""),44896.66666666667)</f>
        <v>44896.66667</v>
      </c>
      <c r="B548" s="1">
        <f>IFERROR(__xludf.DUMMYFUNCTION("""COMPUTED_VALUE"""),98.59)</f>
        <v>98.59</v>
      </c>
    </row>
    <row r="549">
      <c r="A549" s="2">
        <f>IFERROR(__xludf.DUMMYFUNCTION("""COMPUTED_VALUE"""),44897.66666666667)</f>
        <v>44897.66667</v>
      </c>
      <c r="B549" s="1">
        <f>IFERROR(__xludf.DUMMYFUNCTION("""COMPUTED_VALUE"""),99.43)</f>
        <v>99.43</v>
      </c>
    </row>
    <row r="550">
      <c r="A550" s="2">
        <f>IFERROR(__xludf.DUMMYFUNCTION("""COMPUTED_VALUE"""),44900.66666666667)</f>
        <v>44900.66667</v>
      </c>
      <c r="B550" s="1">
        <f>IFERROR(__xludf.DUMMYFUNCTION("""COMPUTED_VALUE"""),95.93)</f>
        <v>95.93</v>
      </c>
    </row>
    <row r="551">
      <c r="A551" s="2">
        <f>IFERROR(__xludf.DUMMYFUNCTION("""COMPUTED_VALUE"""),44901.66666666667)</f>
        <v>44901.66667</v>
      </c>
      <c r="B551" s="1">
        <f>IFERROR(__xludf.DUMMYFUNCTION("""COMPUTED_VALUE"""),92.29)</f>
        <v>92.29</v>
      </c>
    </row>
    <row r="552">
      <c r="A552" s="2">
        <f>IFERROR(__xludf.DUMMYFUNCTION("""COMPUTED_VALUE"""),44902.66666666667)</f>
        <v>44902.66667</v>
      </c>
      <c r="B552" s="1">
        <f>IFERROR(__xludf.DUMMYFUNCTION("""COMPUTED_VALUE"""),92.15)</f>
        <v>92.15</v>
      </c>
    </row>
    <row r="553">
      <c r="A553" s="2">
        <f>IFERROR(__xludf.DUMMYFUNCTION("""COMPUTED_VALUE"""),44903.66666666667)</f>
        <v>44903.66667</v>
      </c>
      <c r="B553" s="1">
        <f>IFERROR(__xludf.DUMMYFUNCTION("""COMPUTED_VALUE"""),92.55)</f>
        <v>92.55</v>
      </c>
    </row>
    <row r="554">
      <c r="A554" s="2">
        <f>IFERROR(__xludf.DUMMYFUNCTION("""COMPUTED_VALUE"""),44904.66666666667)</f>
        <v>44904.66667</v>
      </c>
      <c r="B554" s="1">
        <f>IFERROR(__xludf.DUMMYFUNCTION("""COMPUTED_VALUE"""),93.38)</f>
        <v>93.38</v>
      </c>
    </row>
    <row r="555">
      <c r="A555" s="2">
        <f>IFERROR(__xludf.DUMMYFUNCTION("""COMPUTED_VALUE"""),44907.66666666667)</f>
        <v>44907.66667</v>
      </c>
      <c r="B555" s="1">
        <f>IFERROR(__xludf.DUMMYFUNCTION("""COMPUTED_VALUE"""),94.66)</f>
        <v>94.66</v>
      </c>
    </row>
    <row r="556">
      <c r="A556" s="2">
        <f>IFERROR(__xludf.DUMMYFUNCTION("""COMPUTED_VALUE"""),44908.66666666667)</f>
        <v>44908.66667</v>
      </c>
      <c r="B556" s="1">
        <f>IFERROR(__xludf.DUMMYFUNCTION("""COMPUTED_VALUE"""),94.7)</f>
        <v>94.7</v>
      </c>
    </row>
    <row r="557">
      <c r="A557" s="2">
        <f>IFERROR(__xludf.DUMMYFUNCTION("""COMPUTED_VALUE"""),44909.66666666667)</f>
        <v>44909.66667</v>
      </c>
      <c r="B557" s="1">
        <f>IFERROR(__xludf.DUMMYFUNCTION("""COMPUTED_VALUE"""),94.15)</f>
        <v>94.15</v>
      </c>
    </row>
    <row r="558">
      <c r="A558" s="2">
        <f>IFERROR(__xludf.DUMMYFUNCTION("""COMPUTED_VALUE"""),44910.66666666667)</f>
        <v>44910.66667</v>
      </c>
      <c r="B558" s="1">
        <f>IFERROR(__xludf.DUMMYFUNCTION("""COMPUTED_VALUE"""),90.49)</f>
        <v>90.49</v>
      </c>
    </row>
    <row r="559">
      <c r="A559" s="2">
        <f>IFERROR(__xludf.DUMMYFUNCTION("""COMPUTED_VALUE"""),44911.66666666667)</f>
        <v>44911.66667</v>
      </c>
      <c r="B559" s="1">
        <f>IFERROR(__xludf.DUMMYFUNCTION("""COMPUTED_VALUE"""),90.08)</f>
        <v>90.08</v>
      </c>
    </row>
    <row r="560">
      <c r="A560" s="2">
        <f>IFERROR(__xludf.DUMMYFUNCTION("""COMPUTED_VALUE"""),44914.66666666667)</f>
        <v>44914.66667</v>
      </c>
      <c r="B560" s="1">
        <f>IFERROR(__xludf.DUMMYFUNCTION("""COMPUTED_VALUE"""),85.78)</f>
        <v>85.78</v>
      </c>
    </row>
    <row r="561">
      <c r="A561" s="2">
        <f>IFERROR(__xludf.DUMMYFUNCTION("""COMPUTED_VALUE"""),44915.66666666667)</f>
        <v>44915.66667</v>
      </c>
      <c r="B561" s="1">
        <f>IFERROR(__xludf.DUMMYFUNCTION("""COMPUTED_VALUE"""),87.02)</f>
        <v>87.02</v>
      </c>
    </row>
    <row r="562">
      <c r="A562" s="2">
        <f>IFERROR(__xludf.DUMMYFUNCTION("""COMPUTED_VALUE"""),44916.66666666667)</f>
        <v>44916.66667</v>
      </c>
      <c r="B562" s="1">
        <f>IFERROR(__xludf.DUMMYFUNCTION("""COMPUTED_VALUE"""),86.92)</f>
        <v>86.92</v>
      </c>
    </row>
    <row r="563">
      <c r="A563" s="2">
        <f>IFERROR(__xludf.DUMMYFUNCTION("""COMPUTED_VALUE"""),44917.66666666667)</f>
        <v>44917.66667</v>
      </c>
      <c r="B563" s="1">
        <f>IFERROR(__xludf.DUMMYFUNCTION("""COMPUTED_VALUE"""),86.67)</f>
        <v>86.67</v>
      </c>
    </row>
    <row r="564">
      <c r="A564" s="2">
        <f>IFERROR(__xludf.DUMMYFUNCTION("""COMPUTED_VALUE"""),44918.66666666667)</f>
        <v>44918.66667</v>
      </c>
      <c r="B564" s="1">
        <f>IFERROR(__xludf.DUMMYFUNCTION("""COMPUTED_VALUE"""),88.01)</f>
        <v>88.01</v>
      </c>
    </row>
    <row r="565">
      <c r="A565" s="2">
        <f>IFERROR(__xludf.DUMMYFUNCTION("""COMPUTED_VALUE"""),44922.66666666667)</f>
        <v>44922.66667</v>
      </c>
      <c r="B565" s="1">
        <f>IFERROR(__xludf.DUMMYFUNCTION("""COMPUTED_VALUE"""),86.37)</f>
        <v>86.37</v>
      </c>
    </row>
    <row r="566">
      <c r="A566" s="2">
        <f>IFERROR(__xludf.DUMMYFUNCTION("""COMPUTED_VALUE"""),44923.66666666667)</f>
        <v>44923.66667</v>
      </c>
      <c r="B566" s="1">
        <f>IFERROR(__xludf.DUMMYFUNCTION("""COMPUTED_VALUE"""),84.17)</f>
        <v>84.17</v>
      </c>
    </row>
    <row r="567">
      <c r="A567" s="2">
        <f>IFERROR(__xludf.DUMMYFUNCTION("""COMPUTED_VALUE"""),44924.66666666667)</f>
        <v>44924.66667</v>
      </c>
      <c r="B567" s="1">
        <f>IFERROR(__xludf.DUMMYFUNCTION("""COMPUTED_VALUE"""),87.18)</f>
        <v>87.18</v>
      </c>
    </row>
    <row r="568">
      <c r="A568" s="2">
        <f>IFERROR(__xludf.DUMMYFUNCTION("""COMPUTED_VALUE"""),44925.66666666667)</f>
        <v>44925.66667</v>
      </c>
      <c r="B568" s="1">
        <f>IFERROR(__xludf.DUMMYFUNCTION("""COMPUTED_VALUE"""),86.88)</f>
        <v>86.88</v>
      </c>
    </row>
    <row r="569">
      <c r="A569" s="2">
        <f>IFERROR(__xludf.DUMMYFUNCTION("""COMPUTED_VALUE"""),44929.66666666667)</f>
        <v>44929.66667</v>
      </c>
      <c r="B569" s="1">
        <f>IFERROR(__xludf.DUMMYFUNCTION("""COMPUTED_VALUE"""),88.97)</f>
        <v>88.97</v>
      </c>
    </row>
    <row r="570">
      <c r="A570" s="2">
        <f>IFERROR(__xludf.DUMMYFUNCTION("""COMPUTED_VALUE"""),44930.66666666667)</f>
        <v>44930.66667</v>
      </c>
      <c r="B570" s="1">
        <f>IFERROR(__xludf.DUMMYFUNCTION("""COMPUTED_VALUE"""),91.98)</f>
        <v>91.98</v>
      </c>
    </row>
    <row r="571">
      <c r="A571" s="2">
        <f>IFERROR(__xludf.DUMMYFUNCTION("""COMPUTED_VALUE"""),44931.66666666667)</f>
        <v>44931.66667</v>
      </c>
      <c r="B571" s="1">
        <f>IFERROR(__xludf.DUMMYFUNCTION("""COMPUTED_VALUE"""),91.92)</f>
        <v>91.92</v>
      </c>
    </row>
    <row r="572">
      <c r="A572" s="2">
        <f>IFERROR(__xludf.DUMMYFUNCTION("""COMPUTED_VALUE"""),44932.66666666667)</f>
        <v>44932.66667</v>
      </c>
      <c r="B572" s="1">
        <f>IFERROR(__xludf.DUMMYFUNCTION("""COMPUTED_VALUE"""),93.92)</f>
        <v>93.92</v>
      </c>
    </row>
    <row r="573">
      <c r="A573" s="2">
        <f>IFERROR(__xludf.DUMMYFUNCTION("""COMPUTED_VALUE"""),44935.66666666667)</f>
        <v>44935.66667</v>
      </c>
      <c r="B573" s="1">
        <f>IFERROR(__xludf.DUMMYFUNCTION("""COMPUTED_VALUE"""),94.77)</f>
        <v>94.77</v>
      </c>
    </row>
    <row r="574">
      <c r="A574" s="2">
        <f>IFERROR(__xludf.DUMMYFUNCTION("""COMPUTED_VALUE"""),44936.66666666667)</f>
        <v>44936.66667</v>
      </c>
      <c r="B574" s="1">
        <f>IFERROR(__xludf.DUMMYFUNCTION("""COMPUTED_VALUE"""),95.56)</f>
        <v>95.56</v>
      </c>
    </row>
    <row r="575">
      <c r="A575" s="2">
        <f>IFERROR(__xludf.DUMMYFUNCTION("""COMPUTED_VALUE"""),44937.66666666667)</f>
        <v>44937.66667</v>
      </c>
      <c r="B575" s="1">
        <f>IFERROR(__xludf.DUMMYFUNCTION("""COMPUTED_VALUE"""),96.33)</f>
        <v>96.33</v>
      </c>
    </row>
    <row r="576">
      <c r="A576" s="2">
        <f>IFERROR(__xludf.DUMMYFUNCTION("""COMPUTED_VALUE"""),44938.66666666667)</f>
        <v>44938.66667</v>
      </c>
      <c r="B576" s="1">
        <f>IFERROR(__xludf.DUMMYFUNCTION("""COMPUTED_VALUE"""),99.81)</f>
        <v>99.81</v>
      </c>
    </row>
    <row r="577">
      <c r="A577" s="2">
        <f>IFERROR(__xludf.DUMMYFUNCTION("""COMPUTED_VALUE"""),44939.66666666667)</f>
        <v>44939.66667</v>
      </c>
      <c r="B577" s="1">
        <f>IFERROR(__xludf.DUMMYFUNCTION("""COMPUTED_VALUE"""),99.4)</f>
        <v>99.4</v>
      </c>
    </row>
    <row r="578">
      <c r="A578" s="2">
        <f>IFERROR(__xludf.DUMMYFUNCTION("""COMPUTED_VALUE"""),44943.66666666667)</f>
        <v>44943.66667</v>
      </c>
      <c r="B578" s="1">
        <f>IFERROR(__xludf.DUMMYFUNCTION("""COMPUTED_VALUE"""),99.91)</f>
        <v>99.91</v>
      </c>
    </row>
    <row r="579">
      <c r="A579" s="2">
        <f>IFERROR(__xludf.DUMMYFUNCTION("""COMPUTED_VALUE"""),44944.66666666667)</f>
        <v>44944.66667</v>
      </c>
      <c r="B579" s="1">
        <f>IFERROR(__xludf.DUMMYFUNCTION("""COMPUTED_VALUE"""),99.04)</f>
        <v>99.04</v>
      </c>
    </row>
    <row r="580">
      <c r="A580" s="2">
        <f>IFERROR(__xludf.DUMMYFUNCTION("""COMPUTED_VALUE"""),44945.66666666667)</f>
        <v>44945.66667</v>
      </c>
      <c r="B580" s="1">
        <f>IFERROR(__xludf.DUMMYFUNCTION("""COMPUTED_VALUE"""),99.08)</f>
        <v>99.08</v>
      </c>
    </row>
    <row r="581">
      <c r="A581" s="2">
        <f>IFERROR(__xludf.DUMMYFUNCTION("""COMPUTED_VALUE"""),44946.66666666667)</f>
        <v>44946.66667</v>
      </c>
      <c r="B581" s="1">
        <f>IFERROR(__xludf.DUMMYFUNCTION("""COMPUTED_VALUE"""),103.48)</f>
        <v>103.48</v>
      </c>
    </row>
    <row r="582">
      <c r="A582" s="2">
        <f>IFERROR(__xludf.DUMMYFUNCTION("""COMPUTED_VALUE"""),44949.66666666667)</f>
        <v>44949.66667</v>
      </c>
      <c r="B582" s="1">
        <f>IFERROR(__xludf.DUMMYFUNCTION("""COMPUTED_VALUE"""),105.69)</f>
        <v>105.69</v>
      </c>
    </row>
    <row r="583">
      <c r="A583" s="2">
        <f>IFERROR(__xludf.DUMMYFUNCTION("""COMPUTED_VALUE"""),44950.66666666667)</f>
        <v>44950.66667</v>
      </c>
      <c r="B583" s="1">
        <f>IFERROR(__xludf.DUMMYFUNCTION("""COMPUTED_VALUE"""),106.0)</f>
        <v>106</v>
      </c>
    </row>
    <row r="584">
      <c r="A584" s="2">
        <f>IFERROR(__xludf.DUMMYFUNCTION("""COMPUTED_VALUE"""),44951.66666666667)</f>
        <v>44951.66667</v>
      </c>
      <c r="B584" s="1">
        <f>IFERROR(__xludf.DUMMYFUNCTION("""COMPUTED_VALUE"""),108.12)</f>
        <v>108.12</v>
      </c>
    </row>
    <row r="585">
      <c r="A585" s="2">
        <f>IFERROR(__xludf.DUMMYFUNCTION("""COMPUTED_VALUE"""),44952.66666666667)</f>
        <v>44952.66667</v>
      </c>
      <c r="B585" s="1">
        <f>IFERROR(__xludf.DUMMYFUNCTION("""COMPUTED_VALUE"""),109.7)</f>
        <v>109.7</v>
      </c>
    </row>
    <row r="586">
      <c r="A586" s="2">
        <f>IFERROR(__xludf.DUMMYFUNCTION("""COMPUTED_VALUE"""),44953.66666666667)</f>
        <v>44953.66667</v>
      </c>
      <c r="B586" s="1">
        <f>IFERROR(__xludf.DUMMYFUNCTION("""COMPUTED_VALUE"""),109.54)</f>
        <v>109.54</v>
      </c>
    </row>
    <row r="587">
      <c r="A587" s="2">
        <f>IFERROR(__xludf.DUMMYFUNCTION("""COMPUTED_VALUE"""),44956.66666666667)</f>
        <v>44956.66667</v>
      </c>
      <c r="B587" s="1">
        <f>IFERROR(__xludf.DUMMYFUNCTION("""COMPUTED_VALUE"""),107.59)</f>
        <v>107.59</v>
      </c>
    </row>
    <row r="588">
      <c r="A588" s="2">
        <f>IFERROR(__xludf.DUMMYFUNCTION("""COMPUTED_VALUE"""),44957.66666666667)</f>
        <v>44957.66667</v>
      </c>
      <c r="B588" s="1">
        <f>IFERROR(__xludf.DUMMYFUNCTION("""COMPUTED_VALUE"""),108.49)</f>
        <v>108.49</v>
      </c>
    </row>
    <row r="589">
      <c r="A589" s="2">
        <f>IFERROR(__xludf.DUMMYFUNCTION("""COMPUTED_VALUE"""),44958.66666666667)</f>
        <v>44958.66667</v>
      </c>
      <c r="B589" s="1">
        <f>IFERROR(__xludf.DUMMYFUNCTION("""COMPUTED_VALUE"""),109.39)</f>
        <v>109.39</v>
      </c>
    </row>
    <row r="590">
      <c r="A590" s="2">
        <f>IFERROR(__xludf.DUMMYFUNCTION("""COMPUTED_VALUE"""),44959.66666666667)</f>
        <v>44959.66667</v>
      </c>
      <c r="B590" s="1">
        <f>IFERROR(__xludf.DUMMYFUNCTION("""COMPUTED_VALUE"""),113.21)</f>
        <v>113.21</v>
      </c>
    </row>
    <row r="591">
      <c r="A591" s="2">
        <f>IFERROR(__xludf.DUMMYFUNCTION("""COMPUTED_VALUE"""),44960.66666666667)</f>
        <v>44960.66667</v>
      </c>
      <c r="B591" s="1">
        <f>IFERROR(__xludf.DUMMYFUNCTION("""COMPUTED_VALUE"""),110.71)</f>
        <v>110.71</v>
      </c>
    </row>
    <row r="592">
      <c r="A592" s="2">
        <f>IFERROR(__xludf.DUMMYFUNCTION("""COMPUTED_VALUE"""),44963.66666666667)</f>
        <v>44963.66667</v>
      </c>
      <c r="B592" s="1">
        <f>IFERROR(__xludf.DUMMYFUNCTION("""COMPUTED_VALUE"""),109.87)</f>
        <v>109.87</v>
      </c>
    </row>
    <row r="593">
      <c r="A593" s="2">
        <f>IFERROR(__xludf.DUMMYFUNCTION("""COMPUTED_VALUE"""),44964.66666666667)</f>
        <v>44964.66667</v>
      </c>
      <c r="B593" s="1">
        <f>IFERROR(__xludf.DUMMYFUNCTION("""COMPUTED_VALUE"""),111.63)</f>
        <v>111.63</v>
      </c>
    </row>
    <row r="594">
      <c r="A594" s="2">
        <f>IFERROR(__xludf.DUMMYFUNCTION("""COMPUTED_VALUE"""),44965.66666666667)</f>
        <v>44965.66667</v>
      </c>
      <c r="B594" s="1">
        <f>IFERROR(__xludf.DUMMYFUNCTION("""COMPUTED_VALUE"""),111.78)</f>
        <v>111.78</v>
      </c>
    </row>
    <row r="595">
      <c r="A595" s="2">
        <f>IFERROR(__xludf.DUMMYFUNCTION("""COMPUTED_VALUE"""),44966.66666666667)</f>
        <v>44966.66667</v>
      </c>
      <c r="B595" s="1">
        <f>IFERROR(__xludf.DUMMYFUNCTION("""COMPUTED_VALUE"""),110.36)</f>
        <v>110.36</v>
      </c>
    </row>
    <row r="596">
      <c r="A596" s="2">
        <f>IFERROR(__xludf.DUMMYFUNCTION("""COMPUTED_VALUE"""),44967.66666666667)</f>
        <v>44967.66667</v>
      </c>
      <c r="B596" s="1">
        <f>IFERROR(__xludf.DUMMYFUNCTION("""COMPUTED_VALUE"""),108.06)</f>
        <v>108.06</v>
      </c>
    </row>
    <row r="597">
      <c r="A597" s="2">
        <f>IFERROR(__xludf.DUMMYFUNCTION("""COMPUTED_VALUE"""),44970.66666666667)</f>
        <v>44970.66667</v>
      </c>
      <c r="B597" s="1">
        <f>IFERROR(__xludf.DUMMYFUNCTION("""COMPUTED_VALUE"""),107.66)</f>
        <v>107.66</v>
      </c>
    </row>
    <row r="598">
      <c r="A598" s="2">
        <f>IFERROR(__xludf.DUMMYFUNCTION("""COMPUTED_VALUE"""),44971.66666666667)</f>
        <v>44971.66667</v>
      </c>
      <c r="B598" s="1">
        <f>IFERROR(__xludf.DUMMYFUNCTION("""COMPUTED_VALUE"""),107.66)</f>
        <v>107.66</v>
      </c>
    </row>
    <row r="599">
      <c r="A599" s="2">
        <f>IFERROR(__xludf.DUMMYFUNCTION("""COMPUTED_VALUE"""),44972.66666666667)</f>
        <v>44972.66667</v>
      </c>
      <c r="B599" s="1">
        <f>IFERROR(__xludf.DUMMYFUNCTION("""COMPUTED_VALUE"""),109.24)</f>
        <v>109.24</v>
      </c>
    </row>
    <row r="600">
      <c r="A600" s="2">
        <f>IFERROR(__xludf.DUMMYFUNCTION("""COMPUTED_VALUE"""),44973.66666666667)</f>
        <v>44973.66667</v>
      </c>
      <c r="B600" s="1">
        <f>IFERROR(__xludf.DUMMYFUNCTION("""COMPUTED_VALUE"""),105.83)</f>
        <v>105.83</v>
      </c>
    </row>
    <row r="601">
      <c r="A601" s="2">
        <f>IFERROR(__xludf.DUMMYFUNCTION("""COMPUTED_VALUE"""),44974.66666666667)</f>
        <v>44974.66667</v>
      </c>
      <c r="B601" s="1">
        <f>IFERROR(__xludf.DUMMYFUNCTION("""COMPUTED_VALUE"""),105.22)</f>
        <v>105.22</v>
      </c>
    </row>
    <row r="602">
      <c r="A602" s="2">
        <f>IFERROR(__xludf.DUMMYFUNCTION("""COMPUTED_VALUE"""),44978.66666666667)</f>
        <v>44978.66667</v>
      </c>
      <c r="B602" s="1">
        <f>IFERROR(__xludf.DUMMYFUNCTION("""COMPUTED_VALUE"""),102.09)</f>
        <v>102.09</v>
      </c>
    </row>
    <row r="603">
      <c r="A603" s="2">
        <f>IFERROR(__xludf.DUMMYFUNCTION("""COMPUTED_VALUE"""),44979.66666666667)</f>
        <v>44979.66667</v>
      </c>
      <c r="B603" s="1">
        <f>IFERROR(__xludf.DUMMYFUNCTION("""COMPUTED_VALUE"""),101.68)</f>
        <v>101.68</v>
      </c>
    </row>
    <row r="604">
      <c r="A604" s="2">
        <f>IFERROR(__xludf.DUMMYFUNCTION("""COMPUTED_VALUE"""),44980.66666666667)</f>
        <v>44980.66667</v>
      </c>
      <c r="B604" s="1">
        <f>IFERROR(__xludf.DUMMYFUNCTION("""COMPUTED_VALUE"""),101.73)</f>
        <v>101.73</v>
      </c>
    </row>
    <row r="605">
      <c r="A605" s="2">
        <f>IFERROR(__xludf.DUMMYFUNCTION("""COMPUTED_VALUE"""),44981.66666666667)</f>
        <v>44981.66667</v>
      </c>
      <c r="B605" s="1">
        <f>IFERROR(__xludf.DUMMYFUNCTION("""COMPUTED_VALUE"""),100.3)</f>
        <v>100.3</v>
      </c>
    </row>
    <row r="606">
      <c r="A606" s="2">
        <f>IFERROR(__xludf.DUMMYFUNCTION("""COMPUTED_VALUE"""),44984.66666666667)</f>
        <v>44984.66667</v>
      </c>
      <c r="B606" s="1">
        <f>IFERROR(__xludf.DUMMYFUNCTION("""COMPUTED_VALUE"""),100.45)</f>
        <v>100.45</v>
      </c>
    </row>
    <row r="607">
      <c r="A607" s="2">
        <f>IFERROR(__xludf.DUMMYFUNCTION("""COMPUTED_VALUE"""),44985.66666666667)</f>
        <v>44985.66667</v>
      </c>
      <c r="B607" s="1">
        <f>IFERROR(__xludf.DUMMYFUNCTION("""COMPUTED_VALUE"""),99.61)</f>
        <v>99.61</v>
      </c>
    </row>
    <row r="608">
      <c r="A608" s="2">
        <f>IFERROR(__xludf.DUMMYFUNCTION("""COMPUTED_VALUE"""),44986.66666666667)</f>
        <v>44986.66667</v>
      </c>
      <c r="B608" s="1">
        <f>IFERROR(__xludf.DUMMYFUNCTION("""COMPUTED_VALUE"""),98.54)</f>
        <v>98.54</v>
      </c>
    </row>
    <row r="609">
      <c r="A609" s="2">
        <f>IFERROR(__xludf.DUMMYFUNCTION("""COMPUTED_VALUE"""),44987.66666666667)</f>
        <v>44987.66667</v>
      </c>
      <c r="B609" s="1">
        <f>IFERROR(__xludf.DUMMYFUNCTION("""COMPUTED_VALUE"""),98.92)</f>
        <v>98.92</v>
      </c>
    </row>
    <row r="610">
      <c r="A610" s="2">
        <f>IFERROR(__xludf.DUMMYFUNCTION("""COMPUTED_VALUE"""),44988.66666666667)</f>
        <v>44988.66667</v>
      </c>
      <c r="B610" s="1">
        <f>IFERROR(__xludf.DUMMYFUNCTION("""COMPUTED_VALUE"""),101.14)</f>
        <v>101.14</v>
      </c>
    </row>
    <row r="611">
      <c r="A611" s="2">
        <f>IFERROR(__xludf.DUMMYFUNCTION("""COMPUTED_VALUE"""),44991.66666666667)</f>
        <v>44991.66667</v>
      </c>
      <c r="B611" s="1">
        <f>IFERROR(__xludf.DUMMYFUNCTION("""COMPUTED_VALUE"""),100.66)</f>
        <v>100.66</v>
      </c>
    </row>
    <row r="612">
      <c r="A612" s="2">
        <f>IFERROR(__xludf.DUMMYFUNCTION("""COMPUTED_VALUE"""),44992.66666666667)</f>
        <v>44992.66667</v>
      </c>
      <c r="B612" s="1">
        <f>IFERROR(__xludf.DUMMYFUNCTION("""COMPUTED_VALUE"""),99.06)</f>
        <v>99.06</v>
      </c>
    </row>
    <row r="613">
      <c r="A613" s="2">
        <f>IFERROR(__xludf.DUMMYFUNCTION("""COMPUTED_VALUE"""),44993.66666666667)</f>
        <v>44993.66667</v>
      </c>
      <c r="B613" s="1">
        <f>IFERROR(__xludf.DUMMYFUNCTION("""COMPUTED_VALUE"""),99.3)</f>
        <v>99.3</v>
      </c>
    </row>
    <row r="614">
      <c r="A614" s="2">
        <f>IFERROR(__xludf.DUMMYFUNCTION("""COMPUTED_VALUE"""),44994.66666666667)</f>
        <v>44994.66667</v>
      </c>
      <c r="B614" s="1">
        <f>IFERROR(__xludf.DUMMYFUNCTION("""COMPUTED_VALUE"""),96.14)</f>
        <v>96.14</v>
      </c>
    </row>
    <row r="615">
      <c r="A615" s="2">
        <f>IFERROR(__xludf.DUMMYFUNCTION("""COMPUTED_VALUE"""),44995.66666666667)</f>
        <v>44995.66667</v>
      </c>
      <c r="B615" s="1">
        <f>IFERROR(__xludf.DUMMYFUNCTION("""COMPUTED_VALUE"""),93.57)</f>
        <v>93.57</v>
      </c>
    </row>
    <row r="616">
      <c r="A616" s="2">
        <f>IFERROR(__xludf.DUMMYFUNCTION("""COMPUTED_VALUE"""),44998.66666666667)</f>
        <v>44998.66667</v>
      </c>
      <c r="B616" s="1">
        <f>IFERROR(__xludf.DUMMYFUNCTION("""COMPUTED_VALUE"""),92.6)</f>
        <v>92.6</v>
      </c>
    </row>
    <row r="617">
      <c r="A617" s="2">
        <f>IFERROR(__xludf.DUMMYFUNCTION("""COMPUTED_VALUE"""),44999.66666666667)</f>
        <v>44999.66667</v>
      </c>
      <c r="B617" s="1">
        <f>IFERROR(__xludf.DUMMYFUNCTION("""COMPUTED_VALUE"""),93.36)</f>
        <v>93.36</v>
      </c>
    </row>
    <row r="618">
      <c r="A618" s="2">
        <f>IFERROR(__xludf.DUMMYFUNCTION("""COMPUTED_VALUE"""),45000.66666666667)</f>
        <v>45000.66667</v>
      </c>
      <c r="B618" s="1">
        <f>IFERROR(__xludf.DUMMYFUNCTION("""COMPUTED_VALUE"""),93.1)</f>
        <v>93.1</v>
      </c>
    </row>
    <row r="619">
      <c r="A619" s="2">
        <f>IFERROR(__xludf.DUMMYFUNCTION("""COMPUTED_VALUE"""),45001.66666666667)</f>
        <v>45001.66667</v>
      </c>
      <c r="B619" s="1">
        <f>IFERROR(__xludf.DUMMYFUNCTION("""COMPUTED_VALUE"""),94.29)</f>
        <v>94.29</v>
      </c>
    </row>
    <row r="620">
      <c r="A620" s="2">
        <f>IFERROR(__xludf.DUMMYFUNCTION("""COMPUTED_VALUE"""),45002.66666666667)</f>
        <v>45002.66667</v>
      </c>
      <c r="B620" s="1">
        <f>IFERROR(__xludf.DUMMYFUNCTION("""COMPUTED_VALUE"""),93.2)</f>
        <v>93.2</v>
      </c>
    </row>
    <row r="621">
      <c r="A621" s="2">
        <f>IFERROR(__xludf.DUMMYFUNCTION("""COMPUTED_VALUE"""),45005.66666666667)</f>
        <v>45005.66667</v>
      </c>
      <c r="B621" s="1">
        <f>IFERROR(__xludf.DUMMYFUNCTION("""COMPUTED_VALUE"""),94.22)</f>
        <v>94.22</v>
      </c>
    </row>
    <row r="622">
      <c r="A622" s="2">
        <f>IFERROR(__xludf.DUMMYFUNCTION("""COMPUTED_VALUE"""),45006.66666666667)</f>
        <v>45006.66667</v>
      </c>
      <c r="B622" s="1">
        <f>IFERROR(__xludf.DUMMYFUNCTION("""COMPUTED_VALUE"""),96.54)</f>
        <v>96.54</v>
      </c>
    </row>
    <row r="623">
      <c r="A623" s="2">
        <f>IFERROR(__xludf.DUMMYFUNCTION("""COMPUTED_VALUE"""),45007.66666666667)</f>
        <v>45007.66667</v>
      </c>
      <c r="B623" s="1">
        <f>IFERROR(__xludf.DUMMYFUNCTION("""COMPUTED_VALUE"""),94.9)</f>
        <v>94.9</v>
      </c>
    </row>
    <row r="624">
      <c r="A624" s="2">
        <f>IFERROR(__xludf.DUMMYFUNCTION("""COMPUTED_VALUE"""),45008.66666666667)</f>
        <v>45008.66667</v>
      </c>
      <c r="B624" s="1">
        <f>IFERROR(__xludf.DUMMYFUNCTION("""COMPUTED_VALUE"""),95.83)</f>
        <v>95.83</v>
      </c>
    </row>
    <row r="625">
      <c r="A625" s="2">
        <f>IFERROR(__xludf.DUMMYFUNCTION("""COMPUTED_VALUE"""),45009.66666666667)</f>
        <v>45009.66667</v>
      </c>
      <c r="B625" s="1">
        <f>IFERROR(__xludf.DUMMYFUNCTION("""COMPUTED_VALUE"""),94.08)</f>
        <v>94.08</v>
      </c>
    </row>
    <row r="626">
      <c r="A626" s="2">
        <f>IFERROR(__xludf.DUMMYFUNCTION("""COMPUTED_VALUE"""),45012.66666666667)</f>
        <v>45012.66667</v>
      </c>
      <c r="B626" s="1">
        <f>IFERROR(__xludf.DUMMYFUNCTION("""COMPUTED_VALUE"""),95.62)</f>
        <v>95.62</v>
      </c>
    </row>
    <row r="627">
      <c r="A627" s="2">
        <f>IFERROR(__xludf.DUMMYFUNCTION("""COMPUTED_VALUE"""),45013.66666666667)</f>
        <v>45013.66667</v>
      </c>
      <c r="B627" s="1">
        <f>IFERROR(__xludf.DUMMYFUNCTION("""COMPUTED_VALUE"""),94.82)</f>
        <v>94.82</v>
      </c>
    </row>
    <row r="628">
      <c r="A628" s="2">
        <f>IFERROR(__xludf.DUMMYFUNCTION("""COMPUTED_VALUE"""),45014.66666666667)</f>
        <v>45014.66667</v>
      </c>
      <c r="B628" s="1">
        <f>IFERROR(__xludf.DUMMYFUNCTION("""COMPUTED_VALUE"""),96.87)</f>
        <v>96.87</v>
      </c>
    </row>
    <row r="629">
      <c r="A629" s="2">
        <f>IFERROR(__xludf.DUMMYFUNCTION("""COMPUTED_VALUE"""),45015.66666666667)</f>
        <v>45015.66667</v>
      </c>
      <c r="B629" s="1">
        <f>IFERROR(__xludf.DUMMYFUNCTION("""COMPUTED_VALUE"""),98.1)</f>
        <v>98.1</v>
      </c>
    </row>
    <row r="630">
      <c r="A630" s="2">
        <f>IFERROR(__xludf.DUMMYFUNCTION("""COMPUTED_VALUE"""),45016.66666666667)</f>
        <v>45016.66667</v>
      </c>
      <c r="B630" s="1">
        <f>IFERROR(__xludf.DUMMYFUNCTION("""COMPUTED_VALUE"""),100.13)</f>
        <v>100.13</v>
      </c>
    </row>
    <row r="631">
      <c r="A631" s="2">
        <f>IFERROR(__xludf.DUMMYFUNCTION("""COMPUTED_VALUE"""),45019.66666666667)</f>
        <v>45019.66667</v>
      </c>
      <c r="B631" s="1">
        <f>IFERROR(__xludf.DUMMYFUNCTION("""COMPUTED_VALUE"""),99.76)</f>
        <v>99.76</v>
      </c>
    </row>
    <row r="632">
      <c r="A632" s="2">
        <f>IFERROR(__xludf.DUMMYFUNCTION("""COMPUTED_VALUE"""),45020.66666666667)</f>
        <v>45020.66667</v>
      </c>
      <c r="B632" s="1">
        <f>IFERROR(__xludf.DUMMYFUNCTION("""COMPUTED_VALUE"""),99.57)</f>
        <v>99.57</v>
      </c>
    </row>
    <row r="633">
      <c r="A633" s="2">
        <f>IFERROR(__xludf.DUMMYFUNCTION("""COMPUTED_VALUE"""),45021.66666666667)</f>
        <v>45021.66667</v>
      </c>
      <c r="B633" s="1">
        <f>IFERROR(__xludf.DUMMYFUNCTION("""COMPUTED_VALUE"""),99.91)</f>
        <v>99.91</v>
      </c>
    </row>
    <row r="634">
      <c r="A634" s="2">
        <f>IFERROR(__xludf.DUMMYFUNCTION("""COMPUTED_VALUE"""),45022.66666666667)</f>
        <v>45022.66667</v>
      </c>
      <c r="B634" s="1">
        <f>IFERROR(__xludf.DUMMYFUNCTION("""COMPUTED_VALUE"""),99.97)</f>
        <v>99.97</v>
      </c>
    </row>
    <row r="635">
      <c r="A635" s="2">
        <f>IFERROR(__xludf.DUMMYFUNCTION("""COMPUTED_VALUE"""),45026.66666666667)</f>
        <v>45026.66667</v>
      </c>
      <c r="B635" s="1">
        <f>IFERROR(__xludf.DUMMYFUNCTION("""COMPUTED_VALUE"""),100.81)</f>
        <v>100.81</v>
      </c>
    </row>
    <row r="636">
      <c r="A636" s="2">
        <f>IFERROR(__xludf.DUMMYFUNCTION("""COMPUTED_VALUE"""),45027.66666666667)</f>
        <v>45027.66667</v>
      </c>
      <c r="B636" s="1">
        <f>IFERROR(__xludf.DUMMYFUNCTION("""COMPUTED_VALUE"""),100.42)</f>
        <v>100.42</v>
      </c>
    </row>
    <row r="637">
      <c r="A637" s="2">
        <f>IFERROR(__xludf.DUMMYFUNCTION("""COMPUTED_VALUE"""),45028.66666666667)</f>
        <v>45028.66667</v>
      </c>
      <c r="B637" s="1">
        <f>IFERROR(__xludf.DUMMYFUNCTION("""COMPUTED_VALUE"""),97.94)</f>
        <v>97.94</v>
      </c>
    </row>
    <row r="638">
      <c r="A638" s="2">
        <f>IFERROR(__xludf.DUMMYFUNCTION("""COMPUTED_VALUE"""),45029.66666666667)</f>
        <v>45029.66667</v>
      </c>
      <c r="B638" s="1">
        <f>IFERROR(__xludf.DUMMYFUNCTION("""COMPUTED_VALUE"""),100.84)</f>
        <v>100.84</v>
      </c>
    </row>
    <row r="639">
      <c r="A639" s="2">
        <f>IFERROR(__xludf.DUMMYFUNCTION("""COMPUTED_VALUE"""),45030.66666666667)</f>
        <v>45030.66667</v>
      </c>
      <c r="B639" s="1">
        <f>IFERROR(__xludf.DUMMYFUNCTION("""COMPUTED_VALUE"""),99.9)</f>
        <v>99.9</v>
      </c>
    </row>
    <row r="640">
      <c r="A640" s="2">
        <f>IFERROR(__xludf.DUMMYFUNCTION("""COMPUTED_VALUE"""),45033.66666666667)</f>
        <v>45033.66667</v>
      </c>
      <c r="B640" s="1">
        <f>IFERROR(__xludf.DUMMYFUNCTION("""COMPUTED_VALUE"""),100.3)</f>
        <v>100.3</v>
      </c>
    </row>
    <row r="641">
      <c r="A641" s="2">
        <f>IFERROR(__xludf.DUMMYFUNCTION("""COMPUTED_VALUE"""),45034.66666666667)</f>
        <v>45034.66667</v>
      </c>
      <c r="B641" s="1">
        <f>IFERROR(__xludf.DUMMYFUNCTION("""COMPUTED_VALUE"""),100.93)</f>
        <v>100.93</v>
      </c>
    </row>
    <row r="642">
      <c r="A642" s="2">
        <f>IFERROR(__xludf.DUMMYFUNCTION("""COMPUTED_VALUE"""),45035.66666666667)</f>
        <v>45035.66667</v>
      </c>
      <c r="B642" s="1">
        <f>IFERROR(__xludf.DUMMYFUNCTION("""COMPUTED_VALUE"""),98.75)</f>
        <v>98.75</v>
      </c>
    </row>
    <row r="643">
      <c r="A643" s="2">
        <f>IFERROR(__xludf.DUMMYFUNCTION("""COMPUTED_VALUE"""),45036.66666666667)</f>
        <v>45036.66667</v>
      </c>
      <c r="B643" s="1">
        <f>IFERROR(__xludf.DUMMYFUNCTION("""COMPUTED_VALUE"""),98.07)</f>
        <v>98.07</v>
      </c>
    </row>
    <row r="644">
      <c r="A644" s="2">
        <f>IFERROR(__xludf.DUMMYFUNCTION("""COMPUTED_VALUE"""),45037.66666666667)</f>
        <v>45037.66667</v>
      </c>
      <c r="B644" s="1">
        <f>IFERROR(__xludf.DUMMYFUNCTION("""COMPUTED_VALUE"""),99.57)</f>
        <v>99.57</v>
      </c>
    </row>
    <row r="645">
      <c r="A645" s="2">
        <f>IFERROR(__xludf.DUMMYFUNCTION("""COMPUTED_VALUE"""),45040.66666666667)</f>
        <v>45040.66667</v>
      </c>
      <c r="B645" s="1">
        <f>IFERROR(__xludf.DUMMYFUNCTION("""COMPUTED_VALUE"""),99.68)</f>
        <v>99.68</v>
      </c>
    </row>
    <row r="646">
      <c r="A646" s="2">
        <f>IFERROR(__xludf.DUMMYFUNCTION("""COMPUTED_VALUE"""),45041.66666666667)</f>
        <v>45041.66667</v>
      </c>
      <c r="B646" s="1">
        <f>IFERROR(__xludf.DUMMYFUNCTION("""COMPUTED_VALUE"""),98.01)</f>
        <v>98.01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IFERROR(__xludf.DUMMYFUNCTION("""COMPUTED_VALUE"""),96.61)</f>
        <v>96.61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IFERROR(__xludf.DUMMYFUNCTION("""COMPUTED_VALUE"""),99.93)</f>
        <v>99.93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IFERROR(__xludf.DUMMYFUNCTION("""COMPUTED_VALUE"""),102.5)</f>
        <v>102.5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IFERROR(__xludf.DUMMYFUNCTION("""COMPUTED_VALUE"""),102.21)</f>
        <v>102.21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IFERROR(__xludf.DUMMYFUNCTION("""COMPUTED_VALUE"""),100.6)</f>
        <v>100.6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IFERROR(__xludf.DUMMYFUNCTION("""COMPUTED_VALUE"""),100.86)</f>
        <v>100.86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IFERROR(__xludf.DUMMYFUNCTION("""COMPUTED_VALUE"""),97.45)</f>
        <v>97.45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IFERROR(__xludf.DUMMYFUNCTION("""COMPUTED_VALUE"""),100.52)</f>
        <v>100.52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IFERROR(__xludf.DUMMYFUNCTION("""COMPUTED_VALUE"""),102.97)</f>
        <v>102.97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IFERROR(__xludf.DUMMYFUNCTION("""COMPUTED_VALUE"""),102.18)</f>
        <v>102.18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IFERROR(__xludf.DUMMYFUNCTION("""COMPUTED_VALUE"""),101.14)</f>
        <v>101.14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IFERROR(__xludf.DUMMYFUNCTION("""COMPUTED_VALUE"""),92.31)</f>
        <v>92.31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IFERROR(__xludf.DUMMYFUNCTION("""COMPUTED_VALUE"""),91.99)</f>
        <v>91.99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IFERROR(__xludf.DUMMYFUNCTION("""COMPUTED_VALUE"""),92.86)</f>
        <v>92.86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IFERROR(__xludf.DUMMYFUNCTION("""COMPUTED_VALUE"""),90.98)</f>
        <v>90.98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IFERROR(__xludf.DUMMYFUNCTION("""COMPUTED_VALUE"""),92.77)</f>
        <v>92.77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IFERROR(__xludf.DUMMYFUNCTION("""COMPUTED_VALUE"""),93.76)</f>
        <v>93.76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IFERROR(__xludf.DUMMYFUNCTION("""COMPUTED_VALUE"""),91.35)</f>
        <v>91.35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IFERROR(__xludf.DUMMYFUNCTION("""COMPUTED_VALUE"""),91.82)</f>
        <v>91.82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IFERROR(__xludf.DUMMYFUNCTION("""COMPUTED_VALUE"""),89.82)</f>
        <v>89.82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IFERROR(__xludf.DUMMYFUNCTION("""COMPUTED_VALUE"""),89.07)</f>
        <v>89.07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IFERROR(__xludf.DUMMYFUNCTION("""COMPUTED_VALUE"""),88.14)</f>
        <v>88.14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IFERROR(__xludf.DUMMYFUNCTION("""COMPUTED_VALUE"""),88.29)</f>
        <v>88.29</v>
      </c>
    </row>
    <row r="670">
      <c r="A670" s="2">
        <f>IFERROR(__xludf.DUMMYFUNCTION("""COMPUTED_VALUE"""),45076.66666666667)</f>
        <v>45076.66667</v>
      </c>
      <c r="B670" s="1">
        <f>IFERROR(__xludf.DUMMYFUNCTION("""COMPUTED_VALUE"""),87.82)</f>
        <v>87.82</v>
      </c>
    </row>
    <row r="671">
      <c r="A671" s="2">
        <f>IFERROR(__xludf.DUMMYFUNCTION("""COMPUTED_VALUE"""),45077.66666666667)</f>
        <v>45077.66667</v>
      </c>
      <c r="B671" s="1">
        <f>IFERROR(__xludf.DUMMYFUNCTION("""COMPUTED_VALUE"""),87.96)</f>
        <v>87.96</v>
      </c>
    </row>
    <row r="672">
      <c r="A672" s="2">
        <f>IFERROR(__xludf.DUMMYFUNCTION("""COMPUTED_VALUE"""),45078.66666666667)</f>
        <v>45078.66667</v>
      </c>
      <c r="B672" s="1">
        <f>IFERROR(__xludf.DUMMYFUNCTION("""COMPUTED_VALUE"""),88.59)</f>
        <v>88.59</v>
      </c>
    </row>
    <row r="673">
      <c r="A673" s="2">
        <f>IFERROR(__xludf.DUMMYFUNCTION("""COMPUTED_VALUE"""),45079.66666666667)</f>
        <v>45079.66667</v>
      </c>
      <c r="B673" s="1">
        <f>IFERROR(__xludf.DUMMYFUNCTION("""COMPUTED_VALUE"""),90.77)</f>
        <v>90.77</v>
      </c>
    </row>
    <row r="674">
      <c r="A674" s="2">
        <f>IFERROR(__xludf.DUMMYFUNCTION("""COMPUTED_VALUE"""),45082.66666666667)</f>
        <v>45082.66667</v>
      </c>
      <c r="B674" s="1">
        <f>IFERROR(__xludf.DUMMYFUNCTION("""COMPUTED_VALUE"""),91.0)</f>
        <v>91</v>
      </c>
    </row>
    <row r="675">
      <c r="A675" s="2">
        <f>IFERROR(__xludf.DUMMYFUNCTION("""COMPUTED_VALUE"""),45083.66666666667)</f>
        <v>45083.66667</v>
      </c>
      <c r="B675" s="1">
        <f>IFERROR(__xludf.DUMMYFUNCTION("""COMPUTED_VALUE"""),92.16)</f>
        <v>92.16</v>
      </c>
    </row>
    <row r="676">
      <c r="A676" s="2">
        <f>IFERROR(__xludf.DUMMYFUNCTION("""COMPUTED_VALUE"""),45084.66666666667)</f>
        <v>45084.66667</v>
      </c>
      <c r="B676" s="1">
        <f>IFERROR(__xludf.DUMMYFUNCTION("""COMPUTED_VALUE"""),92.52)</f>
        <v>92.52</v>
      </c>
    </row>
    <row r="677">
      <c r="A677" s="2">
        <f>IFERROR(__xludf.DUMMYFUNCTION("""COMPUTED_VALUE"""),45085.66666666667)</f>
        <v>45085.66667</v>
      </c>
      <c r="B677" s="1">
        <f>IFERROR(__xludf.DUMMYFUNCTION("""COMPUTED_VALUE"""),92.53)</f>
        <v>92.53</v>
      </c>
    </row>
    <row r="678">
      <c r="A678" s="2">
        <f>IFERROR(__xludf.DUMMYFUNCTION("""COMPUTED_VALUE"""),45086.66666666667)</f>
        <v>45086.66667</v>
      </c>
      <c r="B678" s="1">
        <f>IFERROR(__xludf.DUMMYFUNCTION("""COMPUTED_VALUE"""),91.93)</f>
        <v>91.93</v>
      </c>
    </row>
    <row r="679">
      <c r="A679" s="2">
        <f>IFERROR(__xludf.DUMMYFUNCTION("""COMPUTED_VALUE"""),45089.66666666667)</f>
        <v>45089.66667</v>
      </c>
      <c r="B679" s="1">
        <f>IFERROR(__xludf.DUMMYFUNCTION("""COMPUTED_VALUE"""),93.14)</f>
        <v>93.14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IFERROR(__xludf.DUMMYFUNCTION("""COMPUTED_VALUE"""),93.85)</f>
        <v>93.85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IFERROR(__xludf.DUMMYFUNCTION("""COMPUTED_VALUE"""),92.45)</f>
        <v>92.45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IFERROR(__xludf.DUMMYFUNCTION("""COMPUTED_VALUE"""),92.94)</f>
        <v>92.94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IFERROR(__xludf.DUMMYFUNCTION("""COMPUTED_VALUE"""),91.32)</f>
        <v>91.32</v>
      </c>
    </row>
    <row r="684">
      <c r="A684" s="2">
        <f>IFERROR(__xludf.DUMMYFUNCTION("""COMPUTED_VALUE"""),45097.66666666667)</f>
        <v>45097.66667</v>
      </c>
      <c r="B684" s="1">
        <f>IFERROR(__xludf.DUMMYFUNCTION("""COMPUTED_VALUE"""),89.75)</f>
        <v>89.75</v>
      </c>
    </row>
    <row r="685">
      <c r="A685" s="2">
        <f>IFERROR(__xludf.DUMMYFUNCTION("""COMPUTED_VALUE"""),45098.66666666667)</f>
        <v>45098.66667</v>
      </c>
      <c r="B685" s="1">
        <f>IFERROR(__xludf.DUMMYFUNCTION("""COMPUTED_VALUE"""),88.64)</f>
        <v>88.64</v>
      </c>
    </row>
    <row r="686">
      <c r="A686" s="2">
        <f>IFERROR(__xludf.DUMMYFUNCTION("""COMPUTED_VALUE"""),45099.66666666667)</f>
        <v>45099.66667</v>
      </c>
      <c r="B686" s="1">
        <f>IFERROR(__xludf.DUMMYFUNCTION("""COMPUTED_VALUE"""),88.49)</f>
        <v>88.49</v>
      </c>
    </row>
    <row r="687">
      <c r="A687" s="2">
        <f>IFERROR(__xludf.DUMMYFUNCTION("""COMPUTED_VALUE"""),45100.66666666667)</f>
        <v>45100.66667</v>
      </c>
      <c r="B687" s="1">
        <f>IFERROR(__xludf.DUMMYFUNCTION("""COMPUTED_VALUE"""),88.1)</f>
        <v>88.1</v>
      </c>
    </row>
    <row r="688">
      <c r="A688" s="2">
        <f>IFERROR(__xludf.DUMMYFUNCTION("""COMPUTED_VALUE"""),45103.66666666667)</f>
        <v>45103.66667</v>
      </c>
      <c r="B688" s="1">
        <f>IFERROR(__xludf.DUMMYFUNCTION("""COMPUTED_VALUE"""),88.7)</f>
        <v>88.7</v>
      </c>
    </row>
    <row r="689">
      <c r="A689" s="2">
        <f>IFERROR(__xludf.DUMMYFUNCTION("""COMPUTED_VALUE"""),45104.66666666667)</f>
        <v>45104.66667</v>
      </c>
      <c r="B689" s="1">
        <f>IFERROR(__xludf.DUMMYFUNCTION("""COMPUTED_VALUE"""),89.06)</f>
        <v>89.06</v>
      </c>
    </row>
    <row r="690">
      <c r="A690" s="2">
        <f>IFERROR(__xludf.DUMMYFUNCTION("""COMPUTED_VALUE"""),45105.66666666667)</f>
        <v>45105.66667</v>
      </c>
      <c r="B690" s="1">
        <f>IFERROR(__xludf.DUMMYFUNCTION("""COMPUTED_VALUE"""),88.83)</f>
        <v>88.83</v>
      </c>
    </row>
    <row r="691">
      <c r="A691" s="2">
        <f>IFERROR(__xludf.DUMMYFUNCTION("""COMPUTED_VALUE"""),45106.66666666667)</f>
        <v>45106.66667</v>
      </c>
      <c r="B691" s="1">
        <f>IFERROR(__xludf.DUMMYFUNCTION("""COMPUTED_VALUE"""),88.95)</f>
        <v>88.95</v>
      </c>
    </row>
    <row r="692">
      <c r="A692" s="2">
        <f>IFERROR(__xludf.DUMMYFUNCTION("""COMPUTED_VALUE"""),45107.66666666667)</f>
        <v>45107.66667</v>
      </c>
      <c r="B692" s="1">
        <f>IFERROR(__xludf.DUMMYFUNCTION("""COMPUTED_VALUE"""),89.28)</f>
        <v>89.28</v>
      </c>
    </row>
    <row r="693">
      <c r="A693" s="2">
        <f>IFERROR(__xludf.DUMMYFUNCTION("""COMPUTED_VALUE"""),45110.54166666667)</f>
        <v>45110.54167</v>
      </c>
      <c r="B693" s="1">
        <f>IFERROR(__xludf.DUMMYFUNCTION("""COMPUTED_VALUE"""),90.5)</f>
        <v>90.5</v>
      </c>
    </row>
    <row r="694">
      <c r="A694" s="2">
        <f>IFERROR(__xludf.DUMMYFUNCTION("""COMPUTED_VALUE"""),45112.66666666667)</f>
        <v>45112.66667</v>
      </c>
      <c r="B694" s="1">
        <f>IFERROR(__xludf.DUMMYFUNCTION("""COMPUTED_VALUE"""),89.79)</f>
        <v>89.79</v>
      </c>
    </row>
    <row r="695">
      <c r="A695" s="2">
        <f>IFERROR(__xludf.DUMMYFUNCTION("""COMPUTED_VALUE"""),45113.66666666667)</f>
        <v>45113.66667</v>
      </c>
      <c r="B695" s="1">
        <f>IFERROR(__xludf.DUMMYFUNCTION("""COMPUTED_VALUE"""),88.74)</f>
        <v>88.74</v>
      </c>
    </row>
    <row r="696">
      <c r="A696" s="2">
        <f>IFERROR(__xludf.DUMMYFUNCTION("""COMPUTED_VALUE"""),45114.66666666667)</f>
        <v>45114.66667</v>
      </c>
      <c r="B696" s="1">
        <f>IFERROR(__xludf.DUMMYFUNCTION("""COMPUTED_VALUE"""),88.64)</f>
        <v>88.64</v>
      </c>
    </row>
    <row r="697">
      <c r="A697" s="2">
        <f>IFERROR(__xludf.DUMMYFUNCTION("""COMPUTED_VALUE"""),45117.66666666667)</f>
        <v>45117.66667</v>
      </c>
      <c r="B697" s="1">
        <f>IFERROR(__xludf.DUMMYFUNCTION("""COMPUTED_VALUE"""),88.1)</f>
        <v>88.1</v>
      </c>
    </row>
    <row r="698">
      <c r="A698" s="2">
        <f>IFERROR(__xludf.DUMMYFUNCTION("""COMPUTED_VALUE"""),45118.66666666667)</f>
        <v>45118.66667</v>
      </c>
      <c r="B698" s="1">
        <f>IFERROR(__xludf.DUMMYFUNCTION("""COMPUTED_VALUE"""),89.49)</f>
        <v>89.49</v>
      </c>
    </row>
    <row r="699">
      <c r="A699" s="2">
        <f>IFERROR(__xludf.DUMMYFUNCTION("""COMPUTED_VALUE"""),45119.66666666667)</f>
        <v>45119.66667</v>
      </c>
      <c r="B699" s="1">
        <f>IFERROR(__xludf.DUMMYFUNCTION("""COMPUTED_VALUE"""),90.15)</f>
        <v>90.15</v>
      </c>
    </row>
    <row r="700">
      <c r="A700" s="2">
        <f>IFERROR(__xludf.DUMMYFUNCTION("""COMPUTED_VALUE"""),45120.66666666667)</f>
        <v>45120.66667</v>
      </c>
      <c r="B700" s="1">
        <f>IFERROR(__xludf.DUMMYFUNCTION("""COMPUTED_VALUE"""),90.47)</f>
        <v>90.47</v>
      </c>
    </row>
    <row r="701">
      <c r="A701" s="2">
        <f>IFERROR(__xludf.DUMMYFUNCTION("""COMPUTED_VALUE"""),45121.66666666667)</f>
        <v>45121.66667</v>
      </c>
      <c r="B701" s="1">
        <f>IFERROR(__xludf.DUMMYFUNCTION("""COMPUTED_VALUE"""),88.62)</f>
        <v>88.62</v>
      </c>
    </row>
    <row r="702">
      <c r="A702" s="2">
        <f>IFERROR(__xludf.DUMMYFUNCTION("""COMPUTED_VALUE"""),45124.66666666667)</f>
        <v>45124.66667</v>
      </c>
      <c r="B702" s="1">
        <f>IFERROR(__xludf.DUMMYFUNCTION("""COMPUTED_VALUE"""),85.56)</f>
        <v>85.56</v>
      </c>
    </row>
    <row r="703">
      <c r="A703" s="2">
        <f>IFERROR(__xludf.DUMMYFUNCTION("""COMPUTED_VALUE"""),45125.66666666667)</f>
        <v>45125.66667</v>
      </c>
      <c r="B703" s="1">
        <f>IFERROR(__xludf.DUMMYFUNCTION("""COMPUTED_VALUE"""),85.95)</f>
        <v>85.95</v>
      </c>
    </row>
    <row r="704">
      <c r="A704" s="2">
        <f>IFERROR(__xludf.DUMMYFUNCTION("""COMPUTED_VALUE"""),45126.66666666667)</f>
        <v>45126.66667</v>
      </c>
      <c r="B704" s="1">
        <f>IFERROR(__xludf.DUMMYFUNCTION("""COMPUTED_VALUE"""),87.04)</f>
        <v>87.04</v>
      </c>
    </row>
    <row r="705">
      <c r="A705" s="2">
        <f>IFERROR(__xludf.DUMMYFUNCTION("""COMPUTED_VALUE"""),45127.66666666667)</f>
        <v>45127.66667</v>
      </c>
      <c r="B705" s="1">
        <f>IFERROR(__xludf.DUMMYFUNCTION("""COMPUTED_VALUE"""),86.21)</f>
        <v>86.21</v>
      </c>
    </row>
    <row r="706">
      <c r="A706" s="2">
        <f>IFERROR(__xludf.DUMMYFUNCTION("""COMPUTED_VALUE"""),45128.66666666667)</f>
        <v>45128.66667</v>
      </c>
      <c r="B706" s="1">
        <f>IFERROR(__xludf.DUMMYFUNCTION("""COMPUTED_VALUE"""),87.18)</f>
        <v>87.18</v>
      </c>
    </row>
    <row r="707">
      <c r="A707" s="2">
        <f>IFERROR(__xludf.DUMMYFUNCTION("""COMPUTED_VALUE"""),45131.66666666667)</f>
        <v>45131.66667</v>
      </c>
      <c r="B707" s="1">
        <f>IFERROR(__xludf.DUMMYFUNCTION("""COMPUTED_VALUE"""),86.6)</f>
        <v>86.6</v>
      </c>
    </row>
    <row r="708">
      <c r="A708" s="2">
        <f>IFERROR(__xludf.DUMMYFUNCTION("""COMPUTED_VALUE"""),45132.66666666667)</f>
        <v>45132.66667</v>
      </c>
      <c r="B708" s="1">
        <f>IFERROR(__xludf.DUMMYFUNCTION("""COMPUTED_VALUE"""),85.63)</f>
        <v>85.63</v>
      </c>
    </row>
    <row r="709">
      <c r="A709" s="2">
        <f>IFERROR(__xludf.DUMMYFUNCTION("""COMPUTED_VALUE"""),45133.66666666667)</f>
        <v>45133.66667</v>
      </c>
      <c r="B709" s="1">
        <f>IFERROR(__xludf.DUMMYFUNCTION("""COMPUTED_VALUE"""),85.86)</f>
        <v>85.86</v>
      </c>
    </row>
    <row r="710">
      <c r="A710" s="2">
        <f>IFERROR(__xludf.DUMMYFUNCTION("""COMPUTED_VALUE"""),45134.66666666667)</f>
        <v>45134.66667</v>
      </c>
      <c r="B710" s="1">
        <f>IFERROR(__xludf.DUMMYFUNCTION("""COMPUTED_VALUE"""),85.36)</f>
        <v>85.36</v>
      </c>
    </row>
    <row r="711">
      <c r="A711" s="2">
        <f>IFERROR(__xludf.DUMMYFUNCTION("""COMPUTED_VALUE"""),45135.66666666667)</f>
        <v>45135.66667</v>
      </c>
      <c r="B711" s="1">
        <f>IFERROR(__xludf.DUMMYFUNCTION("""COMPUTED_VALUE"""),86.13)</f>
        <v>86.13</v>
      </c>
    </row>
    <row r="712">
      <c r="A712" s="2">
        <f>IFERROR(__xludf.DUMMYFUNCTION("""COMPUTED_VALUE"""),45138.66666666667)</f>
        <v>45138.66667</v>
      </c>
      <c r="B712" s="1">
        <f>IFERROR(__xludf.DUMMYFUNCTION("""COMPUTED_VALUE"""),88.89)</f>
        <v>88.89</v>
      </c>
    </row>
    <row r="713">
      <c r="A713" s="2">
        <f>IFERROR(__xludf.DUMMYFUNCTION("""COMPUTED_VALUE"""),45139.66666666667)</f>
        <v>45139.66667</v>
      </c>
      <c r="B713" s="1">
        <f>IFERROR(__xludf.DUMMYFUNCTION("""COMPUTED_VALUE"""),89.03)</f>
        <v>89.03</v>
      </c>
    </row>
    <row r="714">
      <c r="A714" s="2">
        <f>IFERROR(__xludf.DUMMYFUNCTION("""COMPUTED_VALUE"""),45140.66666666667)</f>
        <v>45140.66667</v>
      </c>
      <c r="B714" s="1">
        <f>IFERROR(__xludf.DUMMYFUNCTION("""COMPUTED_VALUE"""),86.3)</f>
        <v>86.3</v>
      </c>
    </row>
    <row r="715">
      <c r="A715" s="2">
        <f>IFERROR(__xludf.DUMMYFUNCTION("""COMPUTED_VALUE"""),45141.66666666667)</f>
        <v>45141.66667</v>
      </c>
      <c r="B715" s="1">
        <f>IFERROR(__xludf.DUMMYFUNCTION("""COMPUTED_VALUE"""),85.49)</f>
        <v>85.49</v>
      </c>
    </row>
    <row r="716">
      <c r="A716" s="2">
        <f>IFERROR(__xludf.DUMMYFUNCTION("""COMPUTED_VALUE"""),45142.66666666667)</f>
        <v>45142.66667</v>
      </c>
      <c r="B716" s="1">
        <f>IFERROR(__xludf.DUMMYFUNCTION("""COMPUTED_VALUE"""),86.3)</f>
        <v>86.3</v>
      </c>
    </row>
    <row r="717">
      <c r="A717" s="2">
        <f>IFERROR(__xludf.DUMMYFUNCTION("""COMPUTED_VALUE"""),45145.66666666667)</f>
        <v>45145.66667</v>
      </c>
      <c r="B717" s="1">
        <f>IFERROR(__xludf.DUMMYFUNCTION("""COMPUTED_VALUE"""),86.83)</f>
        <v>86.83</v>
      </c>
    </row>
    <row r="718">
      <c r="A718" s="2">
        <f>IFERROR(__xludf.DUMMYFUNCTION("""COMPUTED_VALUE"""),45146.66666666667)</f>
        <v>45146.66667</v>
      </c>
      <c r="B718" s="1">
        <f>IFERROR(__xludf.DUMMYFUNCTION("""COMPUTED_VALUE"""),88.13)</f>
        <v>88.13</v>
      </c>
    </row>
    <row r="719">
      <c r="A719" s="2">
        <f>IFERROR(__xludf.DUMMYFUNCTION("""COMPUTED_VALUE"""),45147.66666666667)</f>
        <v>45147.66667</v>
      </c>
      <c r="B719" s="1">
        <f>IFERROR(__xludf.DUMMYFUNCTION("""COMPUTED_VALUE"""),87.49)</f>
        <v>87.49</v>
      </c>
    </row>
    <row r="720">
      <c r="A720" s="2">
        <f>IFERROR(__xludf.DUMMYFUNCTION("""COMPUTED_VALUE"""),45148.66666666667)</f>
        <v>45148.66667</v>
      </c>
      <c r="B720" s="1">
        <f>IFERROR(__xludf.DUMMYFUNCTION("""COMPUTED_VALUE"""),91.76)</f>
        <v>91.76</v>
      </c>
    </row>
    <row r="721">
      <c r="A721" s="2">
        <f>IFERROR(__xludf.DUMMYFUNCTION("""COMPUTED_VALUE"""),45149.66666666667)</f>
        <v>45149.66667</v>
      </c>
      <c r="B721" s="1">
        <f>IFERROR(__xludf.DUMMYFUNCTION("""COMPUTED_VALUE"""),89.02)</f>
        <v>89.02</v>
      </c>
    </row>
    <row r="722">
      <c r="A722" s="2">
        <f>IFERROR(__xludf.DUMMYFUNCTION("""COMPUTED_VALUE"""),45152.66666666667)</f>
        <v>45152.66667</v>
      </c>
      <c r="B722" s="1">
        <f>IFERROR(__xludf.DUMMYFUNCTION("""COMPUTED_VALUE"""),88.81)</f>
        <v>88.81</v>
      </c>
    </row>
    <row r="723">
      <c r="A723" s="2">
        <f>IFERROR(__xludf.DUMMYFUNCTION("""COMPUTED_VALUE"""),45153.66666666667)</f>
        <v>45153.66667</v>
      </c>
      <c r="B723" s="1">
        <f>IFERROR(__xludf.DUMMYFUNCTION("""COMPUTED_VALUE"""),87.06)</f>
        <v>87.06</v>
      </c>
    </row>
    <row r="724">
      <c r="A724" s="2">
        <f>IFERROR(__xludf.DUMMYFUNCTION("""COMPUTED_VALUE"""),45154.66666666667)</f>
        <v>45154.66667</v>
      </c>
      <c r="B724" s="1">
        <f>IFERROR(__xludf.DUMMYFUNCTION("""COMPUTED_VALUE"""),86.35)</f>
        <v>86.35</v>
      </c>
    </row>
    <row r="725">
      <c r="A725" s="2">
        <f>IFERROR(__xludf.DUMMYFUNCTION("""COMPUTED_VALUE"""),45155.66666666667)</f>
        <v>45155.66667</v>
      </c>
      <c r="B725" s="1">
        <f>IFERROR(__xludf.DUMMYFUNCTION("""COMPUTED_VALUE"""),85.92)</f>
        <v>85.92</v>
      </c>
    </row>
    <row r="726">
      <c r="A726" s="2">
        <f>IFERROR(__xludf.DUMMYFUNCTION("""COMPUTED_VALUE"""),45156.66666666667)</f>
        <v>45156.66667</v>
      </c>
      <c r="B726" s="1">
        <f>IFERROR(__xludf.DUMMYFUNCTION("""COMPUTED_VALUE"""),85.96)</f>
        <v>85.96</v>
      </c>
    </row>
    <row r="727">
      <c r="A727" s="2">
        <f>IFERROR(__xludf.DUMMYFUNCTION("""COMPUTED_VALUE"""),45159.66666666667)</f>
        <v>45159.66667</v>
      </c>
      <c r="B727" s="1">
        <f>IFERROR(__xludf.DUMMYFUNCTION("""COMPUTED_VALUE"""),85.88)</f>
        <v>85.88</v>
      </c>
    </row>
    <row r="728">
      <c r="A728" s="2">
        <f>IFERROR(__xludf.DUMMYFUNCTION("""COMPUTED_VALUE"""),45160.66666666667)</f>
        <v>45160.66667</v>
      </c>
      <c r="B728" s="1">
        <f>IFERROR(__xludf.DUMMYFUNCTION("""COMPUTED_VALUE"""),85.79)</f>
        <v>85.79</v>
      </c>
    </row>
    <row r="729">
      <c r="A729" s="2">
        <f>IFERROR(__xludf.DUMMYFUNCTION("""COMPUTED_VALUE"""),45161.66666666667)</f>
        <v>45161.66667</v>
      </c>
      <c r="B729" s="1">
        <f>IFERROR(__xludf.DUMMYFUNCTION("""COMPUTED_VALUE"""),85.83)</f>
        <v>85.83</v>
      </c>
    </row>
    <row r="730">
      <c r="A730" s="2">
        <f>IFERROR(__xludf.DUMMYFUNCTION("""COMPUTED_VALUE"""),45162.66666666667)</f>
        <v>45162.66667</v>
      </c>
      <c r="B730" s="1">
        <f>IFERROR(__xludf.DUMMYFUNCTION("""COMPUTED_VALUE"""),82.47)</f>
        <v>82.47</v>
      </c>
    </row>
    <row r="731">
      <c r="A731" s="2">
        <f>IFERROR(__xludf.DUMMYFUNCTION("""COMPUTED_VALUE"""),45163.66666666667)</f>
        <v>45163.66667</v>
      </c>
      <c r="B731" s="1">
        <f>IFERROR(__xludf.DUMMYFUNCTION("""COMPUTED_VALUE"""),83.36)</f>
        <v>83.36</v>
      </c>
    </row>
    <row r="732">
      <c r="A732" s="2">
        <f>IFERROR(__xludf.DUMMYFUNCTION("""COMPUTED_VALUE"""),45166.66666666667)</f>
        <v>45166.66667</v>
      </c>
      <c r="B732" s="1">
        <f>IFERROR(__xludf.DUMMYFUNCTION("""COMPUTED_VALUE"""),84.16)</f>
        <v>84.16</v>
      </c>
    </row>
    <row r="733">
      <c r="A733" s="2">
        <f>IFERROR(__xludf.DUMMYFUNCTION("""COMPUTED_VALUE"""),45167.66666666667)</f>
        <v>45167.66667</v>
      </c>
      <c r="B733" s="1">
        <f>IFERROR(__xludf.DUMMYFUNCTION("""COMPUTED_VALUE"""),84.4)</f>
        <v>84.4</v>
      </c>
    </row>
    <row r="734">
      <c r="A734" s="2">
        <f>IFERROR(__xludf.DUMMYFUNCTION("""COMPUTED_VALUE"""),45168.66666666667)</f>
        <v>45168.66667</v>
      </c>
      <c r="B734" s="1">
        <f>IFERROR(__xludf.DUMMYFUNCTION("""COMPUTED_VALUE"""),84.28)</f>
        <v>84.28</v>
      </c>
    </row>
    <row r="735">
      <c r="A735" s="2">
        <f>IFERROR(__xludf.DUMMYFUNCTION("""COMPUTED_VALUE"""),45169.66666666667)</f>
        <v>45169.66667</v>
      </c>
      <c r="B735" s="1">
        <f>IFERROR(__xludf.DUMMYFUNCTION("""COMPUTED_VALUE"""),83.68)</f>
        <v>83.68</v>
      </c>
    </row>
    <row r="736">
      <c r="A736" s="2">
        <f>IFERROR(__xludf.DUMMYFUNCTION("""COMPUTED_VALUE"""),45170.66666666667)</f>
        <v>45170.66667</v>
      </c>
      <c r="B736" s="1">
        <f>IFERROR(__xludf.DUMMYFUNCTION("""COMPUTED_VALUE"""),81.64)</f>
        <v>81.64</v>
      </c>
    </row>
    <row r="737">
      <c r="A737" s="2">
        <f>IFERROR(__xludf.DUMMYFUNCTION("""COMPUTED_VALUE"""),45174.66666666667)</f>
        <v>45174.66667</v>
      </c>
      <c r="B737" s="1">
        <f>IFERROR(__xludf.DUMMYFUNCTION("""COMPUTED_VALUE"""),81.19)</f>
        <v>81.19</v>
      </c>
    </row>
    <row r="738">
      <c r="A738" s="2">
        <f>IFERROR(__xludf.DUMMYFUNCTION("""COMPUTED_VALUE"""),45175.66666666667)</f>
        <v>45175.66667</v>
      </c>
      <c r="B738" s="1">
        <f>IFERROR(__xludf.DUMMYFUNCTION("""COMPUTED_VALUE"""),80.98)</f>
        <v>80.98</v>
      </c>
    </row>
    <row r="739">
      <c r="A739" s="2">
        <f>IFERROR(__xludf.DUMMYFUNCTION("""COMPUTED_VALUE"""),45176.66666666667)</f>
        <v>45176.66667</v>
      </c>
      <c r="B739" s="1">
        <f>IFERROR(__xludf.DUMMYFUNCTION("""COMPUTED_VALUE"""),80.57)</f>
        <v>80.57</v>
      </c>
    </row>
    <row r="740">
      <c r="A740" s="2">
        <f>IFERROR(__xludf.DUMMYFUNCTION("""COMPUTED_VALUE"""),45177.66666666667)</f>
        <v>45177.66667</v>
      </c>
      <c r="B740" s="1">
        <f>IFERROR(__xludf.DUMMYFUNCTION("""COMPUTED_VALUE"""),81.58)</f>
        <v>81.58</v>
      </c>
    </row>
    <row r="741">
      <c r="A741" s="2">
        <f>IFERROR(__xludf.DUMMYFUNCTION("""COMPUTED_VALUE"""),45180.66666666667)</f>
        <v>45180.66667</v>
      </c>
      <c r="B741" s="1">
        <f>IFERROR(__xludf.DUMMYFUNCTION("""COMPUTED_VALUE"""),82.52)</f>
        <v>82.52</v>
      </c>
    </row>
    <row r="742">
      <c r="A742" s="2">
        <f>IFERROR(__xludf.DUMMYFUNCTION("""COMPUTED_VALUE"""),45181.66666666667)</f>
        <v>45181.66667</v>
      </c>
      <c r="B742" s="1">
        <f>IFERROR(__xludf.DUMMYFUNCTION("""COMPUTED_VALUE"""),83.68)</f>
        <v>83.68</v>
      </c>
    </row>
    <row r="743">
      <c r="A743" s="2">
        <f>IFERROR(__xludf.DUMMYFUNCTION("""COMPUTED_VALUE"""),45182.66666666667)</f>
        <v>45182.66667</v>
      </c>
      <c r="B743" s="1">
        <f>IFERROR(__xludf.DUMMYFUNCTION("""COMPUTED_VALUE"""),83.48)</f>
        <v>83.48</v>
      </c>
    </row>
    <row r="744">
      <c r="A744" s="2">
        <f>IFERROR(__xludf.DUMMYFUNCTION("""COMPUTED_VALUE"""),45183.66666666667)</f>
        <v>45183.66667</v>
      </c>
      <c r="B744" s="1">
        <f>IFERROR(__xludf.DUMMYFUNCTION("""COMPUTED_VALUE"""),84.48)</f>
        <v>84.48</v>
      </c>
    </row>
    <row r="745">
      <c r="A745" s="2">
        <f>IFERROR(__xludf.DUMMYFUNCTION("""COMPUTED_VALUE"""),45184.66666666667)</f>
        <v>45184.66667</v>
      </c>
      <c r="B745" s="1">
        <f>IFERROR(__xludf.DUMMYFUNCTION("""COMPUTED_VALUE"""),85.58)</f>
        <v>85.58</v>
      </c>
    </row>
    <row r="746">
      <c r="A746" s="2">
        <f>IFERROR(__xludf.DUMMYFUNCTION("""COMPUTED_VALUE"""),45187.66666666667)</f>
        <v>45187.66667</v>
      </c>
      <c r="B746" s="1">
        <f>IFERROR(__xludf.DUMMYFUNCTION("""COMPUTED_VALUE"""),85.02)</f>
        <v>85.02</v>
      </c>
    </row>
    <row r="747">
      <c r="A747" s="2">
        <f>IFERROR(__xludf.DUMMYFUNCTION("""COMPUTED_VALUE"""),45188.66666666667)</f>
        <v>45188.66667</v>
      </c>
      <c r="B747" s="1">
        <f>IFERROR(__xludf.DUMMYFUNCTION("""COMPUTED_VALUE"""),81.94)</f>
        <v>81.94</v>
      </c>
    </row>
    <row r="748">
      <c r="A748" s="2">
        <f>IFERROR(__xludf.DUMMYFUNCTION("""COMPUTED_VALUE"""),45189.66666666667)</f>
        <v>45189.66667</v>
      </c>
      <c r="B748" s="1">
        <f>IFERROR(__xludf.DUMMYFUNCTION("""COMPUTED_VALUE"""),82.56)</f>
        <v>82.56</v>
      </c>
    </row>
    <row r="749">
      <c r="A749" s="2">
        <f>IFERROR(__xludf.DUMMYFUNCTION("""COMPUTED_VALUE"""),45190.66666666667)</f>
        <v>45190.66667</v>
      </c>
      <c r="B749" s="1">
        <f>IFERROR(__xludf.DUMMYFUNCTION("""COMPUTED_VALUE"""),82.73)</f>
        <v>82.73</v>
      </c>
    </row>
    <row r="750">
      <c r="A750" s="2">
        <f>IFERROR(__xludf.DUMMYFUNCTION("""COMPUTED_VALUE"""),45191.66666666667)</f>
        <v>45191.66667</v>
      </c>
      <c r="B750" s="1">
        <f>IFERROR(__xludf.DUMMYFUNCTION("""COMPUTED_VALUE"""),81.25)</f>
        <v>81.25</v>
      </c>
    </row>
    <row r="751">
      <c r="A751" s="2">
        <f>IFERROR(__xludf.DUMMYFUNCTION("""COMPUTED_VALUE"""),45194.66666666667)</f>
        <v>45194.66667</v>
      </c>
      <c r="B751" s="1">
        <f>IFERROR(__xludf.DUMMYFUNCTION("""COMPUTED_VALUE"""),81.01)</f>
        <v>81.01</v>
      </c>
    </row>
    <row r="752">
      <c r="A752" s="2">
        <f>IFERROR(__xludf.DUMMYFUNCTION("""COMPUTED_VALUE"""),45195.66666666667)</f>
        <v>45195.66667</v>
      </c>
      <c r="B752" s="1">
        <f>IFERROR(__xludf.DUMMYFUNCTION("""COMPUTED_VALUE"""),80.05)</f>
        <v>80.05</v>
      </c>
    </row>
    <row r="753">
      <c r="A753" s="2">
        <f>IFERROR(__xludf.DUMMYFUNCTION("""COMPUTED_VALUE"""),45196.66666666667)</f>
        <v>45196.66667</v>
      </c>
      <c r="B753" s="1">
        <f>IFERROR(__xludf.DUMMYFUNCTION("""COMPUTED_VALUE"""),79.9)</f>
        <v>79.9</v>
      </c>
    </row>
    <row r="754">
      <c r="A754" s="2">
        <f>IFERROR(__xludf.DUMMYFUNCTION("""COMPUTED_VALUE"""),45197.66666666667)</f>
        <v>45197.66667</v>
      </c>
      <c r="B754" s="1">
        <f>IFERROR(__xludf.DUMMYFUNCTION("""COMPUTED_VALUE"""),80.13)</f>
        <v>80.13</v>
      </c>
    </row>
    <row r="755">
      <c r="A755" s="2">
        <f>IFERROR(__xludf.DUMMYFUNCTION("""COMPUTED_VALUE"""),45198.66666666667)</f>
        <v>45198.66667</v>
      </c>
      <c r="B755" s="1">
        <f>IFERROR(__xludf.DUMMYFUNCTION("""COMPUTED_VALUE"""),81.05)</f>
        <v>81.05</v>
      </c>
    </row>
    <row r="756">
      <c r="A756" s="2">
        <f>IFERROR(__xludf.DUMMYFUNCTION("""COMPUTED_VALUE"""),45201.66666666667)</f>
        <v>45201.66667</v>
      </c>
      <c r="B756" s="1">
        <f>IFERROR(__xludf.DUMMYFUNCTION("""COMPUTED_VALUE"""),81.67)</f>
        <v>81.67</v>
      </c>
    </row>
    <row r="757">
      <c r="A757" s="2">
        <f>IFERROR(__xludf.DUMMYFUNCTION("""COMPUTED_VALUE"""),45202.66666666667)</f>
        <v>45202.66667</v>
      </c>
      <c r="B757" s="1">
        <f>IFERROR(__xludf.DUMMYFUNCTION("""COMPUTED_VALUE"""),79.54)</f>
        <v>79.54</v>
      </c>
    </row>
    <row r="758">
      <c r="A758" s="2">
        <f>IFERROR(__xludf.DUMMYFUNCTION("""COMPUTED_VALUE"""),45203.66666666667)</f>
        <v>45203.66667</v>
      </c>
      <c r="B758" s="1">
        <f>IFERROR(__xludf.DUMMYFUNCTION("""COMPUTED_VALUE"""),79.32)</f>
        <v>79.32</v>
      </c>
    </row>
    <row r="759">
      <c r="A759" s="2">
        <f>IFERROR(__xludf.DUMMYFUNCTION("""COMPUTED_VALUE"""),45204.66666666667)</f>
        <v>45204.66667</v>
      </c>
      <c r="B759" s="1">
        <f>IFERROR(__xludf.DUMMYFUNCTION("""COMPUTED_VALUE"""),80.81)</f>
        <v>80.81</v>
      </c>
    </row>
    <row r="760">
      <c r="A760" s="2">
        <f>IFERROR(__xludf.DUMMYFUNCTION("""COMPUTED_VALUE"""),45205.66666666667)</f>
        <v>45205.66667</v>
      </c>
      <c r="B760" s="1">
        <f>IFERROR(__xludf.DUMMYFUNCTION("""COMPUTED_VALUE"""),82.94)</f>
        <v>82.94</v>
      </c>
    </row>
    <row r="761">
      <c r="A761" s="2">
        <f>IFERROR(__xludf.DUMMYFUNCTION("""COMPUTED_VALUE"""),45208.66666666667)</f>
        <v>45208.66667</v>
      </c>
      <c r="B761" s="1">
        <f>IFERROR(__xludf.DUMMYFUNCTION("""COMPUTED_VALUE"""),84.7)</f>
        <v>84.7</v>
      </c>
    </row>
    <row r="762">
      <c r="A762" s="2">
        <f>IFERROR(__xludf.DUMMYFUNCTION("""COMPUTED_VALUE"""),45209.66666666667)</f>
        <v>45209.66667</v>
      </c>
      <c r="B762" s="1">
        <f>IFERROR(__xludf.DUMMYFUNCTION("""COMPUTED_VALUE"""),84.99)</f>
        <v>84.99</v>
      </c>
    </row>
    <row r="763">
      <c r="A763" s="2">
        <f>IFERROR(__xludf.DUMMYFUNCTION("""COMPUTED_VALUE"""),45210.66666666667)</f>
        <v>45210.66667</v>
      </c>
      <c r="B763" s="1">
        <f>IFERROR(__xludf.DUMMYFUNCTION("""COMPUTED_VALUE"""),84.85)</f>
        <v>84.85</v>
      </c>
    </row>
    <row r="764">
      <c r="A764" s="2">
        <f>IFERROR(__xludf.DUMMYFUNCTION("""COMPUTED_VALUE"""),45211.66666666667)</f>
        <v>45211.66667</v>
      </c>
      <c r="B764" s="1">
        <f>IFERROR(__xludf.DUMMYFUNCTION("""COMPUTED_VALUE"""),84.35)</f>
        <v>84.35</v>
      </c>
    </row>
    <row r="765">
      <c r="A765" s="2">
        <f>IFERROR(__xludf.DUMMYFUNCTION("""COMPUTED_VALUE"""),45212.66666666667)</f>
        <v>45212.66667</v>
      </c>
      <c r="B765" s="1">
        <f>IFERROR(__xludf.DUMMYFUNCTION("""COMPUTED_VALUE"""),84.35)</f>
        <v>84.35</v>
      </c>
    </row>
    <row r="766">
      <c r="A766" s="2">
        <f>IFERROR(__xludf.DUMMYFUNCTION("""COMPUTED_VALUE"""),45215.66666666667)</f>
        <v>45215.66667</v>
      </c>
      <c r="B766" s="1">
        <f>IFERROR(__xludf.DUMMYFUNCTION("""COMPUTED_VALUE"""),85.71)</f>
        <v>85.71</v>
      </c>
    </row>
    <row r="767">
      <c r="A767" s="2">
        <f>IFERROR(__xludf.DUMMYFUNCTION("""COMPUTED_VALUE"""),45216.66666666667)</f>
        <v>45216.66667</v>
      </c>
      <c r="B767" s="1">
        <f>IFERROR(__xludf.DUMMYFUNCTION("""COMPUTED_VALUE"""),86.2)</f>
        <v>86.2</v>
      </c>
    </row>
    <row r="768">
      <c r="A768" s="2">
        <f>IFERROR(__xludf.DUMMYFUNCTION("""COMPUTED_VALUE"""),45217.66666666667)</f>
        <v>45217.66667</v>
      </c>
      <c r="B768" s="1">
        <f>IFERROR(__xludf.DUMMYFUNCTION("""COMPUTED_VALUE"""),84.68)</f>
        <v>84.68</v>
      </c>
    </row>
    <row r="769">
      <c r="A769" s="2">
        <f>IFERROR(__xludf.DUMMYFUNCTION("""COMPUTED_VALUE"""),45218.66666666667)</f>
        <v>45218.66667</v>
      </c>
      <c r="B769" s="1">
        <f>IFERROR(__xludf.DUMMYFUNCTION("""COMPUTED_VALUE"""),83.25)</f>
        <v>83.25</v>
      </c>
    </row>
    <row r="770">
      <c r="A770" s="2">
        <f>IFERROR(__xludf.DUMMYFUNCTION("""COMPUTED_VALUE"""),45219.66666666667)</f>
        <v>45219.66667</v>
      </c>
      <c r="B770" s="1">
        <f>IFERROR(__xludf.DUMMYFUNCTION("""COMPUTED_VALUE"""),82.65)</f>
        <v>82.65</v>
      </c>
    </row>
    <row r="771">
      <c r="A771" s="2">
        <f>IFERROR(__xludf.DUMMYFUNCTION("""COMPUTED_VALUE"""),45222.66666666667)</f>
        <v>45222.66667</v>
      </c>
      <c r="B771" s="1">
        <f>IFERROR(__xludf.DUMMYFUNCTION("""COMPUTED_VALUE"""),83.1)</f>
        <v>83.1</v>
      </c>
    </row>
    <row r="772">
      <c r="A772" s="2">
        <f>IFERROR(__xludf.DUMMYFUNCTION("""COMPUTED_VALUE"""),45223.66666666667)</f>
        <v>45223.66667</v>
      </c>
      <c r="B772" s="1">
        <f>IFERROR(__xludf.DUMMYFUNCTION("""COMPUTED_VALUE"""),82.56)</f>
        <v>82.56</v>
      </c>
    </row>
    <row r="773">
      <c r="A773" s="2">
        <f>IFERROR(__xludf.DUMMYFUNCTION("""COMPUTED_VALUE"""),45224.66666666667)</f>
        <v>45224.66667</v>
      </c>
      <c r="B773" s="1">
        <f>IFERROR(__xludf.DUMMYFUNCTION("""COMPUTED_VALUE"""),80.59)</f>
        <v>80.59</v>
      </c>
    </row>
    <row r="774">
      <c r="A774" s="2">
        <f>IFERROR(__xludf.DUMMYFUNCTION("""COMPUTED_VALUE"""),45225.66666666667)</f>
        <v>45225.66667</v>
      </c>
      <c r="B774" s="1">
        <f>IFERROR(__xludf.DUMMYFUNCTION("""COMPUTED_VALUE"""),79.78)</f>
        <v>79.78</v>
      </c>
    </row>
    <row r="775">
      <c r="A775" s="2">
        <f>IFERROR(__xludf.DUMMYFUNCTION("""COMPUTED_VALUE"""),45226.66666666667)</f>
        <v>45226.66667</v>
      </c>
      <c r="B775" s="1">
        <f>IFERROR(__xludf.DUMMYFUNCTION("""COMPUTED_VALUE"""),79.33)</f>
        <v>79.33</v>
      </c>
    </row>
    <row r="776">
      <c r="A776" s="2">
        <f>IFERROR(__xludf.DUMMYFUNCTION("""COMPUTED_VALUE"""),45229.66666666667)</f>
        <v>45229.66667</v>
      </c>
      <c r="B776" s="1">
        <f>IFERROR(__xludf.DUMMYFUNCTION("""COMPUTED_VALUE"""),80.68)</f>
        <v>80.68</v>
      </c>
    </row>
    <row r="777">
      <c r="A777" s="2">
        <f>IFERROR(__xludf.DUMMYFUNCTION("""COMPUTED_VALUE"""),45230.66666666667)</f>
        <v>45230.66667</v>
      </c>
      <c r="B777" s="1">
        <f>IFERROR(__xludf.DUMMYFUNCTION("""COMPUTED_VALUE"""),81.59)</f>
        <v>81.59</v>
      </c>
    </row>
    <row r="778">
      <c r="A778" s="2">
        <f>IFERROR(__xludf.DUMMYFUNCTION("""COMPUTED_VALUE"""),45231.66666666667)</f>
        <v>45231.66667</v>
      </c>
      <c r="B778" s="1">
        <f>IFERROR(__xludf.DUMMYFUNCTION("""COMPUTED_VALUE"""),81.07)</f>
        <v>81.07</v>
      </c>
    </row>
    <row r="779">
      <c r="A779" s="2">
        <f>IFERROR(__xludf.DUMMYFUNCTION("""COMPUTED_VALUE"""),45232.66666666667)</f>
        <v>45232.66667</v>
      </c>
      <c r="B779" s="1">
        <f>IFERROR(__xludf.DUMMYFUNCTION("""COMPUTED_VALUE"""),83.29)</f>
        <v>83.29</v>
      </c>
    </row>
    <row r="780">
      <c r="A780" s="2">
        <f>IFERROR(__xludf.DUMMYFUNCTION("""COMPUTED_VALUE"""),45233.66666666667)</f>
        <v>45233.66667</v>
      </c>
      <c r="B780" s="1">
        <f>IFERROR(__xludf.DUMMYFUNCTION("""COMPUTED_VALUE"""),85.07)</f>
        <v>85.07</v>
      </c>
    </row>
    <row r="781">
      <c r="A781" s="2">
        <f>IFERROR(__xludf.DUMMYFUNCTION("""COMPUTED_VALUE"""),45236.66666666667)</f>
        <v>45236.66667</v>
      </c>
      <c r="B781" s="1">
        <f>IFERROR(__xludf.DUMMYFUNCTION("""COMPUTED_VALUE"""),84.02)</f>
        <v>84.02</v>
      </c>
    </row>
    <row r="782">
      <c r="A782" s="2">
        <f>IFERROR(__xludf.DUMMYFUNCTION("""COMPUTED_VALUE"""),45237.66666666667)</f>
        <v>45237.66667</v>
      </c>
      <c r="B782" s="1">
        <f>IFERROR(__xludf.DUMMYFUNCTION("""COMPUTED_VALUE"""),84.59)</f>
        <v>84.59</v>
      </c>
    </row>
    <row r="783">
      <c r="A783" s="2">
        <f>IFERROR(__xludf.DUMMYFUNCTION("""COMPUTED_VALUE"""),45238.66666666667)</f>
        <v>45238.66667</v>
      </c>
      <c r="B783" s="1">
        <f>IFERROR(__xludf.DUMMYFUNCTION("""COMPUTED_VALUE"""),84.5)</f>
        <v>84.5</v>
      </c>
    </row>
    <row r="784">
      <c r="A784" s="2">
        <f>IFERROR(__xludf.DUMMYFUNCTION("""COMPUTED_VALUE"""),45239.66666666667)</f>
        <v>45239.66667</v>
      </c>
      <c r="B784" s="1">
        <f>IFERROR(__xludf.DUMMYFUNCTION("""COMPUTED_VALUE"""),90.34)</f>
        <v>90.34</v>
      </c>
    </row>
    <row r="785">
      <c r="A785" s="2">
        <f>IFERROR(__xludf.DUMMYFUNCTION("""COMPUTED_VALUE"""),45240.66666666667)</f>
        <v>45240.66667</v>
      </c>
      <c r="B785" s="1">
        <f>IFERROR(__xludf.DUMMYFUNCTION("""COMPUTED_VALUE"""),88.27)</f>
        <v>88.27</v>
      </c>
    </row>
    <row r="786">
      <c r="A786" s="2">
        <f>IFERROR(__xludf.DUMMYFUNCTION("""COMPUTED_VALUE"""),45243.66666666667)</f>
        <v>45243.66667</v>
      </c>
      <c r="B786" s="1">
        <f>IFERROR(__xludf.DUMMYFUNCTION("""COMPUTED_VALUE"""),89.44)</f>
        <v>89.44</v>
      </c>
    </row>
    <row r="787">
      <c r="A787" s="2">
        <f>IFERROR(__xludf.DUMMYFUNCTION("""COMPUTED_VALUE"""),45244.66666666667)</f>
        <v>45244.66667</v>
      </c>
      <c r="B787" s="1">
        <f>IFERROR(__xludf.DUMMYFUNCTION("""COMPUTED_VALUE"""),91.07)</f>
        <v>91.07</v>
      </c>
    </row>
    <row r="788">
      <c r="A788" s="2">
        <f>IFERROR(__xludf.DUMMYFUNCTION("""COMPUTED_VALUE"""),45245.66666666667)</f>
        <v>45245.66667</v>
      </c>
      <c r="B788" s="1">
        <f>IFERROR(__xludf.DUMMYFUNCTION("""COMPUTED_VALUE"""),93.93)</f>
        <v>93.93</v>
      </c>
    </row>
    <row r="789">
      <c r="A789" s="2">
        <f>IFERROR(__xludf.DUMMYFUNCTION("""COMPUTED_VALUE"""),45246.66666666667)</f>
        <v>45246.66667</v>
      </c>
      <c r="B789" s="1">
        <f>IFERROR(__xludf.DUMMYFUNCTION("""COMPUTED_VALUE"""),94.51)</f>
        <v>94.51</v>
      </c>
    </row>
    <row r="790">
      <c r="A790" s="2">
        <f>IFERROR(__xludf.DUMMYFUNCTION("""COMPUTED_VALUE"""),45247.66666666667)</f>
        <v>45247.66667</v>
      </c>
      <c r="B790" s="1">
        <f>IFERROR(__xludf.DUMMYFUNCTION("""COMPUTED_VALUE"""),94.15)</f>
        <v>94.15</v>
      </c>
    </row>
    <row r="791">
      <c r="A791" s="2">
        <f>IFERROR(__xludf.DUMMYFUNCTION("""COMPUTED_VALUE"""),45250.66666666667)</f>
        <v>45250.66667</v>
      </c>
      <c r="B791" s="1">
        <f>IFERROR(__xludf.DUMMYFUNCTION("""COMPUTED_VALUE"""),95.03)</f>
        <v>95.03</v>
      </c>
    </row>
    <row r="792">
      <c r="A792" s="2">
        <f>IFERROR(__xludf.DUMMYFUNCTION("""COMPUTED_VALUE"""),45251.66666666667)</f>
        <v>45251.66667</v>
      </c>
      <c r="B792" s="1">
        <f>IFERROR(__xludf.DUMMYFUNCTION("""COMPUTED_VALUE"""),94.45)</f>
        <v>94.45</v>
      </c>
    </row>
    <row r="793">
      <c r="A793" s="2">
        <f>IFERROR(__xludf.DUMMYFUNCTION("""COMPUTED_VALUE"""),45252.66666666667)</f>
        <v>45252.66667</v>
      </c>
      <c r="B793" s="1">
        <f>IFERROR(__xludf.DUMMYFUNCTION("""COMPUTED_VALUE"""),95.07)</f>
        <v>95.07</v>
      </c>
    </row>
    <row r="794">
      <c r="A794" s="2">
        <f>IFERROR(__xludf.DUMMYFUNCTION("""COMPUTED_VALUE"""),45254.54166666667)</f>
        <v>45254.54167</v>
      </c>
      <c r="B794" s="1">
        <f>IFERROR(__xludf.DUMMYFUNCTION("""COMPUTED_VALUE"""),96.06)</f>
        <v>96.06</v>
      </c>
    </row>
    <row r="795">
      <c r="A795" s="2">
        <f>IFERROR(__xludf.DUMMYFUNCTION("""COMPUTED_VALUE"""),45257.66666666667)</f>
        <v>45257.66667</v>
      </c>
      <c r="B795" s="1">
        <f>IFERROR(__xludf.DUMMYFUNCTION("""COMPUTED_VALUE"""),95.17)</f>
        <v>95.17</v>
      </c>
    </row>
    <row r="796">
      <c r="A796" s="2">
        <f>IFERROR(__xludf.DUMMYFUNCTION("""COMPUTED_VALUE"""),45258.66666666667)</f>
        <v>45258.66667</v>
      </c>
      <c r="B796" s="1">
        <f>IFERROR(__xludf.DUMMYFUNCTION("""COMPUTED_VALUE"""),92.5)</f>
        <v>92.5</v>
      </c>
    </row>
    <row r="797">
      <c r="A797" s="2">
        <f>IFERROR(__xludf.DUMMYFUNCTION("""COMPUTED_VALUE"""),45259.66666666667)</f>
        <v>45259.66667</v>
      </c>
      <c r="B797" s="1">
        <f>IFERROR(__xludf.DUMMYFUNCTION("""COMPUTED_VALUE"""),92.5)</f>
        <v>92.5</v>
      </c>
    </row>
    <row r="798">
      <c r="A798" s="2">
        <f>IFERROR(__xludf.DUMMYFUNCTION("""COMPUTED_VALUE"""),45260.66666666667)</f>
        <v>45260.66667</v>
      </c>
      <c r="B798" s="1">
        <f>IFERROR(__xludf.DUMMYFUNCTION("""COMPUTED_VALUE"""),92.69)</f>
        <v>92.69</v>
      </c>
    </row>
    <row r="799">
      <c r="A799" s="2">
        <f>IFERROR(__xludf.DUMMYFUNCTION("""COMPUTED_VALUE"""),45261.66666666667)</f>
        <v>45261.66667</v>
      </c>
      <c r="B799" s="1">
        <f>IFERROR(__xludf.DUMMYFUNCTION("""COMPUTED_VALUE"""),92.58)</f>
        <v>92.58</v>
      </c>
    </row>
    <row r="800">
      <c r="A800" s="2">
        <f>IFERROR(__xludf.DUMMYFUNCTION("""COMPUTED_VALUE"""),45264.66666666667)</f>
        <v>45264.66667</v>
      </c>
      <c r="B800" s="1">
        <f>IFERROR(__xludf.DUMMYFUNCTION("""COMPUTED_VALUE"""),92.01)</f>
        <v>92.01</v>
      </c>
    </row>
    <row r="801">
      <c r="A801" s="2">
        <f>IFERROR(__xludf.DUMMYFUNCTION("""COMPUTED_VALUE"""),45265.66666666667)</f>
        <v>45265.66667</v>
      </c>
      <c r="B801" s="1">
        <f>IFERROR(__xludf.DUMMYFUNCTION("""COMPUTED_VALUE"""),90.79)</f>
        <v>90.79</v>
      </c>
    </row>
    <row r="802">
      <c r="A802" s="2">
        <f>IFERROR(__xludf.DUMMYFUNCTION("""COMPUTED_VALUE"""),45266.66666666667)</f>
        <v>45266.66667</v>
      </c>
      <c r="B802" s="1">
        <f>IFERROR(__xludf.DUMMYFUNCTION("""COMPUTED_VALUE"""),91.5)</f>
        <v>91.5</v>
      </c>
    </row>
    <row r="803">
      <c r="A803" s="2">
        <f>IFERROR(__xludf.DUMMYFUNCTION("""COMPUTED_VALUE"""),45267.66666666667)</f>
        <v>45267.66667</v>
      </c>
      <c r="B803" s="1">
        <f>IFERROR(__xludf.DUMMYFUNCTION("""COMPUTED_VALUE"""),92.35)</f>
        <v>92.35</v>
      </c>
    </row>
    <row r="804">
      <c r="A804" s="2">
        <f>IFERROR(__xludf.DUMMYFUNCTION("""COMPUTED_VALUE"""),45268.66666666667)</f>
        <v>45268.66667</v>
      </c>
      <c r="B804" s="1">
        <f>IFERROR(__xludf.DUMMYFUNCTION("""COMPUTED_VALUE"""),92.82)</f>
        <v>92.82</v>
      </c>
    </row>
    <row r="805">
      <c r="A805" s="2">
        <f>IFERROR(__xludf.DUMMYFUNCTION("""COMPUTED_VALUE"""),45271.66666666667)</f>
        <v>45271.66667</v>
      </c>
      <c r="B805" s="1">
        <f>IFERROR(__xludf.DUMMYFUNCTION("""COMPUTED_VALUE"""),92.2)</f>
        <v>92.2</v>
      </c>
    </row>
    <row r="806">
      <c r="A806" s="2">
        <f>IFERROR(__xludf.DUMMYFUNCTION("""COMPUTED_VALUE"""),45272.66666666667)</f>
        <v>45272.66667</v>
      </c>
      <c r="B806" s="1">
        <f>IFERROR(__xludf.DUMMYFUNCTION("""COMPUTED_VALUE"""),91.07)</f>
        <v>91.07</v>
      </c>
    </row>
    <row r="807">
      <c r="A807" s="2">
        <f>IFERROR(__xludf.DUMMYFUNCTION("""COMPUTED_VALUE"""),45273.66666666667)</f>
        <v>45273.66667</v>
      </c>
      <c r="B807" s="1">
        <f>IFERROR(__xludf.DUMMYFUNCTION("""COMPUTED_VALUE"""),92.83)</f>
        <v>92.83</v>
      </c>
    </row>
    <row r="808">
      <c r="A808" s="2">
        <f>IFERROR(__xludf.DUMMYFUNCTION("""COMPUTED_VALUE"""),45274.66666666667)</f>
        <v>45274.66667</v>
      </c>
      <c r="B808" s="1">
        <f>IFERROR(__xludf.DUMMYFUNCTION("""COMPUTED_VALUE"""),93.94)</f>
        <v>93.94</v>
      </c>
    </row>
    <row r="809">
      <c r="A809" s="2">
        <f>IFERROR(__xludf.DUMMYFUNCTION("""COMPUTED_VALUE"""),45275.66666666667)</f>
        <v>45275.66667</v>
      </c>
      <c r="B809" s="1">
        <f>IFERROR(__xludf.DUMMYFUNCTION("""COMPUTED_VALUE"""),93.46)</f>
        <v>93.46</v>
      </c>
    </row>
    <row r="810">
      <c r="A810" s="2">
        <f>IFERROR(__xludf.DUMMYFUNCTION("""COMPUTED_VALUE"""),45278.66666666667)</f>
        <v>45278.66667</v>
      </c>
      <c r="B810" s="1">
        <f>IFERROR(__xludf.DUMMYFUNCTION("""COMPUTED_VALUE"""),92.86)</f>
        <v>92.86</v>
      </c>
    </row>
    <row r="811">
      <c r="A811" s="2">
        <f>IFERROR(__xludf.DUMMYFUNCTION("""COMPUTED_VALUE"""),45279.66666666667)</f>
        <v>45279.66667</v>
      </c>
      <c r="B811" s="1">
        <f>IFERROR(__xludf.DUMMYFUNCTION("""COMPUTED_VALUE"""),93.93)</f>
        <v>93.93</v>
      </c>
    </row>
    <row r="812">
      <c r="A812" s="2">
        <f>IFERROR(__xludf.DUMMYFUNCTION("""COMPUTED_VALUE"""),45280.66666666667)</f>
        <v>45280.66667</v>
      </c>
      <c r="B812" s="1">
        <f>IFERROR(__xludf.DUMMYFUNCTION("""COMPUTED_VALUE"""),91.27)</f>
        <v>91.27</v>
      </c>
    </row>
    <row r="813">
      <c r="A813" s="2">
        <f>IFERROR(__xludf.DUMMYFUNCTION("""COMPUTED_VALUE"""),45281.66666666667)</f>
        <v>45281.66667</v>
      </c>
      <c r="B813" s="1">
        <f>IFERROR(__xludf.DUMMYFUNCTION("""COMPUTED_VALUE"""),92.02)</f>
        <v>92.02</v>
      </c>
    </row>
    <row r="814">
      <c r="A814" s="2">
        <f>IFERROR(__xludf.DUMMYFUNCTION("""COMPUTED_VALUE"""),45282.66666666667)</f>
        <v>45282.66667</v>
      </c>
      <c r="B814" s="1">
        <f>IFERROR(__xludf.DUMMYFUNCTION("""COMPUTED_VALUE"""),91.02)</f>
        <v>91.02</v>
      </c>
    </row>
    <row r="815">
      <c r="A815" s="2">
        <f>IFERROR(__xludf.DUMMYFUNCTION("""COMPUTED_VALUE"""),45286.66666666667)</f>
        <v>45286.66667</v>
      </c>
      <c r="B815" s="1">
        <f>IFERROR(__xludf.DUMMYFUNCTION("""COMPUTED_VALUE"""),90.95)</f>
        <v>90.95</v>
      </c>
    </row>
    <row r="816">
      <c r="A816" s="2">
        <f>IFERROR(__xludf.DUMMYFUNCTION("""COMPUTED_VALUE"""),45287.66666666667)</f>
        <v>45287.66667</v>
      </c>
      <c r="B816" s="1">
        <f>IFERROR(__xludf.DUMMYFUNCTION("""COMPUTED_VALUE"""),90.38)</f>
        <v>90.38</v>
      </c>
    </row>
    <row r="817">
      <c r="A817" s="2">
        <f>IFERROR(__xludf.DUMMYFUNCTION("""COMPUTED_VALUE"""),45288.66666666667)</f>
        <v>45288.66667</v>
      </c>
      <c r="B817" s="1">
        <f>IFERROR(__xludf.DUMMYFUNCTION("""COMPUTED_VALUE"""),90.4)</f>
        <v>90.4</v>
      </c>
    </row>
    <row r="818">
      <c r="A818" s="2">
        <f>IFERROR(__xludf.DUMMYFUNCTION("""COMPUTED_VALUE"""),45289.66666666667)</f>
        <v>45289.66667</v>
      </c>
      <c r="B818" s="1">
        <f>IFERROR(__xludf.DUMMYFUNCTION("""COMPUTED_VALUE"""),90.29)</f>
        <v>90.29</v>
      </c>
    </row>
    <row r="819">
      <c r="A819" s="2">
        <f>IFERROR(__xludf.DUMMYFUNCTION("""COMPUTED_VALUE"""),45293.66666666667)</f>
        <v>45293.66667</v>
      </c>
      <c r="B819" s="1">
        <f>IFERROR(__xludf.DUMMYFUNCTION("""COMPUTED_VALUE"""),90.71)</f>
        <v>90.71</v>
      </c>
    </row>
    <row r="820">
      <c r="A820" s="2">
        <f>IFERROR(__xludf.DUMMYFUNCTION("""COMPUTED_VALUE"""),45294.66666666667)</f>
        <v>45294.66667</v>
      </c>
      <c r="B820" s="1">
        <f>IFERROR(__xludf.DUMMYFUNCTION("""COMPUTED_VALUE"""),91.65)</f>
        <v>91.65</v>
      </c>
    </row>
    <row r="821">
      <c r="A821" s="2">
        <f>IFERROR(__xludf.DUMMYFUNCTION("""COMPUTED_VALUE"""),45295.66666666667)</f>
        <v>45295.66667</v>
      </c>
      <c r="B821" s="1">
        <f>IFERROR(__xludf.DUMMYFUNCTION("""COMPUTED_VALUE"""),90.56)</f>
        <v>90.56</v>
      </c>
    </row>
    <row r="822">
      <c r="A822" s="2">
        <f>IFERROR(__xludf.DUMMYFUNCTION("""COMPUTED_VALUE"""),45296.66666666667)</f>
        <v>45296.66667</v>
      </c>
      <c r="B822" s="1">
        <f>IFERROR(__xludf.DUMMYFUNCTION("""COMPUTED_VALUE"""),90.9)</f>
        <v>90.9</v>
      </c>
    </row>
    <row r="823">
      <c r="A823" s="2">
        <f>IFERROR(__xludf.DUMMYFUNCTION("""COMPUTED_VALUE"""),45299.66666666667)</f>
        <v>45299.66667</v>
      </c>
      <c r="B823" s="1">
        <f>IFERROR(__xludf.DUMMYFUNCTION("""COMPUTED_VALUE"""),91.55)</f>
        <v>91.55</v>
      </c>
    </row>
    <row r="824">
      <c r="A824" s="2">
        <f>IFERROR(__xludf.DUMMYFUNCTION("""COMPUTED_VALUE"""),45300.66666666667)</f>
        <v>45300.66667</v>
      </c>
      <c r="B824" s="1">
        <f>IFERROR(__xludf.DUMMYFUNCTION("""COMPUTED_VALUE"""),89.67)</f>
        <v>89.67</v>
      </c>
    </row>
    <row r="825">
      <c r="A825" s="2">
        <f>IFERROR(__xludf.DUMMYFUNCTION("""COMPUTED_VALUE"""),45301.66666666667)</f>
        <v>45301.66667</v>
      </c>
      <c r="B825" s="1">
        <f>IFERROR(__xludf.DUMMYFUNCTION("""COMPUTED_VALUE"""),89.29)</f>
        <v>89.29</v>
      </c>
    </row>
    <row r="826">
      <c r="A826" s="2">
        <f>IFERROR(__xludf.DUMMYFUNCTION("""COMPUTED_VALUE"""),45302.66666666667)</f>
        <v>45302.66667</v>
      </c>
      <c r="B826" s="1">
        <f>IFERROR(__xludf.DUMMYFUNCTION("""COMPUTED_VALUE"""),89.45)</f>
        <v>89.45</v>
      </c>
    </row>
    <row r="827">
      <c r="A827" s="2">
        <f>IFERROR(__xludf.DUMMYFUNCTION("""COMPUTED_VALUE"""),45303.66666666667)</f>
        <v>45303.66667</v>
      </c>
      <c r="B827" s="1">
        <f>IFERROR(__xludf.DUMMYFUNCTION("""COMPUTED_VALUE"""),90.35)</f>
        <v>90.35</v>
      </c>
    </row>
    <row r="828">
      <c r="A828" s="2">
        <f>IFERROR(__xludf.DUMMYFUNCTION("""COMPUTED_VALUE"""),45307.66666666667)</f>
        <v>45307.66667</v>
      </c>
      <c r="B828" s="1">
        <f>IFERROR(__xludf.DUMMYFUNCTION("""COMPUTED_VALUE"""),93.05)</f>
        <v>93.05</v>
      </c>
    </row>
    <row r="829">
      <c r="A829" s="2">
        <f>IFERROR(__xludf.DUMMYFUNCTION("""COMPUTED_VALUE"""),45308.66666666667)</f>
        <v>45308.66667</v>
      </c>
      <c r="B829" s="1">
        <f>IFERROR(__xludf.DUMMYFUNCTION("""COMPUTED_VALUE"""),90.34)</f>
        <v>90.34</v>
      </c>
    </row>
    <row r="830">
      <c r="A830" s="2">
        <f>IFERROR(__xludf.DUMMYFUNCTION("""COMPUTED_VALUE"""),45309.66666666667)</f>
        <v>45309.66667</v>
      </c>
      <c r="B830" s="1">
        <f>IFERROR(__xludf.DUMMYFUNCTION("""COMPUTED_VALUE"""),92.21)</f>
        <v>92.21</v>
      </c>
    </row>
    <row r="831">
      <c r="A831" s="2">
        <f>IFERROR(__xludf.DUMMYFUNCTION("""COMPUTED_VALUE"""),45310.66666666667)</f>
        <v>45310.66667</v>
      </c>
      <c r="B831" s="1">
        <f>IFERROR(__xludf.DUMMYFUNCTION("""COMPUTED_VALUE"""),93.06)</f>
        <v>93.06</v>
      </c>
    </row>
    <row r="832">
      <c r="A832" s="2">
        <f>IFERROR(__xludf.DUMMYFUNCTION("""COMPUTED_VALUE"""),45313.66666666667)</f>
        <v>45313.66667</v>
      </c>
      <c r="B832" s="1">
        <f>IFERROR(__xludf.DUMMYFUNCTION("""COMPUTED_VALUE"""),95.08)</f>
        <v>95.08</v>
      </c>
    </row>
    <row r="833">
      <c r="A833" s="2">
        <f>IFERROR(__xludf.DUMMYFUNCTION("""COMPUTED_VALUE"""),45314.66666666667)</f>
        <v>45314.66667</v>
      </c>
      <c r="B833" s="1">
        <f>IFERROR(__xludf.DUMMYFUNCTION("""COMPUTED_VALUE"""),93.77)</f>
        <v>93.77</v>
      </c>
    </row>
    <row r="834">
      <c r="A834" s="2">
        <f>IFERROR(__xludf.DUMMYFUNCTION("""COMPUTED_VALUE"""),45315.66666666667)</f>
        <v>45315.66667</v>
      </c>
      <c r="B834" s="1">
        <f>IFERROR(__xludf.DUMMYFUNCTION("""COMPUTED_VALUE"""),93.5)</f>
        <v>93.5</v>
      </c>
    </row>
    <row r="835">
      <c r="A835" s="2">
        <f>IFERROR(__xludf.DUMMYFUNCTION("""COMPUTED_VALUE"""),45316.66666666667)</f>
        <v>45316.66667</v>
      </c>
      <c r="B835" s="1">
        <f>IFERROR(__xludf.DUMMYFUNCTION("""COMPUTED_VALUE"""),94.86)</f>
        <v>94.86</v>
      </c>
    </row>
    <row r="836">
      <c r="A836" s="2">
        <f>IFERROR(__xludf.DUMMYFUNCTION("""COMPUTED_VALUE"""),45317.66666666667)</f>
        <v>45317.66667</v>
      </c>
      <c r="B836" s="1">
        <f>IFERROR(__xludf.DUMMYFUNCTION("""COMPUTED_VALUE"""),95.36)</f>
        <v>95.36</v>
      </c>
    </row>
    <row r="837">
      <c r="A837" s="2">
        <f>IFERROR(__xludf.DUMMYFUNCTION("""COMPUTED_VALUE"""),45320.66666666667)</f>
        <v>45320.66667</v>
      </c>
      <c r="B837" s="1">
        <f>IFERROR(__xludf.DUMMYFUNCTION("""COMPUTED_VALUE"""),97.49)</f>
        <v>97.49</v>
      </c>
    </row>
    <row r="838">
      <c r="A838" s="2">
        <f>IFERROR(__xludf.DUMMYFUNCTION("""COMPUTED_VALUE"""),45321.66666666667)</f>
        <v>45321.66667</v>
      </c>
      <c r="B838" s="1">
        <f>IFERROR(__xludf.DUMMYFUNCTION("""COMPUTED_VALUE"""),96.94)</f>
        <v>96.94</v>
      </c>
    </row>
    <row r="839">
      <c r="A839" s="2">
        <f>IFERROR(__xludf.DUMMYFUNCTION("""COMPUTED_VALUE"""),45322.66666666667)</f>
        <v>45322.66667</v>
      </c>
      <c r="B839" s="1">
        <f>IFERROR(__xludf.DUMMYFUNCTION("""COMPUTED_VALUE"""),96.05)</f>
        <v>96.05</v>
      </c>
    </row>
    <row r="840">
      <c r="A840" s="2">
        <f>IFERROR(__xludf.DUMMYFUNCTION("""COMPUTED_VALUE"""),45323.66666666667)</f>
        <v>45323.66667</v>
      </c>
      <c r="B840" s="1">
        <f>IFERROR(__xludf.DUMMYFUNCTION("""COMPUTED_VALUE"""),97.06)</f>
        <v>97.06</v>
      </c>
    </row>
    <row r="841">
      <c r="A841" s="2">
        <f>IFERROR(__xludf.DUMMYFUNCTION("""COMPUTED_VALUE"""),45324.66666666667)</f>
        <v>45324.66667</v>
      </c>
      <c r="B841" s="1">
        <f>IFERROR(__xludf.DUMMYFUNCTION("""COMPUTED_VALUE"""),97.13)</f>
        <v>97.13</v>
      </c>
    </row>
    <row r="842">
      <c r="A842" s="2">
        <f>IFERROR(__xludf.DUMMYFUNCTION("""COMPUTED_VALUE"""),45327.66666666667)</f>
        <v>45327.66667</v>
      </c>
      <c r="B842" s="1">
        <f>IFERROR(__xludf.DUMMYFUNCTION("""COMPUTED_VALUE"""),96.65)</f>
        <v>96.65</v>
      </c>
    </row>
    <row r="843">
      <c r="A843" s="2">
        <f>IFERROR(__xludf.DUMMYFUNCTION("""COMPUTED_VALUE"""),45328.66666666667)</f>
        <v>45328.66667</v>
      </c>
      <c r="B843" s="1">
        <f>IFERROR(__xludf.DUMMYFUNCTION("""COMPUTED_VALUE"""),99.29)</f>
        <v>99.29</v>
      </c>
    </row>
    <row r="844">
      <c r="A844" s="2">
        <f>IFERROR(__xludf.DUMMYFUNCTION("""COMPUTED_VALUE"""),45329.66666666667)</f>
        <v>45329.66667</v>
      </c>
      <c r="B844" s="1">
        <f>IFERROR(__xludf.DUMMYFUNCTION("""COMPUTED_VALUE"""),99.14)</f>
        <v>99.14</v>
      </c>
    </row>
    <row r="845">
      <c r="A845" s="2">
        <f>IFERROR(__xludf.DUMMYFUNCTION("""COMPUTED_VALUE"""),45330.66666666667)</f>
        <v>45330.66667</v>
      </c>
      <c r="B845" s="1">
        <f>IFERROR(__xludf.DUMMYFUNCTION("""COMPUTED_VALUE"""),110.54)</f>
        <v>110.54</v>
      </c>
    </row>
    <row r="846">
      <c r="A846" s="2">
        <f>IFERROR(__xludf.DUMMYFUNCTION("""COMPUTED_VALUE"""),45331.66666666667)</f>
        <v>45331.66667</v>
      </c>
      <c r="B846" s="1">
        <f>IFERROR(__xludf.DUMMYFUNCTION("""COMPUTED_VALUE"""),108.39)</f>
        <v>108.39</v>
      </c>
    </row>
    <row r="847">
      <c r="A847" s="2">
        <f>IFERROR(__xludf.DUMMYFUNCTION("""COMPUTED_VALUE"""),45334.66666666667)</f>
        <v>45334.66667</v>
      </c>
      <c r="B847" s="1">
        <f>IFERROR(__xludf.DUMMYFUNCTION("""COMPUTED_VALUE"""),109.29)</f>
        <v>109.29</v>
      </c>
    </row>
    <row r="848">
      <c r="A848" s="2">
        <f>IFERROR(__xludf.DUMMYFUNCTION("""COMPUTED_VALUE"""),45335.66666666667)</f>
        <v>45335.66667</v>
      </c>
      <c r="B848" s="1">
        <f>IFERROR(__xludf.DUMMYFUNCTION("""COMPUTED_VALUE"""),110.46)</f>
        <v>110.46</v>
      </c>
    </row>
    <row r="849">
      <c r="A849" s="2">
        <f>IFERROR(__xludf.DUMMYFUNCTION("""COMPUTED_VALUE"""),45336.66666666667)</f>
        <v>45336.66667</v>
      </c>
      <c r="B849" s="1">
        <f>IFERROR(__xludf.DUMMYFUNCTION("""COMPUTED_VALUE"""),111.56)</f>
        <v>111.56</v>
      </c>
    </row>
    <row r="850">
      <c r="A850" s="2">
        <f>IFERROR(__xludf.DUMMYFUNCTION("""COMPUTED_VALUE"""),45337.66666666667)</f>
        <v>45337.66667</v>
      </c>
      <c r="B850" s="1">
        <f>IFERROR(__xludf.DUMMYFUNCTION("""COMPUTED_VALUE"""),112.45)</f>
        <v>112.45</v>
      </c>
    </row>
    <row r="851">
      <c r="A851" s="2">
        <f>IFERROR(__xludf.DUMMYFUNCTION("""COMPUTED_VALUE"""),45338.66666666667)</f>
        <v>45338.66667</v>
      </c>
      <c r="B851" s="1">
        <f>IFERROR(__xludf.DUMMYFUNCTION("""COMPUTED_VALUE"""),111.6)</f>
        <v>111.6</v>
      </c>
    </row>
    <row r="852">
      <c r="A852" s="2">
        <f>IFERROR(__xludf.DUMMYFUNCTION("""COMPUTED_VALUE"""),45342.66666666667)</f>
        <v>45342.66667</v>
      </c>
      <c r="B852" s="1">
        <f>IFERROR(__xludf.DUMMYFUNCTION("""COMPUTED_VALUE"""),109.44)</f>
        <v>109.44</v>
      </c>
    </row>
    <row r="853">
      <c r="A853" s="2">
        <f>IFERROR(__xludf.DUMMYFUNCTION("""COMPUTED_VALUE"""),45343.66666666667)</f>
        <v>45343.66667</v>
      </c>
      <c r="B853" s="1">
        <f>IFERROR(__xludf.DUMMYFUNCTION("""COMPUTED_VALUE"""),107.67)</f>
        <v>107.67</v>
      </c>
    </row>
    <row r="854">
      <c r="A854" s="2">
        <f>IFERROR(__xludf.DUMMYFUNCTION("""COMPUTED_VALUE"""),45344.66666666667)</f>
        <v>45344.66667</v>
      </c>
      <c r="B854" s="1">
        <f>IFERROR(__xludf.DUMMYFUNCTION("""COMPUTED_VALUE"""),107.64)</f>
        <v>107.64</v>
      </c>
    </row>
    <row r="855">
      <c r="A855" s="2">
        <f>IFERROR(__xludf.DUMMYFUNCTION("""COMPUTED_VALUE"""),45345.66666666667)</f>
        <v>45345.66667</v>
      </c>
      <c r="B855" s="1">
        <f>IFERROR(__xludf.DUMMYFUNCTION("""COMPUTED_VALUE"""),107.74)</f>
        <v>107.74</v>
      </c>
    </row>
    <row r="856">
      <c r="A856" s="2">
        <f>IFERROR(__xludf.DUMMYFUNCTION("""COMPUTED_VALUE"""),45348.66666666667)</f>
        <v>45348.66667</v>
      </c>
      <c r="B856" s="1">
        <f>IFERROR(__xludf.DUMMYFUNCTION("""COMPUTED_VALUE"""),107.68)</f>
        <v>107.68</v>
      </c>
    </row>
    <row r="857">
      <c r="A857" s="2">
        <f>IFERROR(__xludf.DUMMYFUNCTION("""COMPUTED_VALUE"""),45349.66666666667)</f>
        <v>45349.66667</v>
      </c>
      <c r="B857" s="1">
        <f>IFERROR(__xludf.DUMMYFUNCTION("""COMPUTED_VALUE"""),109.42)</f>
        <v>109.42</v>
      </c>
    </row>
    <row r="858">
      <c r="A858" s="2">
        <f>IFERROR(__xludf.DUMMYFUNCTION("""COMPUTED_VALUE"""),45350.66666666667)</f>
        <v>45350.66667</v>
      </c>
      <c r="B858" s="1">
        <f>IFERROR(__xludf.DUMMYFUNCTION("""COMPUTED_VALUE"""),110.8)</f>
        <v>110.8</v>
      </c>
    </row>
    <row r="859">
      <c r="A859" s="2">
        <f>IFERROR(__xludf.DUMMYFUNCTION("""COMPUTED_VALUE"""),45351.66666666667)</f>
        <v>45351.66667</v>
      </c>
      <c r="B859" s="1">
        <f>IFERROR(__xludf.DUMMYFUNCTION("""COMPUTED_VALUE"""),111.58)</f>
        <v>111.58</v>
      </c>
    </row>
    <row r="860">
      <c r="A860" s="2">
        <f>IFERROR(__xludf.DUMMYFUNCTION("""COMPUTED_VALUE"""),45352.66666666667)</f>
        <v>45352.66667</v>
      </c>
      <c r="B860" s="1">
        <f>IFERROR(__xludf.DUMMYFUNCTION("""COMPUTED_VALUE"""),111.95)</f>
        <v>111.95</v>
      </c>
    </row>
    <row r="861">
      <c r="A861" s="2">
        <f>IFERROR(__xludf.DUMMYFUNCTION("""COMPUTED_VALUE"""),45355.66666666667)</f>
        <v>45355.66667</v>
      </c>
      <c r="B861" s="1">
        <f>IFERROR(__xludf.DUMMYFUNCTION("""COMPUTED_VALUE"""),113.69)</f>
        <v>113.69</v>
      </c>
    </row>
    <row r="862">
      <c r="A862" s="2">
        <f>IFERROR(__xludf.DUMMYFUNCTION("""COMPUTED_VALUE"""),45356.66666666667)</f>
        <v>45356.66667</v>
      </c>
      <c r="B862" s="1">
        <f>IFERROR(__xludf.DUMMYFUNCTION("""COMPUTED_VALUE"""),112.87)</f>
        <v>112.87</v>
      </c>
    </row>
    <row r="863">
      <c r="A863" s="2">
        <f>IFERROR(__xludf.DUMMYFUNCTION("""COMPUTED_VALUE"""),45357.66666666667)</f>
        <v>45357.66667</v>
      </c>
      <c r="B863" s="1">
        <f>IFERROR(__xludf.DUMMYFUNCTION("""COMPUTED_VALUE"""),110.06)</f>
        <v>110.06</v>
      </c>
    </row>
    <row r="864">
      <c r="A864" s="2">
        <f>IFERROR(__xludf.DUMMYFUNCTION("""COMPUTED_VALUE"""),45358.66666666667)</f>
        <v>45358.66667</v>
      </c>
      <c r="B864" s="1">
        <f>IFERROR(__xludf.DUMMYFUNCTION("""COMPUTED_VALUE"""),110.18)</f>
        <v>110.18</v>
      </c>
    </row>
    <row r="865">
      <c r="A865" s="2">
        <f>IFERROR(__xludf.DUMMYFUNCTION("""COMPUTED_VALUE"""),45359.66666666667)</f>
        <v>45359.66667</v>
      </c>
      <c r="B865" s="1">
        <f>IFERROR(__xludf.DUMMYFUNCTION("""COMPUTED_VALUE"""),110.32)</f>
        <v>110.32</v>
      </c>
    </row>
    <row r="866">
      <c r="A866" s="2">
        <f>IFERROR(__xludf.DUMMYFUNCTION("""COMPUTED_VALUE"""),45362.66666666667)</f>
        <v>45362.66667</v>
      </c>
      <c r="B866" s="1">
        <f>IFERROR(__xludf.DUMMYFUNCTION("""COMPUTED_VALUE"""),112.31)</f>
        <v>112.31</v>
      </c>
    </row>
    <row r="867">
      <c r="A867" s="2">
        <f>IFERROR(__xludf.DUMMYFUNCTION("""COMPUTED_VALUE"""),45363.66666666667)</f>
        <v>45363.66667</v>
      </c>
      <c r="B867" s="1">
        <f>IFERROR(__xludf.DUMMYFUNCTION("""COMPUTED_VALUE"""),112.46)</f>
        <v>112.46</v>
      </c>
    </row>
    <row r="868">
      <c r="A868" s="2">
        <f>IFERROR(__xludf.DUMMYFUNCTION("""COMPUTED_VALUE"""),45364.66666666667)</f>
        <v>45364.66667</v>
      </c>
      <c r="B868" s="1">
        <f>IFERROR(__xludf.DUMMYFUNCTION("""COMPUTED_VALUE"""),112.5)</f>
        <v>112.5</v>
      </c>
    </row>
    <row r="869">
      <c r="A869" s="2">
        <f>IFERROR(__xludf.DUMMYFUNCTION("""COMPUTED_VALUE"""),45365.66666666667)</f>
        <v>45365.66667</v>
      </c>
      <c r="B869" s="1">
        <f>IFERROR(__xludf.DUMMYFUNCTION("""COMPUTED_VALUE"""),112.06)</f>
        <v>112.06</v>
      </c>
    </row>
    <row r="870">
      <c r="A870" s="2">
        <f>IFERROR(__xludf.DUMMYFUNCTION("""COMPUTED_VALUE"""),45366.66666666667)</f>
        <v>45366.66667</v>
      </c>
      <c r="B870" s="1">
        <f>IFERROR(__xludf.DUMMYFUNCTION("""COMPUTED_VALUE"""),111.95)</f>
        <v>111.95</v>
      </c>
    </row>
    <row r="871">
      <c r="A871" s="2">
        <f>IFERROR(__xludf.DUMMYFUNCTION("""COMPUTED_VALUE"""),45369.66666666667)</f>
        <v>45369.66667</v>
      </c>
      <c r="B871" s="1">
        <f>IFERROR(__xludf.DUMMYFUNCTION("""COMPUTED_VALUE"""),113.85)</f>
        <v>113.85</v>
      </c>
    </row>
    <row r="872">
      <c r="A872" s="2">
        <f>IFERROR(__xludf.DUMMYFUNCTION("""COMPUTED_VALUE"""),45370.66666666667)</f>
        <v>45370.66667</v>
      </c>
      <c r="B872" s="1">
        <f>IFERROR(__xludf.DUMMYFUNCTION("""COMPUTED_VALUE"""),114.51)</f>
        <v>114.51</v>
      </c>
    </row>
    <row r="873">
      <c r="A873" s="2">
        <f>IFERROR(__xludf.DUMMYFUNCTION("""COMPUTED_VALUE"""),45371.66666666667)</f>
        <v>45371.66667</v>
      </c>
      <c r="B873" s="1">
        <f>IFERROR(__xludf.DUMMYFUNCTION("""COMPUTED_VALUE"""),116.46)</f>
        <v>116.46</v>
      </c>
    </row>
    <row r="874">
      <c r="A874" s="2">
        <f>IFERROR(__xludf.DUMMYFUNCTION("""COMPUTED_VALUE"""),45372.66666666667)</f>
        <v>45372.66667</v>
      </c>
      <c r="B874" s="1">
        <f>IFERROR(__xludf.DUMMYFUNCTION("""COMPUTED_VALUE"""),116.7)</f>
        <v>116.7</v>
      </c>
    </row>
    <row r="875">
      <c r="A875" s="2">
        <f>IFERROR(__xludf.DUMMYFUNCTION("""COMPUTED_VALUE"""),45373.66666666667)</f>
        <v>45373.66667</v>
      </c>
      <c r="B875" s="1">
        <f>IFERROR(__xludf.DUMMYFUNCTION("""COMPUTED_VALUE"""),115.87)</f>
        <v>115.87</v>
      </c>
    </row>
    <row r="876">
      <c r="A876" s="2">
        <f>IFERROR(__xludf.DUMMYFUNCTION("""COMPUTED_VALUE"""),45376.66666666667)</f>
        <v>45376.66667</v>
      </c>
      <c r="B876" s="1">
        <f>IFERROR(__xludf.DUMMYFUNCTION("""COMPUTED_VALUE"""),119.36)</f>
        <v>119.36</v>
      </c>
    </row>
    <row r="877">
      <c r="A877" s="2">
        <f>IFERROR(__xludf.DUMMYFUNCTION("""COMPUTED_VALUE"""),45377.66666666667)</f>
        <v>45377.66667</v>
      </c>
      <c r="B877" s="1">
        <f>IFERROR(__xludf.DUMMYFUNCTION("""COMPUTED_VALUE"""),119.93)</f>
        <v>119.93</v>
      </c>
    </row>
    <row r="878">
      <c r="A878" s="2">
        <f>IFERROR(__xludf.DUMMYFUNCTION("""COMPUTED_VALUE"""),45378.66666666667)</f>
        <v>45378.66667</v>
      </c>
      <c r="B878" s="1">
        <f>IFERROR(__xludf.DUMMYFUNCTION("""COMPUTED_VALUE"""),120.98)</f>
        <v>120.98</v>
      </c>
    </row>
    <row r="879">
      <c r="A879" s="2">
        <f>IFERROR(__xludf.DUMMYFUNCTION("""COMPUTED_VALUE"""),45379.66666666667)</f>
        <v>45379.66667</v>
      </c>
      <c r="B879" s="1">
        <f>IFERROR(__xludf.DUMMYFUNCTION("""COMPUTED_VALUE"""),122.36)</f>
        <v>122.36</v>
      </c>
    </row>
    <row r="880">
      <c r="A880" s="2">
        <f>IFERROR(__xludf.DUMMYFUNCTION("""COMPUTED_VALUE"""),45383.66666666667)</f>
        <v>45383.66667</v>
      </c>
      <c r="B880" s="1">
        <f>IFERROR(__xludf.DUMMYFUNCTION("""COMPUTED_VALUE"""),121.53)</f>
        <v>121.53</v>
      </c>
    </row>
    <row r="881">
      <c r="A881" s="2">
        <f>IFERROR(__xludf.DUMMYFUNCTION("""COMPUTED_VALUE"""),45384.66666666667)</f>
        <v>45384.66667</v>
      </c>
      <c r="B881" s="1">
        <f>IFERROR(__xludf.DUMMYFUNCTION("""COMPUTED_VALUE"""),122.82)</f>
        <v>122.82</v>
      </c>
    </row>
    <row r="882">
      <c r="A882" s="2">
        <f>IFERROR(__xludf.DUMMYFUNCTION("""COMPUTED_VALUE"""),45385.66666666667)</f>
        <v>45385.66667</v>
      </c>
      <c r="B882" s="1">
        <f>IFERROR(__xludf.DUMMYFUNCTION("""COMPUTED_VALUE"""),118.98)</f>
        <v>118.98</v>
      </c>
    </row>
    <row r="883">
      <c r="A883" s="2">
        <f>IFERROR(__xludf.DUMMYFUNCTION("""COMPUTED_VALUE"""),45386.66666666667)</f>
        <v>45386.66667</v>
      </c>
      <c r="B883" s="1">
        <f>IFERROR(__xludf.DUMMYFUNCTION("""COMPUTED_VALUE"""),117.09)</f>
        <v>117.09</v>
      </c>
    </row>
    <row r="884">
      <c r="A884" s="2">
        <f>IFERROR(__xludf.DUMMYFUNCTION("""COMPUTED_VALUE"""),45387.66666666667)</f>
        <v>45387.66667</v>
      </c>
      <c r="B884" s="1">
        <f>IFERROR(__xludf.DUMMYFUNCTION("""COMPUTED_VALUE"""),118.38)</f>
        <v>118.38</v>
      </c>
    </row>
    <row r="885">
      <c r="A885" s="2">
        <f>IFERROR(__xludf.DUMMYFUNCTION("""COMPUTED_VALUE"""),45390.66666666667)</f>
        <v>45390.66667</v>
      </c>
      <c r="B885" s="1">
        <f>IFERROR(__xludf.DUMMYFUNCTION("""COMPUTED_VALUE"""),117.35)</f>
        <v>117.35</v>
      </c>
    </row>
    <row r="886">
      <c r="A886" s="2">
        <f>IFERROR(__xludf.DUMMYFUNCTION("""COMPUTED_VALUE"""),45391.66666666667)</f>
        <v>45391.66667</v>
      </c>
      <c r="B886" s="1">
        <f>IFERROR(__xludf.DUMMYFUNCTION("""COMPUTED_VALUE"""),117.97)</f>
        <v>117.97</v>
      </c>
    </row>
    <row r="887">
      <c r="A887" s="2">
        <f>IFERROR(__xludf.DUMMYFUNCTION("""COMPUTED_VALUE"""),45392.66666666667)</f>
        <v>45392.66667</v>
      </c>
      <c r="B887" s="1">
        <f>IFERROR(__xludf.DUMMYFUNCTION("""COMPUTED_VALUE"""),117.19)</f>
        <v>117.19</v>
      </c>
    </row>
    <row r="888">
      <c r="A888" s="2">
        <f>IFERROR(__xludf.DUMMYFUNCTION("""COMPUTED_VALUE"""),45393.66666666667)</f>
        <v>45393.66667</v>
      </c>
      <c r="B888" s="1">
        <f>IFERROR(__xludf.DUMMYFUNCTION("""COMPUTED_VALUE"""),117.15)</f>
        <v>117.15</v>
      </c>
    </row>
    <row r="889">
      <c r="A889" s="2">
        <f>IFERROR(__xludf.DUMMYFUNCTION("""COMPUTED_VALUE"""),45394.66666666667)</f>
        <v>45394.66667</v>
      </c>
      <c r="B889" s="1">
        <f>IFERROR(__xludf.DUMMYFUNCTION("""COMPUTED_VALUE"""),114.01)</f>
        <v>114.01</v>
      </c>
    </row>
    <row r="890">
      <c r="A890" s="2">
        <f>IFERROR(__xludf.DUMMYFUNCTION("""COMPUTED_VALUE"""),45397.66666666667)</f>
        <v>45397.66667</v>
      </c>
      <c r="B890" s="1">
        <f>IFERROR(__xludf.DUMMYFUNCTION("""COMPUTED_VALUE"""),112.95)</f>
        <v>112.95</v>
      </c>
    </row>
    <row r="891">
      <c r="A891" s="2">
        <f>IFERROR(__xludf.DUMMYFUNCTION("""COMPUTED_VALUE"""),45398.66666666667)</f>
        <v>45398.66667</v>
      </c>
      <c r="B891" s="1">
        <f>IFERROR(__xludf.DUMMYFUNCTION("""COMPUTED_VALUE"""),113.88)</f>
        <v>113.88</v>
      </c>
    </row>
    <row r="892">
      <c r="A892" s="2">
        <f>IFERROR(__xludf.DUMMYFUNCTION("""COMPUTED_VALUE"""),45399.66666666667)</f>
        <v>45399.66667</v>
      </c>
      <c r="B892" s="1">
        <f>IFERROR(__xludf.DUMMYFUNCTION("""COMPUTED_VALUE"""),112.94)</f>
        <v>112.94</v>
      </c>
    </row>
    <row r="893">
      <c r="A893" s="2">
        <f>IFERROR(__xludf.DUMMYFUNCTION("""COMPUTED_VALUE"""),45400.66666666667)</f>
        <v>45400.66667</v>
      </c>
      <c r="B893" s="1">
        <f>IFERROR(__xludf.DUMMYFUNCTION("""COMPUTED_VALUE"""),112.43)</f>
        <v>112.43</v>
      </c>
    </row>
    <row r="894">
      <c r="A894" s="2">
        <f>IFERROR(__xludf.DUMMYFUNCTION("""COMPUTED_VALUE"""),45401.66666666667)</f>
        <v>45401.66667</v>
      </c>
      <c r="B894" s="1">
        <f>IFERROR(__xludf.DUMMYFUNCTION("""COMPUTED_VALUE"""),112.61)</f>
        <v>112.61</v>
      </c>
    </row>
    <row r="895">
      <c r="A895" s="2">
        <f>IFERROR(__xludf.DUMMYFUNCTION("""COMPUTED_VALUE"""),45404.66666666667)</f>
        <v>45404.66667</v>
      </c>
      <c r="B895" s="1">
        <f>IFERROR(__xludf.DUMMYFUNCTION("""COMPUTED_VALUE"""),111.99)</f>
        <v>111.99</v>
      </c>
    </row>
    <row r="896">
      <c r="A896" s="2">
        <f>IFERROR(__xludf.DUMMYFUNCTION("""COMPUTED_VALUE"""),45405.66666666667)</f>
        <v>45405.66667</v>
      </c>
      <c r="B896" s="1">
        <f>IFERROR(__xludf.DUMMYFUNCTION("""COMPUTED_VALUE"""),113.71)</f>
        <v>113.71</v>
      </c>
    </row>
    <row r="897">
      <c r="A897" s="2">
        <f>IFERROR(__xludf.DUMMYFUNCTION("""COMPUTED_VALUE"""),45406.66666666667)</f>
        <v>45406.66667</v>
      </c>
      <c r="B897" s="1">
        <f>IFERROR(__xludf.DUMMYFUNCTION("""COMPUTED_VALUE"""),113.92)</f>
        <v>113.92</v>
      </c>
    </row>
    <row r="898">
      <c r="A898" s="2">
        <f>IFERROR(__xludf.DUMMYFUNCTION("""COMPUTED_VALUE"""),45407.66666666667)</f>
        <v>45407.66667</v>
      </c>
      <c r="B898" s="1">
        <f>IFERROR(__xludf.DUMMYFUNCTION("""COMPUTED_VALUE"""),112.77)</f>
        <v>112.77</v>
      </c>
    </row>
    <row r="899">
      <c r="A899" s="2">
        <f>IFERROR(__xludf.DUMMYFUNCTION("""COMPUTED_VALUE"""),45408.66666666667)</f>
        <v>45408.66667</v>
      </c>
      <c r="B899" s="1">
        <f>IFERROR(__xludf.DUMMYFUNCTION("""COMPUTED_VALUE"""),112.73)</f>
        <v>112.73</v>
      </c>
    </row>
    <row r="900">
      <c r="A900" s="2">
        <f>IFERROR(__xludf.DUMMYFUNCTION("""COMPUTED_VALUE"""),45411.66666666667)</f>
        <v>45411.66667</v>
      </c>
      <c r="B900" s="1">
        <f>IFERROR(__xludf.DUMMYFUNCTION("""COMPUTED_VALUE"""),112.08)</f>
        <v>112.08</v>
      </c>
    </row>
    <row r="901">
      <c r="A901" s="2">
        <f>IFERROR(__xludf.DUMMYFUNCTION("""COMPUTED_VALUE"""),45412.66666666667)</f>
        <v>45412.66667</v>
      </c>
      <c r="B901" s="1">
        <f>IFERROR(__xludf.DUMMYFUNCTION("""COMPUTED_VALUE"""),111.1)</f>
        <v>111.1</v>
      </c>
    </row>
    <row r="902">
      <c r="A902" s="2">
        <f>IFERROR(__xludf.DUMMYFUNCTION("""COMPUTED_VALUE"""),45413.66666666667)</f>
        <v>45413.66667</v>
      </c>
      <c r="B902" s="1">
        <f>IFERROR(__xludf.DUMMYFUNCTION("""COMPUTED_VALUE"""),110.48)</f>
        <v>110.48</v>
      </c>
    </row>
    <row r="903">
      <c r="A903" s="2">
        <f>IFERROR(__xludf.DUMMYFUNCTION("""COMPUTED_VALUE"""),45414.66666666667)</f>
        <v>45414.66667</v>
      </c>
      <c r="B903" s="1">
        <f>IFERROR(__xludf.DUMMYFUNCTION("""COMPUTED_VALUE"""),112.62)</f>
        <v>112.62</v>
      </c>
    </row>
    <row r="904">
      <c r="A904" s="2">
        <f>IFERROR(__xludf.DUMMYFUNCTION("""COMPUTED_VALUE"""),45415.66666666667)</f>
        <v>45415.66667</v>
      </c>
      <c r="B904" s="1">
        <f>IFERROR(__xludf.DUMMYFUNCTION("""COMPUTED_VALUE"""),113.66)</f>
        <v>113.66</v>
      </c>
    </row>
    <row r="905">
      <c r="A905" s="2">
        <f>IFERROR(__xludf.DUMMYFUNCTION("""COMPUTED_VALUE"""),45418.66666666667)</f>
        <v>45418.66667</v>
      </c>
      <c r="B905" s="1">
        <f>IFERROR(__xludf.DUMMYFUNCTION("""COMPUTED_VALUE"""),116.47)</f>
        <v>116.47</v>
      </c>
    </row>
    <row r="906">
      <c r="A906" s="2">
        <f>IFERROR(__xludf.DUMMYFUNCTION("""COMPUTED_VALUE"""),45419.66666666667)</f>
        <v>45419.66667</v>
      </c>
      <c r="B906" s="1">
        <f>IFERROR(__xludf.DUMMYFUNCTION("""COMPUTED_VALUE"""),105.39)</f>
        <v>105.39</v>
      </c>
    </row>
    <row r="907">
      <c r="A907" s="2">
        <f>IFERROR(__xludf.DUMMYFUNCTION("""COMPUTED_VALUE"""),45420.66666666667)</f>
        <v>45420.66667</v>
      </c>
      <c r="B907" s="1">
        <f>IFERROR(__xludf.DUMMYFUNCTION("""COMPUTED_VALUE"""),105.44)</f>
        <v>105.44</v>
      </c>
    </row>
    <row r="908">
      <c r="A908" s="2">
        <f>IFERROR(__xludf.DUMMYFUNCTION("""COMPUTED_VALUE"""),45421.66666666667)</f>
        <v>45421.66667</v>
      </c>
      <c r="B908" s="1">
        <f>IFERROR(__xludf.DUMMYFUNCTION("""COMPUTED_VALUE"""),105.8)</f>
        <v>105.8</v>
      </c>
    </row>
    <row r="909">
      <c r="A909" s="2">
        <f>IFERROR(__xludf.DUMMYFUNCTION("""COMPUTED_VALUE"""),45422.66666666667)</f>
        <v>45422.66667</v>
      </c>
      <c r="B909" s="1">
        <f>IFERROR(__xludf.DUMMYFUNCTION("""COMPUTED_VALUE"""),105.79)</f>
        <v>105.79</v>
      </c>
    </row>
    <row r="910">
      <c r="A910" s="2">
        <f>IFERROR(__xludf.DUMMYFUNCTION("""COMPUTED_VALUE"""),45425.66666666667)</f>
        <v>45425.66667</v>
      </c>
      <c r="B910" s="1">
        <f>IFERROR(__xludf.DUMMYFUNCTION("""COMPUTED_VALUE"""),105.83)</f>
        <v>105.83</v>
      </c>
    </row>
    <row r="911">
      <c r="A911" s="2">
        <f>IFERROR(__xludf.DUMMYFUNCTION("""COMPUTED_VALUE"""),45426.66666666667)</f>
        <v>45426.66667</v>
      </c>
      <c r="B911" s="1">
        <f>IFERROR(__xludf.DUMMYFUNCTION("""COMPUTED_VALUE"""),105.35)</f>
        <v>105.35</v>
      </c>
    </row>
    <row r="912">
      <c r="A912" s="2">
        <f>IFERROR(__xludf.DUMMYFUNCTION("""COMPUTED_VALUE"""),45427.66666666667)</f>
        <v>45427.66667</v>
      </c>
      <c r="B912" s="1">
        <f>IFERROR(__xludf.DUMMYFUNCTION("""COMPUTED_VALUE"""),102.77)</f>
        <v>102.77</v>
      </c>
    </row>
    <row r="913">
      <c r="A913" s="2">
        <f>IFERROR(__xludf.DUMMYFUNCTION("""COMPUTED_VALUE"""),45428.66666666667)</f>
        <v>45428.66667</v>
      </c>
      <c r="B913" s="1">
        <f>IFERROR(__xludf.DUMMYFUNCTION("""COMPUTED_VALUE"""),103.37)</f>
        <v>103.37</v>
      </c>
    </row>
    <row r="914">
      <c r="A914" s="2">
        <f>IFERROR(__xludf.DUMMYFUNCTION("""COMPUTED_VALUE"""),45429.66666666667)</f>
        <v>45429.66667</v>
      </c>
      <c r="B914" s="1">
        <f>IFERROR(__xludf.DUMMYFUNCTION("""COMPUTED_VALUE"""),103.25)</f>
        <v>103.25</v>
      </c>
    </row>
    <row r="915">
      <c r="A915" s="2">
        <f>IFERROR(__xludf.DUMMYFUNCTION("""COMPUTED_VALUE"""),45432.66666666667)</f>
        <v>45432.66667</v>
      </c>
      <c r="B915" s="1">
        <f>IFERROR(__xludf.DUMMYFUNCTION("""COMPUTED_VALUE"""),102.9)</f>
        <v>102.9</v>
      </c>
    </row>
    <row r="916">
      <c r="A916" s="2">
        <f>IFERROR(__xludf.DUMMYFUNCTION("""COMPUTED_VALUE"""),45433.66666666667)</f>
        <v>45433.66667</v>
      </c>
      <c r="B916" s="1">
        <f>IFERROR(__xludf.DUMMYFUNCTION("""COMPUTED_VALUE"""),103.01)</f>
        <v>103.01</v>
      </c>
    </row>
    <row r="917">
      <c r="A917" s="2">
        <f>IFERROR(__xludf.DUMMYFUNCTION("""COMPUTED_VALUE"""),45434.66666666667)</f>
        <v>45434.66667</v>
      </c>
      <c r="B917" s="1">
        <f>IFERROR(__xludf.DUMMYFUNCTION("""COMPUTED_VALUE"""),103.02)</f>
        <v>103.02</v>
      </c>
    </row>
    <row r="918">
      <c r="A918" s="2">
        <f>IFERROR(__xludf.DUMMYFUNCTION("""COMPUTED_VALUE"""),45435.66666666667)</f>
        <v>45435.66667</v>
      </c>
      <c r="B918" s="1">
        <f>IFERROR(__xludf.DUMMYFUNCTION("""COMPUTED_VALUE"""),100.66)</f>
        <v>100.66</v>
      </c>
    </row>
    <row r="919">
      <c r="A919" s="2">
        <f>IFERROR(__xludf.DUMMYFUNCTION("""COMPUTED_VALUE"""),45436.66666666667)</f>
        <v>45436.66667</v>
      </c>
      <c r="B919" s="1">
        <f>IFERROR(__xludf.DUMMYFUNCTION("""COMPUTED_VALUE"""),101.76)</f>
        <v>101.76</v>
      </c>
    </row>
    <row r="920">
      <c r="A920" s="2">
        <f>IFERROR(__xludf.DUMMYFUNCTION("""COMPUTED_VALUE"""),45440.66666666667)</f>
        <v>45440.66667</v>
      </c>
      <c r="B920" s="1">
        <f>IFERROR(__xludf.DUMMYFUNCTION("""COMPUTED_VALUE"""),102.44)</f>
        <v>102.44</v>
      </c>
    </row>
    <row r="921">
      <c r="A921" s="2">
        <f>IFERROR(__xludf.DUMMYFUNCTION("""COMPUTED_VALUE"""),45441.66666666667)</f>
        <v>45441.66667</v>
      </c>
      <c r="B921" s="1">
        <f>IFERROR(__xludf.DUMMYFUNCTION("""COMPUTED_VALUE"""),100.88)</f>
        <v>100.88</v>
      </c>
    </row>
    <row r="922">
      <c r="A922" s="2">
        <f>IFERROR(__xludf.DUMMYFUNCTION("""COMPUTED_VALUE"""),45442.66666666667)</f>
        <v>45442.66667</v>
      </c>
      <c r="B922" s="1">
        <f>IFERROR(__xludf.DUMMYFUNCTION("""COMPUTED_VALUE"""),101.7)</f>
        <v>101.7</v>
      </c>
    </row>
    <row r="923">
      <c r="A923" s="2">
        <f>IFERROR(__xludf.DUMMYFUNCTION("""COMPUTED_VALUE"""),45443.66666666667)</f>
        <v>45443.66667</v>
      </c>
      <c r="B923" s="1">
        <f>IFERROR(__xludf.DUMMYFUNCTION("""COMPUTED_VALUE"""),103.91)</f>
        <v>103.91</v>
      </c>
    </row>
    <row r="924">
      <c r="A924" s="2">
        <f>IFERROR(__xludf.DUMMYFUNCTION("""COMPUTED_VALUE"""),45446.66666666667)</f>
        <v>45446.66667</v>
      </c>
      <c r="B924" s="1">
        <f>IFERROR(__xludf.DUMMYFUNCTION("""COMPUTED_VALUE"""),102.77)</f>
        <v>102.77</v>
      </c>
    </row>
    <row r="925">
      <c r="A925" s="2">
        <f>IFERROR(__xludf.DUMMYFUNCTION("""COMPUTED_VALUE"""),45447.66666666667)</f>
        <v>45447.66667</v>
      </c>
      <c r="B925" s="1">
        <f>IFERROR(__xludf.DUMMYFUNCTION("""COMPUTED_VALUE"""),103.33)</f>
        <v>103.33</v>
      </c>
    </row>
    <row r="926">
      <c r="A926" s="2">
        <f>IFERROR(__xludf.DUMMYFUNCTION("""COMPUTED_VALUE"""),45448.66666666667)</f>
        <v>45448.66667</v>
      </c>
      <c r="B926" s="1">
        <f>IFERROR(__xludf.DUMMYFUNCTION("""COMPUTED_VALUE"""),101.5)</f>
        <v>101.5</v>
      </c>
    </row>
    <row r="927">
      <c r="A927" s="2">
        <f>IFERROR(__xludf.DUMMYFUNCTION("""COMPUTED_VALUE"""),45449.66666666667)</f>
        <v>45449.66667</v>
      </c>
      <c r="B927" s="1">
        <f>IFERROR(__xludf.DUMMYFUNCTION("""COMPUTED_VALUE"""),101.21)</f>
        <v>101.21</v>
      </c>
    </row>
    <row r="928">
      <c r="A928" s="2">
        <f>IFERROR(__xludf.DUMMYFUNCTION("""COMPUTED_VALUE"""),45450.66666666667)</f>
        <v>45450.66667</v>
      </c>
      <c r="B928" s="1">
        <f>IFERROR(__xludf.DUMMYFUNCTION("""COMPUTED_VALUE"""),101.54)</f>
        <v>101.54</v>
      </c>
    </row>
    <row r="929">
      <c r="A929" s="2">
        <f>IFERROR(__xludf.DUMMYFUNCTION("""COMPUTED_VALUE"""),45453.66666666667)</f>
        <v>45453.66667</v>
      </c>
      <c r="B929" s="1">
        <f>IFERROR(__xludf.DUMMYFUNCTION("""COMPUTED_VALUE"""),102.74)</f>
        <v>102.74</v>
      </c>
    </row>
    <row r="930">
      <c r="A930" s="2">
        <f>IFERROR(__xludf.DUMMYFUNCTION("""COMPUTED_VALUE"""),45454.66666666667)</f>
        <v>45454.66667</v>
      </c>
      <c r="B930" s="1">
        <f>IFERROR(__xludf.DUMMYFUNCTION("""COMPUTED_VALUE"""),100.87)</f>
        <v>100.87</v>
      </c>
    </row>
    <row r="931">
      <c r="A931" s="2">
        <f>IFERROR(__xludf.DUMMYFUNCTION("""COMPUTED_VALUE"""),45455.66666666667)</f>
        <v>45455.66667</v>
      </c>
      <c r="B931" s="1">
        <f>IFERROR(__xludf.DUMMYFUNCTION("""COMPUTED_VALUE"""),100.8)</f>
        <v>100.8</v>
      </c>
    </row>
    <row r="932">
      <c r="A932" s="2">
        <f>IFERROR(__xludf.DUMMYFUNCTION("""COMPUTED_VALUE"""),45456.66666666667)</f>
        <v>45456.66667</v>
      </c>
      <c r="B932" s="1">
        <f>IFERROR(__xludf.DUMMYFUNCTION("""COMPUTED_VALUE"""),100.09)</f>
        <v>100.09</v>
      </c>
    </row>
    <row r="933">
      <c r="A933" s="2">
        <f>IFERROR(__xludf.DUMMYFUNCTION("""COMPUTED_VALUE"""),45457.66666666667)</f>
        <v>45457.66667</v>
      </c>
      <c r="B933" s="1">
        <f>IFERROR(__xludf.DUMMYFUNCTION("""COMPUTED_VALUE"""),99.97)</f>
        <v>99.97</v>
      </c>
    </row>
    <row r="934">
      <c r="A934" s="2">
        <f>IFERROR(__xludf.DUMMYFUNCTION("""COMPUTED_VALUE"""),45460.66666666667)</f>
        <v>45460.66667</v>
      </c>
      <c r="B934" s="1">
        <f>IFERROR(__xludf.DUMMYFUNCTION("""COMPUTED_VALUE"""),101.52)</f>
        <v>101.52</v>
      </c>
    </row>
    <row r="935">
      <c r="A935" s="2">
        <f>IFERROR(__xludf.DUMMYFUNCTION("""COMPUTED_VALUE"""),45461.66666666667)</f>
        <v>45461.66667</v>
      </c>
      <c r="B935" s="1">
        <f>IFERROR(__xludf.DUMMYFUNCTION("""COMPUTED_VALUE"""),101.5)</f>
        <v>101.5</v>
      </c>
    </row>
    <row r="936">
      <c r="A936" s="2">
        <f>IFERROR(__xludf.DUMMYFUNCTION("""COMPUTED_VALUE"""),45463.66666666667)</f>
        <v>45463.66667</v>
      </c>
      <c r="B936" s="1">
        <f>IFERROR(__xludf.DUMMYFUNCTION("""COMPUTED_VALUE"""),101.84)</f>
        <v>101.84</v>
      </c>
    </row>
    <row r="937">
      <c r="A937" s="2">
        <f>IFERROR(__xludf.DUMMYFUNCTION("""COMPUTED_VALUE"""),45464.66666666667)</f>
        <v>45464.66667</v>
      </c>
      <c r="B937" s="1">
        <f>IFERROR(__xludf.DUMMYFUNCTION("""COMPUTED_VALUE"""),102.27)</f>
        <v>102.27</v>
      </c>
    </row>
    <row r="938">
      <c r="A938" s="2">
        <f>IFERROR(__xludf.DUMMYFUNCTION("""COMPUTED_VALUE"""),45467.66666666667)</f>
        <v>45467.66667</v>
      </c>
      <c r="B938" s="1">
        <f>IFERROR(__xludf.DUMMYFUNCTION("""COMPUTED_VALUE"""),101.98)</f>
        <v>101.98</v>
      </c>
    </row>
    <row r="939">
      <c r="A939" s="2">
        <f>IFERROR(__xludf.DUMMYFUNCTION("""COMPUTED_VALUE"""),45468.66666666667)</f>
        <v>45468.66667</v>
      </c>
      <c r="B939" s="1">
        <f>IFERROR(__xludf.DUMMYFUNCTION("""COMPUTED_VALUE"""),102.2)</f>
        <v>102.2</v>
      </c>
    </row>
    <row r="940">
      <c r="A940" s="2">
        <f>IFERROR(__xludf.DUMMYFUNCTION("""COMPUTED_VALUE"""),45469.66666666667)</f>
        <v>45469.66667</v>
      </c>
      <c r="B940" s="1">
        <f>IFERROR(__xludf.DUMMYFUNCTION("""COMPUTED_VALUE"""),102.18)</f>
        <v>102.18</v>
      </c>
    </row>
    <row r="941">
      <c r="A941" s="2">
        <f>IFERROR(__xludf.DUMMYFUNCTION("""COMPUTED_VALUE"""),45470.66666666667)</f>
        <v>45470.66667</v>
      </c>
      <c r="B941" s="1">
        <f>IFERROR(__xludf.DUMMYFUNCTION("""COMPUTED_VALUE"""),102.17)</f>
        <v>102.17</v>
      </c>
    </row>
    <row r="942">
      <c r="A942" s="2">
        <f>IFERROR(__xludf.DUMMYFUNCTION("""COMPUTED_VALUE"""),45471.66666666667)</f>
        <v>45471.66667</v>
      </c>
      <c r="B942" s="1">
        <f>IFERROR(__xludf.DUMMYFUNCTION("""COMPUTED_VALUE"""),99.29)</f>
        <v>99.29</v>
      </c>
    </row>
    <row r="943">
      <c r="A943" s="2">
        <f>IFERROR(__xludf.DUMMYFUNCTION("""COMPUTED_VALUE"""),45474.66666666667)</f>
        <v>45474.66667</v>
      </c>
      <c r="B943" s="1">
        <f>IFERROR(__xludf.DUMMYFUNCTION("""COMPUTED_VALUE"""),98.04)</f>
        <v>98.04</v>
      </c>
    </row>
    <row r="944">
      <c r="A944" s="2">
        <f>IFERROR(__xludf.DUMMYFUNCTION("""COMPUTED_VALUE"""),45475.66666666667)</f>
        <v>45475.66667</v>
      </c>
      <c r="B944" s="1">
        <f>IFERROR(__xludf.DUMMYFUNCTION("""COMPUTED_VALUE"""),97.99)</f>
        <v>97.99</v>
      </c>
    </row>
    <row r="945">
      <c r="A945" s="2">
        <f>IFERROR(__xludf.DUMMYFUNCTION("""COMPUTED_VALUE"""),45476.54166666667)</f>
        <v>45476.54167</v>
      </c>
      <c r="B945" s="1">
        <f>IFERROR(__xludf.DUMMYFUNCTION("""COMPUTED_VALUE"""),98.61)</f>
        <v>98.61</v>
      </c>
    </row>
    <row r="946">
      <c r="A946" s="2">
        <f>IFERROR(__xludf.DUMMYFUNCTION("""COMPUTED_VALUE"""),45478.66666666667)</f>
        <v>45478.66667</v>
      </c>
      <c r="B946" s="1">
        <f>IFERROR(__xludf.DUMMYFUNCTION("""COMPUTED_VALUE"""),97.99)</f>
        <v>97.99</v>
      </c>
    </row>
    <row r="947">
      <c r="A947" s="2">
        <f>IFERROR(__xludf.DUMMYFUNCTION("""COMPUTED_VALUE"""),45481.66666666667)</f>
        <v>45481.66667</v>
      </c>
      <c r="B947" s="1">
        <f>IFERROR(__xludf.DUMMYFUNCTION("""COMPUTED_VALUE"""),97.37)</f>
        <v>97.37</v>
      </c>
    </row>
    <row r="948">
      <c r="A948" s="2">
        <f>IFERROR(__xludf.DUMMYFUNCTION("""COMPUTED_VALUE"""),45482.66666666667)</f>
        <v>45482.66667</v>
      </c>
      <c r="B948" s="1">
        <f>IFERROR(__xludf.DUMMYFUNCTION("""COMPUTED_VALUE"""),97.05)</f>
        <v>97.05</v>
      </c>
    </row>
    <row r="949">
      <c r="A949" s="2">
        <f>IFERROR(__xludf.DUMMYFUNCTION("""COMPUTED_VALUE"""),45483.66666666667)</f>
        <v>45483.66667</v>
      </c>
      <c r="B949" s="1">
        <f>IFERROR(__xludf.DUMMYFUNCTION("""COMPUTED_VALUE"""),96.97)</f>
        <v>96.97</v>
      </c>
    </row>
    <row r="950">
      <c r="A950" s="2">
        <f>IFERROR(__xludf.DUMMYFUNCTION("""COMPUTED_VALUE"""),45484.66666666667)</f>
        <v>45484.66667</v>
      </c>
      <c r="B950" s="1">
        <f>IFERROR(__xludf.DUMMYFUNCTION("""COMPUTED_VALUE"""),96.6)</f>
        <v>96.6</v>
      </c>
    </row>
    <row r="951">
      <c r="A951" s="2">
        <f>IFERROR(__xludf.DUMMYFUNCTION("""COMPUTED_VALUE"""),45485.66666666667)</f>
        <v>45485.66667</v>
      </c>
      <c r="B951" s="1">
        <f>IFERROR(__xludf.DUMMYFUNCTION("""COMPUTED_VALUE"""),97.13)</f>
        <v>97.13</v>
      </c>
    </row>
    <row r="952">
      <c r="A952" s="2">
        <f>IFERROR(__xludf.DUMMYFUNCTION("""COMPUTED_VALUE"""),45488.66666666667)</f>
        <v>45488.66667</v>
      </c>
      <c r="B952" s="1">
        <f>IFERROR(__xludf.DUMMYFUNCTION("""COMPUTED_VALUE"""),96.87)</f>
        <v>96.87</v>
      </c>
    </row>
    <row r="953">
      <c r="A953" s="2">
        <f>IFERROR(__xludf.DUMMYFUNCTION("""COMPUTED_VALUE"""),45489.66666666667)</f>
        <v>45489.66667</v>
      </c>
      <c r="B953" s="1">
        <f>IFERROR(__xludf.DUMMYFUNCTION("""COMPUTED_VALUE"""),98.47)</f>
        <v>98.47</v>
      </c>
    </row>
    <row r="954">
      <c r="A954" s="2">
        <f>IFERROR(__xludf.DUMMYFUNCTION("""COMPUTED_VALUE"""),45490.66666666667)</f>
        <v>45490.66667</v>
      </c>
      <c r="B954" s="1">
        <f>IFERROR(__xludf.DUMMYFUNCTION("""COMPUTED_VALUE"""),97.31)</f>
        <v>97.31</v>
      </c>
    </row>
    <row r="955">
      <c r="A955" s="2">
        <f>IFERROR(__xludf.DUMMYFUNCTION("""COMPUTED_VALUE"""),45491.66666666667)</f>
        <v>45491.66667</v>
      </c>
      <c r="B955" s="1">
        <f>IFERROR(__xludf.DUMMYFUNCTION("""COMPUTED_VALUE"""),96.79)</f>
        <v>96.79</v>
      </c>
    </row>
    <row r="956">
      <c r="A956" s="2">
        <f>IFERROR(__xludf.DUMMYFUNCTION("""COMPUTED_VALUE"""),45492.66666666667)</f>
        <v>45492.66667</v>
      </c>
      <c r="B956" s="1">
        <f>IFERROR(__xludf.DUMMYFUNCTION("""COMPUTED_VALUE"""),95.74)</f>
        <v>95.74</v>
      </c>
    </row>
    <row r="957">
      <c r="A957" s="2">
        <f>IFERROR(__xludf.DUMMYFUNCTION("""COMPUTED_VALUE"""),45495.66666666667)</f>
        <v>45495.66667</v>
      </c>
      <c r="B957" s="1">
        <f>IFERROR(__xludf.DUMMYFUNCTION("""COMPUTED_VALUE"""),94.13)</f>
        <v>94.13</v>
      </c>
    </row>
    <row r="958">
      <c r="A958" s="2">
        <f>IFERROR(__xludf.DUMMYFUNCTION("""COMPUTED_VALUE"""),45496.66666666667)</f>
        <v>45496.66667</v>
      </c>
      <c r="B958" s="1">
        <f>IFERROR(__xludf.DUMMYFUNCTION("""COMPUTED_VALUE"""),90.94)</f>
        <v>90.94</v>
      </c>
    </row>
    <row r="959">
      <c r="A959" s="2">
        <f>IFERROR(__xludf.DUMMYFUNCTION("""COMPUTED_VALUE"""),45497.66666666667)</f>
        <v>45497.66667</v>
      </c>
      <c r="B959" s="1">
        <f>IFERROR(__xludf.DUMMYFUNCTION("""COMPUTED_VALUE"""),89.8)</f>
        <v>89.8</v>
      </c>
    </row>
    <row r="960">
      <c r="A960" s="2">
        <f>IFERROR(__xludf.DUMMYFUNCTION("""COMPUTED_VALUE"""),45498.66666666667)</f>
        <v>45498.66667</v>
      </c>
      <c r="B960" s="1">
        <f>IFERROR(__xludf.DUMMYFUNCTION("""COMPUTED_VALUE"""),89.21)</f>
        <v>89.21</v>
      </c>
    </row>
    <row r="961">
      <c r="A961" s="2">
        <f>IFERROR(__xludf.DUMMYFUNCTION("""COMPUTED_VALUE"""),45499.66666666667)</f>
        <v>45499.66667</v>
      </c>
      <c r="B961" s="1">
        <f>IFERROR(__xludf.DUMMYFUNCTION("""COMPUTED_VALUE"""),89.93)</f>
        <v>89.93</v>
      </c>
    </row>
    <row r="962">
      <c r="A962" s="2">
        <f>IFERROR(__xludf.DUMMYFUNCTION("""COMPUTED_VALUE"""),45502.66666666667)</f>
        <v>45502.66667</v>
      </c>
      <c r="B962" s="1">
        <f>IFERROR(__xludf.DUMMYFUNCTION("""COMPUTED_VALUE"""),92.14)</f>
        <v>92.14</v>
      </c>
    </row>
    <row r="963">
      <c r="A963" s="2">
        <f>IFERROR(__xludf.DUMMYFUNCTION("""COMPUTED_VALUE"""),45503.66666666667)</f>
        <v>45503.66667</v>
      </c>
      <c r="B963" s="1">
        <f>IFERROR(__xludf.DUMMYFUNCTION("""COMPUTED_VALUE"""),93.79)</f>
        <v>93.79</v>
      </c>
    </row>
    <row r="964">
      <c r="A964" s="2">
        <f>IFERROR(__xludf.DUMMYFUNCTION("""COMPUTED_VALUE"""),45504.66666666667)</f>
        <v>45504.66667</v>
      </c>
      <c r="B964" s="1">
        <f>IFERROR(__xludf.DUMMYFUNCTION("""COMPUTED_VALUE"""),93.69)</f>
        <v>93.69</v>
      </c>
    </row>
    <row r="965">
      <c r="A965" s="2">
        <f>IFERROR(__xludf.DUMMYFUNCTION("""COMPUTED_VALUE"""),45505.66666666667)</f>
        <v>45505.66667</v>
      </c>
      <c r="B965" s="1">
        <f>IFERROR(__xludf.DUMMYFUNCTION("""COMPUTED_VALUE"""),93.05)</f>
        <v>93.05</v>
      </c>
    </row>
    <row r="966">
      <c r="A966" s="2">
        <f>IFERROR(__xludf.DUMMYFUNCTION("""COMPUTED_VALUE"""),45506.66666666667)</f>
        <v>45506.66667</v>
      </c>
      <c r="B966" s="1">
        <f>IFERROR(__xludf.DUMMYFUNCTION("""COMPUTED_VALUE"""),89.57)</f>
        <v>89.57</v>
      </c>
    </row>
    <row r="967">
      <c r="A967" s="2">
        <f>IFERROR(__xludf.DUMMYFUNCTION("""COMPUTED_VALUE"""),45509.66666666667)</f>
        <v>45509.66667</v>
      </c>
      <c r="B967" s="1">
        <f>IFERROR(__xludf.DUMMYFUNCTION("""COMPUTED_VALUE"""),87.78)</f>
        <v>87.78</v>
      </c>
    </row>
    <row r="968">
      <c r="A968" s="2">
        <f>IFERROR(__xludf.DUMMYFUNCTION("""COMPUTED_VALUE"""),45510.66666666667)</f>
        <v>45510.66667</v>
      </c>
      <c r="B968" s="1">
        <f>IFERROR(__xludf.DUMMYFUNCTION("""COMPUTED_VALUE"""),89.97)</f>
        <v>89.97</v>
      </c>
    </row>
    <row r="969">
      <c r="A969" s="2">
        <f>IFERROR(__xludf.DUMMYFUNCTION("""COMPUTED_VALUE"""),45511.66666666667)</f>
        <v>45511.66667</v>
      </c>
      <c r="B969" s="1">
        <f>IFERROR(__xludf.DUMMYFUNCTION("""COMPUTED_VALUE"""),85.96)</f>
        <v>85.96</v>
      </c>
    </row>
    <row r="970">
      <c r="A970" s="2">
        <f>IFERROR(__xludf.DUMMYFUNCTION("""COMPUTED_VALUE"""),45512.66666666667)</f>
        <v>45512.66667</v>
      </c>
      <c r="B970" s="1">
        <f>IFERROR(__xludf.DUMMYFUNCTION("""COMPUTED_VALUE"""),85.96)</f>
        <v>85.96</v>
      </c>
    </row>
    <row r="971">
      <c r="A971" s="2">
        <f>IFERROR(__xludf.DUMMYFUNCTION("""COMPUTED_VALUE"""),45513.66666666667)</f>
        <v>45513.66667</v>
      </c>
      <c r="B971" s="1">
        <f>IFERROR(__xludf.DUMMYFUNCTION("""COMPUTED_VALUE"""),86.21)</f>
        <v>86.21</v>
      </c>
    </row>
    <row r="972">
      <c r="A972" s="2">
        <f>IFERROR(__xludf.DUMMYFUNCTION("""COMPUTED_VALUE"""),45516.66666666667)</f>
        <v>45516.66667</v>
      </c>
      <c r="B972" s="1">
        <f>IFERROR(__xludf.DUMMYFUNCTION("""COMPUTED_VALUE"""),85.95)</f>
        <v>85.95</v>
      </c>
    </row>
    <row r="973">
      <c r="A973" s="2">
        <f>IFERROR(__xludf.DUMMYFUNCTION("""COMPUTED_VALUE"""),45517.66666666667)</f>
        <v>45517.66667</v>
      </c>
      <c r="B973" s="1">
        <f>IFERROR(__xludf.DUMMYFUNCTION("""COMPUTED_VALUE"""),85.6)</f>
        <v>85.6</v>
      </c>
    </row>
    <row r="974">
      <c r="A974" s="2">
        <f>IFERROR(__xludf.DUMMYFUNCTION("""COMPUTED_VALUE"""),45518.66666666667)</f>
        <v>45518.66667</v>
      </c>
      <c r="B974" s="1">
        <f>IFERROR(__xludf.DUMMYFUNCTION("""COMPUTED_VALUE"""),86.3)</f>
        <v>86.3</v>
      </c>
    </row>
    <row r="975">
      <c r="A975" s="2">
        <f>IFERROR(__xludf.DUMMYFUNCTION("""COMPUTED_VALUE"""),45519.66666666667)</f>
        <v>45519.66667</v>
      </c>
      <c r="B975" s="1">
        <f>IFERROR(__xludf.DUMMYFUNCTION("""COMPUTED_VALUE"""),88.79)</f>
        <v>88.79</v>
      </c>
    </row>
    <row r="976">
      <c r="A976" s="2">
        <f>IFERROR(__xludf.DUMMYFUNCTION("""COMPUTED_VALUE"""),45520.66666666667)</f>
        <v>45520.66667</v>
      </c>
      <c r="B976" s="1">
        <f>IFERROR(__xludf.DUMMYFUNCTION("""COMPUTED_VALUE"""),89.3)</f>
        <v>89.3</v>
      </c>
    </row>
    <row r="977">
      <c r="A977" s="2">
        <f>IFERROR(__xludf.DUMMYFUNCTION("""COMPUTED_VALUE"""),45523.66666666667)</f>
        <v>45523.66667</v>
      </c>
      <c r="B977" s="1">
        <f>IFERROR(__xludf.DUMMYFUNCTION("""COMPUTED_VALUE"""),90.82)</f>
        <v>90.82</v>
      </c>
    </row>
    <row r="978">
      <c r="A978" s="2">
        <f>IFERROR(__xludf.DUMMYFUNCTION("""COMPUTED_VALUE"""),45524.66666666667)</f>
        <v>45524.66667</v>
      </c>
      <c r="B978" s="1">
        <f>IFERROR(__xludf.DUMMYFUNCTION("""COMPUTED_VALUE"""),89.74)</f>
        <v>89.74</v>
      </c>
    </row>
    <row r="979">
      <c r="A979" s="2">
        <f>IFERROR(__xludf.DUMMYFUNCTION("""COMPUTED_VALUE"""),45525.66666666667)</f>
        <v>45525.66667</v>
      </c>
      <c r="B979" s="1">
        <f>IFERROR(__xludf.DUMMYFUNCTION("""COMPUTED_VALUE"""),90.72)</f>
        <v>90.72</v>
      </c>
    </row>
    <row r="980">
      <c r="A980" s="2">
        <f>IFERROR(__xludf.DUMMYFUNCTION("""COMPUTED_VALUE"""),45526.66666666667)</f>
        <v>45526.66667</v>
      </c>
      <c r="B980" s="1">
        <f>IFERROR(__xludf.DUMMYFUNCTION("""COMPUTED_VALUE"""),89.92)</f>
        <v>89.92</v>
      </c>
    </row>
    <row r="981">
      <c r="A981" s="2">
        <f>IFERROR(__xludf.DUMMYFUNCTION("""COMPUTED_VALUE"""),45527.66666666667)</f>
        <v>45527.66667</v>
      </c>
      <c r="B981" s="1">
        <f>IFERROR(__xludf.DUMMYFUNCTION("""COMPUTED_VALUE"""),90.56)</f>
        <v>90.56</v>
      </c>
    </row>
    <row r="982">
      <c r="A982" s="2">
        <f>IFERROR(__xludf.DUMMYFUNCTION("""COMPUTED_VALUE"""),45530.66666666667)</f>
        <v>45530.66667</v>
      </c>
      <c r="B982" s="1">
        <f>IFERROR(__xludf.DUMMYFUNCTION("""COMPUTED_VALUE"""),91.78)</f>
        <v>91.78</v>
      </c>
    </row>
    <row r="983">
      <c r="A983" s="2">
        <f>IFERROR(__xludf.DUMMYFUNCTION("""COMPUTED_VALUE"""),45531.66666666667)</f>
        <v>45531.66667</v>
      </c>
      <c r="B983" s="1">
        <f>IFERROR(__xludf.DUMMYFUNCTION("""COMPUTED_VALUE"""),90.9)</f>
        <v>90.9</v>
      </c>
    </row>
    <row r="984">
      <c r="A984" s="2">
        <f>IFERROR(__xludf.DUMMYFUNCTION("""COMPUTED_VALUE"""),45532.66666666667)</f>
        <v>45532.66667</v>
      </c>
      <c r="B984" s="1">
        <f>IFERROR(__xludf.DUMMYFUNCTION("""COMPUTED_VALUE"""),89.49)</f>
        <v>89.49</v>
      </c>
    </row>
    <row r="985">
      <c r="A985" s="2">
        <f>IFERROR(__xludf.DUMMYFUNCTION("""COMPUTED_VALUE"""),45533.66666666667)</f>
        <v>45533.66667</v>
      </c>
      <c r="B985" s="1">
        <f>IFERROR(__xludf.DUMMYFUNCTION("""COMPUTED_VALUE"""),89.81)</f>
        <v>89.81</v>
      </c>
    </row>
    <row r="986">
      <c r="A986" s="2">
        <f>IFERROR(__xludf.DUMMYFUNCTION("""COMPUTED_VALUE"""),45534.66666666667)</f>
        <v>45534.66667</v>
      </c>
      <c r="B986" s="1">
        <f>IFERROR(__xludf.DUMMYFUNCTION("""COMPUTED_VALUE"""),90.38)</f>
        <v>90.38</v>
      </c>
    </row>
    <row r="987">
      <c r="A987" s="2">
        <f>IFERROR(__xludf.DUMMYFUNCTION("""COMPUTED_VALUE"""),45538.66666666667)</f>
        <v>45538.66667</v>
      </c>
      <c r="B987" s="1">
        <f>IFERROR(__xludf.DUMMYFUNCTION("""COMPUTED_VALUE"""),89.13)</f>
        <v>89.13</v>
      </c>
    </row>
    <row r="988">
      <c r="A988" s="2">
        <f>IFERROR(__xludf.DUMMYFUNCTION("""COMPUTED_VALUE"""),45539.66666666667)</f>
        <v>45539.66667</v>
      </c>
      <c r="B988" s="1">
        <f>IFERROR(__xludf.DUMMYFUNCTION("""COMPUTED_VALUE"""),89.25)</f>
        <v>89.25</v>
      </c>
    </row>
    <row r="989">
      <c r="A989" s="2">
        <f>IFERROR(__xludf.DUMMYFUNCTION("""COMPUTED_VALUE"""),45540.66666666667)</f>
        <v>45540.66667</v>
      </c>
      <c r="B989" s="1">
        <f>IFERROR(__xludf.DUMMYFUNCTION("""COMPUTED_VALUE"""),88.65)</f>
        <v>88.65</v>
      </c>
    </row>
    <row r="990">
      <c r="A990" s="2">
        <f>IFERROR(__xludf.DUMMYFUNCTION("""COMPUTED_VALUE"""),45541.66666666667)</f>
        <v>45541.66667</v>
      </c>
      <c r="B990" s="1">
        <f>IFERROR(__xludf.DUMMYFUNCTION("""COMPUTED_VALUE"""),87.94)</f>
        <v>87.94</v>
      </c>
    </row>
    <row r="991">
      <c r="A991" s="2">
        <f>IFERROR(__xludf.DUMMYFUNCTION("""COMPUTED_VALUE"""),45544.66666666667)</f>
        <v>45544.66667</v>
      </c>
      <c r="B991" s="1">
        <f>IFERROR(__xludf.DUMMYFUNCTION("""COMPUTED_VALUE"""),88.34)</f>
        <v>88.34</v>
      </c>
    </row>
    <row r="992">
      <c r="A992" s="2">
        <f>IFERROR(__xludf.DUMMYFUNCTION("""COMPUTED_VALUE"""),45545.66666666667)</f>
        <v>45545.66667</v>
      </c>
      <c r="B992" s="1">
        <f>IFERROR(__xludf.DUMMYFUNCTION("""COMPUTED_VALUE"""),88.4)</f>
        <v>88.4</v>
      </c>
    </row>
    <row r="993">
      <c r="A993" s="2">
        <f>IFERROR(__xludf.DUMMYFUNCTION("""COMPUTED_VALUE"""),45546.66666666667)</f>
        <v>45546.66667</v>
      </c>
      <c r="B993" s="1">
        <f>IFERROR(__xludf.DUMMYFUNCTION("""COMPUTED_VALUE"""),88.32)</f>
        <v>88.32</v>
      </c>
    </row>
    <row r="994">
      <c r="A994" s="2">
        <f>IFERROR(__xludf.DUMMYFUNCTION("""COMPUTED_VALUE"""),45547.66666666667)</f>
        <v>45547.66667</v>
      </c>
      <c r="B994" s="1">
        <f>IFERROR(__xludf.DUMMYFUNCTION("""COMPUTED_VALUE"""),89.3)</f>
        <v>89.3</v>
      </c>
    </row>
    <row r="995">
      <c r="A995" s="2">
        <f>IFERROR(__xludf.DUMMYFUNCTION("""COMPUTED_VALUE"""),45548.66666666667)</f>
        <v>45548.66667</v>
      </c>
      <c r="B995" s="1">
        <f>IFERROR(__xludf.DUMMYFUNCTION("""COMPUTED_VALUE"""),90.55)</f>
        <v>90.55</v>
      </c>
    </row>
    <row r="996">
      <c r="A996" s="2">
        <f>IFERROR(__xludf.DUMMYFUNCTION("""COMPUTED_VALUE"""),45551.66666666667)</f>
        <v>45551.66667</v>
      </c>
      <c r="B996" s="1">
        <f>IFERROR(__xludf.DUMMYFUNCTION("""COMPUTED_VALUE"""),91.85)</f>
        <v>91.85</v>
      </c>
    </row>
    <row r="997">
      <c r="A997" s="2">
        <f>IFERROR(__xludf.DUMMYFUNCTION("""COMPUTED_VALUE"""),45552.66666666667)</f>
        <v>45552.66667</v>
      </c>
      <c r="B997" s="1">
        <f>IFERROR(__xludf.DUMMYFUNCTION("""COMPUTED_VALUE"""),92.86)</f>
        <v>92.86</v>
      </c>
    </row>
    <row r="998">
      <c r="A998" s="2">
        <f>IFERROR(__xludf.DUMMYFUNCTION("""COMPUTED_VALUE"""),45553.66666666667)</f>
        <v>45553.66667</v>
      </c>
      <c r="B998" s="1">
        <f>IFERROR(__xludf.DUMMYFUNCTION("""COMPUTED_VALUE"""),93.58)</f>
        <v>93.58</v>
      </c>
    </row>
    <row r="999">
      <c r="A999" s="2">
        <f>IFERROR(__xludf.DUMMYFUNCTION("""COMPUTED_VALUE"""),45554.66666666667)</f>
        <v>45554.66667</v>
      </c>
      <c r="B999" s="1">
        <f>IFERROR(__xludf.DUMMYFUNCTION("""COMPUTED_VALUE"""),93.45)</f>
        <v>93.45</v>
      </c>
    </row>
    <row r="1000">
      <c r="A1000" s="2">
        <f>IFERROR(__xludf.DUMMYFUNCTION("""COMPUTED_VALUE"""),45555.66666666667)</f>
        <v>45555.66667</v>
      </c>
      <c r="B1000" s="1">
        <f>IFERROR(__xludf.DUMMYFUNCTION("""COMPUTED_VALUE"""),93.75)</f>
        <v>93.75</v>
      </c>
    </row>
    <row r="1001">
      <c r="A1001" s="2">
        <f>IFERROR(__xludf.DUMMYFUNCTION("""COMPUTED_VALUE"""),45558.66666666667)</f>
        <v>45558.66667</v>
      </c>
      <c r="B1001" s="1">
        <f>IFERROR(__xludf.DUMMYFUNCTION("""COMPUTED_VALUE"""),92.97)</f>
        <v>92.97</v>
      </c>
    </row>
    <row r="1002">
      <c r="A1002" s="2">
        <f>IFERROR(__xludf.DUMMYFUNCTION("""COMPUTED_VALUE"""),45559.66666666667)</f>
        <v>45559.66667</v>
      </c>
      <c r="B1002" s="1">
        <f>IFERROR(__xludf.DUMMYFUNCTION("""COMPUTED_VALUE"""),93.69)</f>
        <v>93.69</v>
      </c>
    </row>
    <row r="1003">
      <c r="A1003" s="2">
        <f>IFERROR(__xludf.DUMMYFUNCTION("""COMPUTED_VALUE"""),45560.66666666667)</f>
        <v>45560.66667</v>
      </c>
      <c r="B1003" s="1">
        <f>IFERROR(__xludf.DUMMYFUNCTION("""COMPUTED_VALUE"""),93.92)</f>
        <v>93.92</v>
      </c>
    </row>
    <row r="1004">
      <c r="A1004" s="2">
        <f>IFERROR(__xludf.DUMMYFUNCTION("""COMPUTED_VALUE"""),45561.66666666667)</f>
        <v>45561.66667</v>
      </c>
      <c r="B1004" s="1">
        <f>IFERROR(__xludf.DUMMYFUNCTION("""COMPUTED_VALUE"""),95.2)</f>
        <v>95.2</v>
      </c>
    </row>
    <row r="1005">
      <c r="A1005" s="2">
        <f>IFERROR(__xludf.DUMMYFUNCTION("""COMPUTED_VALUE"""),45562.66666666667)</f>
        <v>45562.66667</v>
      </c>
      <c r="B1005" s="1">
        <f>IFERROR(__xludf.DUMMYFUNCTION("""COMPUTED_VALUE"""),96.01)</f>
        <v>96.01</v>
      </c>
    </row>
    <row r="1006">
      <c r="A1006" s="2">
        <f>IFERROR(__xludf.DUMMYFUNCTION("""COMPUTED_VALUE"""),45565.66666666667)</f>
        <v>45565.66667</v>
      </c>
      <c r="B1006" s="1">
        <f>IFERROR(__xludf.DUMMYFUNCTION("""COMPUTED_VALUE"""),96.19)</f>
        <v>96.19</v>
      </c>
    </row>
    <row r="1007">
      <c r="A1007" s="2">
        <f>IFERROR(__xludf.DUMMYFUNCTION("""COMPUTED_VALUE"""),45566.66666666667)</f>
        <v>45566.66667</v>
      </c>
      <c r="B1007" s="1">
        <f>IFERROR(__xludf.DUMMYFUNCTION("""COMPUTED_VALUE"""),94.05)</f>
        <v>94.05</v>
      </c>
    </row>
    <row r="1008">
      <c r="A1008" s="2">
        <f>IFERROR(__xludf.DUMMYFUNCTION("""COMPUTED_VALUE"""),45567.66666666667)</f>
        <v>45567.66667</v>
      </c>
      <c r="B1008" s="1">
        <f>IFERROR(__xludf.DUMMYFUNCTION("""COMPUTED_VALUE"""),94.15)</f>
        <v>94.15</v>
      </c>
    </row>
    <row r="1009">
      <c r="A1009" s="2">
        <f>IFERROR(__xludf.DUMMYFUNCTION("""COMPUTED_VALUE"""),45568.66666666667)</f>
        <v>45568.66667</v>
      </c>
      <c r="B1009" s="1">
        <f>IFERROR(__xludf.DUMMYFUNCTION("""COMPUTED_VALUE"""),93.63)</f>
        <v>93.63</v>
      </c>
    </row>
    <row r="1010">
      <c r="A1010" s="2">
        <f>IFERROR(__xludf.DUMMYFUNCTION("""COMPUTED_VALUE"""),45569.66666666667)</f>
        <v>45569.66667</v>
      </c>
      <c r="B1010" s="1">
        <f>IFERROR(__xludf.DUMMYFUNCTION("""COMPUTED_VALUE"""),95.15)</f>
        <v>95.15</v>
      </c>
    </row>
    <row r="1011">
      <c r="A1011" s="2">
        <f>IFERROR(__xludf.DUMMYFUNCTION("""COMPUTED_VALUE"""),45572.66666666667)</f>
        <v>45572.66667</v>
      </c>
      <c r="B1011" s="1">
        <f>IFERROR(__xludf.DUMMYFUNCTION("""COMPUTED_VALUE"""),92.39)</f>
        <v>92.39</v>
      </c>
    </row>
    <row r="1012">
      <c r="A1012" s="2">
        <f>IFERROR(__xludf.DUMMYFUNCTION("""COMPUTED_VALUE"""),45573.66666666667)</f>
        <v>45573.66667</v>
      </c>
      <c r="B1012" s="1">
        <f>IFERROR(__xludf.DUMMYFUNCTION("""COMPUTED_VALUE"""),92.51)</f>
        <v>92.51</v>
      </c>
    </row>
    <row r="1013">
      <c r="A1013" s="2">
        <f>IFERROR(__xludf.DUMMYFUNCTION("""COMPUTED_VALUE"""),45574.66666666667)</f>
        <v>45574.66667</v>
      </c>
      <c r="B1013" s="1">
        <f>IFERROR(__xludf.DUMMYFUNCTION("""COMPUTED_VALUE"""),93.6)</f>
        <v>93.6</v>
      </c>
    </row>
    <row r="1014">
      <c r="A1014" s="2">
        <f>IFERROR(__xludf.DUMMYFUNCTION("""COMPUTED_VALUE"""),45575.66666666667)</f>
        <v>45575.66667</v>
      </c>
      <c r="B1014" s="1">
        <f>IFERROR(__xludf.DUMMYFUNCTION("""COMPUTED_VALUE"""),92.99)</f>
        <v>92.99</v>
      </c>
    </row>
    <row r="1015">
      <c r="A1015" s="2">
        <f>IFERROR(__xludf.DUMMYFUNCTION("""COMPUTED_VALUE"""),45576.66666666667)</f>
        <v>45576.66667</v>
      </c>
      <c r="B1015" s="1">
        <f>IFERROR(__xludf.DUMMYFUNCTION("""COMPUTED_VALUE"""),94.13)</f>
        <v>94.13</v>
      </c>
    </row>
    <row r="1016">
      <c r="A1016" s="2">
        <f>IFERROR(__xludf.DUMMYFUNCTION("""COMPUTED_VALUE"""),45579.66666666667)</f>
        <v>45579.66667</v>
      </c>
      <c r="B1016" s="1">
        <f>IFERROR(__xludf.DUMMYFUNCTION("""COMPUTED_VALUE"""),94.97)</f>
        <v>94.97</v>
      </c>
    </row>
    <row r="1017">
      <c r="A1017" s="2">
        <f>IFERROR(__xludf.DUMMYFUNCTION("""COMPUTED_VALUE"""),45580.66666666667)</f>
        <v>45580.66667</v>
      </c>
      <c r="B1017" s="1">
        <f>IFERROR(__xludf.DUMMYFUNCTION("""COMPUTED_VALUE"""),94.97)</f>
        <v>94.97</v>
      </c>
    </row>
    <row r="1018">
      <c r="A1018" s="2">
        <f>IFERROR(__xludf.DUMMYFUNCTION("""COMPUTED_VALUE"""),45581.66666666667)</f>
        <v>45581.66667</v>
      </c>
      <c r="B1018" s="1">
        <f>IFERROR(__xludf.DUMMYFUNCTION("""COMPUTED_VALUE"""),96.75)</f>
        <v>96.75</v>
      </c>
    </row>
    <row r="1019">
      <c r="A1019" s="2">
        <f>IFERROR(__xludf.DUMMYFUNCTION("""COMPUTED_VALUE"""),45582.66666666667)</f>
        <v>45582.66667</v>
      </c>
      <c r="B1019" s="1">
        <f>IFERROR(__xludf.DUMMYFUNCTION("""COMPUTED_VALUE"""),96.54)</f>
        <v>96.54</v>
      </c>
    </row>
    <row r="1020">
      <c r="A1020" s="2">
        <f>IFERROR(__xludf.DUMMYFUNCTION("""COMPUTED_VALUE"""),45583.66666666667)</f>
        <v>45583.66667</v>
      </c>
      <c r="B1020" s="1">
        <f>IFERROR(__xludf.DUMMYFUNCTION("""COMPUTED_VALUE"""),97.28)</f>
        <v>97.28</v>
      </c>
    </row>
    <row r="1021">
      <c r="A1021" s="2">
        <f>IFERROR(__xludf.DUMMYFUNCTION("""COMPUTED_VALUE"""),45586.66666666667)</f>
        <v>45586.66667</v>
      </c>
      <c r="B1021" s="1">
        <f>IFERROR(__xludf.DUMMYFUNCTION("""COMPUTED_VALUE"""),96.62)</f>
        <v>96.62</v>
      </c>
    </row>
    <row r="1022">
      <c r="A1022" s="2">
        <f>IFERROR(__xludf.DUMMYFUNCTION("""COMPUTED_VALUE"""),45587.66666666667)</f>
        <v>45587.66667</v>
      </c>
      <c r="B1022" s="1">
        <f>IFERROR(__xludf.DUMMYFUNCTION("""COMPUTED_VALUE"""),96.74)</f>
        <v>96.74</v>
      </c>
    </row>
    <row r="1023">
      <c r="A1023" s="2">
        <f>IFERROR(__xludf.DUMMYFUNCTION("""COMPUTED_VALUE"""),45588.66666666667)</f>
        <v>45588.66667</v>
      </c>
      <c r="B1023" s="1">
        <f>IFERROR(__xludf.DUMMYFUNCTION("""COMPUTED_VALUE"""),96.24)</f>
        <v>96.24</v>
      </c>
    </row>
    <row r="1024">
      <c r="A1024" s="2">
        <f>IFERROR(__xludf.DUMMYFUNCTION("""COMPUTED_VALUE"""),45589.66666666667)</f>
        <v>45589.66667</v>
      </c>
      <c r="B1024" s="1">
        <f>IFERROR(__xludf.DUMMYFUNCTION("""COMPUTED_VALUE"""),95.4)</f>
        <v>95.4</v>
      </c>
    </row>
    <row r="1025">
      <c r="A1025" s="2">
        <f>IFERROR(__xludf.DUMMYFUNCTION("""COMPUTED_VALUE"""),45590.66666666667)</f>
        <v>45590.66667</v>
      </c>
      <c r="B1025" s="1">
        <f>IFERROR(__xludf.DUMMYFUNCTION("""COMPUTED_VALUE"""),95.03)</f>
        <v>95.03</v>
      </c>
    </row>
    <row r="1026">
      <c r="A1026" s="2">
        <f>IFERROR(__xludf.DUMMYFUNCTION("""COMPUTED_VALUE"""),45593.66666666667)</f>
        <v>45593.66667</v>
      </c>
      <c r="B1026" s="1">
        <f>IFERROR(__xludf.DUMMYFUNCTION("""COMPUTED_VALUE"""),96.2)</f>
        <v>96.2</v>
      </c>
    </row>
    <row r="1027">
      <c r="A1027" s="2">
        <f>IFERROR(__xludf.DUMMYFUNCTION("""COMPUTED_VALUE"""),45594.66666666667)</f>
        <v>45594.66667</v>
      </c>
      <c r="B1027" s="1">
        <f>IFERROR(__xludf.DUMMYFUNCTION("""COMPUTED_VALUE"""),96.13)</f>
        <v>96.13</v>
      </c>
    </row>
    <row r="1028">
      <c r="A1028" s="2">
        <f>IFERROR(__xludf.DUMMYFUNCTION("""COMPUTED_VALUE"""),45595.66666666667)</f>
        <v>45595.66667</v>
      </c>
      <c r="B1028" s="1">
        <f>IFERROR(__xludf.DUMMYFUNCTION("""COMPUTED_VALUE"""),95.08)</f>
        <v>95.08</v>
      </c>
    </row>
    <row r="1029">
      <c r="A1029" s="2">
        <f>IFERROR(__xludf.DUMMYFUNCTION("""COMPUTED_VALUE"""),45596.66666666667)</f>
        <v>45596.66667</v>
      </c>
      <c r="B1029" s="1">
        <f>IFERROR(__xludf.DUMMYFUNCTION("""COMPUTED_VALUE"""),96.2)</f>
        <v>96.2</v>
      </c>
    </row>
    <row r="1030">
      <c r="A1030" s="2">
        <f>IFERROR(__xludf.DUMMYFUNCTION("""COMPUTED_VALUE"""),45597.66666666667)</f>
        <v>45597.66667</v>
      </c>
      <c r="B1030" s="1">
        <f>IFERROR(__xludf.DUMMYFUNCTION("""COMPUTED_VALUE"""),95.81)</f>
        <v>95.81</v>
      </c>
    </row>
    <row r="1031">
      <c r="A1031" s="2">
        <f>IFERROR(__xludf.DUMMYFUNCTION("""COMPUTED_VALUE"""),45600.66666666667)</f>
        <v>45600.66667</v>
      </c>
      <c r="B1031" s="1">
        <f>IFERROR(__xludf.DUMMYFUNCTION("""COMPUTED_VALUE"""),95.79)</f>
        <v>95.79</v>
      </c>
    </row>
    <row r="1032">
      <c r="A1032" s="2">
        <f>IFERROR(__xludf.DUMMYFUNCTION("""COMPUTED_VALUE"""),45601.66666666667)</f>
        <v>45601.66667</v>
      </c>
      <c r="B1032" s="1">
        <f>IFERROR(__xludf.DUMMYFUNCTION("""COMPUTED_VALUE"""),96.63)</f>
        <v>96.63</v>
      </c>
    </row>
    <row r="1033">
      <c r="A1033" s="2">
        <f>IFERROR(__xludf.DUMMYFUNCTION("""COMPUTED_VALUE"""),45602.66666666667)</f>
        <v>45602.66667</v>
      </c>
      <c r="B1033" s="1">
        <f>IFERROR(__xludf.DUMMYFUNCTION("""COMPUTED_VALUE"""),98.89)</f>
        <v>98.89</v>
      </c>
    </row>
    <row r="1034">
      <c r="A1034" s="2">
        <f>IFERROR(__xludf.DUMMYFUNCTION("""COMPUTED_VALUE"""),45603.66666666667)</f>
        <v>45603.66667</v>
      </c>
      <c r="B1034" s="1">
        <f>IFERROR(__xludf.DUMMYFUNCTION("""COMPUTED_VALUE"""),98.93)</f>
        <v>98.93</v>
      </c>
    </row>
    <row r="1035">
      <c r="A1035" s="2">
        <f>IFERROR(__xludf.DUMMYFUNCTION("""COMPUTED_VALUE"""),45604.66666666667)</f>
        <v>45604.66667</v>
      </c>
      <c r="B1035" s="1">
        <f>IFERROR(__xludf.DUMMYFUNCTION("""COMPUTED_VALUE"""),99.02)</f>
        <v>99.02</v>
      </c>
    </row>
    <row r="1036">
      <c r="A1036" s="2">
        <f>IFERROR(__xludf.DUMMYFUNCTION("""COMPUTED_VALUE"""),45607.66666666667)</f>
        <v>45607.66667</v>
      </c>
      <c r="B1036" s="1">
        <f>IFERROR(__xludf.DUMMYFUNCTION("""COMPUTED_VALUE"""),100.86)</f>
        <v>100.86</v>
      </c>
    </row>
    <row r="1037">
      <c r="A1037" s="2">
        <f>IFERROR(__xludf.DUMMYFUNCTION("""COMPUTED_VALUE"""),45608.66666666667)</f>
        <v>45608.66667</v>
      </c>
      <c r="B1037" s="1">
        <f>IFERROR(__xludf.DUMMYFUNCTION("""COMPUTED_VALUE"""),100.99)</f>
        <v>100.99</v>
      </c>
    </row>
    <row r="1038">
      <c r="A1038" s="2">
        <f>IFERROR(__xludf.DUMMYFUNCTION("""COMPUTED_VALUE"""),45609.66666666667)</f>
        <v>45609.66667</v>
      </c>
      <c r="B1038" s="1">
        <f>IFERROR(__xludf.DUMMYFUNCTION("""COMPUTED_VALUE"""),102.72)</f>
        <v>102.72</v>
      </c>
    </row>
    <row r="1039">
      <c r="A1039" s="2">
        <f>IFERROR(__xludf.DUMMYFUNCTION("""COMPUTED_VALUE"""),45610.66666666667)</f>
        <v>45610.66667</v>
      </c>
      <c r="B1039" s="1">
        <f>IFERROR(__xludf.DUMMYFUNCTION("""COMPUTED_VALUE"""),109.12)</f>
        <v>109.12</v>
      </c>
    </row>
    <row r="1040">
      <c r="A1040" s="2">
        <f>IFERROR(__xludf.DUMMYFUNCTION("""COMPUTED_VALUE"""),45611.66666666667)</f>
        <v>45611.66667</v>
      </c>
      <c r="B1040" s="1">
        <f>IFERROR(__xludf.DUMMYFUNCTION("""COMPUTED_VALUE"""),115.08)</f>
        <v>115.08</v>
      </c>
    </row>
    <row r="1041">
      <c r="A1041" s="2">
        <f>IFERROR(__xludf.DUMMYFUNCTION("""COMPUTED_VALUE"""),45614.66666666667)</f>
        <v>45614.66667</v>
      </c>
      <c r="B1041" s="1">
        <f>IFERROR(__xludf.DUMMYFUNCTION("""COMPUTED_VALUE"""),113.54)</f>
        <v>113.54</v>
      </c>
    </row>
    <row r="1042">
      <c r="A1042" s="2">
        <f>IFERROR(__xludf.DUMMYFUNCTION("""COMPUTED_VALUE"""),45615.66666666667)</f>
        <v>45615.66667</v>
      </c>
      <c r="B1042" s="1">
        <f>IFERROR(__xludf.DUMMYFUNCTION("""COMPUTED_VALUE"""),112.42)</f>
        <v>112.42</v>
      </c>
    </row>
    <row r="1043">
      <c r="A1043" s="2">
        <f>IFERROR(__xludf.DUMMYFUNCTION("""COMPUTED_VALUE"""),45616.66666666667)</f>
        <v>45616.66667</v>
      </c>
      <c r="B1043" s="1">
        <f>IFERROR(__xludf.DUMMYFUNCTION("""COMPUTED_VALUE"""),114.26)</f>
        <v>114.26</v>
      </c>
    </row>
    <row r="1044">
      <c r="A1044" s="2">
        <f>IFERROR(__xludf.DUMMYFUNCTION("""COMPUTED_VALUE"""),45617.66666666667)</f>
        <v>45617.66667</v>
      </c>
      <c r="B1044" s="1">
        <f>IFERROR(__xludf.DUMMYFUNCTION("""COMPUTED_VALUE"""),114.72)</f>
        <v>114.72</v>
      </c>
    </row>
    <row r="1045">
      <c r="A1045" s="2">
        <f>IFERROR(__xludf.DUMMYFUNCTION("""COMPUTED_VALUE"""),45618.66666666667)</f>
        <v>45618.66667</v>
      </c>
      <c r="B1045" s="1">
        <f>IFERROR(__xludf.DUMMYFUNCTION("""COMPUTED_VALUE"""),115.65)</f>
        <v>115.65</v>
      </c>
    </row>
    <row r="1046">
      <c r="A1046" s="2">
        <f>IFERROR(__xludf.DUMMYFUNCTION("""COMPUTED_VALUE"""),45621.66666666667)</f>
        <v>45621.66667</v>
      </c>
      <c r="B1046" s="1">
        <f>IFERROR(__xludf.DUMMYFUNCTION("""COMPUTED_VALUE"""),116.0)</f>
        <v>116</v>
      </c>
    </row>
    <row r="1047">
      <c r="A1047" s="2">
        <f>IFERROR(__xludf.DUMMYFUNCTION("""COMPUTED_VALUE"""),45622.66666666667)</f>
        <v>45622.66667</v>
      </c>
      <c r="B1047" s="1">
        <f>IFERROR(__xludf.DUMMYFUNCTION("""COMPUTED_VALUE"""),115.45)</f>
        <v>115.45</v>
      </c>
    </row>
    <row r="1048">
      <c r="A1048" s="2">
        <f>IFERROR(__xludf.DUMMYFUNCTION("""COMPUTED_VALUE"""),45623.66666666667)</f>
        <v>45623.66667</v>
      </c>
      <c r="B1048" s="1">
        <f>IFERROR(__xludf.DUMMYFUNCTION("""COMPUTED_VALUE"""),117.6)</f>
        <v>117.6</v>
      </c>
    </row>
    <row r="1049">
      <c r="A1049" s="2">
        <f>IFERROR(__xludf.DUMMYFUNCTION("""COMPUTED_VALUE"""),45625.54166666667)</f>
        <v>45625.54167</v>
      </c>
      <c r="B1049" s="1">
        <f>IFERROR(__xludf.DUMMYFUNCTION("""COMPUTED_VALUE"""),117.47)</f>
        <v>117.47</v>
      </c>
    </row>
    <row r="1050">
      <c r="A1050" s="2">
        <f>IFERROR(__xludf.DUMMYFUNCTION("""COMPUTED_VALUE"""),45628.66666666667)</f>
        <v>45628.66667</v>
      </c>
      <c r="B1050" s="1">
        <f>IFERROR(__xludf.DUMMYFUNCTION("""COMPUTED_VALUE"""),117.16)</f>
        <v>117.16</v>
      </c>
    </row>
    <row r="1051">
      <c r="A1051" s="2">
        <f>IFERROR(__xludf.DUMMYFUNCTION("""COMPUTED_VALUE"""),45629.66666666667)</f>
        <v>45629.66667</v>
      </c>
      <c r="B1051" s="1">
        <f>IFERROR(__xludf.DUMMYFUNCTION("""COMPUTED_VALUE"""),116.45)</f>
        <v>116.45</v>
      </c>
    </row>
    <row r="1052">
      <c r="A1052" s="2">
        <f>IFERROR(__xludf.DUMMYFUNCTION("""COMPUTED_VALUE"""),45630.66666666667)</f>
        <v>45630.66667</v>
      </c>
      <c r="B1052" s="1">
        <f>IFERROR(__xludf.DUMMYFUNCTION("""COMPUTED_VALUE"""),116.99)</f>
        <v>116.99</v>
      </c>
    </row>
    <row r="1053">
      <c r="A1053" s="2">
        <f>IFERROR(__xludf.DUMMYFUNCTION("""COMPUTED_VALUE"""),45631.66666666667)</f>
        <v>45631.66667</v>
      </c>
      <c r="B1053" s="1">
        <f>IFERROR(__xludf.DUMMYFUNCTION("""COMPUTED_VALUE"""),116.5)</f>
        <v>116.5</v>
      </c>
    </row>
    <row r="1054">
      <c r="A1054" s="2">
        <f>IFERROR(__xludf.DUMMYFUNCTION("""COMPUTED_VALUE"""),45632.66666666667)</f>
        <v>45632.66667</v>
      </c>
      <c r="B1054" s="1">
        <f>IFERROR(__xludf.DUMMYFUNCTION("""COMPUTED_VALUE"""),116.73)</f>
        <v>116.73</v>
      </c>
    </row>
    <row r="1055">
      <c r="A1055" s="2">
        <f>IFERROR(__xludf.DUMMYFUNCTION("""COMPUTED_VALUE"""),45635.66666666667)</f>
        <v>45635.66667</v>
      </c>
      <c r="B1055" s="1">
        <f>IFERROR(__xludf.DUMMYFUNCTION("""COMPUTED_VALUE"""),114.61)</f>
        <v>114.61</v>
      </c>
    </row>
    <row r="1056">
      <c r="A1056" s="2">
        <f>IFERROR(__xludf.DUMMYFUNCTION("""COMPUTED_VALUE"""),45636.66666666667)</f>
        <v>45636.66667</v>
      </c>
      <c r="B1056" s="1">
        <f>IFERROR(__xludf.DUMMYFUNCTION("""COMPUTED_VALUE"""),114.73)</f>
        <v>114.73</v>
      </c>
    </row>
    <row r="1057">
      <c r="A1057" s="2">
        <f>IFERROR(__xludf.DUMMYFUNCTION("""COMPUTED_VALUE"""),45637.66666666667)</f>
        <v>45637.66667</v>
      </c>
      <c r="B1057" s="1">
        <f>IFERROR(__xludf.DUMMYFUNCTION("""COMPUTED_VALUE"""),114.61)</f>
        <v>114.61</v>
      </c>
    </row>
    <row r="1058">
      <c r="A1058" s="2">
        <f>IFERROR(__xludf.DUMMYFUNCTION("""COMPUTED_VALUE"""),45638.66666666667)</f>
        <v>45638.66667</v>
      </c>
      <c r="B1058" s="1">
        <f>IFERROR(__xludf.DUMMYFUNCTION("""COMPUTED_VALUE"""),114.9)</f>
        <v>114.9</v>
      </c>
    </row>
    <row r="1059">
      <c r="A1059" s="2">
        <f>IFERROR(__xludf.DUMMYFUNCTION("""COMPUTED_VALUE"""),45639.66666666667)</f>
        <v>45639.66667</v>
      </c>
      <c r="B1059" s="1">
        <f>IFERROR(__xludf.DUMMYFUNCTION("""COMPUTED_VALUE"""),113.34)</f>
        <v>113.34</v>
      </c>
    </row>
    <row r="1060">
      <c r="A1060" s="2">
        <f>IFERROR(__xludf.DUMMYFUNCTION("""COMPUTED_VALUE"""),45642.66666666667)</f>
        <v>45642.66667</v>
      </c>
      <c r="B1060" s="1">
        <f>IFERROR(__xludf.DUMMYFUNCTION("""COMPUTED_VALUE"""),112.11)</f>
        <v>112.11</v>
      </c>
    </row>
    <row r="1061">
      <c r="A1061" s="2">
        <f>IFERROR(__xludf.DUMMYFUNCTION("""COMPUTED_VALUE"""),45643.66666666667)</f>
        <v>45643.66667</v>
      </c>
      <c r="B1061" s="1">
        <f>IFERROR(__xludf.DUMMYFUNCTION("""COMPUTED_VALUE"""),113.02)</f>
        <v>113.02</v>
      </c>
    </row>
    <row r="1062">
      <c r="A1062" s="2">
        <f>IFERROR(__xludf.DUMMYFUNCTION("""COMPUTED_VALUE"""),45644.66666666667)</f>
        <v>45644.66667</v>
      </c>
      <c r="B1062" s="1">
        <f>IFERROR(__xludf.DUMMYFUNCTION("""COMPUTED_VALUE"""),111.35)</f>
        <v>111.35</v>
      </c>
    </row>
    <row r="1063">
      <c r="A1063" s="2">
        <f>IFERROR(__xludf.DUMMYFUNCTION("""COMPUTED_VALUE"""),45645.66666666667)</f>
        <v>45645.66667</v>
      </c>
      <c r="B1063" s="1">
        <f>IFERROR(__xludf.DUMMYFUNCTION("""COMPUTED_VALUE"""),111.37)</f>
        <v>111.37</v>
      </c>
    </row>
    <row r="1064">
      <c r="A1064" s="2">
        <f>IFERROR(__xludf.DUMMYFUNCTION("""COMPUTED_VALUE"""),45646.66666666667)</f>
        <v>45646.66667</v>
      </c>
      <c r="B1064" s="1">
        <f>IFERROR(__xludf.DUMMYFUNCTION("""COMPUTED_VALUE"""),112.03)</f>
        <v>112.03</v>
      </c>
    </row>
    <row r="1065">
      <c r="A1065" s="2">
        <f>IFERROR(__xludf.DUMMYFUNCTION("""COMPUTED_VALUE"""),45649.66666666667)</f>
        <v>45649.66667</v>
      </c>
      <c r="B1065" s="1">
        <f>IFERROR(__xludf.DUMMYFUNCTION("""COMPUTED_VALUE"""),111.4)</f>
        <v>111.4</v>
      </c>
    </row>
    <row r="1066">
      <c r="A1066" s="2">
        <f>IFERROR(__xludf.DUMMYFUNCTION("""COMPUTED_VALUE"""),45650.54166666667)</f>
        <v>45650.54167</v>
      </c>
      <c r="B1066" s="1">
        <f>IFERROR(__xludf.DUMMYFUNCTION("""COMPUTED_VALUE"""),112.56)</f>
        <v>112.56</v>
      </c>
    </row>
    <row r="1067">
      <c r="A1067" s="2">
        <f>IFERROR(__xludf.DUMMYFUNCTION("""COMPUTED_VALUE"""),45652.66666666667)</f>
        <v>45652.66667</v>
      </c>
      <c r="B1067" s="1">
        <f>IFERROR(__xludf.DUMMYFUNCTION("""COMPUTED_VALUE"""),112.55)</f>
        <v>112.55</v>
      </c>
    </row>
    <row r="1068">
      <c r="A1068" s="2">
        <f>IFERROR(__xludf.DUMMYFUNCTION("""COMPUTED_VALUE"""),45653.66666666667)</f>
        <v>45653.66667</v>
      </c>
      <c r="B1068" s="1">
        <f>IFERROR(__xludf.DUMMYFUNCTION("""COMPUTED_VALUE"""),111.55)</f>
        <v>111.55</v>
      </c>
    </row>
    <row r="1069">
      <c r="A1069" s="2">
        <f>IFERROR(__xludf.DUMMYFUNCTION("""COMPUTED_VALUE"""),45656.66666666667)</f>
        <v>45656.66667</v>
      </c>
      <c r="B1069" s="1">
        <f>IFERROR(__xludf.DUMMYFUNCTION("""COMPUTED_VALUE"""),110.8)</f>
        <v>110.8</v>
      </c>
    </row>
    <row r="1070">
      <c r="A1070" s="2">
        <f>IFERROR(__xludf.DUMMYFUNCTION("""COMPUTED_VALUE"""),45657.66666666667)</f>
        <v>45657.66667</v>
      </c>
      <c r="B1070" s="1">
        <f>IFERROR(__xludf.DUMMYFUNCTION("""COMPUTED_VALUE"""),111.35)</f>
        <v>111.35</v>
      </c>
    </row>
    <row r="1071">
      <c r="A1071" s="2">
        <f>IFERROR(__xludf.DUMMYFUNCTION("""COMPUTED_VALUE"""),45659.66666666667)</f>
        <v>45659.66667</v>
      </c>
      <c r="B1071" s="1">
        <f>IFERROR(__xludf.DUMMYFUNCTION("""COMPUTED_VALUE"""),110.82)</f>
        <v>110.82</v>
      </c>
    </row>
    <row r="1072">
      <c r="A1072" s="2">
        <f>IFERROR(__xludf.DUMMYFUNCTION("""COMPUTED_VALUE"""),45660.66666666667)</f>
        <v>45660.66667</v>
      </c>
      <c r="B1072" s="1">
        <f>IFERROR(__xludf.DUMMYFUNCTION("""COMPUTED_VALUE"""),111.16)</f>
        <v>111.16</v>
      </c>
    </row>
    <row r="1073">
      <c r="A1073" s="2">
        <f>IFERROR(__xludf.DUMMYFUNCTION("""COMPUTED_VALUE"""),45663.66666666667)</f>
        <v>45663.66667</v>
      </c>
      <c r="B1073" s="1">
        <f>IFERROR(__xludf.DUMMYFUNCTION("""COMPUTED_VALUE"""),111.05)</f>
        <v>111.05</v>
      </c>
    </row>
    <row r="1074">
      <c r="A1074" s="2">
        <f>IFERROR(__xludf.DUMMYFUNCTION("""COMPUTED_VALUE"""),45664.66666666667)</f>
        <v>45664.66667</v>
      </c>
      <c r="B1074" s="1">
        <f>IFERROR(__xludf.DUMMYFUNCTION("""COMPUTED_VALUE"""),111.39)</f>
        <v>111.39</v>
      </c>
    </row>
    <row r="1075">
      <c r="A1075" s="2">
        <f>IFERROR(__xludf.DUMMYFUNCTION("""COMPUTED_VALUE"""),45665.66666666667)</f>
        <v>45665.66667</v>
      </c>
      <c r="B1075" s="1">
        <f>IFERROR(__xludf.DUMMYFUNCTION("""COMPUTED_VALUE"""),109.76)</f>
        <v>109.76</v>
      </c>
    </row>
    <row r="1076">
      <c r="A1076" s="2">
        <f>IFERROR(__xludf.DUMMYFUNCTION("""COMPUTED_VALUE"""),45667.66666666667)</f>
        <v>45667.66667</v>
      </c>
      <c r="B1076" s="1">
        <f>IFERROR(__xludf.DUMMYFUNCTION("""COMPUTED_VALUE"""),108.65)</f>
        <v>108.65</v>
      </c>
    </row>
    <row r="1077">
      <c r="A1077" s="2">
        <f>IFERROR(__xludf.DUMMYFUNCTION("""COMPUTED_VALUE"""),45670.66666666667)</f>
        <v>45670.66667</v>
      </c>
      <c r="B1077" s="1">
        <f>IFERROR(__xludf.DUMMYFUNCTION("""COMPUTED_VALUE"""),108.08)</f>
        <v>108.08</v>
      </c>
    </row>
    <row r="1078">
      <c r="A1078" s="2">
        <f>IFERROR(__xludf.DUMMYFUNCTION("""COMPUTED_VALUE"""),45671.66666666667)</f>
        <v>45671.66667</v>
      </c>
      <c r="B1078" s="1">
        <f>IFERROR(__xludf.DUMMYFUNCTION("""COMPUTED_VALUE"""),108.12)</f>
        <v>108.12</v>
      </c>
    </row>
    <row r="1079">
      <c r="A1079" s="2">
        <f>IFERROR(__xludf.DUMMYFUNCTION("""COMPUTED_VALUE"""),45672.66666666667)</f>
        <v>45672.66667</v>
      </c>
      <c r="B1079" s="1">
        <f>IFERROR(__xludf.DUMMYFUNCTION("""COMPUTED_VALUE"""),108.18)</f>
        <v>108.18</v>
      </c>
    </row>
    <row r="1080">
      <c r="A1080" s="2">
        <f>IFERROR(__xludf.DUMMYFUNCTION("""COMPUTED_VALUE"""),45673.66666666667)</f>
        <v>45673.66667</v>
      </c>
      <c r="B1080" s="1">
        <f>IFERROR(__xludf.DUMMYFUNCTION("""COMPUTED_VALUE"""),106.46)</f>
        <v>106.46</v>
      </c>
    </row>
    <row r="1081">
      <c r="A1081" s="2">
        <f>IFERROR(__xludf.DUMMYFUNCTION("""COMPUTED_VALUE"""),45674.66666666667)</f>
        <v>45674.66667</v>
      </c>
      <c r="B1081" s="1">
        <f>IFERROR(__xludf.DUMMYFUNCTION("""COMPUTED_VALUE"""),107.02)</f>
        <v>107.02</v>
      </c>
    </row>
    <row r="1082">
      <c r="A1082" s="2">
        <f>IFERROR(__xludf.DUMMYFUNCTION("""COMPUTED_VALUE"""),45678.66666666667)</f>
        <v>45678.66667</v>
      </c>
      <c r="B1082" s="1">
        <f>IFERROR(__xludf.DUMMYFUNCTION("""COMPUTED_VALUE"""),108.7)</f>
        <v>108.7</v>
      </c>
    </row>
    <row r="1083">
      <c r="A1083" s="2">
        <f>IFERROR(__xludf.DUMMYFUNCTION("""COMPUTED_VALUE"""),45679.66666666667)</f>
        <v>45679.66667</v>
      </c>
      <c r="B1083" s="1">
        <f>IFERROR(__xludf.DUMMYFUNCTION("""COMPUTED_VALUE"""),108.81)</f>
        <v>108.81</v>
      </c>
    </row>
    <row r="1084">
      <c r="A1084" s="2">
        <f>IFERROR(__xludf.DUMMYFUNCTION("""COMPUTED_VALUE"""),45680.66666666667)</f>
        <v>45680.66667</v>
      </c>
      <c r="B1084" s="1">
        <f>IFERROR(__xludf.DUMMYFUNCTION("""COMPUTED_VALUE"""),111.04)</f>
        <v>111.04</v>
      </c>
    </row>
    <row r="1085">
      <c r="A1085" s="2">
        <f>IFERROR(__xludf.DUMMYFUNCTION("""COMPUTED_VALUE"""),45681.66666666667)</f>
        <v>45681.66667</v>
      </c>
      <c r="B1085" s="1">
        <f>IFERROR(__xludf.DUMMYFUNCTION("""COMPUTED_VALUE"""),112.16)</f>
        <v>112.16</v>
      </c>
    </row>
    <row r="1086">
      <c r="A1086" s="2">
        <f>IFERROR(__xludf.DUMMYFUNCTION("""COMPUTED_VALUE"""),45684.66666666667)</f>
        <v>45684.66667</v>
      </c>
      <c r="B1086" s="1">
        <f>IFERROR(__xludf.DUMMYFUNCTION("""COMPUTED_VALUE"""),113.34)</f>
        <v>113.34</v>
      </c>
    </row>
    <row r="1087">
      <c r="A1087" s="2">
        <f>IFERROR(__xludf.DUMMYFUNCTION("""COMPUTED_VALUE"""),45685.66666666667)</f>
        <v>45685.66667</v>
      </c>
      <c r="B1087" s="1">
        <f>IFERROR(__xludf.DUMMYFUNCTION("""COMPUTED_VALUE"""),112.14)</f>
        <v>112.14</v>
      </c>
    </row>
    <row r="1088">
      <c r="A1088" s="2">
        <f>IFERROR(__xludf.DUMMYFUNCTION("""COMPUTED_VALUE"""),45686.66666666667)</f>
        <v>45686.66667</v>
      </c>
      <c r="B1088" s="1">
        <f>IFERROR(__xludf.DUMMYFUNCTION("""COMPUTED_VALUE"""),113.19)</f>
        <v>113.19</v>
      </c>
    </row>
    <row r="1089">
      <c r="A1089" s="2">
        <f>IFERROR(__xludf.DUMMYFUNCTION("""COMPUTED_VALUE"""),45687.66666666667)</f>
        <v>45687.66667</v>
      </c>
      <c r="B1089" s="1">
        <f>IFERROR(__xludf.DUMMYFUNCTION("""COMPUTED_VALUE"""),113.43)</f>
        <v>113.43</v>
      </c>
    </row>
    <row r="1090">
      <c r="A1090" s="2">
        <f>IFERROR(__xludf.DUMMYFUNCTION("""COMPUTED_VALUE"""),45688.66666666667)</f>
        <v>45688.66667</v>
      </c>
      <c r="B1090" s="1">
        <f>IFERROR(__xludf.DUMMYFUNCTION("""COMPUTED_VALUE"""),113.06)</f>
        <v>113.06</v>
      </c>
    </row>
    <row r="1091">
      <c r="A1091" s="2">
        <f>IFERROR(__xludf.DUMMYFUNCTION("""COMPUTED_VALUE"""),45691.66666666667)</f>
        <v>45691.66667</v>
      </c>
      <c r="B1091" s="1">
        <f>IFERROR(__xludf.DUMMYFUNCTION("""COMPUTED_VALUE"""),114.0)</f>
        <v>114</v>
      </c>
    </row>
    <row r="1092">
      <c r="A1092" s="2">
        <f>IFERROR(__xludf.DUMMYFUNCTION("""COMPUTED_VALUE"""),45692.66666666667)</f>
        <v>45692.66667</v>
      </c>
      <c r="B1092" s="1">
        <f>IFERROR(__xludf.DUMMYFUNCTION("""COMPUTED_VALUE"""),113.3)</f>
        <v>113.3</v>
      </c>
    </row>
    <row r="1093">
      <c r="A1093" s="2">
        <f>IFERROR(__xludf.DUMMYFUNCTION("""COMPUTED_VALUE"""),45693.66666666667)</f>
        <v>45693.66667</v>
      </c>
      <c r="B1093" s="1">
        <f>IFERROR(__xludf.DUMMYFUNCTION("""COMPUTED_VALUE"""),110.54)</f>
        <v>110.54</v>
      </c>
    </row>
    <row r="1094">
      <c r="A1094" s="2">
        <f>IFERROR(__xludf.DUMMYFUNCTION("""COMPUTED_VALUE"""),45694.66666666667)</f>
        <v>45694.66667</v>
      </c>
      <c r="B1094" s="1">
        <f>IFERROR(__xludf.DUMMYFUNCTION("""COMPUTED_VALUE"""),112.09)</f>
        <v>112.09</v>
      </c>
    </row>
    <row r="1095">
      <c r="A1095" s="2">
        <f>IFERROR(__xludf.DUMMYFUNCTION("""COMPUTED_VALUE"""),45695.66666666667)</f>
        <v>45695.66667</v>
      </c>
      <c r="B1095" s="1">
        <f>IFERROR(__xludf.DUMMYFUNCTION("""COMPUTED_VALUE"""),110.86)</f>
        <v>110.86</v>
      </c>
    </row>
    <row r="1096">
      <c r="A1096" s="2">
        <f>IFERROR(__xludf.DUMMYFUNCTION("""COMPUTED_VALUE"""),45698.66666666667)</f>
        <v>45698.66667</v>
      </c>
      <c r="B1096" s="1">
        <f>IFERROR(__xludf.DUMMYFUNCTION("""COMPUTED_VALUE"""),109.28)</f>
        <v>109.28</v>
      </c>
    </row>
    <row r="1097">
      <c r="A1097" s="2">
        <f>IFERROR(__xludf.DUMMYFUNCTION("""COMPUTED_VALUE"""),45699.66666666667)</f>
        <v>45699.66667</v>
      </c>
      <c r="B1097" s="1">
        <f>IFERROR(__xludf.DUMMYFUNCTION("""COMPUTED_VALUE"""),109.02)</f>
        <v>109.02</v>
      </c>
    </row>
    <row r="1098">
      <c r="A1098" s="2">
        <f>IFERROR(__xludf.DUMMYFUNCTION("""COMPUTED_VALUE"""),45700.66666666667)</f>
        <v>45700.66667</v>
      </c>
      <c r="B1098" s="1">
        <f>IFERROR(__xludf.DUMMYFUNCTION("""COMPUTED_VALUE"""),109.23)</f>
        <v>109.23</v>
      </c>
    </row>
    <row r="1099">
      <c r="A1099" s="2">
        <f>IFERROR(__xludf.DUMMYFUNCTION("""COMPUTED_VALUE"""),45701.66666666667)</f>
        <v>45701.66667</v>
      </c>
      <c r="B1099" s="1">
        <f>IFERROR(__xludf.DUMMYFUNCTION("""COMPUTED_VALUE"""),109.59)</f>
        <v>109.59</v>
      </c>
    </row>
    <row r="1100">
      <c r="A1100" s="2">
        <f>IFERROR(__xludf.DUMMYFUNCTION("""COMPUTED_VALUE"""),45702.66666666667)</f>
        <v>45702.66667</v>
      </c>
      <c r="B1100" s="1">
        <f>IFERROR(__xludf.DUMMYFUNCTION("""COMPUTED_VALUE"""),110.38)</f>
        <v>110.38</v>
      </c>
    </row>
    <row r="1101">
      <c r="A1101" s="2">
        <f>IFERROR(__xludf.DUMMYFUNCTION("""COMPUTED_VALUE"""),45706.66666666667)</f>
        <v>45706.66667</v>
      </c>
      <c r="B1101" s="1">
        <f>IFERROR(__xludf.DUMMYFUNCTION("""COMPUTED_VALUE"""),109.56)</f>
        <v>109.56</v>
      </c>
    </row>
    <row r="1102">
      <c r="A1102" s="2">
        <f>IFERROR(__xludf.DUMMYFUNCTION("""COMPUTED_VALUE"""),45707.66666666667)</f>
        <v>45707.66667</v>
      </c>
      <c r="B1102" s="1">
        <f>IFERROR(__xludf.DUMMYFUNCTION("""COMPUTED_VALUE"""),111.35)</f>
        <v>111.35</v>
      </c>
    </row>
    <row r="1103">
      <c r="A1103" s="2">
        <f>IFERROR(__xludf.DUMMYFUNCTION("""COMPUTED_VALUE"""),45708.66666666667)</f>
        <v>45708.66667</v>
      </c>
      <c r="B1103" s="1">
        <f>IFERROR(__xludf.DUMMYFUNCTION("""COMPUTED_VALUE"""),110.55)</f>
        <v>110.55</v>
      </c>
    </row>
    <row r="1104">
      <c r="A1104" s="2">
        <f>IFERROR(__xludf.DUMMYFUNCTION("""COMPUTED_VALUE"""),45709.66666666667)</f>
        <v>45709.66667</v>
      </c>
      <c r="B1104" s="1">
        <f>IFERROR(__xludf.DUMMYFUNCTION("""COMPUTED_VALUE"""),108.66)</f>
        <v>108.66</v>
      </c>
    </row>
    <row r="1105">
      <c r="A1105" s="2">
        <f>IFERROR(__xludf.DUMMYFUNCTION("""COMPUTED_VALUE"""),45712.66666666667)</f>
        <v>45712.66667</v>
      </c>
      <c r="B1105" s="1">
        <f>IFERROR(__xludf.DUMMYFUNCTION("""COMPUTED_VALUE"""),111.2)</f>
        <v>111.2</v>
      </c>
    </row>
    <row r="1106">
      <c r="A1106" s="2">
        <f>IFERROR(__xludf.DUMMYFUNCTION("""COMPUTED_VALUE"""),45713.66666666667)</f>
        <v>45713.66667</v>
      </c>
      <c r="B1106" s="1">
        <f>IFERROR(__xludf.DUMMYFUNCTION("""COMPUTED_VALUE"""),110.53)</f>
        <v>110.53</v>
      </c>
    </row>
    <row r="1107">
      <c r="A1107" s="2">
        <f>IFERROR(__xludf.DUMMYFUNCTION("""COMPUTED_VALUE"""),45714.66666666667)</f>
        <v>45714.66667</v>
      </c>
      <c r="B1107" s="1">
        <f>IFERROR(__xludf.DUMMYFUNCTION("""COMPUTED_VALUE"""),111.83)</f>
        <v>111.83</v>
      </c>
    </row>
    <row r="1108">
      <c r="A1108" s="2">
        <f>IFERROR(__xludf.DUMMYFUNCTION("""COMPUTED_VALUE"""),45715.66666666667)</f>
        <v>45715.66667</v>
      </c>
      <c r="B1108" s="1">
        <f>IFERROR(__xludf.DUMMYFUNCTION("""COMPUTED_VALUE"""),111.31)</f>
        <v>111.31</v>
      </c>
    </row>
    <row r="1109">
      <c r="A1109" s="2">
        <f>IFERROR(__xludf.DUMMYFUNCTION("""COMPUTED_VALUE"""),45716.66666666667)</f>
        <v>45716.66667</v>
      </c>
      <c r="B1109" s="1">
        <f>IFERROR(__xludf.DUMMYFUNCTION("""COMPUTED_VALUE"""),113.8)</f>
        <v>113.8</v>
      </c>
    </row>
    <row r="1110">
      <c r="A1110" s="2">
        <f>IFERROR(__xludf.DUMMYFUNCTION("""COMPUTED_VALUE"""),45719.66666666667)</f>
        <v>45719.66667</v>
      </c>
      <c r="B1110" s="1">
        <f>IFERROR(__xludf.DUMMYFUNCTION("""COMPUTED_VALUE"""),112.79)</f>
        <v>112.79</v>
      </c>
    </row>
    <row r="1111">
      <c r="A1111" s="2">
        <f>IFERROR(__xludf.DUMMYFUNCTION("""COMPUTED_VALUE"""),45720.66666666667)</f>
        <v>45720.66667</v>
      </c>
      <c r="B1111" s="1">
        <f>IFERROR(__xludf.DUMMYFUNCTION("""COMPUTED_VALUE"""),109.01)</f>
        <v>109.01</v>
      </c>
    </row>
    <row r="1112">
      <c r="A1112" s="2">
        <f>IFERROR(__xludf.DUMMYFUNCTION("""COMPUTED_VALUE"""),45721.66666666667)</f>
        <v>45721.66667</v>
      </c>
      <c r="B1112" s="1">
        <f>IFERROR(__xludf.DUMMYFUNCTION("""COMPUTED_VALUE"""),109.31)</f>
        <v>109.31</v>
      </c>
    </row>
    <row r="1113">
      <c r="A1113" s="2">
        <f>IFERROR(__xludf.DUMMYFUNCTION("""COMPUTED_VALUE"""),45722.66666666667)</f>
        <v>45722.66667</v>
      </c>
      <c r="B1113" s="1">
        <f>IFERROR(__xludf.DUMMYFUNCTION("""COMPUTED_VALUE"""),105.43)</f>
        <v>105.43</v>
      </c>
    </row>
    <row r="1114">
      <c r="A1114" s="2">
        <f>IFERROR(__xludf.DUMMYFUNCTION("""COMPUTED_VALUE"""),45723.66666666667)</f>
        <v>45723.66667</v>
      </c>
      <c r="B1114" s="1">
        <f>IFERROR(__xludf.DUMMYFUNCTION("""COMPUTED_VALUE"""),105.51)</f>
        <v>105.51</v>
      </c>
    </row>
    <row r="1115">
      <c r="A1115" s="2">
        <f>IFERROR(__xludf.DUMMYFUNCTION("""COMPUTED_VALUE"""),45726.66666666667)</f>
        <v>45726.66667</v>
      </c>
      <c r="B1115" s="1">
        <f>IFERROR(__xludf.DUMMYFUNCTION("""COMPUTED_VALUE"""),103.08)</f>
        <v>103.08</v>
      </c>
    </row>
    <row r="1116">
      <c r="A1116" s="2">
        <f>IFERROR(__xludf.DUMMYFUNCTION("""COMPUTED_VALUE"""),45727.66666666667)</f>
        <v>45727.66667</v>
      </c>
      <c r="B1116" s="1">
        <f>IFERROR(__xludf.DUMMYFUNCTION("""COMPUTED_VALUE"""),97.9)</f>
        <v>97.9</v>
      </c>
    </row>
    <row r="1117">
      <c r="A1117" s="2">
        <f>IFERROR(__xludf.DUMMYFUNCTION("""COMPUTED_VALUE"""),45728.66666666667)</f>
        <v>45728.66667</v>
      </c>
      <c r="B1117" s="1">
        <f>IFERROR(__xludf.DUMMYFUNCTION("""COMPUTED_VALUE"""),98.76)</f>
        <v>98.76</v>
      </c>
    </row>
    <row r="1118">
      <c r="A1118" s="2">
        <f>IFERROR(__xludf.DUMMYFUNCTION("""COMPUTED_VALUE"""),45729.66666666667)</f>
        <v>45729.66667</v>
      </c>
      <c r="B1118" s="1">
        <f>IFERROR(__xludf.DUMMYFUNCTION("""COMPUTED_VALUE"""),96.87)</f>
        <v>96.87</v>
      </c>
    </row>
    <row r="1119">
      <c r="A1119" s="2">
        <f>IFERROR(__xludf.DUMMYFUNCTION("""COMPUTED_VALUE"""),45730.66666666667)</f>
        <v>45730.66667</v>
      </c>
      <c r="B1119" s="1">
        <f>IFERROR(__xludf.DUMMYFUNCTION("""COMPUTED_VALUE"""),98.64)</f>
        <v>98.64</v>
      </c>
    </row>
    <row r="1120">
      <c r="A1120" s="2">
        <f>IFERROR(__xludf.DUMMYFUNCTION("""COMPUTED_VALUE"""),45733.66666666667)</f>
        <v>45733.66667</v>
      </c>
      <c r="B1120" s="1">
        <f>IFERROR(__xludf.DUMMYFUNCTION("""COMPUTED_VALUE"""),99.36)</f>
        <v>99.36</v>
      </c>
    </row>
    <row r="1121">
      <c r="A1121" s="2">
        <f>IFERROR(__xludf.DUMMYFUNCTION("""COMPUTED_VALUE"""),45734.66666666667)</f>
        <v>45734.66667</v>
      </c>
      <c r="B1121" s="1">
        <f>IFERROR(__xludf.DUMMYFUNCTION("""COMPUTED_VALUE"""),99.35)</f>
        <v>99.35</v>
      </c>
    </row>
    <row r="1122">
      <c r="A1122" s="2">
        <f>IFERROR(__xludf.DUMMYFUNCTION("""COMPUTED_VALUE"""),45735.66666666667)</f>
        <v>45735.66667</v>
      </c>
      <c r="B1122" s="1">
        <f>IFERROR(__xludf.DUMMYFUNCTION("""COMPUTED_VALUE"""),100.29)</f>
        <v>100.29</v>
      </c>
    </row>
    <row r="1123">
      <c r="A1123" s="2">
        <f>IFERROR(__xludf.DUMMYFUNCTION("""COMPUTED_VALUE"""),45736.66666666667)</f>
        <v>45736.66667</v>
      </c>
      <c r="B1123" s="1">
        <f>IFERROR(__xludf.DUMMYFUNCTION("""COMPUTED_VALUE"""),98.86)</f>
        <v>98.86</v>
      </c>
    </row>
    <row r="1124">
      <c r="A1124" s="2">
        <f>IFERROR(__xludf.DUMMYFUNCTION("""COMPUTED_VALUE"""),45737.66666666667)</f>
        <v>45737.66667</v>
      </c>
      <c r="B1124" s="1">
        <f>IFERROR(__xludf.DUMMYFUNCTION("""COMPUTED_VALUE"""),99.46)</f>
        <v>99.46</v>
      </c>
    </row>
    <row r="1125">
      <c r="A1125" s="2">
        <f>IFERROR(__xludf.DUMMYFUNCTION("""COMPUTED_VALUE"""),45740.66666666667)</f>
        <v>45740.66667</v>
      </c>
      <c r="B1125" s="1">
        <f>IFERROR(__xludf.DUMMYFUNCTION("""COMPUTED_VALUE"""),100.18)</f>
        <v>100.18</v>
      </c>
    </row>
    <row r="1126">
      <c r="A1126" s="2">
        <f>IFERROR(__xludf.DUMMYFUNCTION("""COMPUTED_VALUE"""),45741.66666666667)</f>
        <v>45741.66667</v>
      </c>
      <c r="B1126" s="1">
        <f>IFERROR(__xludf.DUMMYFUNCTION("""COMPUTED_VALUE"""),101.61)</f>
        <v>101.61</v>
      </c>
    </row>
    <row r="1127">
      <c r="A1127" s="2">
        <f>IFERROR(__xludf.DUMMYFUNCTION("""COMPUTED_VALUE"""),45742.66666666667)</f>
        <v>45742.66667</v>
      </c>
      <c r="B1127" s="1">
        <f>IFERROR(__xludf.DUMMYFUNCTION("""COMPUTED_VALUE"""),100.78)</f>
        <v>100.78</v>
      </c>
    </row>
    <row r="1128">
      <c r="A1128" s="2">
        <f>IFERROR(__xludf.DUMMYFUNCTION("""COMPUTED_VALUE"""),45743.66666666667)</f>
        <v>45743.66667</v>
      </c>
      <c r="B1128" s="1">
        <f>IFERROR(__xludf.DUMMYFUNCTION("""COMPUTED_VALUE"""),100.45)</f>
        <v>100.45</v>
      </c>
    </row>
    <row r="1129">
      <c r="A1129" s="2">
        <f>IFERROR(__xludf.DUMMYFUNCTION("""COMPUTED_VALUE"""),45744.66666666667)</f>
        <v>45744.66667</v>
      </c>
      <c r="B1129" s="1">
        <f>IFERROR(__xludf.DUMMYFUNCTION("""COMPUTED_VALUE"""),98.07)</f>
        <v>98.07</v>
      </c>
    </row>
    <row r="1130">
      <c r="A1130" s="2">
        <f>IFERROR(__xludf.DUMMYFUNCTION("""COMPUTED_VALUE"""),45747.66666666667)</f>
        <v>45747.66667</v>
      </c>
      <c r="B1130" s="1">
        <f>IFERROR(__xludf.DUMMYFUNCTION("""COMPUTED_VALUE"""),98.7)</f>
        <v>98.7</v>
      </c>
    </row>
    <row r="1131">
      <c r="A1131" s="2">
        <f>IFERROR(__xludf.DUMMYFUNCTION("""COMPUTED_VALUE"""),45748.66666666667)</f>
        <v>45748.66667</v>
      </c>
      <c r="B1131" s="1">
        <f>IFERROR(__xludf.DUMMYFUNCTION("""COMPUTED_VALUE"""),97.68)</f>
        <v>97.68</v>
      </c>
    </row>
    <row r="1132">
      <c r="A1132" s="2">
        <f>IFERROR(__xludf.DUMMYFUNCTION("""COMPUTED_VALUE"""),45749.66666666667)</f>
        <v>45749.66667</v>
      </c>
      <c r="B1132" s="1">
        <f>IFERROR(__xludf.DUMMYFUNCTION("""COMPUTED_VALUE"""),97.88)</f>
        <v>97.88</v>
      </c>
    </row>
    <row r="1133">
      <c r="A1133" s="2">
        <f>IFERROR(__xludf.DUMMYFUNCTION("""COMPUTED_VALUE"""),45750.66666666667)</f>
        <v>45750.66667</v>
      </c>
      <c r="B1133" s="1">
        <f>IFERROR(__xludf.DUMMYFUNCTION("""COMPUTED_VALUE"""),88.84)</f>
        <v>88.84</v>
      </c>
    </row>
    <row r="1134">
      <c r="A1134" s="2">
        <f>IFERROR(__xludf.DUMMYFUNCTION("""COMPUTED_VALUE"""),45751.66666666667)</f>
        <v>45751.66667</v>
      </c>
      <c r="B1134" s="1">
        <f>IFERROR(__xludf.DUMMYFUNCTION("""COMPUTED_VALUE"""),83.53)</f>
        <v>83.53</v>
      </c>
    </row>
    <row r="1135">
      <c r="A1135" s="2">
        <f>IFERROR(__xludf.DUMMYFUNCTION("""COMPUTED_VALUE"""),45754.66666666667)</f>
        <v>45754.66667</v>
      </c>
      <c r="B1135" s="1">
        <f>IFERROR(__xludf.DUMMYFUNCTION("""COMPUTED_VALUE"""),83.3)</f>
        <v>83.3</v>
      </c>
    </row>
    <row r="1136">
      <c r="A1136" s="2">
        <f>IFERROR(__xludf.DUMMYFUNCTION("""COMPUTED_VALUE"""),45755.66666666667)</f>
        <v>45755.66667</v>
      </c>
      <c r="B1136" s="1">
        <f>IFERROR(__xludf.DUMMYFUNCTION("""COMPUTED_VALUE"""),81.72)</f>
        <v>81.72</v>
      </c>
    </row>
    <row r="1137">
      <c r="A1137" s="2">
        <f>IFERROR(__xludf.DUMMYFUNCTION("""COMPUTED_VALUE"""),45756.66666666667)</f>
        <v>45756.66667</v>
      </c>
      <c r="B1137" s="1">
        <f>IFERROR(__xludf.DUMMYFUNCTION("""COMPUTED_VALUE"""),91.44)</f>
        <v>91.44</v>
      </c>
    </row>
    <row r="1138">
      <c r="A1138" s="2">
        <f>IFERROR(__xludf.DUMMYFUNCTION("""COMPUTED_VALUE"""),45757.66666666667)</f>
        <v>45757.66667</v>
      </c>
      <c r="B1138" s="1">
        <f>IFERROR(__xludf.DUMMYFUNCTION("""COMPUTED_VALUE"""),85.23)</f>
        <v>85.23</v>
      </c>
    </row>
    <row r="1139">
      <c r="A1139" s="2">
        <f>IFERROR(__xludf.DUMMYFUNCTION("""COMPUTED_VALUE"""),45758.66666666667)</f>
        <v>45758.66667</v>
      </c>
      <c r="B1139" s="1">
        <f>IFERROR(__xludf.DUMMYFUNCTION("""COMPUTED_VALUE"""),84.89)</f>
        <v>84.89</v>
      </c>
    </row>
    <row r="1140">
      <c r="A1140" s="2">
        <f>IFERROR(__xludf.DUMMYFUNCTION("""COMPUTED_VALUE"""),45761.66666666667)</f>
        <v>45761.66667</v>
      </c>
      <c r="B1140" s="1">
        <f>IFERROR(__xludf.DUMMYFUNCTION("""COMPUTED_VALUE"""),84.66)</f>
        <v>84.66</v>
      </c>
    </row>
    <row r="1141">
      <c r="A1141" s="2">
        <f>IFERROR(__xludf.DUMMYFUNCTION("""COMPUTED_VALUE"""),45762.66666666667)</f>
        <v>45762.66667</v>
      </c>
      <c r="B1141" s="1">
        <f>IFERROR(__xludf.DUMMYFUNCTION("""COMPUTED_VALUE"""),85.01)</f>
        <v>85.01</v>
      </c>
    </row>
    <row r="1142">
      <c r="A1142" s="2">
        <f>IFERROR(__xludf.DUMMYFUNCTION("""COMPUTED_VALUE"""),45763.66666666667)</f>
        <v>45763.66667</v>
      </c>
      <c r="B1142" s="1">
        <f>IFERROR(__xludf.DUMMYFUNCTION("""COMPUTED_VALUE"""),82.77)</f>
        <v>82.77</v>
      </c>
    </row>
    <row r="1143">
      <c r="A1143" s="2">
        <f>IFERROR(__xludf.DUMMYFUNCTION("""COMPUTED_VALUE"""),45764.66666666667)</f>
        <v>45764.66667</v>
      </c>
      <c r="B1143" s="1">
        <f>IFERROR(__xludf.DUMMYFUNCTION("""COMPUTED_VALUE"""),84.81)</f>
        <v>84.81</v>
      </c>
    </row>
    <row r="1144">
      <c r="A1144" s="2">
        <f>IFERROR(__xludf.DUMMYFUNCTION("""COMPUTED_VALUE"""),45768.66666666667)</f>
        <v>45768.66667</v>
      </c>
      <c r="B1144" s="1">
        <f>IFERROR(__xludf.DUMMYFUNCTION("""COMPUTED_VALUE"""),84.0)</f>
        <v>84</v>
      </c>
    </row>
    <row r="1145">
      <c r="A1145" s="2">
        <f>IFERROR(__xludf.DUMMYFUNCTION("""COMPUTED_VALUE"""),45769.66666666667)</f>
        <v>45769.66667</v>
      </c>
      <c r="B1145" s="1">
        <f>IFERROR(__xludf.DUMMYFUNCTION("""COMPUTED_VALUE"""),86.09)</f>
        <v>86.09</v>
      </c>
    </row>
    <row r="1146">
      <c r="A1146" s="2">
        <f>IFERROR(__xludf.DUMMYFUNCTION("""COMPUTED_VALUE"""),45770.66666666667)</f>
        <v>45770.66667</v>
      </c>
      <c r="B1146" s="1">
        <f>IFERROR(__xludf.DUMMYFUNCTION("""COMPUTED_VALUE"""),87.29)</f>
        <v>87.29</v>
      </c>
    </row>
    <row r="1147">
      <c r="A1147" s="2">
        <f>IFERROR(__xludf.DUMMYFUNCTION("""COMPUTED_VALUE"""),45771.66666666667)</f>
        <v>45771.66667</v>
      </c>
      <c r="B1147" s="1">
        <f>IFERROR(__xludf.DUMMYFUNCTION("""COMPUTED_VALUE"""),90.01)</f>
        <v>90.01</v>
      </c>
    </row>
    <row r="1148">
      <c r="A1148" s="2">
        <f>IFERROR(__xludf.DUMMYFUNCTION("""COMPUTED_VALUE"""),45772.66666666667)</f>
        <v>45772.66667</v>
      </c>
      <c r="B1148" s="1">
        <f>IFERROR(__xludf.DUMMYFUNCTION("""COMPUTED_VALUE"""),90.28)</f>
        <v>90.28</v>
      </c>
    </row>
    <row r="1149">
      <c r="A1149" s="2">
        <f>IFERROR(__xludf.DUMMYFUNCTION("""COMPUTED_VALUE"""),45775.66666666667)</f>
        <v>45775.66667</v>
      </c>
      <c r="B1149" s="1">
        <f>IFERROR(__xludf.DUMMYFUNCTION("""COMPUTED_VALUE"""),90.16)</f>
        <v>90.16</v>
      </c>
    </row>
    <row r="1150">
      <c r="A1150" s="2">
        <f>IFERROR(__xludf.DUMMYFUNCTION("""COMPUTED_VALUE"""),45776.66666666667)</f>
        <v>45776.66667</v>
      </c>
      <c r="B1150" s="1">
        <f>IFERROR(__xludf.DUMMYFUNCTION("""COMPUTED_VALUE"""),91.17)</f>
        <v>91.17</v>
      </c>
    </row>
    <row r="1151">
      <c r="A1151" s="2">
        <f>IFERROR(__xludf.DUMMYFUNCTION("""COMPUTED_VALUE"""),45777.66666666667)</f>
        <v>45777.66667</v>
      </c>
      <c r="B1151" s="1">
        <f>IFERROR(__xludf.DUMMYFUNCTION("""COMPUTED_VALUE"""),90.95)</f>
        <v>90.95</v>
      </c>
    </row>
    <row r="1152">
      <c r="A1152" s="2">
        <f>IFERROR(__xludf.DUMMYFUNCTION("""COMPUTED_VALUE"""),45778.66666666667)</f>
        <v>45778.66667</v>
      </c>
      <c r="B1152" s="1">
        <f>IFERROR(__xludf.DUMMYFUNCTION("""COMPUTED_VALUE"""),90.81)</f>
        <v>90.81</v>
      </c>
    </row>
    <row r="1153">
      <c r="A1153" s="2">
        <f>IFERROR(__xludf.DUMMYFUNCTION("""COMPUTED_VALUE"""),45779.66666666667)</f>
        <v>45779.66667</v>
      </c>
      <c r="B1153" s="1">
        <f>IFERROR(__xludf.DUMMYFUNCTION("""COMPUTED_VALUE"""),92.49)</f>
        <v>92.49</v>
      </c>
    </row>
    <row r="1154">
      <c r="A1154" s="2">
        <f>IFERROR(__xludf.DUMMYFUNCTION("""COMPUTED_VALUE"""),45782.66666666667)</f>
        <v>45782.66667</v>
      </c>
      <c r="B1154" s="1">
        <f>IFERROR(__xludf.DUMMYFUNCTION("""COMPUTED_VALUE"""),92.11)</f>
        <v>92.11</v>
      </c>
    </row>
    <row r="1155">
      <c r="A1155" s="2">
        <f>IFERROR(__xludf.DUMMYFUNCTION("""COMPUTED_VALUE"""),45783.66666666667)</f>
        <v>45783.66667</v>
      </c>
      <c r="B1155" s="1">
        <f>IFERROR(__xludf.DUMMYFUNCTION("""COMPUTED_VALUE"""),92.17)</f>
        <v>92.17</v>
      </c>
    </row>
    <row r="1156">
      <c r="A1156" s="2">
        <f>IFERROR(__xludf.DUMMYFUNCTION("""COMPUTED_VALUE"""),45784.66666666667)</f>
        <v>45784.66667</v>
      </c>
      <c r="B1156" s="1">
        <f>IFERROR(__xludf.DUMMYFUNCTION("""COMPUTED_VALUE"""),102.09)</f>
        <v>102.09</v>
      </c>
    </row>
    <row r="1157">
      <c r="A1157" s="2">
        <f>IFERROR(__xludf.DUMMYFUNCTION("""COMPUTED_VALUE"""),45785.66666666667)</f>
        <v>45785.66667</v>
      </c>
      <c r="B1157" s="1">
        <f>IFERROR(__xludf.DUMMYFUNCTION("""COMPUTED_VALUE"""),105.12)</f>
        <v>105.12</v>
      </c>
    </row>
    <row r="1158">
      <c r="A1158" s="2">
        <f>IFERROR(__xludf.DUMMYFUNCTION("""COMPUTED_VALUE"""),45786.66666666667)</f>
        <v>45786.66667</v>
      </c>
      <c r="B1158" s="1">
        <f>IFERROR(__xludf.DUMMYFUNCTION("""COMPUTED_VALUE"""),105.94)</f>
        <v>105.94</v>
      </c>
    </row>
    <row r="1159">
      <c r="A1159" s="2">
        <f>IFERROR(__xludf.DUMMYFUNCTION("""COMPUTED_VALUE"""),45789.66666666667)</f>
        <v>45789.66667</v>
      </c>
      <c r="B1159" s="1">
        <f>IFERROR(__xludf.DUMMYFUNCTION("""COMPUTED_VALUE"""),110.49)</f>
        <v>110.49</v>
      </c>
    </row>
    <row r="1160">
      <c r="A1160" s="2">
        <f>IFERROR(__xludf.DUMMYFUNCTION("""COMPUTED_VALUE"""),45790.66666666667)</f>
        <v>45790.66667</v>
      </c>
      <c r="B1160" s="1">
        <f>IFERROR(__xludf.DUMMYFUNCTION("""COMPUTED_VALUE"""),111.38)</f>
        <v>111.38</v>
      </c>
    </row>
    <row r="1161">
      <c r="A1161" s="2">
        <f>IFERROR(__xludf.DUMMYFUNCTION("""COMPUTED_VALUE"""),45791.66666666667)</f>
        <v>45791.66667</v>
      </c>
      <c r="B1161" s="1">
        <f>IFERROR(__xludf.DUMMYFUNCTION("""COMPUTED_VALUE"""),112.94)</f>
        <v>112.94</v>
      </c>
    </row>
    <row r="1162">
      <c r="A1162" s="2">
        <f>IFERROR(__xludf.DUMMYFUNCTION("""COMPUTED_VALUE"""),45792.66666666667)</f>
        <v>45792.66667</v>
      </c>
      <c r="B1162" s="1">
        <f>IFERROR(__xludf.DUMMYFUNCTION("""COMPUTED_VALUE"""),112.22)</f>
        <v>112.22</v>
      </c>
    </row>
    <row r="1163">
      <c r="A1163" s="2">
        <f>IFERROR(__xludf.DUMMYFUNCTION("""COMPUTED_VALUE"""),45793.66666666667)</f>
        <v>45793.66667</v>
      </c>
      <c r="B1163" s="1">
        <f>IFERROR(__xludf.DUMMYFUNCTION("""COMPUTED_VALUE"""),113.42)</f>
        <v>113.42</v>
      </c>
    </row>
    <row r="1164">
      <c r="A1164" s="2">
        <f>IFERROR(__xludf.DUMMYFUNCTION("""COMPUTED_VALUE"""),45796.66666666667)</f>
        <v>45796.66667</v>
      </c>
      <c r="B1164" s="1">
        <f>IFERROR(__xludf.DUMMYFUNCTION("""COMPUTED_VALUE"""),112.66)</f>
        <v>112.66</v>
      </c>
    </row>
    <row r="1165">
      <c r="A1165" s="2">
        <f>IFERROR(__xludf.DUMMYFUNCTION("""COMPUTED_VALUE"""),45797.66666666667)</f>
        <v>45797.66667</v>
      </c>
      <c r="B1165" s="1">
        <f>IFERROR(__xludf.DUMMYFUNCTION("""COMPUTED_VALUE"""),112.36)</f>
        <v>112.36</v>
      </c>
    </row>
    <row r="1166">
      <c r="A1166" s="2">
        <f>IFERROR(__xludf.DUMMYFUNCTION("""COMPUTED_VALUE"""),45798.66666666667)</f>
        <v>45798.66667</v>
      </c>
      <c r="B1166" s="1">
        <f>IFERROR(__xludf.DUMMYFUNCTION("""COMPUTED_VALUE"""),110.46)</f>
        <v>110.46</v>
      </c>
    </row>
    <row r="1167">
      <c r="A1167" s="2">
        <f>IFERROR(__xludf.DUMMYFUNCTION("""COMPUTED_VALUE"""),45799.66666666667)</f>
        <v>45799.66667</v>
      </c>
      <c r="B1167" s="1">
        <f>IFERROR(__xludf.DUMMYFUNCTION("""COMPUTED_VALUE"""),110.46)</f>
        <v>110.46</v>
      </c>
    </row>
    <row r="1168">
      <c r="A1168" s="2">
        <f>IFERROR(__xludf.DUMMYFUNCTION("""COMPUTED_VALUE"""),45800.66666666667)</f>
        <v>45800.66667</v>
      </c>
      <c r="B1168" s="1">
        <f>IFERROR(__xludf.DUMMYFUNCTION("""COMPUTED_VALUE"""),109.72)</f>
        <v>109.72</v>
      </c>
    </row>
    <row r="1169">
      <c r="A1169" s="2">
        <f>IFERROR(__xludf.DUMMYFUNCTION("""COMPUTED_VALUE"""),45804.66666666667)</f>
        <v>45804.66667</v>
      </c>
      <c r="B1169" s="1">
        <f>IFERROR(__xludf.DUMMYFUNCTION("""COMPUTED_VALUE"""),112.36)</f>
        <v>112.36</v>
      </c>
    </row>
    <row r="1170">
      <c r="A1170" s="2">
        <f>IFERROR(__xludf.DUMMYFUNCTION("""COMPUTED_VALUE"""),45805.66666666667)</f>
        <v>45805.66667</v>
      </c>
      <c r="B1170" s="1">
        <f>IFERROR(__xludf.DUMMYFUNCTION("""COMPUTED_VALUE"""),111.52)</f>
        <v>111.52</v>
      </c>
    </row>
    <row r="1171">
      <c r="A1171" s="2">
        <f>IFERROR(__xludf.DUMMYFUNCTION("""COMPUTED_VALUE"""),45806.66666666667)</f>
        <v>45806.66667</v>
      </c>
      <c r="B1171" s="1">
        <f>IFERROR(__xludf.DUMMYFUNCTION("""COMPUTED_VALUE"""),112.02)</f>
        <v>112.02</v>
      </c>
    </row>
    <row r="1172">
      <c r="A1172" s="2">
        <f>IFERROR(__xludf.DUMMYFUNCTION("""COMPUTED_VALUE"""),45807.66666666667)</f>
        <v>45807.66667</v>
      </c>
      <c r="B1172" s="1">
        <f>IFERROR(__xludf.DUMMYFUNCTION("""COMPUTED_VALUE"""),113.04)</f>
        <v>113.04</v>
      </c>
    </row>
    <row r="1173">
      <c r="A1173" s="2">
        <f>IFERROR(__xludf.DUMMYFUNCTION("""COMPUTED_VALUE"""),45810.66666666667)</f>
        <v>45810.66667</v>
      </c>
      <c r="B1173" s="1">
        <f>IFERROR(__xludf.DUMMYFUNCTION("""COMPUTED_VALUE"""),112.95)</f>
        <v>112.95</v>
      </c>
    </row>
    <row r="1174">
      <c r="A1174" s="2">
        <f>IFERROR(__xludf.DUMMYFUNCTION("""COMPUTED_VALUE"""),45811.66666666667)</f>
        <v>45811.66667</v>
      </c>
      <c r="B1174" s="1">
        <f>IFERROR(__xludf.DUMMYFUNCTION("""COMPUTED_VALUE"""),113.6)</f>
        <v>113.6</v>
      </c>
    </row>
    <row r="1175">
      <c r="A1175" s="2">
        <f>IFERROR(__xludf.DUMMYFUNCTION("""COMPUTED_VALUE"""),45812.66666666667)</f>
        <v>45812.66667</v>
      </c>
      <c r="B1175" s="1">
        <f>IFERROR(__xludf.DUMMYFUNCTION("""COMPUTED_VALUE"""),113.49)</f>
        <v>113.49</v>
      </c>
    </row>
    <row r="1176">
      <c r="A1176" s="2">
        <f>IFERROR(__xludf.DUMMYFUNCTION("""COMPUTED_VALUE"""),45813.66666666667)</f>
        <v>45813.66667</v>
      </c>
      <c r="B1176" s="1">
        <f>IFERROR(__xludf.DUMMYFUNCTION("""COMPUTED_VALUE"""),112.53)</f>
        <v>112.53</v>
      </c>
    </row>
    <row r="1177">
      <c r="A1177" s="2">
        <f>IFERROR(__xludf.DUMMYFUNCTION("""COMPUTED_VALUE"""),45814.66666666667)</f>
        <v>45814.66667</v>
      </c>
      <c r="B1177" s="1">
        <f>IFERROR(__xludf.DUMMYFUNCTION("""COMPUTED_VALUE"""),113.9)</f>
        <v>113.9</v>
      </c>
    </row>
    <row r="1178">
      <c r="A1178" s="2">
        <f>IFERROR(__xludf.DUMMYFUNCTION("""COMPUTED_VALUE"""),45817.66666666667)</f>
        <v>45817.66667</v>
      </c>
      <c r="B1178" s="1">
        <f>IFERROR(__xludf.DUMMYFUNCTION("""COMPUTED_VALUE"""),115.66)</f>
        <v>115.66</v>
      </c>
    </row>
    <row r="1179">
      <c r="A1179" s="2">
        <f>IFERROR(__xludf.DUMMYFUNCTION("""COMPUTED_VALUE"""),45818.66666666667)</f>
        <v>45818.66667</v>
      </c>
      <c r="B1179" s="1">
        <f>IFERROR(__xludf.DUMMYFUNCTION("""COMPUTED_VALUE"""),118.73)</f>
        <v>118.73</v>
      </c>
    </row>
    <row r="1180">
      <c r="A1180" s="2">
        <f>IFERROR(__xludf.DUMMYFUNCTION("""COMPUTED_VALUE"""),45819.66666666667)</f>
        <v>45819.66667</v>
      </c>
      <c r="B1180" s="1">
        <f>IFERROR(__xludf.DUMMYFUNCTION("""COMPUTED_VALUE"""),119.52)</f>
        <v>119.52</v>
      </c>
    </row>
    <row r="1181">
      <c r="A1181" s="2">
        <f>IFERROR(__xludf.DUMMYFUNCTION("""COMPUTED_VALUE"""),45820.66666666667)</f>
        <v>45820.66667</v>
      </c>
      <c r="B1181" s="1">
        <f>IFERROR(__xludf.DUMMYFUNCTION("""COMPUTED_VALUE"""),118.61)</f>
        <v>118.61</v>
      </c>
    </row>
    <row r="1182">
      <c r="A1182" s="2">
        <f>IFERROR(__xludf.DUMMYFUNCTION("""COMPUTED_VALUE"""),45821.66666666667)</f>
        <v>45821.66667</v>
      </c>
      <c r="B1182" s="1">
        <f>IFERROR(__xludf.DUMMYFUNCTION("""COMPUTED_VALUE"""),117.94)</f>
        <v>117.94</v>
      </c>
    </row>
    <row r="1183">
      <c r="A1183" s="2">
        <f>IFERROR(__xludf.DUMMYFUNCTION("""COMPUTED_VALUE"""),45824.66666666667)</f>
        <v>45824.66667</v>
      </c>
      <c r="B1183" s="1">
        <f>IFERROR(__xludf.DUMMYFUNCTION("""COMPUTED_VALUE"""),119.48)</f>
        <v>119.48</v>
      </c>
    </row>
    <row r="1184">
      <c r="A1184" s="2">
        <f>IFERROR(__xludf.DUMMYFUNCTION("""COMPUTED_VALUE"""),45825.66666666667)</f>
        <v>45825.66667</v>
      </c>
      <c r="B1184" s="1">
        <f>IFERROR(__xludf.DUMMYFUNCTION("""COMPUTED_VALUE"""),118.13)</f>
        <v>118.13</v>
      </c>
    </row>
    <row r="1185">
      <c r="A1185" s="2">
        <f>IFERROR(__xludf.DUMMYFUNCTION("""COMPUTED_VALUE"""),45826.66666666667)</f>
        <v>45826.66667</v>
      </c>
      <c r="B1185" s="1">
        <f>IFERROR(__xludf.DUMMYFUNCTION("""COMPUTED_VALUE"""),117.86)</f>
        <v>117.86</v>
      </c>
    </row>
    <row r="1186">
      <c r="A1186" s="2">
        <f>IFERROR(__xludf.DUMMYFUNCTION("""COMPUTED_VALUE"""),45828.66666666667)</f>
        <v>45828.66667</v>
      </c>
      <c r="B1186" s="1">
        <f>IFERROR(__xludf.DUMMYFUNCTION("""COMPUTED_VALUE"""),117.63)</f>
        <v>117.63</v>
      </c>
    </row>
    <row r="1187">
      <c r="A1187" s="2">
        <f>IFERROR(__xludf.DUMMYFUNCTION("""COMPUTED_VALUE"""),45831.66666666667)</f>
        <v>45831.66667</v>
      </c>
      <c r="B1187" s="1">
        <f>IFERROR(__xludf.DUMMYFUNCTION("""COMPUTED_VALUE"""),117.75)</f>
        <v>117.75</v>
      </c>
    </row>
    <row r="1188">
      <c r="A1188" s="2">
        <f>IFERROR(__xludf.DUMMYFUNCTION("""COMPUTED_VALUE"""),45832.66666666667)</f>
        <v>45832.66667</v>
      </c>
      <c r="B1188" s="1">
        <f>IFERROR(__xludf.DUMMYFUNCTION("""COMPUTED_VALUE"""),118.65)</f>
        <v>118.65</v>
      </c>
    </row>
    <row r="1189">
      <c r="A1189" s="2">
        <f>IFERROR(__xludf.DUMMYFUNCTION("""COMPUTED_VALUE"""),45833.66666666667)</f>
        <v>45833.66667</v>
      </c>
      <c r="B1189" s="1">
        <f>IFERROR(__xludf.DUMMYFUNCTION("""COMPUTED_VALUE"""),119.42)</f>
        <v>119.42</v>
      </c>
    </row>
    <row r="1190">
      <c r="A1190" s="2">
        <f>IFERROR(__xludf.DUMMYFUNCTION("""COMPUTED_VALUE"""),45834.66666666667)</f>
        <v>45834.66667</v>
      </c>
      <c r="B1190" s="1">
        <f>IFERROR(__xludf.DUMMYFUNCTION("""COMPUTED_VALUE"""),121.46)</f>
        <v>121.46</v>
      </c>
    </row>
    <row r="1191">
      <c r="A1191" s="2">
        <f>IFERROR(__xludf.DUMMYFUNCTION("""COMPUTED_VALUE"""),45835.66666666667)</f>
        <v>45835.66667</v>
      </c>
      <c r="B1191" s="1">
        <f>IFERROR(__xludf.DUMMYFUNCTION("""COMPUTED_VALUE"""),122.34)</f>
        <v>122.34</v>
      </c>
    </row>
    <row r="1192">
      <c r="A1192" s="2">
        <f>IFERROR(__xludf.DUMMYFUNCTION("""COMPUTED_VALUE"""),45838.66666666667)</f>
        <v>45838.66667</v>
      </c>
      <c r="B1192" s="1">
        <f>IFERROR(__xludf.DUMMYFUNCTION("""COMPUTED_VALUE"""),124.01)</f>
        <v>124.01</v>
      </c>
    </row>
    <row r="1193">
      <c r="A1193" s="2">
        <f>IFERROR(__xludf.DUMMYFUNCTION("""COMPUTED_VALUE"""),45839.66666666667)</f>
        <v>45839.66667</v>
      </c>
      <c r="B1193" s="1">
        <f>IFERROR(__xludf.DUMMYFUNCTION("""COMPUTED_VALUE"""),123.49)</f>
        <v>123.49</v>
      </c>
    </row>
    <row r="1194">
      <c r="A1194" s="2">
        <f>IFERROR(__xludf.DUMMYFUNCTION("""COMPUTED_VALUE"""),45840.66666666667)</f>
        <v>45840.66667</v>
      </c>
      <c r="B1194" s="1">
        <f>IFERROR(__xludf.DUMMYFUNCTION("""COMPUTED_VALUE"""),122.98)</f>
        <v>122.98</v>
      </c>
    </row>
    <row r="1195">
      <c r="A1195" s="2">
        <f>IFERROR(__xludf.DUMMYFUNCTION("""COMPUTED_VALUE"""),45841.54166666667)</f>
        <v>45841.54167</v>
      </c>
      <c r="B1195" s="1">
        <f>IFERROR(__xludf.DUMMYFUNCTION("""COMPUTED_VALUE"""),124.0)</f>
        <v>124</v>
      </c>
    </row>
    <row r="1196">
      <c r="A1196" s="2">
        <f>IFERROR(__xludf.DUMMYFUNCTION("""COMPUTED_VALUE"""),45845.66666666667)</f>
        <v>45845.66667</v>
      </c>
      <c r="B1196" s="1">
        <f>IFERROR(__xludf.DUMMYFUNCTION("""COMPUTED_VALUE"""),123.16)</f>
        <v>123.16</v>
      </c>
    </row>
    <row r="1197">
      <c r="A1197" s="2">
        <f>IFERROR(__xludf.DUMMYFUNCTION("""COMPUTED_VALUE"""),45846.66666666667)</f>
        <v>45846.66667</v>
      </c>
      <c r="B1197" s="1">
        <f>IFERROR(__xludf.DUMMYFUNCTION("""COMPUTED_VALUE"""),121.82)</f>
        <v>121.82</v>
      </c>
    </row>
    <row r="1198">
      <c r="A1198" s="2">
        <f>IFERROR(__xludf.DUMMYFUNCTION("""COMPUTED_VALUE"""),45847.66666666667)</f>
        <v>45847.66667</v>
      </c>
      <c r="B1198" s="1">
        <f>IFERROR(__xludf.DUMMYFUNCTION("""COMPUTED_VALUE"""),120.61)</f>
        <v>120.61</v>
      </c>
    </row>
    <row r="1199">
      <c r="A1199" s="2">
        <f>IFERROR(__xludf.DUMMYFUNCTION("""COMPUTED_VALUE"""),45848.66666666667)</f>
        <v>45848.66667</v>
      </c>
      <c r="B1199" s="1">
        <f>IFERROR(__xludf.DUMMYFUNCTION("""COMPUTED_VALUE"""),121.56)</f>
        <v>121.56</v>
      </c>
    </row>
    <row r="1200">
      <c r="A1200" s="2">
        <f>IFERROR(__xludf.DUMMYFUNCTION("""COMPUTED_VALUE"""),45849.66666666667)</f>
        <v>45849.66667</v>
      </c>
      <c r="B1200" s="1">
        <f>IFERROR(__xludf.DUMMYFUNCTION("""COMPUTED_VALUE"""),119.87)</f>
        <v>119.87</v>
      </c>
    </row>
    <row r="1201">
      <c r="A1201" s="2">
        <f>IFERROR(__xludf.DUMMYFUNCTION("""COMPUTED_VALUE"""),45852.66666666667)</f>
        <v>45852.66667</v>
      </c>
      <c r="B1201" s="1">
        <f>IFERROR(__xludf.DUMMYFUNCTION("""COMPUTED_VALUE"""),119.97)</f>
        <v>119.97</v>
      </c>
    </row>
    <row r="1202">
      <c r="A1202" s="2">
        <f>IFERROR(__xludf.DUMMYFUNCTION("""COMPUTED_VALUE"""),45853.66666666667)</f>
        <v>45853.66667</v>
      </c>
      <c r="B1202" s="1">
        <f>IFERROR(__xludf.DUMMYFUNCTION("""COMPUTED_VALUE"""),118.98)</f>
        <v>118.98</v>
      </c>
    </row>
    <row r="1203">
      <c r="A1203" s="2">
        <f>IFERROR(__xludf.DUMMYFUNCTION("""COMPUTED_VALUE"""),45854.66666666667)</f>
        <v>45854.66667</v>
      </c>
      <c r="B1203" s="1">
        <f>IFERROR(__xludf.DUMMYFUNCTION("""COMPUTED_VALUE"""),119.82)</f>
        <v>119.82</v>
      </c>
    </row>
    <row r="1204">
      <c r="A1204" s="2">
        <f>IFERROR(__xludf.DUMMYFUNCTION("""COMPUTED_VALUE"""),45855.66666666667)</f>
        <v>45855.66667</v>
      </c>
      <c r="B1204" s="1">
        <f>IFERROR(__xludf.DUMMYFUNCTION("""COMPUTED_VALUE"""),122.21)</f>
        <v>122.21</v>
      </c>
    </row>
    <row r="1205">
      <c r="A1205" s="2">
        <f>IFERROR(__xludf.DUMMYFUNCTION("""COMPUTED_VALUE"""),45856.66666666667)</f>
        <v>45856.66667</v>
      </c>
      <c r="B1205" s="1">
        <f>IFERROR(__xludf.DUMMYFUNCTION("""COMPUTED_VALUE"""),121.42)</f>
        <v>121.42</v>
      </c>
    </row>
    <row r="1206">
      <c r="A1206" s="2">
        <f>IFERROR(__xludf.DUMMYFUNCTION("""COMPUTED_VALUE"""),45859.66666666667)</f>
        <v>45859.66667</v>
      </c>
      <c r="B1206" s="1">
        <f>IFERROR(__xludf.DUMMYFUNCTION("""COMPUTED_VALUE"""),120.84)</f>
        <v>120.84</v>
      </c>
    </row>
    <row r="1207">
      <c r="A1207" s="2">
        <f>IFERROR(__xludf.DUMMYFUNCTION("""COMPUTED_VALUE"""),45860.66666666667)</f>
        <v>45860.66667</v>
      </c>
      <c r="B1207" s="1">
        <f>IFERROR(__xludf.DUMMYFUNCTION("""COMPUTED_VALUE"""),121.06)</f>
        <v>121.06</v>
      </c>
    </row>
    <row r="1208">
      <c r="A1208" s="2">
        <f>IFERROR(__xludf.DUMMYFUNCTION("""COMPUTED_VALUE"""),45861.66666666667)</f>
        <v>45861.66667</v>
      </c>
      <c r="B1208" s="1">
        <f>IFERROR(__xludf.DUMMYFUNCTION("""COMPUTED_VALUE"""),122.94)</f>
        <v>122.94</v>
      </c>
    </row>
    <row r="1209">
      <c r="A1209" s="2">
        <f>IFERROR(__xludf.DUMMYFUNCTION("""COMPUTED_VALUE"""),45862.66666666667)</f>
        <v>45862.66667</v>
      </c>
      <c r="B1209" s="1">
        <f>IFERROR(__xludf.DUMMYFUNCTION("""COMPUTED_VALUE"""),121.95)</f>
        <v>121.95</v>
      </c>
    </row>
    <row r="1210">
      <c r="A1210" s="2">
        <f>IFERROR(__xludf.DUMMYFUNCTION("""COMPUTED_VALUE"""),45863.66666666667)</f>
        <v>45863.66667</v>
      </c>
      <c r="B1210" s="1">
        <f>IFERROR(__xludf.DUMMYFUNCTION("""COMPUTED_VALUE"""),121.47)</f>
        <v>121.47</v>
      </c>
    </row>
    <row r="1211">
      <c r="A1211" s="2">
        <f>IFERROR(__xludf.DUMMYFUNCTION("""COMPUTED_VALUE"""),45866.66666666667)</f>
        <v>45866.66667</v>
      </c>
      <c r="B1211" s="1">
        <f>IFERROR(__xludf.DUMMYFUNCTION("""COMPUTED_VALUE"""),120.37)</f>
        <v>120.37</v>
      </c>
    </row>
    <row r="1212">
      <c r="A1212" s="2">
        <f>IFERROR(__xludf.DUMMYFUNCTION("""COMPUTED_VALUE"""),45867.66666666667)</f>
        <v>45867.66667</v>
      </c>
      <c r="B1212" s="1">
        <f>IFERROR(__xludf.DUMMYFUNCTION("""COMPUTED_VALUE"""),119.91)</f>
        <v>119.91</v>
      </c>
    </row>
    <row r="1213">
      <c r="A1213" s="2">
        <f>IFERROR(__xludf.DUMMYFUNCTION("""COMPUTED_VALUE"""),45868.66666666667)</f>
        <v>45868.66667</v>
      </c>
      <c r="B1213" s="1">
        <f>IFERROR(__xludf.DUMMYFUNCTION("""COMPUTED_VALUE"""),119.54)</f>
        <v>119.54</v>
      </c>
    </row>
    <row r="1214">
      <c r="A1214" s="2">
        <f>IFERROR(__xludf.DUMMYFUNCTION("""COMPUTED_VALUE"""),45869.66666666667)</f>
        <v>45869.66667</v>
      </c>
      <c r="B1214" s="1">
        <f>IFERROR(__xludf.DUMMYFUNCTION("""COMPUTED_VALUE"""),119.11)</f>
        <v>119.11</v>
      </c>
    </row>
    <row r="1215">
      <c r="A1215" s="2">
        <f>IFERROR(__xludf.DUMMYFUNCTION("""COMPUTED_VALUE"""),45870.66666666667)</f>
        <v>45870.66667</v>
      </c>
      <c r="B1215" s="1">
        <f>IFERROR(__xludf.DUMMYFUNCTION("""COMPUTED_VALUE"""),116.59)</f>
        <v>116.59</v>
      </c>
    </row>
    <row r="1216">
      <c r="A1216" s="2">
        <f>IFERROR(__xludf.DUMMYFUNCTION("""COMPUTED_VALUE"""),45873.66666666667)</f>
        <v>45873.66667</v>
      </c>
      <c r="B1216" s="1">
        <f>IFERROR(__xludf.DUMMYFUNCTION("""COMPUTED_VALUE"""),119.35)</f>
        <v>119.35</v>
      </c>
    </row>
    <row r="1217">
      <c r="A1217" s="2">
        <f>IFERROR(__xludf.DUMMYFUNCTION("""COMPUTED_VALUE"""),45874.66666666667)</f>
        <v>45874.66667</v>
      </c>
      <c r="B1217" s="1">
        <f>IFERROR(__xludf.DUMMYFUNCTION("""COMPUTED_VALUE"""),118.32)</f>
        <v>118.32</v>
      </c>
    </row>
    <row r="1218">
      <c r="A1218" s="2">
        <f>IFERROR(__xludf.DUMMYFUNCTION("""COMPUTED_VALUE"""),45875.66666666667)</f>
        <v>45875.66667</v>
      </c>
      <c r="B1218" s="1">
        <f>IFERROR(__xludf.DUMMYFUNCTION("""COMPUTED_VALUE"""),115.17)</f>
        <v>115.17</v>
      </c>
    </row>
    <row r="1219">
      <c r="A1219" s="2">
        <f>IFERROR(__xludf.DUMMYFUNCTION("""COMPUTED_VALUE"""),45876.66666666667)</f>
        <v>45876.66667</v>
      </c>
      <c r="B1219" s="1">
        <f>IFERROR(__xludf.DUMMYFUNCTION("""COMPUTED_VALUE"""),112.88)</f>
        <v>112.88</v>
      </c>
    </row>
    <row r="1220">
      <c r="A1220" s="2">
        <f>IFERROR(__xludf.DUMMYFUNCTION("""COMPUTED_VALUE"""),45877.66666666667)</f>
        <v>45877.66667</v>
      </c>
      <c r="B1220" s="1">
        <f>IFERROR(__xludf.DUMMYFUNCTION("""COMPUTED_VALUE"""),112.43)</f>
        <v>112.43</v>
      </c>
    </row>
    <row r="1221">
      <c r="A1221" s="2">
        <f>IFERROR(__xludf.DUMMYFUNCTION("""COMPUTED_VALUE"""),45880.66666666667)</f>
        <v>45880.66667</v>
      </c>
      <c r="B1221" s="1">
        <f>IFERROR(__xludf.DUMMYFUNCTION("""COMPUTED_VALUE"""),112.55)</f>
        <v>112.55</v>
      </c>
    </row>
    <row r="1222">
      <c r="A1222" s="2">
        <f>IFERROR(__xludf.DUMMYFUNCTION("""COMPUTED_VALUE"""),45881.66666666667)</f>
        <v>45881.66667</v>
      </c>
      <c r="B1222" s="1">
        <f>IFERROR(__xludf.DUMMYFUNCTION("""COMPUTED_VALUE"""),113.72)</f>
        <v>113.72</v>
      </c>
    </row>
    <row r="1223">
      <c r="A1223" s="2">
        <f>IFERROR(__xludf.DUMMYFUNCTION("""COMPUTED_VALUE"""),45882.66666666667)</f>
        <v>45882.66667</v>
      </c>
      <c r="B1223" s="1">
        <f>IFERROR(__xludf.DUMMYFUNCTION("""COMPUTED_VALUE"""),116.64)</f>
        <v>116.64</v>
      </c>
    </row>
    <row r="1224">
      <c r="A1224" s="2">
        <f>IFERROR(__xludf.DUMMYFUNCTION("""COMPUTED_VALUE"""),45883.66666666667)</f>
        <v>45883.66667</v>
      </c>
      <c r="B1224" s="1">
        <f>IFERROR(__xludf.DUMMYFUNCTION("""COMPUTED_VALUE"""),116.31)</f>
        <v>116.31</v>
      </c>
    </row>
    <row r="1225">
      <c r="A1225" s="2">
        <f>IFERROR(__xludf.DUMMYFUNCTION("""COMPUTED_VALUE"""),45884.66666666667)</f>
        <v>45884.66667</v>
      </c>
      <c r="B1225" s="1">
        <f>IFERROR(__xludf.DUMMYFUNCTION("""COMPUTED_VALUE"""),115.39)</f>
        <v>115.39</v>
      </c>
    </row>
    <row r="1226">
      <c r="A1226" s="2">
        <f>IFERROR(__xludf.DUMMYFUNCTION("""COMPUTED_VALUE"""),45887.66666666667)</f>
        <v>45887.66667</v>
      </c>
      <c r="B1226" s="1">
        <f>IFERROR(__xludf.DUMMYFUNCTION("""COMPUTED_VALUE"""),116.55)</f>
        <v>116.55</v>
      </c>
    </row>
    <row r="1227">
      <c r="A1227" s="2">
        <f>IFERROR(__xludf.DUMMYFUNCTION("""COMPUTED_VALUE"""),45888.66666666667)</f>
        <v>45888.66667</v>
      </c>
      <c r="B1227" s="1">
        <f>IFERROR(__xludf.DUMMYFUNCTION("""COMPUTED_VALUE"""),116.27)</f>
        <v>116.27</v>
      </c>
    </row>
    <row r="1228">
      <c r="A1228" s="2">
        <f>IFERROR(__xludf.DUMMYFUNCTION("""COMPUTED_VALUE"""),45889.66666666667)</f>
        <v>45889.66667</v>
      </c>
      <c r="B1228" s="1">
        <f>IFERROR(__xludf.DUMMYFUNCTION("""COMPUTED_VALUE"""),117.04)</f>
        <v>117.04</v>
      </c>
    </row>
    <row r="1229">
      <c r="A1229" s="2">
        <f>IFERROR(__xludf.DUMMYFUNCTION("""COMPUTED_VALUE"""),45890.66666666667)</f>
        <v>45890.66667</v>
      </c>
      <c r="B1229" s="1">
        <f>IFERROR(__xludf.DUMMYFUNCTION("""COMPUTED_VALUE"""),116.21)</f>
        <v>116.21</v>
      </c>
    </row>
    <row r="1230">
      <c r="A1230" s="2">
        <f>IFERROR(__xludf.DUMMYFUNCTION("""COMPUTED_VALUE"""),45891.66666666667)</f>
        <v>45891.66667</v>
      </c>
      <c r="B1230" s="1">
        <f>IFERROR(__xludf.DUMMYFUNCTION("""COMPUTED_VALUE"""),118.86)</f>
        <v>118.86</v>
      </c>
    </row>
    <row r="1231">
      <c r="A1231" s="2">
        <f>IFERROR(__xludf.DUMMYFUNCTION("""COMPUTED_VALUE"""),45894.66666666667)</f>
        <v>45894.66667</v>
      </c>
      <c r="B1231" s="1">
        <f>IFERROR(__xludf.DUMMYFUNCTION("""COMPUTED_VALUE"""),117.71)</f>
        <v>117.71</v>
      </c>
    </row>
    <row r="1232">
      <c r="A1232" s="2">
        <f>IFERROR(__xludf.DUMMYFUNCTION("""COMPUTED_VALUE"""),45895.66666666667)</f>
        <v>45895.66667</v>
      </c>
      <c r="B1232" s="1">
        <f>IFERROR(__xludf.DUMMYFUNCTION("""COMPUTED_VALUE"""),117.65)</f>
        <v>117.65</v>
      </c>
    </row>
    <row r="1233">
      <c r="A1233" s="2">
        <f>IFERROR(__xludf.DUMMYFUNCTION("""COMPUTED_VALUE"""),45896.66666666667)</f>
        <v>45896.66667</v>
      </c>
      <c r="B1233" s="1">
        <f>IFERROR(__xludf.DUMMYFUNCTION("""COMPUTED_VALUE"""),118.09)</f>
        <v>118.09</v>
      </c>
    </row>
    <row r="1234">
      <c r="A1234" s="2">
        <f>IFERROR(__xludf.DUMMYFUNCTION("""COMPUTED_VALUE"""),45897.66666666667)</f>
        <v>45897.66667</v>
      </c>
      <c r="B1234" s="1">
        <f>IFERROR(__xludf.DUMMYFUNCTION("""COMPUTED_VALUE"""),117.64)</f>
        <v>117.64</v>
      </c>
    </row>
    <row r="1235">
      <c r="A1235" s="2">
        <f>IFERROR(__xludf.DUMMYFUNCTION("""COMPUTED_VALUE"""),45898.66666666667)</f>
        <v>45898.66667</v>
      </c>
      <c r="B1235" s="1">
        <f>IFERROR(__xludf.DUMMYFUNCTION("""COMPUTED_VALUE"""),118.38)</f>
        <v>118.38</v>
      </c>
    </row>
    <row r="1236">
      <c r="A1236" s="2">
        <f>IFERROR(__xludf.DUMMYFUNCTION("""COMPUTED_VALUE"""),45902.66666666667)</f>
        <v>45902.66667</v>
      </c>
      <c r="B1236" s="1">
        <f>IFERROR(__xludf.DUMMYFUNCTION("""COMPUTED_VALUE"""),118.27)</f>
        <v>118.27</v>
      </c>
    </row>
    <row r="1237">
      <c r="A1237" s="2">
        <f>IFERROR(__xludf.DUMMYFUNCTION("""COMPUTED_VALUE"""),45903.66666666667)</f>
        <v>45903.66667</v>
      </c>
      <c r="B1237" s="1">
        <f>IFERROR(__xludf.DUMMYFUNCTION("""COMPUTED_VALUE"""),117.38)</f>
        <v>117.38</v>
      </c>
    </row>
    <row r="1238">
      <c r="A1238" s="2">
        <f>IFERROR(__xludf.DUMMYFUNCTION("""COMPUTED_VALUE"""),45904.66666666667)</f>
        <v>45904.66667</v>
      </c>
      <c r="B1238" s="1">
        <f>IFERROR(__xludf.DUMMYFUNCTION("""COMPUTED_VALUE"""),118.81)</f>
        <v>118.81</v>
      </c>
    </row>
    <row r="1239">
      <c r="A1239" s="2">
        <f>IFERROR(__xludf.DUMMYFUNCTION("""COMPUTED_VALUE"""),45905.66666666667)</f>
        <v>45905.66667</v>
      </c>
      <c r="B1239" s="1">
        <f>IFERROR(__xludf.DUMMYFUNCTION("""COMPUTED_VALUE"""),117.91)</f>
        <v>117.91</v>
      </c>
    </row>
    <row r="1240">
      <c r="A1240" s="2">
        <f>IFERROR(__xludf.DUMMYFUNCTION("""COMPUTED_VALUE"""),45908.66666666667)</f>
        <v>45908.66667</v>
      </c>
      <c r="B1240" s="1">
        <f>IFERROR(__xludf.DUMMYFUNCTION("""COMPUTED_VALUE"""),118.84)</f>
        <v>118.84</v>
      </c>
    </row>
    <row r="1241">
      <c r="A1241" s="2">
        <f>IFERROR(__xludf.DUMMYFUNCTION("""COMPUTED_VALUE"""),45909.66666666667)</f>
        <v>45909.66667</v>
      </c>
      <c r="B1241" s="1">
        <f>IFERROR(__xludf.DUMMYFUNCTION("""COMPUTED_VALUE"""),117.37)</f>
        <v>117.37</v>
      </c>
    </row>
    <row r="1242">
      <c r="A1242" s="2">
        <f>IFERROR(__xludf.DUMMYFUNCTION("""COMPUTED_VALUE"""),45910.66666666667)</f>
        <v>45910.66667</v>
      </c>
      <c r="B1242" s="1">
        <f>IFERROR(__xludf.DUMMYFUNCTION("""COMPUTED_VALUE"""),115.79)</f>
        <v>115.79</v>
      </c>
    </row>
    <row r="1243">
      <c r="A1243" s="2">
        <f>IFERROR(__xludf.DUMMYFUNCTION("""COMPUTED_VALUE"""),45911.66666666667)</f>
        <v>45911.66667</v>
      </c>
      <c r="B1243" s="1">
        <f>IFERROR(__xludf.DUMMYFUNCTION("""COMPUTED_VALUE"""),117.08)</f>
        <v>117.08</v>
      </c>
    </row>
    <row r="1244">
      <c r="A1244" s="2">
        <f>IFERROR(__xludf.DUMMYFUNCTION("""COMPUTED_VALUE"""),45912.66666666667)</f>
        <v>45912.66667</v>
      </c>
      <c r="B1244" s="1">
        <f>IFERROR(__xludf.DUMMYFUNCTION("""COMPUTED_VALUE"""),115.96)</f>
        <v>115.96</v>
      </c>
    </row>
    <row r="1245">
      <c r="A1245" s="2">
        <f>IFERROR(__xludf.DUMMYFUNCTION("""COMPUTED_VALUE"""),45915.66666666667)</f>
        <v>45915.66667</v>
      </c>
      <c r="B1245" s="1">
        <f>IFERROR(__xludf.DUMMYFUNCTION("""COMPUTED_VALUE"""),115.62)</f>
        <v>115.62</v>
      </c>
    </row>
    <row r="1246">
      <c r="A1246" s="2">
        <f>IFERROR(__xludf.DUMMYFUNCTION("""COMPUTED_VALUE"""),45916.66666666667)</f>
        <v>45916.66667</v>
      </c>
      <c r="B1246" s="1">
        <f>IFERROR(__xludf.DUMMYFUNCTION("""COMPUTED_VALUE"""),115.23)</f>
        <v>115.23</v>
      </c>
    </row>
    <row r="1247">
      <c r="A1247" s="2">
        <f>IFERROR(__xludf.DUMMYFUNCTION("""COMPUTED_VALUE"""),45917.66666666667)</f>
        <v>45917.66667</v>
      </c>
      <c r="B1247" s="1">
        <f>IFERROR(__xludf.DUMMYFUNCTION("""COMPUTED_VALUE"""),116.1)</f>
        <v>116.1</v>
      </c>
    </row>
    <row r="1248">
      <c r="A1248" s="2">
        <f>IFERROR(__xludf.DUMMYFUNCTION("""COMPUTED_VALUE"""),45918.66666666667)</f>
        <v>45918.66667</v>
      </c>
      <c r="B1248" s="1">
        <f>IFERROR(__xludf.DUMMYFUNCTION("""COMPUTED_VALUE"""),114.86)</f>
        <v>114.86</v>
      </c>
    </row>
    <row r="1249">
      <c r="A1249" s="2">
        <f>IFERROR(__xludf.DUMMYFUNCTION("""COMPUTED_VALUE"""),45919.66666666667)</f>
        <v>45919.66667</v>
      </c>
      <c r="B1249" s="1">
        <f>IFERROR(__xludf.DUMMYFUNCTION("""COMPUTED_VALUE"""),113.76)</f>
        <v>113.76</v>
      </c>
    </row>
    <row r="1250">
      <c r="A1250" s="2">
        <f>IFERROR(__xludf.DUMMYFUNCTION("""COMPUTED_VALUE"""),45922.66666666667)</f>
        <v>45922.66667</v>
      </c>
      <c r="B1250" s="1">
        <f>IFERROR(__xludf.DUMMYFUNCTION("""COMPUTED_VALUE"""),112.56)</f>
        <v>112.56</v>
      </c>
    </row>
    <row r="1251">
      <c r="A1251" s="2">
        <f>IFERROR(__xludf.DUMMYFUNCTION("""COMPUTED_VALUE"""),45923.66666666667)</f>
        <v>45923.66667</v>
      </c>
      <c r="B1251" s="1">
        <f>IFERROR(__xludf.DUMMYFUNCTION("""COMPUTED_VALUE"""),112.25)</f>
        <v>112.25</v>
      </c>
    </row>
    <row r="1252">
      <c r="A1252" s="2">
        <f>IFERROR(__xludf.DUMMYFUNCTION("""COMPUTED_VALUE"""),45924.66666666667)</f>
        <v>45924.66667</v>
      </c>
      <c r="B1252" s="1">
        <f>IFERROR(__xludf.DUMMYFUNCTION("""COMPUTED_VALUE"""),113.43)</f>
        <v>113.43</v>
      </c>
    </row>
    <row r="1253">
      <c r="A1253" s="2">
        <f>IFERROR(__xludf.DUMMYFUNCTION("""COMPUTED_VALUE"""),45925.66666666667)</f>
        <v>45925.66667</v>
      </c>
      <c r="B1253" s="1">
        <f>IFERROR(__xludf.DUMMYFUNCTION("""COMPUTED_VALUE"""),112.99)</f>
        <v>112.99</v>
      </c>
    </row>
    <row r="1254">
      <c r="A1254" s="2">
        <f>IFERROR(__xludf.DUMMYFUNCTION("""COMPUTED_VALUE"""),45926.66666666667)</f>
        <v>45926.66667</v>
      </c>
      <c r="B1254" s="1">
        <f>IFERROR(__xludf.DUMMYFUNCTION("""COMPUTED_VALUE"""),113.47)</f>
        <v>113.47</v>
      </c>
    </row>
    <row r="1255">
      <c r="A1255" s="2">
        <f>IFERROR(__xludf.DUMMYFUNCTION("""COMPUTED_VALUE"""),45929.66666666667)</f>
        <v>45929.66667</v>
      </c>
      <c r="B1255" s="1">
        <f>IFERROR(__xludf.DUMMYFUNCTION("""COMPUTED_VALUE"""),114.78)</f>
        <v>114.78</v>
      </c>
    </row>
    <row r="1256">
      <c r="A1256" s="2">
        <f>IFERROR(__xludf.DUMMYFUNCTION("""COMPUTED_VALUE"""),45930.66666666667)</f>
        <v>45930.66667</v>
      </c>
      <c r="B1256" s="1">
        <f>IFERROR(__xludf.DUMMYFUNCTION("""COMPUTED_VALUE"""),114.5)</f>
        <v>114.5</v>
      </c>
    </row>
    <row r="1257">
      <c r="A1257" s="2">
        <f>IFERROR(__xludf.DUMMYFUNCTION("""COMPUTED_VALUE"""),45931.66666666667)</f>
        <v>45931.66667</v>
      </c>
      <c r="B1257" s="1">
        <f>IFERROR(__xludf.DUMMYFUNCTION("""COMPUTED_VALUE"""),112.95)</f>
        <v>112.95</v>
      </c>
    </row>
    <row r="1258">
      <c r="A1258" s="2">
        <f>IFERROR(__xludf.DUMMYFUNCTION("""COMPUTED_VALUE"""),45932.66666666667)</f>
        <v>45932.66667</v>
      </c>
      <c r="B1258" s="1">
        <f>IFERROR(__xludf.DUMMYFUNCTION("""COMPUTED_VALUE"""),112.14)</f>
        <v>112.14</v>
      </c>
    </row>
    <row r="1259">
      <c r="A1259" s="2">
        <f>IFERROR(__xludf.DUMMYFUNCTION("""COMPUTED_VALUE"""),45933.66666666667)</f>
        <v>45933.66667</v>
      </c>
      <c r="B1259" s="1">
        <f>IFERROR(__xludf.DUMMYFUNCTION("""COMPUTED_VALUE"""),112.47)</f>
        <v>112.47</v>
      </c>
    </row>
    <row r="1260">
      <c r="A1260" s="2">
        <f>IFERROR(__xludf.DUMMYFUNCTION("""COMPUTED_VALUE"""),45936.66666666667)</f>
        <v>45936.66667</v>
      </c>
      <c r="B1260" s="1">
        <f>IFERROR(__xludf.DUMMYFUNCTION("""COMPUTED_VALUE"""),112.75)</f>
        <v>112.75</v>
      </c>
    </row>
    <row r="1261">
      <c r="A1261" s="2">
        <f>IFERROR(__xludf.DUMMYFUNCTION("""COMPUTED_VALUE"""),45937.66666666667)</f>
        <v>45937.66667</v>
      </c>
      <c r="B1261" s="1">
        <f>IFERROR(__xludf.DUMMYFUNCTION("""COMPUTED_VALUE"""),112.53)</f>
        <v>112.53</v>
      </c>
    </row>
    <row r="1262">
      <c r="A1262" s="2">
        <f>IFERROR(__xludf.DUMMYFUNCTION("""COMPUTED_VALUE"""),45938.66666666667)</f>
        <v>45938.66667</v>
      </c>
      <c r="B1262" s="1">
        <f>IFERROR(__xludf.DUMMYFUNCTION("""COMPUTED_VALUE"""),111.89)</f>
        <v>111.89</v>
      </c>
    </row>
    <row r="1263">
      <c r="A1263" s="2">
        <f>IFERROR(__xludf.DUMMYFUNCTION("""COMPUTED_VALUE"""),45939.66666666667)</f>
        <v>45939.66667</v>
      </c>
      <c r="B1263" s="1">
        <f>IFERROR(__xludf.DUMMYFUNCTION("""COMPUTED_VALUE"""),110.99)</f>
        <v>110.99</v>
      </c>
    </row>
    <row r="1264">
      <c r="A1264" s="2">
        <f>IFERROR(__xludf.DUMMYFUNCTION("""COMPUTED_VALUE"""),45940.66666666667)</f>
        <v>45940.66667</v>
      </c>
      <c r="B1264" s="1">
        <f>IFERROR(__xludf.DUMMYFUNCTION("""COMPUTED_VALUE"""),109.19)</f>
        <v>109.19</v>
      </c>
    </row>
    <row r="1265">
      <c r="A1265" s="2">
        <f>IFERROR(__xludf.DUMMYFUNCTION("""COMPUTED_VALUE"""),45943.66666666667)</f>
        <v>45943.66667</v>
      </c>
      <c r="B1265" s="1">
        <f>IFERROR(__xludf.DUMMYFUNCTION("""COMPUTED_VALUE"""),110.27)</f>
        <v>110.27</v>
      </c>
    </row>
    <row r="1266">
      <c r="A1266" s="2">
        <f>IFERROR(__xludf.DUMMYFUNCTION("""COMPUTED_VALUE"""),45944.66666666667)</f>
        <v>45944.66667</v>
      </c>
      <c r="B1266" s="1">
        <f>IFERROR(__xludf.DUMMYFUNCTION("""COMPUTED_VALUE"""),111.17)</f>
        <v>111.17</v>
      </c>
    </row>
    <row r="1267">
      <c r="A1267" s="2">
        <f>IFERROR(__xludf.DUMMYFUNCTION("""COMPUTED_VALUE"""),45945.66666666667)</f>
        <v>45945.66667</v>
      </c>
      <c r="B1267" s="1">
        <f>IFERROR(__xludf.DUMMYFUNCTION("""COMPUTED_VALUE"""),111.71)</f>
        <v>111.71</v>
      </c>
    </row>
    <row r="1268">
      <c r="A1268" s="2">
        <f>IFERROR(__xludf.DUMMYFUNCTION("""COMPUTED_VALUE"""),45946.66666666667)</f>
        <v>45946.66667</v>
      </c>
      <c r="B1268" s="1">
        <f>IFERROR(__xludf.DUMMYFUNCTION("""COMPUTED_VALUE"""),109.88)</f>
        <v>109.88</v>
      </c>
    </row>
    <row r="1269">
      <c r="A1269" s="2">
        <f>IFERROR(__xludf.DUMMYFUNCTION("""COMPUTED_VALUE"""),45947.66666666667)</f>
        <v>45947.66667</v>
      </c>
      <c r="B1269" s="1">
        <f>IFERROR(__xludf.DUMMYFUNCTION("""COMPUTED_VALUE"""),110.67)</f>
        <v>110.67</v>
      </c>
    </row>
    <row r="1270">
      <c r="A1270" s="2">
        <f>IFERROR(__xludf.DUMMYFUNCTION("""COMPUTED_VALUE"""),45950.66666666667)</f>
        <v>45950.66667</v>
      </c>
      <c r="B1270" s="1">
        <f>IFERROR(__xludf.DUMMYFUNCTION("""COMPUTED_VALUE"""),111.96)</f>
        <v>111.96</v>
      </c>
    </row>
    <row r="1271">
      <c r="A1271" s="2">
        <f>IFERROR(__xludf.DUMMYFUNCTION("""COMPUTED_VALUE"""),45951.66666666667)</f>
        <v>45951.66667</v>
      </c>
      <c r="B1271" s="1">
        <f>IFERROR(__xludf.DUMMYFUNCTION("""COMPUTED_VALUE"""),114.3)</f>
        <v>114.3</v>
      </c>
    </row>
    <row r="1272">
      <c r="A1272" s="2">
        <f>IFERROR(__xludf.DUMMYFUNCTION("""COMPUTED_VALUE"""),45952.66666666667)</f>
        <v>45952.66667</v>
      </c>
      <c r="B1272" s="1">
        <f>IFERROR(__xludf.DUMMYFUNCTION("""COMPUTED_VALUE"""),113.08)</f>
        <v>113.08</v>
      </c>
    </row>
    <row r="1273">
      <c r="A1273" s="2">
        <f>IFERROR(__xludf.DUMMYFUNCTION("""COMPUTED_VALUE"""),45953.66666666667)</f>
        <v>45953.66667</v>
      </c>
      <c r="B1273" s="1">
        <f>IFERROR(__xludf.DUMMYFUNCTION("""COMPUTED_VALUE"""),113.03)</f>
        <v>113.03</v>
      </c>
    </row>
    <row r="1274">
      <c r="A1274" s="2">
        <f>IFERROR(__xludf.DUMMYFUNCTION("""COMPUTED_VALUE"""),45954.66666666667)</f>
        <v>45954.66667</v>
      </c>
      <c r="B1274" s="1">
        <f>IFERROR(__xludf.DUMMYFUNCTION("""COMPUTED_VALUE"""),111.68)</f>
        <v>111.68</v>
      </c>
    </row>
    <row r="1275">
      <c r="A1275" s="2">
        <f>IFERROR(__xludf.DUMMYFUNCTION("""COMPUTED_VALUE"""),45957.66666666667)</f>
        <v>45957.66667</v>
      </c>
      <c r="B1275" s="1">
        <f>IFERROR(__xludf.DUMMYFUNCTION("""COMPUTED_VALUE"""),112.34)</f>
        <v>112.34</v>
      </c>
    </row>
    <row r="1276">
      <c r="A1276" s="2">
        <f>IFERROR(__xludf.DUMMYFUNCTION("""COMPUTED_VALUE"""),45958.66666666667)</f>
        <v>45958.66667</v>
      </c>
      <c r="B1276" s="1">
        <f>IFERROR(__xludf.DUMMYFUNCTION("""COMPUTED_VALUE"""),111.65)</f>
        <v>111.65</v>
      </c>
    </row>
    <row r="1277">
      <c r="A1277" s="2">
        <f>IFERROR(__xludf.DUMMYFUNCTION("""COMPUTED_VALUE"""),45959.66666666667)</f>
        <v>45959.66667</v>
      </c>
      <c r="B1277" s="1">
        <f>IFERROR(__xludf.DUMMYFUNCTION("""COMPUTED_VALUE"""),110.24)</f>
        <v>110.24</v>
      </c>
    </row>
    <row r="1278">
      <c r="A1278" s="2">
        <f>IFERROR(__xludf.DUMMYFUNCTION("""COMPUTED_VALUE"""),45960.66666666667)</f>
        <v>45960.66667</v>
      </c>
      <c r="B1278" s="1">
        <f>IFERROR(__xludf.DUMMYFUNCTION("""COMPUTED_VALUE"""),111.84)</f>
        <v>111.84</v>
      </c>
    </row>
    <row r="1279">
      <c r="A1279" s="2">
        <f>IFERROR(__xludf.DUMMYFUNCTION("""COMPUTED_VALUE"""),45961.66666666667)</f>
        <v>45961.66667</v>
      </c>
      <c r="B1279" s="1">
        <f>IFERROR(__xludf.DUMMYFUNCTION("""COMPUTED_VALUE"""),112.62)</f>
        <v>112.62</v>
      </c>
    </row>
    <row r="1280">
      <c r="A1280" s="2">
        <f>IFERROR(__xludf.DUMMYFUNCTION("""COMPUTED_VALUE"""),45964.66666666667)</f>
        <v>45964.66667</v>
      </c>
      <c r="B1280" s="1">
        <f>IFERROR(__xludf.DUMMYFUNCTION("""COMPUTED_VALUE"""),112.12)</f>
        <v>112.12</v>
      </c>
    </row>
    <row r="1281">
      <c r="A1281" s="2">
        <f>IFERROR(__xludf.DUMMYFUNCTION("""COMPUTED_VALUE"""),45965.66666666667)</f>
        <v>45965.66667</v>
      </c>
      <c r="B1281" s="1">
        <f>IFERROR(__xludf.DUMMYFUNCTION("""COMPUTED_VALUE"""),111.47)</f>
        <v>111.47</v>
      </c>
    </row>
    <row r="1282">
      <c r="A1282" s="2">
        <f>IFERROR(__xludf.DUMMYFUNCTION("""COMPUTED_VALUE"""),45966.66666666667)</f>
        <v>45966.66667</v>
      </c>
      <c r="B1282" s="1">
        <f>IFERROR(__xludf.DUMMYFUNCTION("""COMPUTED_VALUE"""),111.36)</f>
        <v>111.36</v>
      </c>
    </row>
    <row r="1283">
      <c r="A1283" s="2">
        <f>IFERROR(__xludf.DUMMYFUNCTION("""COMPUTED_VALUE"""),45967.66666666667)</f>
        <v>45967.66667</v>
      </c>
      <c r="B1283" s="1">
        <f>IFERROR(__xludf.DUMMYFUNCTION("""COMPUTED_VALUE"""),110.49)</f>
        <v>110.49</v>
      </c>
    </row>
    <row r="1284">
      <c r="A1284" s="2">
        <f>IFERROR(__xludf.DUMMYFUNCTION("""COMPUTED_VALUE"""),45968.66666666667)</f>
        <v>45968.66667</v>
      </c>
      <c r="B1284" s="1">
        <f>IFERROR(__xludf.DUMMYFUNCTION("""COMPUTED_VALUE"""),110.74)</f>
        <v>110.74</v>
      </c>
    </row>
    <row r="1285">
      <c r="A1285" s="2">
        <f>IFERROR(__xludf.DUMMYFUNCTION("""COMPUTED_VALUE"""),45971.66666666667)</f>
        <v>45971.66667</v>
      </c>
      <c r="B1285" s="1">
        <f>IFERROR(__xludf.DUMMYFUNCTION("""COMPUTED_VALUE"""),112.24)</f>
        <v>112.24</v>
      </c>
    </row>
    <row r="1286">
      <c r="A1286" s="2">
        <f>IFERROR(__xludf.DUMMYFUNCTION("""COMPUTED_VALUE"""),45972.66666666667)</f>
        <v>45972.66667</v>
      </c>
      <c r="B1286" s="1">
        <f>IFERROR(__xludf.DUMMYFUNCTION("""COMPUTED_VALUE"""),114.85)</f>
        <v>114.85</v>
      </c>
    </row>
    <row r="1287">
      <c r="A1287" s="2">
        <f>IFERROR(__xludf.DUMMYFUNCTION("""COMPUTED_VALUE"""),45973.66666666667)</f>
        <v>45973.66667</v>
      </c>
      <c r="B1287" s="1">
        <f>IFERROR(__xludf.DUMMYFUNCTION("""COMPUTED_VALUE"""),116.65)</f>
        <v>116.65</v>
      </c>
    </row>
    <row r="1288">
      <c r="A1288" s="2">
        <f>IFERROR(__xludf.DUMMYFUNCTION("""COMPUTED_VALUE"""),45974.66666666667)</f>
        <v>45974.66667</v>
      </c>
      <c r="B1288" s="1">
        <f>IFERROR(__xludf.DUMMYFUNCTION("""COMPUTED_VALUE"""),107.61)</f>
        <v>107.61</v>
      </c>
    </row>
    <row r="1289">
      <c r="A1289" s="2">
        <f>IFERROR(__xludf.DUMMYFUNCTION("""COMPUTED_VALUE"""),45975.66666666667)</f>
        <v>45975.66667</v>
      </c>
      <c r="B1289" s="1">
        <f>IFERROR(__xludf.DUMMYFUNCTION("""COMPUTED_VALUE"""),105.8)</f>
        <v>105.8</v>
      </c>
    </row>
    <row r="1290">
      <c r="A1290" s="2">
        <f>IFERROR(__xludf.DUMMYFUNCTION("""COMPUTED_VALUE"""),45978.66666666667)</f>
        <v>45978.66667</v>
      </c>
      <c r="B1290" s="1">
        <f>IFERROR(__xludf.DUMMYFUNCTION("""COMPUTED_VALUE"""),105.69)</f>
        <v>105.69</v>
      </c>
    </row>
    <row r="1291">
      <c r="A1291" s="2">
        <f>IFERROR(__xludf.DUMMYFUNCTION("""COMPUTED_VALUE"""),45979.66666666667)</f>
        <v>45979.66667</v>
      </c>
      <c r="B1291" s="1">
        <f>IFERROR(__xludf.DUMMYFUNCTION("""COMPUTED_VALUE"""),106.28)</f>
        <v>106.28</v>
      </c>
    </row>
    <row r="1292">
      <c r="A1292" s="2">
        <f>IFERROR(__xludf.DUMMYFUNCTION("""COMPUTED_VALUE"""),45980.66666666667)</f>
        <v>45980.66667</v>
      </c>
      <c r="B1292" s="1">
        <f>IFERROR(__xludf.DUMMYFUNCTION("""COMPUTED_VALUE"""),104.67)</f>
        <v>104.67</v>
      </c>
    </row>
    <row r="1293">
      <c r="A1293" s="2">
        <f>IFERROR(__xludf.DUMMYFUNCTION("""COMPUTED_VALUE"""),45981.66666666667)</f>
        <v>45981.66667</v>
      </c>
      <c r="B1293" s="1">
        <f>IFERROR(__xludf.DUMMYFUNCTION("""COMPUTED_VALUE"""),102.7)</f>
        <v>102.7</v>
      </c>
    </row>
    <row r="1294">
      <c r="A1294" s="2">
        <f>IFERROR(__xludf.DUMMYFUNCTION("""COMPUTED_VALUE"""),45982.66666666667)</f>
        <v>45982.66667</v>
      </c>
      <c r="B1294" s="1">
        <f>IFERROR(__xludf.DUMMYFUNCTION("""COMPUTED_VALUE"""),104.28)</f>
        <v>104.28</v>
      </c>
    </row>
    <row r="1295">
      <c r="A1295" s="2">
        <f>IFERROR(__xludf.DUMMYFUNCTION("""COMPUTED_VALUE"""),45985.66666666667)</f>
        <v>45985.66667</v>
      </c>
      <c r="B1295" s="1">
        <f>IFERROR(__xludf.DUMMYFUNCTION("""COMPUTED_VALUE"""),101.94)</f>
        <v>101.94</v>
      </c>
    </row>
    <row r="1296">
      <c r="A1296" s="2">
        <f>IFERROR(__xludf.DUMMYFUNCTION("""COMPUTED_VALUE"""),45986.66666666667)</f>
        <v>45986.66667</v>
      </c>
      <c r="B1296" s="1">
        <f>IFERROR(__xludf.DUMMYFUNCTION("""COMPUTED_VALUE"""),103.31)</f>
        <v>103.31</v>
      </c>
    </row>
    <row r="1297">
      <c r="A1297" s="2">
        <f>IFERROR(__xludf.DUMMYFUNCTION("""COMPUTED_VALUE"""),45987.66666666667)</f>
        <v>45987.66667</v>
      </c>
      <c r="B1297" s="1">
        <f>IFERROR(__xludf.DUMMYFUNCTION("""COMPUTED_VALUE"""),103.43)</f>
        <v>103.43</v>
      </c>
    </row>
    <row r="1298">
      <c r="A1298" s="2">
        <f>IFERROR(__xludf.DUMMYFUNCTION("""COMPUTED_VALUE"""),45989.54166666667)</f>
        <v>45989.54167</v>
      </c>
      <c r="B1298" s="1">
        <f>IFERROR(__xludf.DUMMYFUNCTION("""COMPUTED_VALUE"""),104.47)</f>
        <v>104.47</v>
      </c>
    </row>
    <row r="1299">
      <c r="A1299" s="2">
        <f>IFERROR(__xludf.DUMMYFUNCTION("""COMPUTED_VALUE"""),45992.66666666667)</f>
        <v>45992.66667</v>
      </c>
      <c r="B1299" s="1">
        <f>IFERROR(__xludf.DUMMYFUNCTION("""COMPUTED_VALUE"""),106.77)</f>
        <v>106.77</v>
      </c>
    </row>
    <row r="1300">
      <c r="A1300" s="2">
        <f>IFERROR(__xludf.DUMMYFUNCTION("""COMPUTED_VALUE"""),45993.66666666667)</f>
        <v>45993.66667</v>
      </c>
      <c r="B1300" s="1">
        <f>IFERROR(__xludf.DUMMYFUNCTION("""COMPUTED_VALUE"""),104.83)</f>
        <v>104.83</v>
      </c>
    </row>
    <row r="1301">
      <c r="A1301" s="2">
        <f>IFERROR(__xludf.DUMMYFUNCTION("""COMPUTED_VALUE"""),45994.66666666667)</f>
        <v>45994.66667</v>
      </c>
      <c r="B1301" s="1">
        <f>IFERROR(__xludf.DUMMYFUNCTION("""COMPUTED_VALUE"""),105.74)</f>
        <v>105.74</v>
      </c>
    </row>
    <row r="1302">
      <c r="A1302" s="2">
        <f>IFERROR(__xludf.DUMMYFUNCTION("""COMPUTED_VALUE"""),45995.66666666667)</f>
        <v>45995.66667</v>
      </c>
      <c r="B1302" s="1">
        <f>IFERROR(__xludf.DUMMYFUNCTION("""COMPUTED_VALUE"""),105.47)</f>
        <v>105.47</v>
      </c>
    </row>
    <row r="1303">
      <c r="A1303" s="2">
        <f>IFERROR(__xludf.DUMMYFUNCTION("""COMPUTED_VALUE"""),45996.66666666667)</f>
        <v>45996.66667</v>
      </c>
      <c r="B1303" s="1">
        <f>IFERROR(__xludf.DUMMYFUNCTION("""COMPUTED_VALUE"""),105.3)</f>
        <v>105.3</v>
      </c>
    </row>
    <row r="1304">
      <c r="A1304" s="2">
        <f>IFERROR(__xludf.DUMMYFUNCTION("""COMPUTED_VALUE"""),45999.66666666667)</f>
        <v>45999.66667</v>
      </c>
      <c r="B1304" s="1">
        <f>IFERROR(__xludf.DUMMYFUNCTION("""COMPUTED_VALUE"""),107.63)</f>
        <v>107.63</v>
      </c>
    </row>
    <row r="1305">
      <c r="A1305" s="2">
        <f>IFERROR(__xludf.DUMMYFUNCTION("""COMPUTED_VALUE"""),46000.66666666667)</f>
        <v>46000.66667</v>
      </c>
      <c r="B1305" s="1">
        <f>IFERROR(__xludf.DUMMYFUNCTION("""COMPUTED_VALUE"""),107.02)</f>
        <v>107.02</v>
      </c>
    </row>
    <row r="1306">
      <c r="A1306" s="2">
        <f>IFERROR(__xludf.DUMMYFUNCTION("""COMPUTED_VALUE"""),46001.66666666667)</f>
        <v>46001.66667</v>
      </c>
      <c r="B1306" s="1">
        <f>IFERROR(__xludf.DUMMYFUNCTION("""COMPUTED_VALUE"""),108.83)</f>
        <v>108.83</v>
      </c>
    </row>
    <row r="1307">
      <c r="A1307" s="2">
        <f>IFERROR(__xludf.DUMMYFUNCTION("""COMPUTED_VALUE"""),46002.66666666667)</f>
        <v>46002.66667</v>
      </c>
      <c r="B1307" s="1">
        <f>IFERROR(__xludf.DUMMYFUNCTION("""COMPUTED_VALUE"""),111.46)</f>
        <v>111.46</v>
      </c>
    </row>
    <row r="1308">
      <c r="A1308" s="2">
        <f>IFERROR(__xludf.DUMMYFUNCTION("""COMPUTED_VALUE"""),46003.66666666667)</f>
        <v>46003.66667</v>
      </c>
      <c r="B1308" s="1">
        <f>IFERROR(__xludf.DUMMYFUNCTION("""COMPUTED_VALUE"""),111.6)</f>
        <v>111.6</v>
      </c>
    </row>
    <row r="1309">
      <c r="A1309" s="2">
        <f>IFERROR(__xludf.DUMMYFUNCTION("""COMPUTED_VALUE"""),46006.66666666667)</f>
        <v>46006.66667</v>
      </c>
      <c r="B1309" s="1">
        <f>IFERROR(__xludf.DUMMYFUNCTION("""COMPUTED_VALUE"""),110.49)</f>
        <v>110.49</v>
      </c>
    </row>
    <row r="1310">
      <c r="A1310" s="2">
        <f>IFERROR(__xludf.DUMMYFUNCTION("""COMPUTED_VALUE"""),46007.66666666667)</f>
        <v>46007.66667</v>
      </c>
      <c r="B1310" s="1">
        <f>IFERROR(__xludf.DUMMYFUNCTION("""COMPUTED_VALUE"""),111.62)</f>
        <v>111.62</v>
      </c>
    </row>
    <row r="1311">
      <c r="A1311" s="2">
        <f>IFERROR(__xludf.DUMMYFUNCTION("""COMPUTED_VALUE"""),46008.66666666667)</f>
        <v>46008.66667</v>
      </c>
      <c r="B1311" s="1">
        <f>IFERROR(__xludf.DUMMYFUNCTION("""COMPUTED_VALUE"""),110.63)</f>
        <v>110.63</v>
      </c>
    </row>
    <row r="1312">
      <c r="A1312" s="2">
        <f>IFERROR(__xludf.DUMMYFUNCTION("""COMPUTED_VALUE"""),46009.66666666667)</f>
        <v>46009.66667</v>
      </c>
      <c r="B1312" s="1">
        <f>IFERROR(__xludf.DUMMYFUNCTION("""COMPUTED_VALUE"""),111.87)</f>
        <v>111.87</v>
      </c>
    </row>
    <row r="1313">
      <c r="A1313" s="2">
        <f>IFERROR(__xludf.DUMMYFUNCTION("""COMPUTED_VALUE"""),46010.66666666667)</f>
        <v>46010.66667</v>
      </c>
      <c r="B1313" s="1">
        <f>IFERROR(__xludf.DUMMYFUNCTION("""COMPUTED_VALUE"""),111.24)</f>
        <v>111.24</v>
      </c>
    </row>
    <row r="1314">
      <c r="A1314" s="2">
        <f>IFERROR(__xludf.DUMMYFUNCTION("""COMPUTED_VALUE"""),46013.66666666667)</f>
        <v>46013.66667</v>
      </c>
      <c r="B1314" s="1">
        <f>IFERROR(__xludf.DUMMYFUNCTION("""COMPUTED_VALUE"""),112.38)</f>
        <v>112.38</v>
      </c>
    </row>
    <row r="1315">
      <c r="A1315" s="2">
        <f>IFERROR(__xludf.DUMMYFUNCTION("""COMPUTED_VALUE"""),46014.66666666667)</f>
        <v>46014.66667</v>
      </c>
      <c r="B1315" s="1">
        <f>IFERROR(__xludf.DUMMYFUNCTION("""COMPUTED_VALUE"""),113.22)</f>
        <v>113.22</v>
      </c>
    </row>
    <row r="1316">
      <c r="A1316" s="2">
        <f>IFERROR(__xludf.DUMMYFUNCTION("""COMPUTED_VALUE"""),46015.54166666667)</f>
        <v>46015.54167</v>
      </c>
      <c r="B1316" s="1">
        <f>IFERROR(__xludf.DUMMYFUNCTION("""COMPUTED_VALUE"""),114.48)</f>
        <v>114.48</v>
      </c>
    </row>
    <row r="1317">
      <c r="A1317" s="2">
        <f>IFERROR(__xludf.DUMMYFUNCTION("""COMPUTED_VALUE"""),46017.66666666667)</f>
        <v>46017.66667</v>
      </c>
      <c r="B1317" s="1">
        <f>IFERROR(__xludf.DUMMYFUNCTION("""COMPUTED_VALUE"""),113.56)</f>
        <v>113.56</v>
      </c>
    </row>
    <row r="1318">
      <c r="A1318" s="2">
        <f>IFERROR(__xludf.DUMMYFUNCTION("""COMPUTED_VALUE"""),46020.66666666667)</f>
        <v>46020.66667</v>
      </c>
      <c r="B1318" s="1">
        <f>IFERROR(__xludf.DUMMYFUNCTION("""COMPUTED_VALUE"""),114.19)</f>
        <v>114.19</v>
      </c>
    </row>
    <row r="1319">
      <c r="A1319" s="2">
        <f>IFERROR(__xludf.DUMMYFUNCTION("""COMPUTED_VALUE"""),46021.66666666667)</f>
        <v>46021.66667</v>
      </c>
      <c r="B1319" s="1">
        <f>IFERROR(__xludf.DUMMYFUNCTION("""COMPUTED_VALUE"""),114.79)</f>
        <v>114.79</v>
      </c>
    </row>
    <row r="1320">
      <c r="A1320" s="2">
        <f>IFERROR(__xludf.DUMMYFUNCTION("""COMPUTED_VALUE"""),46022.66666666667)</f>
        <v>46022.66667</v>
      </c>
      <c r="B1320" s="1">
        <f>IFERROR(__xludf.DUMMYFUNCTION("""COMPUTED_VALUE"""),113.77)</f>
        <v>113.77</v>
      </c>
    </row>
    <row r="1321">
      <c r="A1321" s="2">
        <f>IFERROR(__xludf.DUMMYFUNCTION("""COMPUTED_VALUE"""),46024.66666666667)</f>
        <v>46024.66667</v>
      </c>
      <c r="B1321" s="1">
        <f>IFERROR(__xludf.DUMMYFUNCTION("""COMPUTED_VALUE"""),111.85)</f>
        <v>111.85</v>
      </c>
    </row>
    <row r="1322">
      <c r="A1322" s="2">
        <f>IFERROR(__xludf.DUMMYFUNCTION("""COMPUTED_VALUE"""),46027.66666666667)</f>
        <v>46027.66667</v>
      </c>
      <c r="B1322" s="1">
        <f>IFERROR(__xludf.DUMMYFUNCTION("""COMPUTED_VALUE"""),114.07)</f>
        <v>114.07</v>
      </c>
    </row>
    <row r="1323">
      <c r="A1323" s="2">
        <f>IFERROR(__xludf.DUMMYFUNCTION("""COMPUTED_VALUE"""),46028.66666666667)</f>
        <v>46028.66667</v>
      </c>
      <c r="B1323" s="1">
        <f>IFERROR(__xludf.DUMMYFUNCTION("""COMPUTED_VALUE"""),114.57)</f>
        <v>114.57</v>
      </c>
    </row>
    <row r="1324">
      <c r="A1324" s="2">
        <f>IFERROR(__xludf.DUMMYFUNCTION("""COMPUTED_VALUE"""),46029.66666666667)</f>
        <v>46029.66667</v>
      </c>
      <c r="B1324" s="1">
        <f>IFERROR(__xludf.DUMMYFUNCTION("""COMPUTED_VALUE"""),112.91)</f>
        <v>112.91</v>
      </c>
    </row>
    <row r="1325">
      <c r="A1325" s="2">
        <f>IFERROR(__xludf.DUMMYFUNCTION("""COMPUTED_VALUE"""),46030.66666666667)</f>
        <v>46030.66667</v>
      </c>
      <c r="B1325" s="1">
        <f>IFERROR(__xludf.DUMMYFUNCTION("""COMPUTED_VALUE"""),114.17)</f>
        <v>114.17</v>
      </c>
    </row>
    <row r="1326">
      <c r="A1326" s="2">
        <f>IFERROR(__xludf.DUMMYFUNCTION("""COMPUTED_VALUE"""),46031.66666666667)</f>
        <v>46031.66667</v>
      </c>
      <c r="B1326" s="1">
        <f>IFERROR(__xludf.DUMMYFUNCTION("""COMPUTED_VALUE"""),115.88)</f>
        <v>115.88</v>
      </c>
    </row>
    <row r="1327">
      <c r="A1327" s="2">
        <f>IFERROR(__xludf.DUMMYFUNCTION("""COMPUTED_VALUE"""),46034.66666666667)</f>
        <v>46034.66667</v>
      </c>
      <c r="B1327" s="1">
        <f>IFERROR(__xludf.DUMMYFUNCTION("""COMPUTED_VALUE"""),112.82)</f>
        <v>112.82</v>
      </c>
    </row>
    <row r="1328">
      <c r="A1328" s="2">
        <f>IFERROR(__xludf.DUMMYFUNCTION("""COMPUTED_VALUE"""),46035.66666666667)</f>
        <v>46035.66667</v>
      </c>
      <c r="B1328" s="1">
        <f>IFERROR(__xludf.DUMMYFUNCTION("""COMPUTED_VALUE"""),112.98)</f>
        <v>112.98</v>
      </c>
    </row>
    <row r="1329">
      <c r="A1329" s="2">
        <f>IFERROR(__xludf.DUMMYFUNCTION("""COMPUTED_VALUE"""),46036.66666666667)</f>
        <v>46036.66667</v>
      </c>
      <c r="B1329" s="1">
        <f>IFERROR(__xludf.DUMMYFUNCTION("""COMPUTED_VALUE"""),113.53)</f>
        <v>113.53</v>
      </c>
    </row>
    <row r="1330">
      <c r="A1330" s="2">
        <f>IFERROR(__xludf.DUMMYFUNCTION("""COMPUTED_VALUE"""),46037.66666666667)</f>
        <v>46037.66667</v>
      </c>
      <c r="B1330" s="1">
        <f>IFERROR(__xludf.DUMMYFUNCTION("""COMPUTED_VALUE"""),113.41)</f>
        <v>113.41</v>
      </c>
    </row>
    <row r="1331">
      <c r="A1331" s="2">
        <f>IFERROR(__xludf.DUMMYFUNCTION("""COMPUTED_VALUE"""),46038.66666666667)</f>
        <v>46038.66667</v>
      </c>
      <c r="B1331" s="1">
        <f>IFERROR(__xludf.DUMMYFUNCTION("""COMPUTED_VALUE"""),111.2)</f>
        <v>111.2</v>
      </c>
    </row>
    <row r="1332">
      <c r="A1332" s="2">
        <f>IFERROR(__xludf.DUMMYFUNCTION("""COMPUTED_VALUE"""),46042.66666666667)</f>
        <v>46042.66667</v>
      </c>
      <c r="B1332" s="1">
        <f>IFERROR(__xludf.DUMMYFUNCTION("""COMPUTED_VALUE"""),110.34)</f>
        <v>110.34</v>
      </c>
    </row>
    <row r="1333">
      <c r="A1333" s="2">
        <f>IFERROR(__xludf.DUMMYFUNCTION("""COMPUTED_VALUE"""),46043.66666666667)</f>
        <v>46043.66667</v>
      </c>
      <c r="B1333" s="1">
        <f>IFERROR(__xludf.DUMMYFUNCTION("""COMPUTED_VALUE"""),113.19)</f>
        <v>113.19</v>
      </c>
    </row>
    <row r="1334">
      <c r="A1334" s="2">
        <f>IFERROR(__xludf.DUMMYFUNCTION("""COMPUTED_VALUE"""),46044.66666666667)</f>
        <v>46044.66667</v>
      </c>
      <c r="B1334" s="1">
        <f>IFERROR(__xludf.DUMMYFUNCTION("""COMPUTED_VALUE"""),113.21)</f>
        <v>113.21</v>
      </c>
    </row>
    <row r="1335">
      <c r="A1335" s="2">
        <f>IFERROR(__xludf.DUMMYFUNCTION("""COMPUTED_VALUE"""),46045.66666666667)</f>
        <v>46045.66667</v>
      </c>
      <c r="B1335" s="1">
        <f>IFERROR(__xludf.DUMMYFUNCTION("""COMPUTED_VALUE"""),110.98)</f>
        <v>110.98</v>
      </c>
    </row>
    <row r="1336">
      <c r="A1336" s="2">
        <f>IFERROR(__xludf.DUMMYFUNCTION("""COMPUTED_VALUE"""),46048.66666666667)</f>
        <v>46048.66667</v>
      </c>
      <c r="B1336" s="1">
        <f>IFERROR(__xludf.DUMMYFUNCTION("""COMPUTED_VALUE"""),111.31)</f>
        <v>111.31</v>
      </c>
    </row>
    <row r="1337">
      <c r="A1337" s="2">
        <f>IFERROR(__xludf.DUMMYFUNCTION("""COMPUTED_VALUE"""),46049.66666666667)</f>
        <v>46049.66667</v>
      </c>
      <c r="B1337" s="1">
        <f>IFERROR(__xludf.DUMMYFUNCTION("""COMPUTED_VALUE"""),110.61)</f>
        <v>110.61</v>
      </c>
    </row>
    <row r="1338">
      <c r="A1338" s="2">
        <f>IFERROR(__xludf.DUMMYFUNCTION("""COMPUTED_VALUE"""),46050.66666666667)</f>
        <v>46050.66667</v>
      </c>
      <c r="B1338" s="1">
        <f>IFERROR(__xludf.DUMMYFUNCTION("""COMPUTED_VALUE"""),109.56)</f>
        <v>109.56</v>
      </c>
    </row>
    <row r="1339">
      <c r="A1339" s="2">
        <f>IFERROR(__xludf.DUMMYFUNCTION("""COMPUTED_VALUE"""),46051.66666666667)</f>
        <v>46051.66667</v>
      </c>
      <c r="B1339" s="1">
        <f>IFERROR(__xludf.DUMMYFUNCTION("""COMPUTED_VALUE"""),111.58)</f>
        <v>111.58</v>
      </c>
    </row>
    <row r="1340">
      <c r="A1340" s="2">
        <f>IFERROR(__xludf.DUMMYFUNCTION("""COMPUTED_VALUE"""),46052.66666666667)</f>
        <v>46052.66667</v>
      </c>
      <c r="B1340" s="1">
        <f>IFERROR(__xludf.DUMMYFUNCTION("""COMPUTED_VALUE"""),112.8)</f>
        <v>112.8</v>
      </c>
    </row>
    <row r="1341">
      <c r="A1341" s="2">
        <f>IFERROR(__xludf.DUMMYFUNCTION("""COMPUTED_VALUE"""),46055.66666666667)</f>
        <v>46055.66667</v>
      </c>
      <c r="B1341" s="1">
        <f>IFERROR(__xludf.DUMMYFUNCTION("""COMPUTED_VALUE"""),104.45)</f>
        <v>104.45</v>
      </c>
    </row>
    <row r="1342">
      <c r="A1342" s="2">
        <f>IFERROR(__xludf.DUMMYFUNCTION("""COMPUTED_VALUE"""),46056.66666666667)</f>
        <v>46056.66667</v>
      </c>
      <c r="B1342" s="1">
        <f>IFERROR(__xludf.DUMMYFUNCTION("""COMPUTED_VALUE"""),104.22)</f>
        <v>104.22</v>
      </c>
    </row>
    <row r="1343">
      <c r="A1343" s="2">
        <f>IFERROR(__xludf.DUMMYFUNCTION("""COMPUTED_VALUE"""),46057.66666666667)</f>
        <v>46057.66667</v>
      </c>
      <c r="B1343" s="1">
        <f>IFERROR(__xludf.DUMMYFUNCTION("""COMPUTED_VALUE"""),107.05)</f>
        <v>107.05</v>
      </c>
    </row>
    <row r="1344">
      <c r="A1344" s="2">
        <f>IFERROR(__xludf.DUMMYFUNCTION("""COMPUTED_VALUE"""),46058.66666666667)</f>
        <v>46058.66667</v>
      </c>
      <c r="B1344" s="1">
        <f>IFERROR(__xludf.DUMMYFUNCTION("""COMPUTED_VALUE"""),104.97)</f>
        <v>104.97</v>
      </c>
    </row>
    <row r="1345">
      <c r="A1345" s="2">
        <f>IFERROR(__xludf.DUMMYFUNCTION("""COMPUTED_VALUE"""),46059.66666666667)</f>
        <v>46059.66667</v>
      </c>
      <c r="B1345" s="1">
        <f>IFERROR(__xludf.DUMMYFUNCTION("""COMPUTED_VALUE"""),108.7)</f>
        <v>108.7</v>
      </c>
    </row>
    <row r="1346">
      <c r="A1346" s="2">
        <f>IFERROR(__xludf.DUMMYFUNCTION("""COMPUTED_VALUE"""),46062.66666666667)</f>
        <v>46062.66667</v>
      </c>
      <c r="B1346" s="1">
        <f>IFERROR(__xludf.DUMMYFUNCTION("""COMPUTED_VALUE"""),107.13)</f>
        <v>107.13</v>
      </c>
    </row>
    <row r="1347">
      <c r="A1347" s="2">
        <f>IFERROR(__xludf.DUMMYFUNCTION("""COMPUTED_VALUE"""),46063.66666666667)</f>
        <v>46063.66667</v>
      </c>
      <c r="B1347" s="1">
        <f>IFERROR(__xludf.DUMMYFUNCTION("""COMPUTED_VALUE"""),109.96)</f>
        <v>109.96</v>
      </c>
    </row>
    <row r="1348">
      <c r="A1348" s="2">
        <f>IFERROR(__xludf.DUMMYFUNCTION("""COMPUTED_VALUE"""),46064.66666666667)</f>
        <v>46064.66667</v>
      </c>
      <c r="B1348" s="1">
        <f>IFERROR(__xludf.DUMMYFUNCTION("""COMPUTED_VALUE"""),108.12)</f>
        <v>108.12</v>
      </c>
    </row>
    <row r="1349">
      <c r="A1349" s="2">
        <f>IFERROR(__xludf.DUMMYFUNCTION("""COMPUTED_VALUE"""),46065.66666666667)</f>
        <v>46065.66667</v>
      </c>
      <c r="B1349" s="1">
        <f>IFERROR(__xludf.DUMMYFUNCTION("""COMPUTED_VALUE"""),102.38)</f>
        <v>102.38</v>
      </c>
    </row>
    <row r="1350">
      <c r="A1350" s="2">
        <f>IFERROR(__xludf.DUMMYFUNCTION("""COMPUTED_VALUE"""),46066.66666666667)</f>
        <v>46066.66667</v>
      </c>
      <c r="B1350" s="1">
        <f>IFERROR(__xludf.DUMMYFUNCTION("""COMPUTED_VALUE"""),105.45)</f>
        <v>105.45</v>
      </c>
    </row>
    <row r="1351">
      <c r="A1351" s="2">
        <f>IFERROR(__xludf.DUMMYFUNCTION("""COMPUTED_VALUE"""),46070.66666666667)</f>
        <v>46070.66667</v>
      </c>
      <c r="B1351" s="1">
        <f>IFERROR(__xludf.DUMMYFUNCTION("""COMPUTED_VALUE"""),105.44)</f>
        <v>105.44</v>
      </c>
    </row>
    <row r="1352">
      <c r="A1352" s="2">
        <f>IFERROR(__xludf.DUMMYFUNCTION("""COMPUTED_VALUE"""),46071.66666666667)</f>
        <v>46071.66667</v>
      </c>
      <c r="B1352" s="1">
        <f>IFERROR(__xludf.DUMMYFUNCTION("""COMPUTED_VALUE"""),107.1)</f>
        <v>107.1</v>
      </c>
    </row>
    <row r="1353">
      <c r="A1353" s="2">
        <f>IFERROR(__xludf.DUMMYFUNCTION("""COMPUTED_VALUE"""),46072.66666666667)</f>
        <v>46072.66667</v>
      </c>
      <c r="B1353" s="1">
        <f>IFERROR(__xludf.DUMMYFUNCTION("""COMPUTED_VALUE"""),106.0)</f>
        <v>106</v>
      </c>
    </row>
    <row r="1354">
      <c r="A1354" s="2">
        <f>IFERROR(__xludf.DUMMYFUNCTION("""COMPUTED_VALUE"""),46073.66666666667)</f>
        <v>46073.66667</v>
      </c>
      <c r="B1354" s="1">
        <f>IFERROR(__xludf.DUMMYFUNCTION("""COMPUTED_VALUE"""),105.58)</f>
        <v>105.58</v>
      </c>
    </row>
    <row r="1355">
      <c r="A1355" s="2">
        <f>IFERROR(__xludf.DUMMYFUNCTION("""COMPUTED_VALUE"""),46076.66666666667)</f>
        <v>46076.66667</v>
      </c>
      <c r="B1355" s="1">
        <f>IFERROR(__xludf.DUMMYFUNCTION("""COMPUTED_VALUE"""),104.41)</f>
        <v>104.41</v>
      </c>
    </row>
    <row r="1356">
      <c r="A1356" s="2">
        <f>IFERROR(__xludf.DUMMYFUNCTION("""COMPUTED_VALUE"""),46077.66666666667)</f>
        <v>46077.66667</v>
      </c>
      <c r="B1356" s="1">
        <f>IFERROR(__xludf.DUMMYFUNCTION("""COMPUTED_VALUE"""),106.05)</f>
        <v>106.05</v>
      </c>
    </row>
    <row r="1357">
      <c r="A1357" s="2">
        <f>IFERROR(__xludf.DUMMYFUNCTION("""COMPUTED_VALUE"""),46078.66666666667)</f>
        <v>46078.66667</v>
      </c>
      <c r="B1357" s="1">
        <f>IFERROR(__xludf.DUMMYFUNCTION("""COMPUTED_VALUE"""),105.05)</f>
        <v>105.05</v>
      </c>
    </row>
    <row r="1358">
      <c r="A1358" s="2">
        <f>IFERROR(__xludf.DUMMYFUNCTION("""COMPUTED_VALUE"""),46079.66666666667)</f>
        <v>46079.66667</v>
      </c>
      <c r="B1358" s="1">
        <f>IFERROR(__xludf.DUMMYFUNCTION("""COMPUTED_VALUE"""),105.55)</f>
        <v>105.55</v>
      </c>
    </row>
    <row r="1359">
      <c r="A1359" s="2">
        <f>IFERROR(__xludf.DUMMYFUNCTION("""COMPUTED_VALUE"""),46080.66666666667)</f>
        <v>46080.66667</v>
      </c>
      <c r="B1359" s="1">
        <f>IFERROR(__xludf.DUMMYFUNCTION("""COMPUTED_VALUE"""),106.04)</f>
        <v>106.04</v>
      </c>
    </row>
    <row r="1360">
      <c r="A1360" s="2">
        <f>IFERROR(__xludf.DUMMYFUNCTION("""COMPUTED_VALUE"""),46083.66666666667)</f>
        <v>46083.66667</v>
      </c>
      <c r="B1360" s="1">
        <f>IFERROR(__xludf.DUMMYFUNCTION("""COMPUTED_VALUE"""),104.33)</f>
        <v>104.33</v>
      </c>
    </row>
    <row r="1361">
      <c r="A1361" s="2">
        <f>IFERROR(__xludf.DUMMYFUNCTION("""COMPUTED_VALUE"""),46084.66666666667)</f>
        <v>46084.66667</v>
      </c>
      <c r="B1361" s="1">
        <f>IFERROR(__xludf.DUMMYFUNCTION("""COMPUTED_VALUE"""),103.3)</f>
        <v>103.3</v>
      </c>
    </row>
    <row r="1362">
      <c r="A1362" s="2">
        <f>IFERROR(__xludf.DUMMYFUNCTION("""COMPUTED_VALUE"""),46085.66666666667)</f>
        <v>46085.66667</v>
      </c>
      <c r="B1362" s="1">
        <f>IFERROR(__xludf.DUMMYFUNCTION("""COMPUTED_VALUE"""),103.04)</f>
        <v>103.04</v>
      </c>
    </row>
    <row r="1363">
      <c r="A1363" s="2">
        <f>IFERROR(__xludf.DUMMYFUNCTION("""COMPUTED_VALUE"""),46086.66666666667)</f>
        <v>46086.66667</v>
      </c>
      <c r="B1363" s="1">
        <f>IFERROR(__xludf.DUMMYFUNCTION("""COMPUTED_VALUE"""),102.41)</f>
        <v>102.41</v>
      </c>
    </row>
    <row r="1364">
      <c r="A1364" s="2">
        <f>IFERROR(__xludf.DUMMYFUNCTION("""COMPUTED_VALUE"""),46087.66666666667)</f>
        <v>46087.66667</v>
      </c>
      <c r="B1364" s="1">
        <f>IFERROR(__xludf.DUMMYFUNCTION("""COMPUTED_VALUE"""),101.54)</f>
        <v>101.54</v>
      </c>
    </row>
    <row r="1365">
      <c r="A1365" s="2">
        <f>IFERROR(__xludf.DUMMYFUNCTION("""COMPUTED_VALUE"""),46090.66666666667)</f>
        <v>46090.66667</v>
      </c>
      <c r="B1365" s="1">
        <f>IFERROR(__xludf.DUMMYFUNCTION("""COMPUTED_VALUE"""),101.66)</f>
        <v>101.66</v>
      </c>
    </row>
    <row r="1366">
      <c r="A1366" s="2">
        <f>IFERROR(__xludf.DUMMYFUNCTION("""COMPUTED_VALUE"""),46091.66666666667)</f>
        <v>46091.66667</v>
      </c>
      <c r="B1366" s="1">
        <f>IFERROR(__xludf.DUMMYFUNCTION("""COMPUTED_VALUE"""),101.32)</f>
        <v>101.32</v>
      </c>
    </row>
    <row r="1367">
      <c r="A1367" s="2">
        <f>IFERROR(__xludf.DUMMYFUNCTION("""COMPUTED_VALUE"""),46092.66666666667)</f>
        <v>46092.66667</v>
      </c>
      <c r="B1367" s="1">
        <f>IFERROR(__xludf.DUMMYFUNCTION("""COMPUTED_VALUE"""),100.89)</f>
        <v>100.89</v>
      </c>
    </row>
    <row r="1368">
      <c r="A1368" s="2">
        <f>IFERROR(__xludf.DUMMYFUNCTION("""COMPUTED_VALUE"""),46093.66666666667)</f>
        <v>46093.66667</v>
      </c>
      <c r="B1368" s="1">
        <f>IFERROR(__xludf.DUMMYFUNCTION("""COMPUTED_VALUE"""),99.43)</f>
        <v>99.43</v>
      </c>
    </row>
    <row r="1369">
      <c r="A1369" s="2">
        <f>IFERROR(__xludf.DUMMYFUNCTION("""COMPUTED_VALUE"""),46094.66666666667)</f>
        <v>46094.66667</v>
      </c>
      <c r="B1369" s="1">
        <f>IFERROR(__xludf.DUMMYFUNCTION("""COMPUTED_VALUE"""),99.29)</f>
        <v>99.29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IFERROR(__xludf.DUMMYFUNCTION("GOOGLEFINANCE(""FDX"",""close"",DATE(2020,10,1),TODAY(),""daily"")"),"Date")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IFERROR(__xludf.DUMMYFUNCTION("""COMPUTED_VALUE"""),254.08)</f>
        <v>254.08</v>
      </c>
    </row>
    <row r="3">
      <c r="A3" s="2">
        <f>IFERROR(__xludf.DUMMYFUNCTION("""COMPUTED_VALUE"""),44106.66666666667)</f>
        <v>44106.66667</v>
      </c>
      <c r="B3" s="1">
        <f>IFERROR(__xludf.DUMMYFUNCTION("""COMPUTED_VALUE"""),255.2)</f>
        <v>255.2</v>
      </c>
    </row>
    <row r="4">
      <c r="A4" s="2">
        <f>IFERROR(__xludf.DUMMYFUNCTION("""COMPUTED_VALUE"""),44109.66666666667)</f>
        <v>44109.66667</v>
      </c>
      <c r="B4" s="1">
        <f>IFERROR(__xludf.DUMMYFUNCTION("""COMPUTED_VALUE"""),259.21)</f>
        <v>259.21</v>
      </c>
    </row>
    <row r="5">
      <c r="A5" s="2">
        <f>IFERROR(__xludf.DUMMYFUNCTION("""COMPUTED_VALUE"""),44110.66666666667)</f>
        <v>44110.66667</v>
      </c>
      <c r="B5" s="1">
        <f>IFERROR(__xludf.DUMMYFUNCTION("""COMPUTED_VALUE"""),259.27)</f>
        <v>259.27</v>
      </c>
    </row>
    <row r="6">
      <c r="A6" s="2">
        <f>IFERROR(__xludf.DUMMYFUNCTION("""COMPUTED_VALUE"""),44111.66666666667)</f>
        <v>44111.66667</v>
      </c>
      <c r="B6" s="1">
        <f>IFERROR(__xludf.DUMMYFUNCTION("""COMPUTED_VALUE"""),268.26)</f>
        <v>268.26</v>
      </c>
    </row>
    <row r="7">
      <c r="A7" s="2">
        <f>IFERROR(__xludf.DUMMYFUNCTION("""COMPUTED_VALUE"""),44112.66666666667)</f>
        <v>44112.66667</v>
      </c>
      <c r="B7" s="1">
        <f>IFERROR(__xludf.DUMMYFUNCTION("""COMPUTED_VALUE"""),271.06)</f>
        <v>271.06</v>
      </c>
    </row>
    <row r="8">
      <c r="A8" s="2">
        <f>IFERROR(__xludf.DUMMYFUNCTION("""COMPUTED_VALUE"""),44113.66666666667)</f>
        <v>44113.66667</v>
      </c>
      <c r="B8" s="1">
        <f>IFERROR(__xludf.DUMMYFUNCTION("""COMPUTED_VALUE"""),271.55)</f>
        <v>271.55</v>
      </c>
    </row>
    <row r="9">
      <c r="A9" s="2">
        <f>IFERROR(__xludf.DUMMYFUNCTION("""COMPUTED_VALUE"""),44116.66666666667)</f>
        <v>44116.66667</v>
      </c>
      <c r="B9" s="1">
        <f>IFERROR(__xludf.DUMMYFUNCTION("""COMPUTED_VALUE"""),273.5)</f>
        <v>273.5</v>
      </c>
    </row>
    <row r="10">
      <c r="A10" s="2">
        <f>IFERROR(__xludf.DUMMYFUNCTION("""COMPUTED_VALUE"""),44117.66666666667)</f>
        <v>44117.66667</v>
      </c>
      <c r="B10" s="1">
        <f>IFERROR(__xludf.DUMMYFUNCTION("""COMPUTED_VALUE"""),272.74)</f>
        <v>272.74</v>
      </c>
    </row>
    <row r="11">
      <c r="A11" s="2">
        <f>IFERROR(__xludf.DUMMYFUNCTION("""COMPUTED_VALUE"""),44118.66666666667)</f>
        <v>44118.66667</v>
      </c>
      <c r="B11" s="1">
        <f>IFERROR(__xludf.DUMMYFUNCTION("""COMPUTED_VALUE"""),276.24)</f>
        <v>276.24</v>
      </c>
    </row>
    <row r="12">
      <c r="A12" s="2">
        <f>IFERROR(__xludf.DUMMYFUNCTION("""COMPUTED_VALUE"""),44119.66666666667)</f>
        <v>44119.66667</v>
      </c>
      <c r="B12" s="1">
        <f>IFERROR(__xludf.DUMMYFUNCTION("""COMPUTED_VALUE"""),282.11)</f>
        <v>282.11</v>
      </c>
    </row>
    <row r="13">
      <c r="A13" s="2">
        <f>IFERROR(__xludf.DUMMYFUNCTION("""COMPUTED_VALUE"""),44120.66666666667)</f>
        <v>44120.66667</v>
      </c>
      <c r="B13" s="1">
        <f>IFERROR(__xludf.DUMMYFUNCTION("""COMPUTED_VALUE"""),283.87)</f>
        <v>283.87</v>
      </c>
    </row>
    <row r="14">
      <c r="A14" s="2">
        <f>IFERROR(__xludf.DUMMYFUNCTION("""COMPUTED_VALUE"""),44123.66666666667)</f>
        <v>44123.66667</v>
      </c>
      <c r="B14" s="1">
        <f>IFERROR(__xludf.DUMMYFUNCTION("""COMPUTED_VALUE"""),281.97)</f>
        <v>281.97</v>
      </c>
    </row>
    <row r="15">
      <c r="A15" s="2">
        <f>IFERROR(__xludf.DUMMYFUNCTION("""COMPUTED_VALUE"""),44124.66666666667)</f>
        <v>44124.66667</v>
      </c>
      <c r="B15" s="1">
        <f>IFERROR(__xludf.DUMMYFUNCTION("""COMPUTED_VALUE"""),287.4)</f>
        <v>287.4</v>
      </c>
    </row>
    <row r="16">
      <c r="A16" s="2">
        <f>IFERROR(__xludf.DUMMYFUNCTION("""COMPUTED_VALUE"""),44125.66666666667)</f>
        <v>44125.66667</v>
      </c>
      <c r="B16" s="1">
        <f>IFERROR(__xludf.DUMMYFUNCTION("""COMPUTED_VALUE"""),282.28)</f>
        <v>282.28</v>
      </c>
    </row>
    <row r="17">
      <c r="A17" s="2">
        <f>IFERROR(__xludf.DUMMYFUNCTION("""COMPUTED_VALUE"""),44126.66666666667)</f>
        <v>44126.66667</v>
      </c>
      <c r="B17" s="1">
        <f>IFERROR(__xludf.DUMMYFUNCTION("""COMPUTED_VALUE"""),275.95)</f>
        <v>275.95</v>
      </c>
    </row>
    <row r="18">
      <c r="A18" s="2">
        <f>IFERROR(__xludf.DUMMYFUNCTION("""COMPUTED_VALUE"""),44127.66666666667)</f>
        <v>44127.66667</v>
      </c>
      <c r="B18" s="1">
        <f>IFERROR(__xludf.DUMMYFUNCTION("""COMPUTED_VALUE"""),283.56)</f>
        <v>283.56</v>
      </c>
    </row>
    <row r="19">
      <c r="A19" s="2">
        <f>IFERROR(__xludf.DUMMYFUNCTION("""COMPUTED_VALUE"""),44130.66666666667)</f>
        <v>44130.66667</v>
      </c>
      <c r="B19" s="1">
        <f>IFERROR(__xludf.DUMMYFUNCTION("""COMPUTED_VALUE"""),277.62)</f>
        <v>277.62</v>
      </c>
    </row>
    <row r="20">
      <c r="A20" s="2">
        <f>IFERROR(__xludf.DUMMYFUNCTION("""COMPUTED_VALUE"""),44131.66666666667)</f>
        <v>44131.66667</v>
      </c>
      <c r="B20" s="1">
        <f>IFERROR(__xludf.DUMMYFUNCTION("""COMPUTED_VALUE"""),274.41)</f>
        <v>274.41</v>
      </c>
    </row>
    <row r="21">
      <c r="A21" s="2">
        <f>IFERROR(__xludf.DUMMYFUNCTION("""COMPUTED_VALUE"""),44132.66666666667)</f>
        <v>44132.66667</v>
      </c>
      <c r="B21" s="1">
        <f>IFERROR(__xludf.DUMMYFUNCTION("""COMPUTED_VALUE"""),259.99)</f>
        <v>259.99</v>
      </c>
    </row>
    <row r="22">
      <c r="A22" s="2">
        <f>IFERROR(__xludf.DUMMYFUNCTION("""COMPUTED_VALUE"""),44133.66666666667)</f>
        <v>44133.66667</v>
      </c>
      <c r="B22" s="1">
        <f>IFERROR(__xludf.DUMMYFUNCTION("""COMPUTED_VALUE"""),267.02)</f>
        <v>267.02</v>
      </c>
    </row>
    <row r="23">
      <c r="A23" s="2">
        <f>IFERROR(__xludf.DUMMYFUNCTION("""COMPUTED_VALUE"""),44134.66666666667)</f>
        <v>44134.66667</v>
      </c>
      <c r="B23" s="1">
        <f>IFERROR(__xludf.DUMMYFUNCTION("""COMPUTED_VALUE"""),259.47)</f>
        <v>259.47</v>
      </c>
    </row>
    <row r="24">
      <c r="A24" s="2">
        <f>IFERROR(__xludf.DUMMYFUNCTION("""COMPUTED_VALUE"""),44137.66666666667)</f>
        <v>44137.66667</v>
      </c>
      <c r="B24" s="1">
        <f>IFERROR(__xludf.DUMMYFUNCTION("""COMPUTED_VALUE"""),266.98)</f>
        <v>266.98</v>
      </c>
    </row>
    <row r="25">
      <c r="A25" s="2">
        <f>IFERROR(__xludf.DUMMYFUNCTION("""COMPUTED_VALUE"""),44138.66666666667)</f>
        <v>44138.66667</v>
      </c>
      <c r="B25" s="1">
        <f>IFERROR(__xludf.DUMMYFUNCTION("""COMPUTED_VALUE"""),274.48)</f>
        <v>274.48</v>
      </c>
    </row>
    <row r="26">
      <c r="A26" s="2">
        <f>IFERROR(__xludf.DUMMYFUNCTION("""COMPUTED_VALUE"""),44139.66666666667)</f>
        <v>44139.66667</v>
      </c>
      <c r="B26" s="1">
        <f>IFERROR(__xludf.DUMMYFUNCTION("""COMPUTED_VALUE"""),269.1)</f>
        <v>269.1</v>
      </c>
    </row>
    <row r="27">
      <c r="A27" s="2">
        <f>IFERROR(__xludf.DUMMYFUNCTION("""COMPUTED_VALUE"""),44140.66666666667)</f>
        <v>44140.66667</v>
      </c>
      <c r="B27" s="1">
        <f>IFERROR(__xludf.DUMMYFUNCTION("""COMPUTED_VALUE"""),279.07)</f>
        <v>279.07</v>
      </c>
    </row>
    <row r="28">
      <c r="A28" s="2">
        <f>IFERROR(__xludf.DUMMYFUNCTION("""COMPUTED_VALUE"""),44141.66666666667)</f>
        <v>44141.66667</v>
      </c>
      <c r="B28" s="1">
        <f>IFERROR(__xludf.DUMMYFUNCTION("""COMPUTED_VALUE"""),279.77)</f>
        <v>279.77</v>
      </c>
    </row>
    <row r="29">
      <c r="A29" s="2">
        <f>IFERROR(__xludf.DUMMYFUNCTION("""COMPUTED_VALUE"""),44144.66666666667)</f>
        <v>44144.66667</v>
      </c>
      <c r="B29" s="1">
        <f>IFERROR(__xludf.DUMMYFUNCTION("""COMPUTED_VALUE"""),263.88)</f>
        <v>263.88</v>
      </c>
    </row>
    <row r="30">
      <c r="A30" s="2">
        <f>IFERROR(__xludf.DUMMYFUNCTION("""COMPUTED_VALUE"""),44145.66666666667)</f>
        <v>44145.66667</v>
      </c>
      <c r="B30" s="1">
        <f>IFERROR(__xludf.DUMMYFUNCTION("""COMPUTED_VALUE"""),267.27)</f>
        <v>267.27</v>
      </c>
    </row>
    <row r="31">
      <c r="A31" s="2">
        <f>IFERROR(__xludf.DUMMYFUNCTION("""COMPUTED_VALUE"""),44146.66666666667)</f>
        <v>44146.66667</v>
      </c>
      <c r="B31" s="1">
        <f>IFERROR(__xludf.DUMMYFUNCTION("""COMPUTED_VALUE"""),267.81)</f>
        <v>267.81</v>
      </c>
    </row>
    <row r="32">
      <c r="A32" s="2">
        <f>IFERROR(__xludf.DUMMYFUNCTION("""COMPUTED_VALUE"""),44147.66666666667)</f>
        <v>44147.66667</v>
      </c>
      <c r="B32" s="1">
        <f>IFERROR(__xludf.DUMMYFUNCTION("""COMPUTED_VALUE"""),267.16)</f>
        <v>267.16</v>
      </c>
    </row>
    <row r="33">
      <c r="A33" s="2">
        <f>IFERROR(__xludf.DUMMYFUNCTION("""COMPUTED_VALUE"""),44148.66666666667)</f>
        <v>44148.66667</v>
      </c>
      <c r="B33" s="1">
        <f>IFERROR(__xludf.DUMMYFUNCTION("""COMPUTED_VALUE"""),271.91)</f>
        <v>271.91</v>
      </c>
    </row>
    <row r="34">
      <c r="A34" s="2">
        <f>IFERROR(__xludf.DUMMYFUNCTION("""COMPUTED_VALUE"""),44151.66666666667)</f>
        <v>44151.66667</v>
      </c>
      <c r="B34" s="1">
        <f>IFERROR(__xludf.DUMMYFUNCTION("""COMPUTED_VALUE"""),279.83)</f>
        <v>279.83</v>
      </c>
    </row>
    <row r="35">
      <c r="A35" s="2">
        <f>IFERROR(__xludf.DUMMYFUNCTION("""COMPUTED_VALUE"""),44152.66666666667)</f>
        <v>44152.66667</v>
      </c>
      <c r="B35" s="1">
        <f>IFERROR(__xludf.DUMMYFUNCTION("""COMPUTED_VALUE"""),285.05)</f>
        <v>285.05</v>
      </c>
    </row>
    <row r="36">
      <c r="A36" s="2">
        <f>IFERROR(__xludf.DUMMYFUNCTION("""COMPUTED_VALUE"""),44153.66666666667)</f>
        <v>44153.66667</v>
      </c>
      <c r="B36" s="1">
        <f>IFERROR(__xludf.DUMMYFUNCTION("""COMPUTED_VALUE"""),282.5)</f>
        <v>282.5</v>
      </c>
    </row>
    <row r="37">
      <c r="A37" s="2">
        <f>IFERROR(__xludf.DUMMYFUNCTION("""COMPUTED_VALUE"""),44154.66666666667)</f>
        <v>44154.66667</v>
      </c>
      <c r="B37" s="1">
        <f>IFERROR(__xludf.DUMMYFUNCTION("""COMPUTED_VALUE"""),279.85)</f>
        <v>279.85</v>
      </c>
    </row>
    <row r="38">
      <c r="A38" s="2">
        <f>IFERROR(__xludf.DUMMYFUNCTION("""COMPUTED_VALUE"""),44155.66666666667)</f>
        <v>44155.66667</v>
      </c>
      <c r="B38" s="1">
        <f>IFERROR(__xludf.DUMMYFUNCTION("""COMPUTED_VALUE"""),276.69)</f>
        <v>276.69</v>
      </c>
    </row>
    <row r="39">
      <c r="A39" s="2">
        <f>IFERROR(__xludf.DUMMYFUNCTION("""COMPUTED_VALUE"""),44158.66666666667)</f>
        <v>44158.66667</v>
      </c>
      <c r="B39" s="1">
        <f>IFERROR(__xludf.DUMMYFUNCTION("""COMPUTED_VALUE"""),286.35)</f>
        <v>286.35</v>
      </c>
    </row>
    <row r="40">
      <c r="A40" s="2">
        <f>IFERROR(__xludf.DUMMYFUNCTION("""COMPUTED_VALUE"""),44159.66666666667)</f>
        <v>44159.66667</v>
      </c>
      <c r="B40" s="1">
        <f>IFERROR(__xludf.DUMMYFUNCTION("""COMPUTED_VALUE"""),291.68)</f>
        <v>291.68</v>
      </c>
    </row>
    <row r="41">
      <c r="A41" s="2">
        <f>IFERROR(__xludf.DUMMYFUNCTION("""COMPUTED_VALUE"""),44160.66666666667)</f>
        <v>44160.66667</v>
      </c>
      <c r="B41" s="1">
        <f>IFERROR(__xludf.DUMMYFUNCTION("""COMPUTED_VALUE"""),288.3)</f>
        <v>288.3</v>
      </c>
    </row>
    <row r="42">
      <c r="A42" s="2">
        <f>IFERROR(__xludf.DUMMYFUNCTION("""COMPUTED_VALUE"""),44162.54166666667)</f>
        <v>44162.54167</v>
      </c>
      <c r="B42" s="1">
        <f>IFERROR(__xludf.DUMMYFUNCTION("""COMPUTED_VALUE"""),287.41)</f>
        <v>287.41</v>
      </c>
    </row>
    <row r="43">
      <c r="A43" s="2">
        <f>IFERROR(__xludf.DUMMYFUNCTION("""COMPUTED_VALUE"""),44165.66666666667)</f>
        <v>44165.66667</v>
      </c>
      <c r="B43" s="1">
        <f>IFERROR(__xludf.DUMMYFUNCTION("""COMPUTED_VALUE"""),286.58)</f>
        <v>286.58</v>
      </c>
    </row>
    <row r="44">
      <c r="A44" s="2">
        <f>IFERROR(__xludf.DUMMYFUNCTION("""COMPUTED_VALUE"""),44166.66666666667)</f>
        <v>44166.66667</v>
      </c>
      <c r="B44" s="1">
        <f>IFERROR(__xludf.DUMMYFUNCTION("""COMPUTED_VALUE"""),287.76)</f>
        <v>287.76</v>
      </c>
    </row>
    <row r="45">
      <c r="A45" s="2">
        <f>IFERROR(__xludf.DUMMYFUNCTION("""COMPUTED_VALUE"""),44167.66666666667)</f>
        <v>44167.66667</v>
      </c>
      <c r="B45" s="1">
        <f>IFERROR(__xludf.DUMMYFUNCTION("""COMPUTED_VALUE"""),291.72)</f>
        <v>291.72</v>
      </c>
    </row>
    <row r="46">
      <c r="A46" s="2">
        <f>IFERROR(__xludf.DUMMYFUNCTION("""COMPUTED_VALUE"""),44168.66666666667)</f>
        <v>44168.66667</v>
      </c>
      <c r="B46" s="1">
        <f>IFERROR(__xludf.DUMMYFUNCTION("""COMPUTED_VALUE"""),292.7)</f>
        <v>292.7</v>
      </c>
    </row>
    <row r="47">
      <c r="A47" s="2">
        <f>IFERROR(__xludf.DUMMYFUNCTION("""COMPUTED_VALUE"""),44169.66666666667)</f>
        <v>44169.66667</v>
      </c>
      <c r="B47" s="1">
        <f>IFERROR(__xludf.DUMMYFUNCTION("""COMPUTED_VALUE"""),294.88)</f>
        <v>294.88</v>
      </c>
    </row>
    <row r="48">
      <c r="A48" s="2">
        <f>IFERROR(__xludf.DUMMYFUNCTION("""COMPUTED_VALUE"""),44172.66666666667)</f>
        <v>44172.66667</v>
      </c>
      <c r="B48" s="1">
        <f>IFERROR(__xludf.DUMMYFUNCTION("""COMPUTED_VALUE"""),297.04)</f>
        <v>297.04</v>
      </c>
    </row>
    <row r="49">
      <c r="A49" s="2">
        <f>IFERROR(__xludf.DUMMYFUNCTION("""COMPUTED_VALUE"""),44173.66666666667)</f>
        <v>44173.66667</v>
      </c>
      <c r="B49" s="1">
        <f>IFERROR(__xludf.DUMMYFUNCTION("""COMPUTED_VALUE"""),301.45)</f>
        <v>301.45</v>
      </c>
    </row>
    <row r="50">
      <c r="A50" s="2">
        <f>IFERROR(__xludf.DUMMYFUNCTION("""COMPUTED_VALUE"""),44174.66666666667)</f>
        <v>44174.66667</v>
      </c>
      <c r="B50" s="1">
        <f>IFERROR(__xludf.DUMMYFUNCTION("""COMPUTED_VALUE"""),295.32)</f>
        <v>295.32</v>
      </c>
    </row>
    <row r="51">
      <c r="A51" s="2">
        <f>IFERROR(__xludf.DUMMYFUNCTION("""COMPUTED_VALUE"""),44175.66666666667)</f>
        <v>44175.66667</v>
      </c>
      <c r="B51" s="1">
        <f>IFERROR(__xludf.DUMMYFUNCTION("""COMPUTED_VALUE"""),290.9)</f>
        <v>290.9</v>
      </c>
    </row>
    <row r="52">
      <c r="A52" s="2">
        <f>IFERROR(__xludf.DUMMYFUNCTION("""COMPUTED_VALUE"""),44176.66666666667)</f>
        <v>44176.66667</v>
      </c>
      <c r="B52" s="1">
        <f>IFERROR(__xludf.DUMMYFUNCTION("""COMPUTED_VALUE"""),289.47)</f>
        <v>289.47</v>
      </c>
    </row>
    <row r="53">
      <c r="A53" s="2">
        <f>IFERROR(__xludf.DUMMYFUNCTION("""COMPUTED_VALUE"""),44179.66666666667)</f>
        <v>44179.66667</v>
      </c>
      <c r="B53" s="1">
        <f>IFERROR(__xludf.DUMMYFUNCTION("""COMPUTED_VALUE"""),285.54)</f>
        <v>285.54</v>
      </c>
    </row>
    <row r="54">
      <c r="A54" s="2">
        <f>IFERROR(__xludf.DUMMYFUNCTION("""COMPUTED_VALUE"""),44180.66666666667)</f>
        <v>44180.66667</v>
      </c>
      <c r="B54" s="1">
        <f>IFERROR(__xludf.DUMMYFUNCTION("""COMPUTED_VALUE"""),285.74)</f>
        <v>285.74</v>
      </c>
    </row>
    <row r="55">
      <c r="A55" s="2">
        <f>IFERROR(__xludf.DUMMYFUNCTION("""COMPUTED_VALUE"""),44181.66666666667)</f>
        <v>44181.66667</v>
      </c>
      <c r="B55" s="1">
        <f>IFERROR(__xludf.DUMMYFUNCTION("""COMPUTED_VALUE"""),288.81)</f>
        <v>288.81</v>
      </c>
    </row>
    <row r="56">
      <c r="A56" s="2">
        <f>IFERROR(__xludf.DUMMYFUNCTION("""COMPUTED_VALUE"""),44182.66666666667)</f>
        <v>44182.66667</v>
      </c>
      <c r="B56" s="1">
        <f>IFERROR(__xludf.DUMMYFUNCTION("""COMPUTED_VALUE"""),292.26)</f>
        <v>292.26</v>
      </c>
    </row>
    <row r="57">
      <c r="A57" s="2">
        <f>IFERROR(__xludf.DUMMYFUNCTION("""COMPUTED_VALUE"""),44183.66666666667)</f>
        <v>44183.66667</v>
      </c>
      <c r="B57" s="1">
        <f>IFERROR(__xludf.DUMMYFUNCTION("""COMPUTED_VALUE"""),275.57)</f>
        <v>275.57</v>
      </c>
    </row>
    <row r="58">
      <c r="A58" s="2">
        <f>IFERROR(__xludf.DUMMYFUNCTION("""COMPUTED_VALUE"""),44186.66666666667)</f>
        <v>44186.66667</v>
      </c>
      <c r="B58" s="1">
        <f>IFERROR(__xludf.DUMMYFUNCTION("""COMPUTED_VALUE"""),271.94)</f>
        <v>271.94</v>
      </c>
    </row>
    <row r="59">
      <c r="A59" s="2">
        <f>IFERROR(__xludf.DUMMYFUNCTION("""COMPUTED_VALUE"""),44187.66666666667)</f>
        <v>44187.66667</v>
      </c>
      <c r="B59" s="1">
        <f>IFERROR(__xludf.DUMMYFUNCTION("""COMPUTED_VALUE"""),273.28)</f>
        <v>273.28</v>
      </c>
    </row>
    <row r="60">
      <c r="A60" s="2">
        <f>IFERROR(__xludf.DUMMYFUNCTION("""COMPUTED_VALUE"""),44188.66666666667)</f>
        <v>44188.66667</v>
      </c>
      <c r="B60" s="1">
        <f>IFERROR(__xludf.DUMMYFUNCTION("""COMPUTED_VALUE"""),270.71)</f>
        <v>270.71</v>
      </c>
    </row>
    <row r="61">
      <c r="A61" s="2">
        <f>IFERROR(__xludf.DUMMYFUNCTION("""COMPUTED_VALUE"""),44189.54166666667)</f>
        <v>44189.54167</v>
      </c>
      <c r="B61" s="1">
        <f>IFERROR(__xludf.DUMMYFUNCTION("""COMPUTED_VALUE"""),268.82)</f>
        <v>268.82</v>
      </c>
    </row>
    <row r="62">
      <c r="A62" s="2">
        <f>IFERROR(__xludf.DUMMYFUNCTION("""COMPUTED_VALUE"""),44193.66666666667)</f>
        <v>44193.66667</v>
      </c>
      <c r="B62" s="1">
        <f>IFERROR(__xludf.DUMMYFUNCTION("""COMPUTED_VALUE"""),262.94)</f>
        <v>262.94</v>
      </c>
    </row>
    <row r="63">
      <c r="A63" s="2">
        <f>IFERROR(__xludf.DUMMYFUNCTION("""COMPUTED_VALUE"""),44194.66666666667)</f>
        <v>44194.66667</v>
      </c>
      <c r="B63" s="1">
        <f>IFERROR(__xludf.DUMMYFUNCTION("""COMPUTED_VALUE"""),261.56)</f>
        <v>261.56</v>
      </c>
    </row>
    <row r="64">
      <c r="A64" s="2">
        <f>IFERROR(__xludf.DUMMYFUNCTION("""COMPUTED_VALUE"""),44195.66666666667)</f>
        <v>44195.66667</v>
      </c>
      <c r="B64" s="1">
        <f>IFERROR(__xludf.DUMMYFUNCTION("""COMPUTED_VALUE"""),259.98)</f>
        <v>259.98</v>
      </c>
    </row>
    <row r="65">
      <c r="A65" s="2">
        <f>IFERROR(__xludf.DUMMYFUNCTION("""COMPUTED_VALUE"""),44196.66666666667)</f>
        <v>44196.66667</v>
      </c>
      <c r="B65" s="1">
        <f>IFERROR(__xludf.DUMMYFUNCTION("""COMPUTED_VALUE"""),259.62)</f>
        <v>259.62</v>
      </c>
    </row>
    <row r="66">
      <c r="A66" s="2">
        <f>IFERROR(__xludf.DUMMYFUNCTION("""COMPUTED_VALUE"""),44200.66666666667)</f>
        <v>44200.66667</v>
      </c>
      <c r="B66" s="1">
        <f>IFERROR(__xludf.DUMMYFUNCTION("""COMPUTED_VALUE"""),253.19)</f>
        <v>253.19</v>
      </c>
    </row>
    <row r="67">
      <c r="A67" s="2">
        <f>IFERROR(__xludf.DUMMYFUNCTION("""COMPUTED_VALUE"""),44201.66666666667)</f>
        <v>44201.66667</v>
      </c>
      <c r="B67" s="1">
        <f>IFERROR(__xludf.DUMMYFUNCTION("""COMPUTED_VALUE"""),253.18)</f>
        <v>253.18</v>
      </c>
    </row>
    <row r="68">
      <c r="A68" s="2">
        <f>IFERROR(__xludf.DUMMYFUNCTION("""COMPUTED_VALUE"""),44202.66666666667)</f>
        <v>44202.66667</v>
      </c>
      <c r="B68" s="1">
        <f>IFERROR(__xludf.DUMMYFUNCTION("""COMPUTED_VALUE"""),253.56)</f>
        <v>253.56</v>
      </c>
    </row>
    <row r="69">
      <c r="A69" s="2">
        <f>IFERROR(__xludf.DUMMYFUNCTION("""COMPUTED_VALUE"""),44203.66666666667)</f>
        <v>44203.66667</v>
      </c>
      <c r="B69" s="1">
        <f>IFERROR(__xludf.DUMMYFUNCTION("""COMPUTED_VALUE"""),246.03)</f>
        <v>246.03</v>
      </c>
    </row>
    <row r="70">
      <c r="A70" s="2">
        <f>IFERROR(__xludf.DUMMYFUNCTION("""COMPUTED_VALUE"""),44204.66666666667)</f>
        <v>44204.66667</v>
      </c>
      <c r="B70" s="1">
        <f>IFERROR(__xludf.DUMMYFUNCTION("""COMPUTED_VALUE"""),244.96)</f>
        <v>244.96</v>
      </c>
    </row>
    <row r="71">
      <c r="A71" s="2">
        <f>IFERROR(__xludf.DUMMYFUNCTION("""COMPUTED_VALUE"""),44207.66666666667)</f>
        <v>44207.66667</v>
      </c>
      <c r="B71" s="1">
        <f>IFERROR(__xludf.DUMMYFUNCTION("""COMPUTED_VALUE"""),245.31)</f>
        <v>245.31</v>
      </c>
    </row>
    <row r="72">
      <c r="A72" s="2">
        <f>IFERROR(__xludf.DUMMYFUNCTION("""COMPUTED_VALUE"""),44208.66666666667)</f>
        <v>44208.66667</v>
      </c>
      <c r="B72" s="1">
        <f>IFERROR(__xludf.DUMMYFUNCTION("""COMPUTED_VALUE"""),249.04)</f>
        <v>249.04</v>
      </c>
    </row>
    <row r="73">
      <c r="A73" s="2">
        <f>IFERROR(__xludf.DUMMYFUNCTION("""COMPUTED_VALUE"""),44209.66666666667)</f>
        <v>44209.66667</v>
      </c>
      <c r="B73" s="1">
        <f>IFERROR(__xludf.DUMMYFUNCTION("""COMPUTED_VALUE"""),252.22)</f>
        <v>252.22</v>
      </c>
    </row>
    <row r="74">
      <c r="A74" s="2">
        <f>IFERROR(__xludf.DUMMYFUNCTION("""COMPUTED_VALUE"""),44210.66666666667)</f>
        <v>44210.66667</v>
      </c>
      <c r="B74" s="1">
        <f>IFERROR(__xludf.DUMMYFUNCTION("""COMPUTED_VALUE"""),256.27)</f>
        <v>256.27</v>
      </c>
    </row>
    <row r="75">
      <c r="A75" s="2">
        <f>IFERROR(__xludf.DUMMYFUNCTION("""COMPUTED_VALUE"""),44211.66666666667)</f>
        <v>44211.66667</v>
      </c>
      <c r="B75" s="1">
        <f>IFERROR(__xludf.DUMMYFUNCTION("""COMPUTED_VALUE"""),252.56)</f>
        <v>252.56</v>
      </c>
    </row>
    <row r="76">
      <c r="A76" s="2">
        <f>IFERROR(__xludf.DUMMYFUNCTION("""COMPUTED_VALUE"""),44215.66666666667)</f>
        <v>44215.66667</v>
      </c>
      <c r="B76" s="1">
        <f>IFERROR(__xludf.DUMMYFUNCTION("""COMPUTED_VALUE"""),249.52)</f>
        <v>249.52</v>
      </c>
    </row>
    <row r="77">
      <c r="A77" s="2">
        <f>IFERROR(__xludf.DUMMYFUNCTION("""COMPUTED_VALUE"""),44216.66666666667)</f>
        <v>44216.66667</v>
      </c>
      <c r="B77" s="1">
        <f>IFERROR(__xludf.DUMMYFUNCTION("""COMPUTED_VALUE"""),251.96)</f>
        <v>251.96</v>
      </c>
    </row>
    <row r="78">
      <c r="A78" s="2">
        <f>IFERROR(__xludf.DUMMYFUNCTION("""COMPUTED_VALUE"""),44217.66666666667)</f>
        <v>44217.66667</v>
      </c>
      <c r="B78" s="1">
        <f>IFERROR(__xludf.DUMMYFUNCTION("""COMPUTED_VALUE"""),253.94)</f>
        <v>253.94</v>
      </c>
    </row>
    <row r="79">
      <c r="A79" s="2">
        <f>IFERROR(__xludf.DUMMYFUNCTION("""COMPUTED_VALUE"""),44218.66666666667)</f>
        <v>44218.66667</v>
      </c>
      <c r="B79" s="1">
        <f>IFERROR(__xludf.DUMMYFUNCTION("""COMPUTED_VALUE"""),254.08)</f>
        <v>254.08</v>
      </c>
    </row>
    <row r="80">
      <c r="A80" s="2">
        <f>IFERROR(__xludf.DUMMYFUNCTION("""COMPUTED_VALUE"""),44221.66666666667)</f>
        <v>44221.66667</v>
      </c>
      <c r="B80" s="1">
        <f>IFERROR(__xludf.DUMMYFUNCTION("""COMPUTED_VALUE"""),253.48)</f>
        <v>253.48</v>
      </c>
    </row>
    <row r="81">
      <c r="A81" s="2">
        <f>IFERROR(__xludf.DUMMYFUNCTION("""COMPUTED_VALUE"""),44222.66666666667)</f>
        <v>44222.66667</v>
      </c>
      <c r="B81" s="1">
        <f>IFERROR(__xludf.DUMMYFUNCTION("""COMPUTED_VALUE"""),249.67)</f>
        <v>249.67</v>
      </c>
    </row>
    <row r="82">
      <c r="A82" s="2">
        <f>IFERROR(__xludf.DUMMYFUNCTION("""COMPUTED_VALUE"""),44223.66666666667)</f>
        <v>44223.66667</v>
      </c>
      <c r="B82" s="1">
        <f>IFERROR(__xludf.DUMMYFUNCTION("""COMPUTED_VALUE"""),242.83)</f>
        <v>242.83</v>
      </c>
    </row>
    <row r="83">
      <c r="A83" s="2">
        <f>IFERROR(__xludf.DUMMYFUNCTION("""COMPUTED_VALUE"""),44224.66666666667)</f>
        <v>44224.66667</v>
      </c>
      <c r="B83" s="1">
        <f>IFERROR(__xludf.DUMMYFUNCTION("""COMPUTED_VALUE"""),242.79)</f>
        <v>242.79</v>
      </c>
    </row>
    <row r="84">
      <c r="A84" s="2">
        <f>IFERROR(__xludf.DUMMYFUNCTION("""COMPUTED_VALUE"""),44225.66666666667)</f>
        <v>44225.66667</v>
      </c>
      <c r="B84" s="1">
        <f>IFERROR(__xludf.DUMMYFUNCTION("""COMPUTED_VALUE"""),235.34)</f>
        <v>235.34</v>
      </c>
    </row>
    <row r="85">
      <c r="A85" s="2">
        <f>IFERROR(__xludf.DUMMYFUNCTION("""COMPUTED_VALUE"""),44228.66666666667)</f>
        <v>44228.66667</v>
      </c>
      <c r="B85" s="1">
        <f>IFERROR(__xludf.DUMMYFUNCTION("""COMPUTED_VALUE"""),239.24)</f>
        <v>239.24</v>
      </c>
    </row>
    <row r="86">
      <c r="A86" s="2">
        <f>IFERROR(__xludf.DUMMYFUNCTION("""COMPUTED_VALUE"""),44229.66666666667)</f>
        <v>44229.66667</v>
      </c>
      <c r="B86" s="1">
        <f>IFERROR(__xludf.DUMMYFUNCTION("""COMPUTED_VALUE"""),242.5)</f>
        <v>242.5</v>
      </c>
    </row>
    <row r="87">
      <c r="A87" s="2">
        <f>IFERROR(__xludf.DUMMYFUNCTION("""COMPUTED_VALUE"""),44230.66666666667)</f>
        <v>44230.66667</v>
      </c>
      <c r="B87" s="1">
        <f>IFERROR(__xludf.DUMMYFUNCTION("""COMPUTED_VALUE"""),241.29)</f>
        <v>241.29</v>
      </c>
    </row>
    <row r="88">
      <c r="A88" s="2">
        <f>IFERROR(__xludf.DUMMYFUNCTION("""COMPUTED_VALUE"""),44231.66666666667)</f>
        <v>44231.66667</v>
      </c>
      <c r="B88" s="1">
        <f>IFERROR(__xludf.DUMMYFUNCTION("""COMPUTED_VALUE"""),248.12)</f>
        <v>248.12</v>
      </c>
    </row>
    <row r="89">
      <c r="A89" s="2">
        <f>IFERROR(__xludf.DUMMYFUNCTION("""COMPUTED_VALUE"""),44232.66666666667)</f>
        <v>44232.66667</v>
      </c>
      <c r="B89" s="1">
        <f>IFERROR(__xludf.DUMMYFUNCTION("""COMPUTED_VALUE"""),255.01)</f>
        <v>255.01</v>
      </c>
    </row>
    <row r="90">
      <c r="A90" s="2">
        <f>IFERROR(__xludf.DUMMYFUNCTION("""COMPUTED_VALUE"""),44235.66666666667)</f>
        <v>44235.66667</v>
      </c>
      <c r="B90" s="1">
        <f>IFERROR(__xludf.DUMMYFUNCTION("""COMPUTED_VALUE"""),257.45)</f>
        <v>257.45</v>
      </c>
    </row>
    <row r="91">
      <c r="A91" s="2">
        <f>IFERROR(__xludf.DUMMYFUNCTION("""COMPUTED_VALUE"""),44236.66666666667)</f>
        <v>44236.66667</v>
      </c>
      <c r="B91" s="1">
        <f>IFERROR(__xludf.DUMMYFUNCTION("""COMPUTED_VALUE"""),259.13)</f>
        <v>259.13</v>
      </c>
    </row>
    <row r="92">
      <c r="A92" s="2">
        <f>IFERROR(__xludf.DUMMYFUNCTION("""COMPUTED_VALUE"""),44237.66666666667)</f>
        <v>44237.66667</v>
      </c>
      <c r="B92" s="1">
        <f>IFERROR(__xludf.DUMMYFUNCTION("""COMPUTED_VALUE"""),257.46)</f>
        <v>257.46</v>
      </c>
    </row>
    <row r="93">
      <c r="A93" s="2">
        <f>IFERROR(__xludf.DUMMYFUNCTION("""COMPUTED_VALUE"""),44238.66666666667)</f>
        <v>44238.66667</v>
      </c>
      <c r="B93" s="1">
        <f>IFERROR(__xludf.DUMMYFUNCTION("""COMPUTED_VALUE"""),254.36)</f>
        <v>254.36</v>
      </c>
    </row>
    <row r="94">
      <c r="A94" s="2">
        <f>IFERROR(__xludf.DUMMYFUNCTION("""COMPUTED_VALUE"""),44239.66666666667)</f>
        <v>44239.66667</v>
      </c>
      <c r="B94" s="1">
        <f>IFERROR(__xludf.DUMMYFUNCTION("""COMPUTED_VALUE"""),263.0)</f>
        <v>263</v>
      </c>
    </row>
    <row r="95">
      <c r="A95" s="2">
        <f>IFERROR(__xludf.DUMMYFUNCTION("""COMPUTED_VALUE"""),44243.66666666667)</f>
        <v>44243.66667</v>
      </c>
      <c r="B95" s="1">
        <f>IFERROR(__xludf.DUMMYFUNCTION("""COMPUTED_VALUE"""),261.83)</f>
        <v>261.83</v>
      </c>
    </row>
    <row r="96">
      <c r="A96" s="2">
        <f>IFERROR(__xludf.DUMMYFUNCTION("""COMPUTED_VALUE"""),44244.66666666667)</f>
        <v>44244.66667</v>
      </c>
      <c r="B96" s="1">
        <f>IFERROR(__xludf.DUMMYFUNCTION("""COMPUTED_VALUE"""),259.09)</f>
        <v>259.09</v>
      </c>
    </row>
    <row r="97">
      <c r="A97" s="2">
        <f>IFERROR(__xludf.DUMMYFUNCTION("""COMPUTED_VALUE"""),44245.66666666667)</f>
        <v>44245.66667</v>
      </c>
      <c r="B97" s="1">
        <f>IFERROR(__xludf.DUMMYFUNCTION("""COMPUTED_VALUE"""),255.63)</f>
        <v>255.63</v>
      </c>
    </row>
    <row r="98">
      <c r="A98" s="2">
        <f>IFERROR(__xludf.DUMMYFUNCTION("""COMPUTED_VALUE"""),44246.66666666667)</f>
        <v>44246.66667</v>
      </c>
      <c r="B98" s="1">
        <f>IFERROR(__xludf.DUMMYFUNCTION("""COMPUTED_VALUE"""),254.64)</f>
        <v>254.64</v>
      </c>
    </row>
    <row r="99">
      <c r="A99" s="2">
        <f>IFERROR(__xludf.DUMMYFUNCTION("""COMPUTED_VALUE"""),44249.66666666667)</f>
        <v>44249.66667</v>
      </c>
      <c r="B99" s="1">
        <f>IFERROR(__xludf.DUMMYFUNCTION("""COMPUTED_VALUE"""),254.67)</f>
        <v>254.67</v>
      </c>
    </row>
    <row r="100">
      <c r="A100" s="2">
        <f>IFERROR(__xludf.DUMMYFUNCTION("""COMPUTED_VALUE"""),44250.66666666667)</f>
        <v>44250.66667</v>
      </c>
      <c r="B100" s="1">
        <f>IFERROR(__xludf.DUMMYFUNCTION("""COMPUTED_VALUE"""),254.63)</f>
        <v>254.63</v>
      </c>
    </row>
    <row r="101">
      <c r="A101" s="2">
        <f>IFERROR(__xludf.DUMMYFUNCTION("""COMPUTED_VALUE"""),44251.66666666667)</f>
        <v>44251.66667</v>
      </c>
      <c r="B101" s="1">
        <f>IFERROR(__xludf.DUMMYFUNCTION("""COMPUTED_VALUE"""),260.06)</f>
        <v>260.06</v>
      </c>
    </row>
    <row r="102">
      <c r="A102" s="2">
        <f>IFERROR(__xludf.DUMMYFUNCTION("""COMPUTED_VALUE"""),44252.66666666667)</f>
        <v>44252.66667</v>
      </c>
      <c r="B102" s="1">
        <f>IFERROR(__xludf.DUMMYFUNCTION("""COMPUTED_VALUE"""),254.22)</f>
        <v>254.22</v>
      </c>
    </row>
    <row r="103">
      <c r="A103" s="2">
        <f>IFERROR(__xludf.DUMMYFUNCTION("""COMPUTED_VALUE"""),44253.66666666667)</f>
        <v>44253.66667</v>
      </c>
      <c r="B103" s="1">
        <f>IFERROR(__xludf.DUMMYFUNCTION("""COMPUTED_VALUE"""),254.5)</f>
        <v>254.5</v>
      </c>
    </row>
    <row r="104">
      <c r="A104" s="2">
        <f>IFERROR(__xludf.DUMMYFUNCTION("""COMPUTED_VALUE"""),44256.66666666667)</f>
        <v>44256.66667</v>
      </c>
      <c r="B104" s="1">
        <f>IFERROR(__xludf.DUMMYFUNCTION("""COMPUTED_VALUE"""),262.09)</f>
        <v>262.09</v>
      </c>
    </row>
    <row r="105">
      <c r="A105" s="2">
        <f>IFERROR(__xludf.DUMMYFUNCTION("""COMPUTED_VALUE"""),44257.66666666667)</f>
        <v>44257.66667</v>
      </c>
      <c r="B105" s="1">
        <f>IFERROR(__xludf.DUMMYFUNCTION("""COMPUTED_VALUE"""),259.6)</f>
        <v>259.6</v>
      </c>
    </row>
    <row r="106">
      <c r="A106" s="2">
        <f>IFERROR(__xludf.DUMMYFUNCTION("""COMPUTED_VALUE"""),44258.66666666667)</f>
        <v>44258.66667</v>
      </c>
      <c r="B106" s="1">
        <f>IFERROR(__xludf.DUMMYFUNCTION("""COMPUTED_VALUE"""),258.77)</f>
        <v>258.77</v>
      </c>
    </row>
    <row r="107">
      <c r="A107" s="2">
        <f>IFERROR(__xludf.DUMMYFUNCTION("""COMPUTED_VALUE"""),44259.66666666667)</f>
        <v>44259.66667</v>
      </c>
      <c r="B107" s="1">
        <f>IFERROR(__xludf.DUMMYFUNCTION("""COMPUTED_VALUE"""),250.3)</f>
        <v>250.3</v>
      </c>
    </row>
    <row r="108">
      <c r="A108" s="2">
        <f>IFERROR(__xludf.DUMMYFUNCTION("""COMPUTED_VALUE"""),44260.66666666667)</f>
        <v>44260.66667</v>
      </c>
      <c r="B108" s="1">
        <f>IFERROR(__xludf.DUMMYFUNCTION("""COMPUTED_VALUE"""),257.29)</f>
        <v>257.29</v>
      </c>
    </row>
    <row r="109">
      <c r="A109" s="2">
        <f>IFERROR(__xludf.DUMMYFUNCTION("""COMPUTED_VALUE"""),44263.66666666667)</f>
        <v>44263.66667</v>
      </c>
      <c r="B109" s="1">
        <f>IFERROR(__xludf.DUMMYFUNCTION("""COMPUTED_VALUE"""),251.34)</f>
        <v>251.34</v>
      </c>
    </row>
    <row r="110">
      <c r="A110" s="2">
        <f>IFERROR(__xludf.DUMMYFUNCTION("""COMPUTED_VALUE"""),44264.66666666667)</f>
        <v>44264.66667</v>
      </c>
      <c r="B110" s="1">
        <f>IFERROR(__xludf.DUMMYFUNCTION("""COMPUTED_VALUE"""),257.92)</f>
        <v>257.92</v>
      </c>
    </row>
    <row r="111">
      <c r="A111" s="2">
        <f>IFERROR(__xludf.DUMMYFUNCTION("""COMPUTED_VALUE"""),44265.66666666667)</f>
        <v>44265.66667</v>
      </c>
      <c r="B111" s="1">
        <f>IFERROR(__xludf.DUMMYFUNCTION("""COMPUTED_VALUE"""),260.42)</f>
        <v>260.42</v>
      </c>
    </row>
    <row r="112">
      <c r="A112" s="2">
        <f>IFERROR(__xludf.DUMMYFUNCTION("""COMPUTED_VALUE"""),44266.66666666667)</f>
        <v>44266.66667</v>
      </c>
      <c r="B112" s="1">
        <f>IFERROR(__xludf.DUMMYFUNCTION("""COMPUTED_VALUE"""),268.49)</f>
        <v>268.49</v>
      </c>
    </row>
    <row r="113">
      <c r="A113" s="2">
        <f>IFERROR(__xludf.DUMMYFUNCTION("""COMPUTED_VALUE"""),44267.66666666667)</f>
        <v>44267.66667</v>
      </c>
      <c r="B113" s="1">
        <f>IFERROR(__xludf.DUMMYFUNCTION("""COMPUTED_VALUE"""),270.2)</f>
        <v>270.2</v>
      </c>
    </row>
    <row r="114">
      <c r="A114" s="2">
        <f>IFERROR(__xludf.DUMMYFUNCTION("""COMPUTED_VALUE"""),44270.66666666667)</f>
        <v>44270.66667</v>
      </c>
      <c r="B114" s="1">
        <f>IFERROR(__xludf.DUMMYFUNCTION("""COMPUTED_VALUE"""),266.88)</f>
        <v>266.88</v>
      </c>
    </row>
    <row r="115">
      <c r="A115" s="2">
        <f>IFERROR(__xludf.DUMMYFUNCTION("""COMPUTED_VALUE"""),44271.66666666667)</f>
        <v>44271.66667</v>
      </c>
      <c r="B115" s="1">
        <f>IFERROR(__xludf.DUMMYFUNCTION("""COMPUTED_VALUE"""),260.8)</f>
        <v>260.8</v>
      </c>
    </row>
    <row r="116">
      <c r="A116" s="2">
        <f>IFERROR(__xludf.DUMMYFUNCTION("""COMPUTED_VALUE"""),44272.66666666667)</f>
        <v>44272.66667</v>
      </c>
      <c r="B116" s="1">
        <f>IFERROR(__xludf.DUMMYFUNCTION("""COMPUTED_VALUE"""),265.84)</f>
        <v>265.84</v>
      </c>
    </row>
    <row r="117">
      <c r="A117" s="2">
        <f>IFERROR(__xludf.DUMMYFUNCTION("""COMPUTED_VALUE"""),44273.66666666667)</f>
        <v>44273.66667</v>
      </c>
      <c r="B117" s="1">
        <f>IFERROR(__xludf.DUMMYFUNCTION("""COMPUTED_VALUE"""),263.51)</f>
        <v>263.51</v>
      </c>
    </row>
    <row r="118">
      <c r="A118" s="2">
        <f>IFERROR(__xludf.DUMMYFUNCTION("""COMPUTED_VALUE"""),44274.66666666667)</f>
        <v>44274.66667</v>
      </c>
      <c r="B118" s="1">
        <f>IFERROR(__xludf.DUMMYFUNCTION("""COMPUTED_VALUE"""),279.58)</f>
        <v>279.58</v>
      </c>
    </row>
    <row r="119">
      <c r="A119" s="2">
        <f>IFERROR(__xludf.DUMMYFUNCTION("""COMPUTED_VALUE"""),44277.66666666667)</f>
        <v>44277.66667</v>
      </c>
      <c r="B119" s="1">
        <f>IFERROR(__xludf.DUMMYFUNCTION("""COMPUTED_VALUE"""),274.02)</f>
        <v>274.02</v>
      </c>
    </row>
    <row r="120">
      <c r="A120" s="2">
        <f>IFERROR(__xludf.DUMMYFUNCTION("""COMPUTED_VALUE"""),44278.66666666667)</f>
        <v>44278.66667</v>
      </c>
      <c r="B120" s="1">
        <f>IFERROR(__xludf.DUMMYFUNCTION("""COMPUTED_VALUE"""),266.81)</f>
        <v>266.81</v>
      </c>
    </row>
    <row r="121">
      <c r="A121" s="2">
        <f>IFERROR(__xludf.DUMMYFUNCTION("""COMPUTED_VALUE"""),44279.66666666667)</f>
        <v>44279.66667</v>
      </c>
      <c r="B121" s="1">
        <f>IFERROR(__xludf.DUMMYFUNCTION("""COMPUTED_VALUE"""),268.29)</f>
        <v>268.29</v>
      </c>
    </row>
    <row r="122">
      <c r="A122" s="2">
        <f>IFERROR(__xludf.DUMMYFUNCTION("""COMPUTED_VALUE"""),44280.66666666667)</f>
        <v>44280.66667</v>
      </c>
      <c r="B122" s="1">
        <f>IFERROR(__xludf.DUMMYFUNCTION("""COMPUTED_VALUE"""),274.18)</f>
        <v>274.18</v>
      </c>
    </row>
    <row r="123">
      <c r="A123" s="2">
        <f>IFERROR(__xludf.DUMMYFUNCTION("""COMPUTED_VALUE"""),44281.66666666667)</f>
        <v>44281.66667</v>
      </c>
      <c r="B123" s="1">
        <f>IFERROR(__xludf.DUMMYFUNCTION("""COMPUTED_VALUE"""),281.34)</f>
        <v>281.34</v>
      </c>
    </row>
    <row r="124">
      <c r="A124" s="2">
        <f>IFERROR(__xludf.DUMMYFUNCTION("""COMPUTED_VALUE"""),44284.66666666667)</f>
        <v>44284.66667</v>
      </c>
      <c r="B124" s="1">
        <f>IFERROR(__xludf.DUMMYFUNCTION("""COMPUTED_VALUE"""),279.22)</f>
        <v>279.22</v>
      </c>
    </row>
    <row r="125">
      <c r="A125" s="2">
        <f>IFERROR(__xludf.DUMMYFUNCTION("""COMPUTED_VALUE"""),44285.66666666667)</f>
        <v>44285.66667</v>
      </c>
      <c r="B125" s="1">
        <f>IFERROR(__xludf.DUMMYFUNCTION("""COMPUTED_VALUE"""),285.92)</f>
        <v>285.92</v>
      </c>
    </row>
    <row r="126">
      <c r="A126" s="2">
        <f>IFERROR(__xludf.DUMMYFUNCTION("""COMPUTED_VALUE"""),44286.66666666667)</f>
        <v>44286.66667</v>
      </c>
      <c r="B126" s="1">
        <f>IFERROR(__xludf.DUMMYFUNCTION("""COMPUTED_VALUE"""),284.04)</f>
        <v>284.04</v>
      </c>
    </row>
    <row r="127">
      <c r="A127" s="2">
        <f>IFERROR(__xludf.DUMMYFUNCTION("""COMPUTED_VALUE"""),44287.66666666667)</f>
        <v>44287.66667</v>
      </c>
      <c r="B127" s="1">
        <f>IFERROR(__xludf.DUMMYFUNCTION("""COMPUTED_VALUE"""),283.54)</f>
        <v>283.54</v>
      </c>
    </row>
    <row r="128">
      <c r="A128" s="2">
        <f>IFERROR(__xludf.DUMMYFUNCTION("""COMPUTED_VALUE"""),44291.66666666667)</f>
        <v>44291.66667</v>
      </c>
      <c r="B128" s="1">
        <f>IFERROR(__xludf.DUMMYFUNCTION("""COMPUTED_VALUE"""),281.57)</f>
        <v>281.57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IFERROR(__xludf.DUMMYFUNCTION("""COMPUTED_VALUE"""),282.17)</f>
        <v>282.17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IFERROR(__xludf.DUMMYFUNCTION("""COMPUTED_VALUE"""),279.11)</f>
        <v>279.11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IFERROR(__xludf.DUMMYFUNCTION("""COMPUTED_VALUE"""),284.44)</f>
        <v>284.44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IFERROR(__xludf.DUMMYFUNCTION("""COMPUTED_VALUE"""),286.58)</f>
        <v>286.58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IFERROR(__xludf.DUMMYFUNCTION("""COMPUTED_VALUE"""),290.79)</f>
        <v>290.79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IFERROR(__xludf.DUMMYFUNCTION("""COMPUTED_VALUE"""),290.89)</f>
        <v>290.89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IFERROR(__xludf.DUMMYFUNCTION("""COMPUTED_VALUE"""),287.81)</f>
        <v>287.81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IFERROR(__xludf.DUMMYFUNCTION("""COMPUTED_VALUE"""),291.2)</f>
        <v>291.2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IFERROR(__xludf.DUMMYFUNCTION("""COMPUTED_VALUE"""),287.59)</f>
        <v>287.59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IFERROR(__xludf.DUMMYFUNCTION("""COMPUTED_VALUE"""),283.25)</f>
        <v>283.25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IFERROR(__xludf.DUMMYFUNCTION("""COMPUTED_VALUE"""),280.34)</f>
        <v>280.34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IFERROR(__xludf.DUMMYFUNCTION("""COMPUTED_VALUE"""),278.26)</f>
        <v>278.26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IFERROR(__xludf.DUMMYFUNCTION("""COMPUTED_VALUE"""),276.54)</f>
        <v>276.54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IFERROR(__xludf.DUMMYFUNCTION("""COMPUTED_VALUE"""),277.74)</f>
        <v>277.74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IFERROR(__xludf.DUMMYFUNCTION("""COMPUTED_VALUE"""),275.76)</f>
        <v>275.76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IFERROR(__xludf.DUMMYFUNCTION("""COMPUTED_VALUE"""),287.51)</f>
        <v>287.51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IFERROR(__xludf.DUMMYFUNCTION("""COMPUTED_VALUE"""),287.39)</f>
        <v>287.39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IFERROR(__xludf.DUMMYFUNCTION("""COMPUTED_VALUE"""),296.06)</f>
        <v>296.06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IFERROR(__xludf.DUMMYFUNCTION("""COMPUTED_VALUE"""),290.31)</f>
        <v>290.31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IFERROR(__xludf.DUMMYFUNCTION("""COMPUTED_VALUE"""),304.55)</f>
        <v>304.55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IFERROR(__xludf.DUMMYFUNCTION("""COMPUTED_VALUE"""),304.28)</f>
        <v>304.28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IFERROR(__xludf.DUMMYFUNCTION("""COMPUTED_VALUE"""),306.53)</f>
        <v>306.53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IFERROR(__xludf.DUMMYFUNCTION("""COMPUTED_VALUE"""),310.96)</f>
        <v>310.96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IFERROR(__xludf.DUMMYFUNCTION("""COMPUTED_VALUE"""),314.69)</f>
        <v>314.69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IFERROR(__xludf.DUMMYFUNCTION("""COMPUTED_VALUE"""),309.27)</f>
        <v>309.27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IFERROR(__xludf.DUMMYFUNCTION("""COMPUTED_VALUE"""),305.64)</f>
        <v>305.64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IFERROR(__xludf.DUMMYFUNCTION("""COMPUTED_VALUE"""),296.01)</f>
        <v>296.01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IFERROR(__xludf.DUMMYFUNCTION("""COMPUTED_VALUE"""),303.4)</f>
        <v>303.4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IFERROR(__xludf.DUMMYFUNCTION("""COMPUTED_VALUE"""),309.43)</f>
        <v>309.43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IFERROR(__xludf.DUMMYFUNCTION("""COMPUTED_VALUE"""),309.26)</f>
        <v>309.26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IFERROR(__xludf.DUMMYFUNCTION("""COMPUTED_VALUE"""),306.05)</f>
        <v>306.05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IFERROR(__xludf.DUMMYFUNCTION("""COMPUTED_VALUE"""),307.93)</f>
        <v>307.93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IFERROR(__xludf.DUMMYFUNCTION("""COMPUTED_VALUE"""),309.05)</f>
        <v>309.05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IFERROR(__xludf.DUMMYFUNCTION("""COMPUTED_VALUE"""),309.6)</f>
        <v>309.6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IFERROR(__xludf.DUMMYFUNCTION("""COMPUTED_VALUE"""),311.84)</f>
        <v>311.84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IFERROR(__xludf.DUMMYFUNCTION("""COMPUTED_VALUE"""),308.59)</f>
        <v>308.59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IFERROR(__xludf.DUMMYFUNCTION("""COMPUTED_VALUE"""),310.75)</f>
        <v>310.75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IFERROR(__xludf.DUMMYFUNCTION("""COMPUTED_VALUE"""),315.59)</f>
        <v>315.59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IFERROR(__xludf.DUMMYFUNCTION("""COMPUTED_VALUE"""),314.81)</f>
        <v>314.81</v>
      </c>
    </row>
    <row r="168">
      <c r="A168" s="2">
        <f>IFERROR(__xludf.DUMMYFUNCTION("""COMPUTED_VALUE"""),44348.66666666667)</f>
        <v>44348.66667</v>
      </c>
      <c r="B168" s="1">
        <f>IFERROR(__xludf.DUMMYFUNCTION("""COMPUTED_VALUE"""),310.85)</f>
        <v>310.85</v>
      </c>
    </row>
    <row r="169">
      <c r="A169" s="2">
        <f>IFERROR(__xludf.DUMMYFUNCTION("""COMPUTED_VALUE"""),44349.66666666667)</f>
        <v>44349.66667</v>
      </c>
      <c r="B169" s="1">
        <f>IFERROR(__xludf.DUMMYFUNCTION("""COMPUTED_VALUE"""),306.57)</f>
        <v>306.57</v>
      </c>
    </row>
    <row r="170">
      <c r="A170" s="2">
        <f>IFERROR(__xludf.DUMMYFUNCTION("""COMPUTED_VALUE"""),44350.66666666667)</f>
        <v>44350.66667</v>
      </c>
      <c r="B170" s="1">
        <f>IFERROR(__xludf.DUMMYFUNCTION("""COMPUTED_VALUE"""),306.31)</f>
        <v>306.31</v>
      </c>
    </row>
    <row r="171">
      <c r="A171" s="2">
        <f>IFERROR(__xludf.DUMMYFUNCTION("""COMPUTED_VALUE"""),44351.66666666667)</f>
        <v>44351.66667</v>
      </c>
      <c r="B171" s="1">
        <f>IFERROR(__xludf.DUMMYFUNCTION("""COMPUTED_VALUE"""),302.12)</f>
        <v>302.12</v>
      </c>
    </row>
    <row r="172">
      <c r="A172" s="2">
        <f>IFERROR(__xludf.DUMMYFUNCTION("""COMPUTED_VALUE"""),44354.66666666667)</f>
        <v>44354.66667</v>
      </c>
      <c r="B172" s="1">
        <f>IFERROR(__xludf.DUMMYFUNCTION("""COMPUTED_VALUE"""),303.34)</f>
        <v>303.34</v>
      </c>
    </row>
    <row r="173">
      <c r="A173" s="2">
        <f>IFERROR(__xludf.DUMMYFUNCTION("""COMPUTED_VALUE"""),44355.66666666667)</f>
        <v>44355.66667</v>
      </c>
      <c r="B173" s="1">
        <f>IFERROR(__xludf.DUMMYFUNCTION("""COMPUTED_VALUE"""),302.58)</f>
        <v>302.58</v>
      </c>
    </row>
    <row r="174">
      <c r="A174" s="2">
        <f>IFERROR(__xludf.DUMMYFUNCTION("""COMPUTED_VALUE"""),44356.66666666667)</f>
        <v>44356.66667</v>
      </c>
      <c r="B174" s="1">
        <f>IFERROR(__xludf.DUMMYFUNCTION("""COMPUTED_VALUE"""),293.11)</f>
        <v>293.11</v>
      </c>
    </row>
    <row r="175">
      <c r="A175" s="2">
        <f>IFERROR(__xludf.DUMMYFUNCTION("""COMPUTED_VALUE"""),44357.66666666667)</f>
        <v>44357.66667</v>
      </c>
      <c r="B175" s="1">
        <f>IFERROR(__xludf.DUMMYFUNCTION("""COMPUTED_VALUE"""),292.84)</f>
        <v>292.84</v>
      </c>
    </row>
    <row r="176">
      <c r="A176" s="2">
        <f>IFERROR(__xludf.DUMMYFUNCTION("""COMPUTED_VALUE"""),44358.66666666667)</f>
        <v>44358.66667</v>
      </c>
      <c r="B176" s="1">
        <f>IFERROR(__xludf.DUMMYFUNCTION("""COMPUTED_VALUE"""),296.09)</f>
        <v>296.09</v>
      </c>
    </row>
    <row r="177">
      <c r="A177" s="2">
        <f>IFERROR(__xludf.DUMMYFUNCTION("""COMPUTED_VALUE"""),44361.66666666667)</f>
        <v>44361.66667</v>
      </c>
      <c r="B177" s="1">
        <f>IFERROR(__xludf.DUMMYFUNCTION("""COMPUTED_VALUE"""),292.99)</f>
        <v>292.99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IFERROR(__xludf.DUMMYFUNCTION("""COMPUTED_VALUE"""),299.3)</f>
        <v>299.3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IFERROR(__xludf.DUMMYFUNCTION("""COMPUTED_VALUE"""),294.68)</f>
        <v>294.68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IFERROR(__xludf.DUMMYFUNCTION("""COMPUTED_VALUE"""),287.57)</f>
        <v>287.57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IFERROR(__xludf.DUMMYFUNCTION("""COMPUTED_VALUE"""),285.32)</f>
        <v>285.32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IFERROR(__xludf.DUMMYFUNCTION("""COMPUTED_VALUE"""),293.16)</f>
        <v>293.16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IFERROR(__xludf.DUMMYFUNCTION("""COMPUTED_VALUE"""),297.69)</f>
        <v>297.69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IFERROR(__xludf.DUMMYFUNCTION("""COMPUTED_VALUE"""),297.37)</f>
        <v>297.37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IFERROR(__xludf.DUMMYFUNCTION("""COMPUTED_VALUE"""),303.69)</f>
        <v>303.69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IFERROR(__xludf.DUMMYFUNCTION("""COMPUTED_VALUE"""),291.95)</f>
        <v>291.95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IFERROR(__xludf.DUMMYFUNCTION("""COMPUTED_VALUE"""),293.99)</f>
        <v>293.99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IFERROR(__xludf.DUMMYFUNCTION("""COMPUTED_VALUE"""),297.89)</f>
        <v>297.89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IFERROR(__xludf.DUMMYFUNCTION("""COMPUTED_VALUE"""),298.33)</f>
        <v>298.33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IFERROR(__xludf.DUMMYFUNCTION("""COMPUTED_VALUE"""),299.12)</f>
        <v>299.12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IFERROR(__xludf.DUMMYFUNCTION("""COMPUTED_VALUE"""),299.38)</f>
        <v>299.38</v>
      </c>
    </row>
    <row r="192">
      <c r="A192" s="2">
        <f>IFERROR(__xludf.DUMMYFUNCTION("""COMPUTED_VALUE"""),44383.66666666667)</f>
        <v>44383.66667</v>
      </c>
      <c r="B192" s="1">
        <f>IFERROR(__xludf.DUMMYFUNCTION("""COMPUTED_VALUE"""),294.61)</f>
        <v>294.61</v>
      </c>
    </row>
    <row r="193">
      <c r="A193" s="2">
        <f>IFERROR(__xludf.DUMMYFUNCTION("""COMPUTED_VALUE"""),44384.66666666667)</f>
        <v>44384.66667</v>
      </c>
      <c r="B193" s="1">
        <f>IFERROR(__xludf.DUMMYFUNCTION("""COMPUTED_VALUE"""),293.55)</f>
        <v>293.55</v>
      </c>
    </row>
    <row r="194">
      <c r="A194" s="2">
        <f>IFERROR(__xludf.DUMMYFUNCTION("""COMPUTED_VALUE"""),44385.66666666667)</f>
        <v>44385.66667</v>
      </c>
      <c r="B194" s="1">
        <f>IFERROR(__xludf.DUMMYFUNCTION("""COMPUTED_VALUE"""),293.24)</f>
        <v>293.24</v>
      </c>
    </row>
    <row r="195">
      <c r="A195" s="2">
        <f>IFERROR(__xludf.DUMMYFUNCTION("""COMPUTED_VALUE"""),44386.66666666667)</f>
        <v>44386.66667</v>
      </c>
      <c r="B195" s="1">
        <f>IFERROR(__xludf.DUMMYFUNCTION("""COMPUTED_VALUE"""),296.4)</f>
        <v>296.4</v>
      </c>
    </row>
    <row r="196">
      <c r="A196" s="2">
        <f>IFERROR(__xludf.DUMMYFUNCTION("""COMPUTED_VALUE"""),44389.66666666667)</f>
        <v>44389.66667</v>
      </c>
      <c r="B196" s="1">
        <f>IFERROR(__xludf.DUMMYFUNCTION("""COMPUTED_VALUE"""),299.67)</f>
        <v>299.67</v>
      </c>
    </row>
    <row r="197">
      <c r="A197" s="2">
        <f>IFERROR(__xludf.DUMMYFUNCTION("""COMPUTED_VALUE"""),44390.66666666667)</f>
        <v>44390.66667</v>
      </c>
      <c r="B197" s="1">
        <f>IFERROR(__xludf.DUMMYFUNCTION("""COMPUTED_VALUE"""),299.08)</f>
        <v>299.08</v>
      </c>
    </row>
    <row r="198">
      <c r="A198" s="2">
        <f>IFERROR(__xludf.DUMMYFUNCTION("""COMPUTED_VALUE"""),44391.66666666667)</f>
        <v>44391.66667</v>
      </c>
      <c r="B198" s="1">
        <f>IFERROR(__xludf.DUMMYFUNCTION("""COMPUTED_VALUE"""),295.86)</f>
        <v>295.86</v>
      </c>
    </row>
    <row r="199">
      <c r="A199" s="2">
        <f>IFERROR(__xludf.DUMMYFUNCTION("""COMPUTED_VALUE"""),44392.66666666667)</f>
        <v>44392.66667</v>
      </c>
      <c r="B199" s="1">
        <f>IFERROR(__xludf.DUMMYFUNCTION("""COMPUTED_VALUE"""),296.08)</f>
        <v>296.08</v>
      </c>
    </row>
    <row r="200">
      <c r="A200" s="2">
        <f>IFERROR(__xludf.DUMMYFUNCTION("""COMPUTED_VALUE"""),44393.66666666667)</f>
        <v>44393.66667</v>
      </c>
      <c r="B200" s="1">
        <f>IFERROR(__xludf.DUMMYFUNCTION("""COMPUTED_VALUE"""),292.49)</f>
        <v>292.49</v>
      </c>
    </row>
    <row r="201">
      <c r="A201" s="2">
        <f>IFERROR(__xludf.DUMMYFUNCTION("""COMPUTED_VALUE"""),44396.66666666667)</f>
        <v>44396.66667</v>
      </c>
      <c r="B201" s="1">
        <f>IFERROR(__xludf.DUMMYFUNCTION("""COMPUTED_VALUE"""),294.82)</f>
        <v>294.82</v>
      </c>
    </row>
    <row r="202">
      <c r="A202" s="2">
        <f>IFERROR(__xludf.DUMMYFUNCTION("""COMPUTED_VALUE"""),44397.66666666667)</f>
        <v>44397.66667</v>
      </c>
      <c r="B202" s="1">
        <f>IFERROR(__xludf.DUMMYFUNCTION("""COMPUTED_VALUE"""),298.02)</f>
        <v>298.02</v>
      </c>
    </row>
    <row r="203">
      <c r="A203" s="2">
        <f>IFERROR(__xludf.DUMMYFUNCTION("""COMPUTED_VALUE"""),44398.66666666667)</f>
        <v>44398.66667</v>
      </c>
      <c r="B203" s="1">
        <f>IFERROR(__xludf.DUMMYFUNCTION("""COMPUTED_VALUE"""),298.35)</f>
        <v>298.35</v>
      </c>
    </row>
    <row r="204">
      <c r="A204" s="2">
        <f>IFERROR(__xludf.DUMMYFUNCTION("""COMPUTED_VALUE"""),44399.66666666667)</f>
        <v>44399.66667</v>
      </c>
      <c r="B204" s="1">
        <f>IFERROR(__xludf.DUMMYFUNCTION("""COMPUTED_VALUE"""),296.62)</f>
        <v>296.62</v>
      </c>
    </row>
    <row r="205">
      <c r="A205" s="2">
        <f>IFERROR(__xludf.DUMMYFUNCTION("""COMPUTED_VALUE"""),44400.66666666667)</f>
        <v>44400.66667</v>
      </c>
      <c r="B205" s="1">
        <f>IFERROR(__xludf.DUMMYFUNCTION("""COMPUTED_VALUE"""),297.07)</f>
        <v>297.07</v>
      </c>
    </row>
    <row r="206">
      <c r="A206" s="2">
        <f>IFERROR(__xludf.DUMMYFUNCTION("""COMPUTED_VALUE"""),44403.66666666667)</f>
        <v>44403.66667</v>
      </c>
      <c r="B206" s="1">
        <f>IFERROR(__xludf.DUMMYFUNCTION("""COMPUTED_VALUE"""),297.5)</f>
        <v>297.5</v>
      </c>
    </row>
    <row r="207">
      <c r="A207" s="2">
        <f>IFERROR(__xludf.DUMMYFUNCTION("""COMPUTED_VALUE"""),44404.66666666667)</f>
        <v>44404.66667</v>
      </c>
      <c r="B207" s="1">
        <f>IFERROR(__xludf.DUMMYFUNCTION("""COMPUTED_VALUE"""),282.63)</f>
        <v>282.63</v>
      </c>
    </row>
    <row r="208">
      <c r="A208" s="2">
        <f>IFERROR(__xludf.DUMMYFUNCTION("""COMPUTED_VALUE"""),44405.66666666667)</f>
        <v>44405.66667</v>
      </c>
      <c r="B208" s="1">
        <f>IFERROR(__xludf.DUMMYFUNCTION("""COMPUTED_VALUE"""),281.83)</f>
        <v>281.83</v>
      </c>
    </row>
    <row r="209">
      <c r="A209" s="2">
        <f>IFERROR(__xludf.DUMMYFUNCTION("""COMPUTED_VALUE"""),44406.66666666667)</f>
        <v>44406.66667</v>
      </c>
      <c r="B209" s="1">
        <f>IFERROR(__xludf.DUMMYFUNCTION("""COMPUTED_VALUE"""),281.92)</f>
        <v>281.92</v>
      </c>
    </row>
    <row r="210">
      <c r="A210" s="2">
        <f>IFERROR(__xludf.DUMMYFUNCTION("""COMPUTED_VALUE"""),44407.66666666667)</f>
        <v>44407.66667</v>
      </c>
      <c r="B210" s="1">
        <f>IFERROR(__xludf.DUMMYFUNCTION("""COMPUTED_VALUE"""),279.95)</f>
        <v>279.95</v>
      </c>
    </row>
    <row r="211">
      <c r="A211" s="2">
        <f>IFERROR(__xludf.DUMMYFUNCTION("""COMPUTED_VALUE"""),44410.66666666667)</f>
        <v>44410.66667</v>
      </c>
      <c r="B211" s="1">
        <f>IFERROR(__xludf.DUMMYFUNCTION("""COMPUTED_VALUE"""),276.16)</f>
        <v>276.16</v>
      </c>
    </row>
    <row r="212">
      <c r="A212" s="2">
        <f>IFERROR(__xludf.DUMMYFUNCTION("""COMPUTED_VALUE"""),44411.66666666667)</f>
        <v>44411.66667</v>
      </c>
      <c r="B212" s="1">
        <f>IFERROR(__xludf.DUMMYFUNCTION("""COMPUTED_VALUE"""),280.81)</f>
        <v>280.81</v>
      </c>
    </row>
    <row r="213">
      <c r="A213" s="2">
        <f>IFERROR(__xludf.DUMMYFUNCTION("""COMPUTED_VALUE"""),44412.66666666667)</f>
        <v>44412.66667</v>
      </c>
      <c r="B213" s="1">
        <f>IFERROR(__xludf.DUMMYFUNCTION("""COMPUTED_VALUE"""),275.12)</f>
        <v>275.12</v>
      </c>
    </row>
    <row r="214">
      <c r="A214" s="2">
        <f>IFERROR(__xludf.DUMMYFUNCTION("""COMPUTED_VALUE"""),44413.66666666667)</f>
        <v>44413.66667</v>
      </c>
      <c r="B214" s="1">
        <f>IFERROR(__xludf.DUMMYFUNCTION("""COMPUTED_VALUE"""),275.8)</f>
        <v>275.8</v>
      </c>
    </row>
    <row r="215">
      <c r="A215" s="2">
        <f>IFERROR(__xludf.DUMMYFUNCTION("""COMPUTED_VALUE"""),44414.66666666667)</f>
        <v>44414.66667</v>
      </c>
      <c r="B215" s="1">
        <f>IFERROR(__xludf.DUMMYFUNCTION("""COMPUTED_VALUE"""),276.27)</f>
        <v>276.27</v>
      </c>
    </row>
    <row r="216">
      <c r="A216" s="2">
        <f>IFERROR(__xludf.DUMMYFUNCTION("""COMPUTED_VALUE"""),44417.66666666667)</f>
        <v>44417.66667</v>
      </c>
      <c r="B216" s="1">
        <f>IFERROR(__xludf.DUMMYFUNCTION("""COMPUTED_VALUE"""),272.67)</f>
        <v>272.67</v>
      </c>
    </row>
    <row r="217">
      <c r="A217" s="2">
        <f>IFERROR(__xludf.DUMMYFUNCTION("""COMPUTED_VALUE"""),44418.66666666667)</f>
        <v>44418.66667</v>
      </c>
      <c r="B217" s="1">
        <f>IFERROR(__xludf.DUMMYFUNCTION("""COMPUTED_VALUE"""),271.26)</f>
        <v>271.26</v>
      </c>
    </row>
    <row r="218">
      <c r="A218" s="2">
        <f>IFERROR(__xludf.DUMMYFUNCTION("""COMPUTED_VALUE"""),44419.66666666667)</f>
        <v>44419.66667</v>
      </c>
      <c r="B218" s="1">
        <f>IFERROR(__xludf.DUMMYFUNCTION("""COMPUTED_VALUE"""),276.27)</f>
        <v>276.27</v>
      </c>
    </row>
    <row r="219">
      <c r="A219" s="2">
        <f>IFERROR(__xludf.DUMMYFUNCTION("""COMPUTED_VALUE"""),44420.66666666667)</f>
        <v>44420.66667</v>
      </c>
      <c r="B219" s="1">
        <f>IFERROR(__xludf.DUMMYFUNCTION("""COMPUTED_VALUE"""),276.1)</f>
        <v>276.1</v>
      </c>
    </row>
    <row r="220">
      <c r="A220" s="2">
        <f>IFERROR(__xludf.DUMMYFUNCTION("""COMPUTED_VALUE"""),44421.66666666667)</f>
        <v>44421.66667</v>
      </c>
      <c r="B220" s="1">
        <f>IFERROR(__xludf.DUMMYFUNCTION("""COMPUTED_VALUE"""),277.18)</f>
        <v>277.18</v>
      </c>
    </row>
    <row r="221">
      <c r="A221" s="2">
        <f>IFERROR(__xludf.DUMMYFUNCTION("""COMPUTED_VALUE"""),44424.66666666667)</f>
        <v>44424.66667</v>
      </c>
      <c r="B221" s="1">
        <f>IFERROR(__xludf.DUMMYFUNCTION("""COMPUTED_VALUE"""),281.66)</f>
        <v>281.66</v>
      </c>
    </row>
    <row r="222">
      <c r="A222" s="2">
        <f>IFERROR(__xludf.DUMMYFUNCTION("""COMPUTED_VALUE"""),44425.66666666667)</f>
        <v>44425.66667</v>
      </c>
      <c r="B222" s="1">
        <f>IFERROR(__xludf.DUMMYFUNCTION("""COMPUTED_VALUE"""),277.86)</f>
        <v>277.86</v>
      </c>
    </row>
    <row r="223">
      <c r="A223" s="2">
        <f>IFERROR(__xludf.DUMMYFUNCTION("""COMPUTED_VALUE"""),44426.66666666667)</f>
        <v>44426.66667</v>
      </c>
      <c r="B223" s="1">
        <f>IFERROR(__xludf.DUMMYFUNCTION("""COMPUTED_VALUE"""),272.76)</f>
        <v>272.76</v>
      </c>
    </row>
    <row r="224">
      <c r="A224" s="2">
        <f>IFERROR(__xludf.DUMMYFUNCTION("""COMPUTED_VALUE"""),44427.66666666667)</f>
        <v>44427.66667</v>
      </c>
      <c r="B224" s="1">
        <f>IFERROR(__xludf.DUMMYFUNCTION("""COMPUTED_VALUE"""),267.56)</f>
        <v>267.56</v>
      </c>
    </row>
    <row r="225">
      <c r="A225" s="2">
        <f>IFERROR(__xludf.DUMMYFUNCTION("""COMPUTED_VALUE"""),44428.66666666667)</f>
        <v>44428.66667</v>
      </c>
      <c r="B225" s="1">
        <f>IFERROR(__xludf.DUMMYFUNCTION("""COMPUTED_VALUE"""),266.55)</f>
        <v>266.55</v>
      </c>
    </row>
    <row r="226">
      <c r="A226" s="2">
        <f>IFERROR(__xludf.DUMMYFUNCTION("""COMPUTED_VALUE"""),44431.66666666667)</f>
        <v>44431.66667</v>
      </c>
      <c r="B226" s="1">
        <f>IFERROR(__xludf.DUMMYFUNCTION("""COMPUTED_VALUE"""),266.9)</f>
        <v>266.9</v>
      </c>
    </row>
    <row r="227">
      <c r="A227" s="2">
        <f>IFERROR(__xludf.DUMMYFUNCTION("""COMPUTED_VALUE"""),44432.66666666667)</f>
        <v>44432.66667</v>
      </c>
      <c r="B227" s="1">
        <f>IFERROR(__xludf.DUMMYFUNCTION("""COMPUTED_VALUE"""),267.81)</f>
        <v>267.81</v>
      </c>
    </row>
    <row r="228">
      <c r="A228" s="2">
        <f>IFERROR(__xludf.DUMMYFUNCTION("""COMPUTED_VALUE"""),44433.66666666667)</f>
        <v>44433.66667</v>
      </c>
      <c r="B228" s="1">
        <f>IFERROR(__xludf.DUMMYFUNCTION("""COMPUTED_VALUE"""),270.37)</f>
        <v>270.37</v>
      </c>
    </row>
    <row r="229">
      <c r="A229" s="2">
        <f>IFERROR(__xludf.DUMMYFUNCTION("""COMPUTED_VALUE"""),44434.66666666667)</f>
        <v>44434.66667</v>
      </c>
      <c r="B229" s="1">
        <f>IFERROR(__xludf.DUMMYFUNCTION("""COMPUTED_VALUE"""),267.46)</f>
        <v>267.46</v>
      </c>
    </row>
    <row r="230">
      <c r="A230" s="2">
        <f>IFERROR(__xludf.DUMMYFUNCTION("""COMPUTED_VALUE"""),44435.66666666667)</f>
        <v>44435.66667</v>
      </c>
      <c r="B230" s="1">
        <f>IFERROR(__xludf.DUMMYFUNCTION("""COMPUTED_VALUE"""),267.9)</f>
        <v>267.9</v>
      </c>
    </row>
    <row r="231">
      <c r="A231" s="2">
        <f>IFERROR(__xludf.DUMMYFUNCTION("""COMPUTED_VALUE"""),44438.66666666667)</f>
        <v>44438.66667</v>
      </c>
      <c r="B231" s="1">
        <f>IFERROR(__xludf.DUMMYFUNCTION("""COMPUTED_VALUE"""),265.54)</f>
        <v>265.54</v>
      </c>
    </row>
    <row r="232">
      <c r="A232" s="2">
        <f>IFERROR(__xludf.DUMMYFUNCTION("""COMPUTED_VALUE"""),44439.66666666667)</f>
        <v>44439.66667</v>
      </c>
      <c r="B232" s="1">
        <f>IFERROR(__xludf.DUMMYFUNCTION("""COMPUTED_VALUE"""),265.69)</f>
        <v>265.69</v>
      </c>
    </row>
    <row r="233">
      <c r="A233" s="2">
        <f>IFERROR(__xludf.DUMMYFUNCTION("""COMPUTED_VALUE"""),44440.66666666667)</f>
        <v>44440.66667</v>
      </c>
      <c r="B233" s="1">
        <f>IFERROR(__xludf.DUMMYFUNCTION("""COMPUTED_VALUE"""),265.93)</f>
        <v>265.93</v>
      </c>
    </row>
    <row r="234">
      <c r="A234" s="2">
        <f>IFERROR(__xludf.DUMMYFUNCTION("""COMPUTED_VALUE"""),44441.66666666667)</f>
        <v>44441.66667</v>
      </c>
      <c r="B234" s="1">
        <f>IFERROR(__xludf.DUMMYFUNCTION("""COMPUTED_VALUE"""),267.09)</f>
        <v>267.09</v>
      </c>
    </row>
    <row r="235">
      <c r="A235" s="2">
        <f>IFERROR(__xludf.DUMMYFUNCTION("""COMPUTED_VALUE"""),44442.66666666667)</f>
        <v>44442.66667</v>
      </c>
      <c r="B235" s="1">
        <f>IFERROR(__xludf.DUMMYFUNCTION("""COMPUTED_VALUE"""),266.04)</f>
        <v>266.04</v>
      </c>
    </row>
    <row r="236">
      <c r="A236" s="2">
        <f>IFERROR(__xludf.DUMMYFUNCTION("""COMPUTED_VALUE"""),44446.66666666667)</f>
        <v>44446.66667</v>
      </c>
      <c r="B236" s="1">
        <f>IFERROR(__xludf.DUMMYFUNCTION("""COMPUTED_VALUE"""),263.64)</f>
        <v>263.64</v>
      </c>
    </row>
    <row r="237">
      <c r="A237" s="2">
        <f>IFERROR(__xludf.DUMMYFUNCTION("""COMPUTED_VALUE"""),44447.66666666667)</f>
        <v>44447.66667</v>
      </c>
      <c r="B237" s="1">
        <f>IFERROR(__xludf.DUMMYFUNCTION("""COMPUTED_VALUE"""),261.02)</f>
        <v>261.02</v>
      </c>
    </row>
    <row r="238">
      <c r="A238" s="2">
        <f>IFERROR(__xludf.DUMMYFUNCTION("""COMPUTED_VALUE"""),44448.66666666667)</f>
        <v>44448.66667</v>
      </c>
      <c r="B238" s="1">
        <f>IFERROR(__xludf.DUMMYFUNCTION("""COMPUTED_VALUE"""),259.22)</f>
        <v>259.22</v>
      </c>
    </row>
    <row r="239">
      <c r="A239" s="2">
        <f>IFERROR(__xludf.DUMMYFUNCTION("""COMPUTED_VALUE"""),44449.66666666667)</f>
        <v>44449.66667</v>
      </c>
      <c r="B239" s="1">
        <f>IFERROR(__xludf.DUMMYFUNCTION("""COMPUTED_VALUE"""),257.55)</f>
        <v>257.55</v>
      </c>
    </row>
    <row r="240">
      <c r="A240" s="2">
        <f>IFERROR(__xludf.DUMMYFUNCTION("""COMPUTED_VALUE"""),44452.66666666667)</f>
        <v>44452.66667</v>
      </c>
      <c r="B240" s="1">
        <f>IFERROR(__xludf.DUMMYFUNCTION("""COMPUTED_VALUE"""),261.86)</f>
        <v>261.86</v>
      </c>
    </row>
    <row r="241">
      <c r="A241" s="2">
        <f>IFERROR(__xludf.DUMMYFUNCTION("""COMPUTED_VALUE"""),44453.66666666667)</f>
        <v>44453.66667</v>
      </c>
      <c r="B241" s="1">
        <f>IFERROR(__xludf.DUMMYFUNCTION("""COMPUTED_VALUE"""),255.2)</f>
        <v>255.2</v>
      </c>
    </row>
    <row r="242">
      <c r="A242" s="2">
        <f>IFERROR(__xludf.DUMMYFUNCTION("""COMPUTED_VALUE"""),44454.66666666667)</f>
        <v>44454.66667</v>
      </c>
      <c r="B242" s="1">
        <f>IFERROR(__xludf.DUMMYFUNCTION("""COMPUTED_VALUE"""),256.59)</f>
        <v>256.59</v>
      </c>
    </row>
    <row r="243">
      <c r="A243" s="2">
        <f>IFERROR(__xludf.DUMMYFUNCTION("""COMPUTED_VALUE"""),44455.66666666667)</f>
        <v>44455.66667</v>
      </c>
      <c r="B243" s="1">
        <f>IFERROR(__xludf.DUMMYFUNCTION("""COMPUTED_VALUE"""),258.38)</f>
        <v>258.38</v>
      </c>
    </row>
    <row r="244">
      <c r="A244" s="2">
        <f>IFERROR(__xludf.DUMMYFUNCTION("""COMPUTED_VALUE"""),44456.66666666667)</f>
        <v>44456.66667</v>
      </c>
      <c r="B244" s="1">
        <f>IFERROR(__xludf.DUMMYFUNCTION("""COMPUTED_VALUE"""),255.22)</f>
        <v>255.22</v>
      </c>
    </row>
    <row r="245">
      <c r="A245" s="2">
        <f>IFERROR(__xludf.DUMMYFUNCTION("""COMPUTED_VALUE"""),44459.66666666667)</f>
        <v>44459.66667</v>
      </c>
      <c r="B245" s="1">
        <f>IFERROR(__xludf.DUMMYFUNCTION("""COMPUTED_VALUE"""),250.8)</f>
        <v>250.8</v>
      </c>
    </row>
    <row r="246">
      <c r="A246" s="2">
        <f>IFERROR(__xludf.DUMMYFUNCTION("""COMPUTED_VALUE"""),44460.66666666667)</f>
        <v>44460.66667</v>
      </c>
      <c r="B246" s="1">
        <f>IFERROR(__xludf.DUMMYFUNCTION("""COMPUTED_VALUE"""),252.07)</f>
        <v>252.07</v>
      </c>
    </row>
    <row r="247">
      <c r="A247" s="2">
        <f>IFERROR(__xludf.DUMMYFUNCTION("""COMPUTED_VALUE"""),44461.66666666667)</f>
        <v>44461.66667</v>
      </c>
      <c r="B247" s="1">
        <f>IFERROR(__xludf.DUMMYFUNCTION("""COMPUTED_VALUE"""),229.08)</f>
        <v>229.08</v>
      </c>
    </row>
    <row r="248">
      <c r="A248" s="2">
        <f>IFERROR(__xludf.DUMMYFUNCTION("""COMPUTED_VALUE"""),44462.66666666667)</f>
        <v>44462.66667</v>
      </c>
      <c r="B248" s="1">
        <f>IFERROR(__xludf.DUMMYFUNCTION("""COMPUTED_VALUE"""),228.92)</f>
        <v>228.92</v>
      </c>
    </row>
    <row r="249">
      <c r="A249" s="2">
        <f>IFERROR(__xludf.DUMMYFUNCTION("""COMPUTED_VALUE"""),44463.66666666667)</f>
        <v>44463.66667</v>
      </c>
      <c r="B249" s="1">
        <f>IFERROR(__xludf.DUMMYFUNCTION("""COMPUTED_VALUE"""),226.64)</f>
        <v>226.64</v>
      </c>
    </row>
    <row r="250">
      <c r="A250" s="2">
        <f>IFERROR(__xludf.DUMMYFUNCTION("""COMPUTED_VALUE"""),44466.66666666667)</f>
        <v>44466.66667</v>
      </c>
      <c r="B250" s="1">
        <f>IFERROR(__xludf.DUMMYFUNCTION("""COMPUTED_VALUE"""),226.51)</f>
        <v>226.51</v>
      </c>
    </row>
    <row r="251">
      <c r="A251" s="2">
        <f>IFERROR(__xludf.DUMMYFUNCTION("""COMPUTED_VALUE"""),44467.66666666667)</f>
        <v>44467.66667</v>
      </c>
      <c r="B251" s="1">
        <f>IFERROR(__xludf.DUMMYFUNCTION("""COMPUTED_VALUE"""),222.4)</f>
        <v>222.4</v>
      </c>
    </row>
    <row r="252">
      <c r="A252" s="2">
        <f>IFERROR(__xludf.DUMMYFUNCTION("""COMPUTED_VALUE"""),44468.66666666667)</f>
        <v>44468.66667</v>
      </c>
      <c r="B252" s="1">
        <f>IFERROR(__xludf.DUMMYFUNCTION("""COMPUTED_VALUE"""),221.09)</f>
        <v>221.09</v>
      </c>
    </row>
    <row r="253">
      <c r="A253" s="2">
        <f>IFERROR(__xludf.DUMMYFUNCTION("""COMPUTED_VALUE"""),44469.66666666667)</f>
        <v>44469.66667</v>
      </c>
      <c r="B253" s="1">
        <f>IFERROR(__xludf.DUMMYFUNCTION("""COMPUTED_VALUE"""),219.29)</f>
        <v>219.29</v>
      </c>
    </row>
    <row r="254">
      <c r="A254" s="2">
        <f>IFERROR(__xludf.DUMMYFUNCTION("""COMPUTED_VALUE"""),44470.66666666667)</f>
        <v>44470.66667</v>
      </c>
      <c r="B254" s="1">
        <f>IFERROR(__xludf.DUMMYFUNCTION("""COMPUTED_VALUE"""),222.53)</f>
        <v>222.53</v>
      </c>
    </row>
    <row r="255">
      <c r="A255" s="2">
        <f>IFERROR(__xludf.DUMMYFUNCTION("""COMPUTED_VALUE"""),44473.66666666667)</f>
        <v>44473.66667</v>
      </c>
      <c r="B255" s="1">
        <f>IFERROR(__xludf.DUMMYFUNCTION("""COMPUTED_VALUE"""),217.87)</f>
        <v>217.87</v>
      </c>
    </row>
    <row r="256">
      <c r="A256" s="2">
        <f>IFERROR(__xludf.DUMMYFUNCTION("""COMPUTED_VALUE"""),44474.66666666667)</f>
        <v>44474.66667</v>
      </c>
      <c r="B256" s="1">
        <f>IFERROR(__xludf.DUMMYFUNCTION("""COMPUTED_VALUE"""),224.27)</f>
        <v>224.27</v>
      </c>
    </row>
    <row r="257">
      <c r="A257" s="2">
        <f>IFERROR(__xludf.DUMMYFUNCTION("""COMPUTED_VALUE"""),44475.66666666667)</f>
        <v>44475.66667</v>
      </c>
      <c r="B257" s="1">
        <f>IFERROR(__xludf.DUMMYFUNCTION("""COMPUTED_VALUE"""),224.2)</f>
        <v>224.2</v>
      </c>
    </row>
    <row r="258">
      <c r="A258" s="2">
        <f>IFERROR(__xludf.DUMMYFUNCTION("""COMPUTED_VALUE"""),44476.66666666667)</f>
        <v>44476.66667</v>
      </c>
      <c r="B258" s="1">
        <f>IFERROR(__xludf.DUMMYFUNCTION("""COMPUTED_VALUE"""),222.95)</f>
        <v>222.95</v>
      </c>
    </row>
    <row r="259">
      <c r="A259" s="2">
        <f>IFERROR(__xludf.DUMMYFUNCTION("""COMPUTED_VALUE"""),44477.66666666667)</f>
        <v>44477.66667</v>
      </c>
      <c r="B259" s="1">
        <f>IFERROR(__xludf.DUMMYFUNCTION("""COMPUTED_VALUE"""),223.44)</f>
        <v>223.44</v>
      </c>
    </row>
    <row r="260">
      <c r="A260" s="2">
        <f>IFERROR(__xludf.DUMMYFUNCTION("""COMPUTED_VALUE"""),44480.66666666667)</f>
        <v>44480.66667</v>
      </c>
      <c r="B260" s="1">
        <f>IFERROR(__xludf.DUMMYFUNCTION("""COMPUTED_VALUE"""),219.82)</f>
        <v>219.82</v>
      </c>
    </row>
    <row r="261">
      <c r="A261" s="2">
        <f>IFERROR(__xludf.DUMMYFUNCTION("""COMPUTED_VALUE"""),44481.66666666667)</f>
        <v>44481.66667</v>
      </c>
      <c r="B261" s="1">
        <f>IFERROR(__xludf.DUMMYFUNCTION("""COMPUTED_VALUE"""),221.32)</f>
        <v>221.32</v>
      </c>
    </row>
    <row r="262">
      <c r="A262" s="2">
        <f>IFERROR(__xludf.DUMMYFUNCTION("""COMPUTED_VALUE"""),44482.66666666667)</f>
        <v>44482.66667</v>
      </c>
      <c r="B262" s="1">
        <f>IFERROR(__xludf.DUMMYFUNCTION("""COMPUTED_VALUE"""),223.73)</f>
        <v>223.73</v>
      </c>
    </row>
    <row r="263">
      <c r="A263" s="2">
        <f>IFERROR(__xludf.DUMMYFUNCTION("""COMPUTED_VALUE"""),44483.66666666667)</f>
        <v>44483.66667</v>
      </c>
      <c r="B263" s="1">
        <f>IFERROR(__xludf.DUMMYFUNCTION("""COMPUTED_VALUE"""),227.45)</f>
        <v>227.45</v>
      </c>
    </row>
    <row r="264">
      <c r="A264" s="2">
        <f>IFERROR(__xludf.DUMMYFUNCTION("""COMPUTED_VALUE"""),44484.66666666667)</f>
        <v>44484.66667</v>
      </c>
      <c r="B264" s="1">
        <f>IFERROR(__xludf.DUMMYFUNCTION("""COMPUTED_VALUE"""),229.12)</f>
        <v>229.12</v>
      </c>
    </row>
    <row r="265">
      <c r="A265" s="2">
        <f>IFERROR(__xludf.DUMMYFUNCTION("""COMPUTED_VALUE"""),44487.66666666667)</f>
        <v>44487.66667</v>
      </c>
      <c r="B265" s="1">
        <f>IFERROR(__xludf.DUMMYFUNCTION("""COMPUTED_VALUE"""),227.98)</f>
        <v>227.98</v>
      </c>
    </row>
    <row r="266">
      <c r="A266" s="2">
        <f>IFERROR(__xludf.DUMMYFUNCTION("""COMPUTED_VALUE"""),44488.66666666667)</f>
        <v>44488.66667</v>
      </c>
      <c r="B266" s="1">
        <f>IFERROR(__xludf.DUMMYFUNCTION("""COMPUTED_VALUE"""),229.32)</f>
        <v>229.32</v>
      </c>
    </row>
    <row r="267">
      <c r="A267" s="2">
        <f>IFERROR(__xludf.DUMMYFUNCTION("""COMPUTED_VALUE"""),44489.66666666667)</f>
        <v>44489.66667</v>
      </c>
      <c r="B267" s="1">
        <f>IFERROR(__xludf.DUMMYFUNCTION("""COMPUTED_VALUE"""),231.3)</f>
        <v>231.3</v>
      </c>
    </row>
    <row r="268">
      <c r="A268" s="2">
        <f>IFERROR(__xludf.DUMMYFUNCTION("""COMPUTED_VALUE"""),44490.66666666667)</f>
        <v>44490.66667</v>
      </c>
      <c r="B268" s="1">
        <f>IFERROR(__xludf.DUMMYFUNCTION("""COMPUTED_VALUE"""),232.84)</f>
        <v>232.84</v>
      </c>
    </row>
    <row r="269">
      <c r="A269" s="2">
        <f>IFERROR(__xludf.DUMMYFUNCTION("""COMPUTED_VALUE"""),44491.66666666667)</f>
        <v>44491.66667</v>
      </c>
      <c r="B269" s="1">
        <f>IFERROR(__xludf.DUMMYFUNCTION("""COMPUTED_VALUE"""),232.98)</f>
        <v>232.98</v>
      </c>
    </row>
    <row r="270">
      <c r="A270" s="2">
        <f>IFERROR(__xludf.DUMMYFUNCTION("""COMPUTED_VALUE"""),44494.66666666667)</f>
        <v>44494.66667</v>
      </c>
      <c r="B270" s="1">
        <f>IFERROR(__xludf.DUMMYFUNCTION("""COMPUTED_VALUE"""),235.4)</f>
        <v>235.4</v>
      </c>
    </row>
    <row r="271">
      <c r="A271" s="2">
        <f>IFERROR(__xludf.DUMMYFUNCTION("""COMPUTED_VALUE"""),44495.66666666667)</f>
        <v>44495.66667</v>
      </c>
      <c r="B271" s="1">
        <f>IFERROR(__xludf.DUMMYFUNCTION("""COMPUTED_VALUE"""),237.83)</f>
        <v>237.83</v>
      </c>
    </row>
    <row r="272">
      <c r="A272" s="2">
        <f>IFERROR(__xludf.DUMMYFUNCTION("""COMPUTED_VALUE"""),44496.66666666667)</f>
        <v>44496.66667</v>
      </c>
      <c r="B272" s="1">
        <f>IFERROR(__xludf.DUMMYFUNCTION("""COMPUTED_VALUE"""),235.29)</f>
        <v>235.29</v>
      </c>
    </row>
    <row r="273">
      <c r="A273" s="2">
        <f>IFERROR(__xludf.DUMMYFUNCTION("""COMPUTED_VALUE"""),44497.66666666667)</f>
        <v>44497.66667</v>
      </c>
      <c r="B273" s="1">
        <f>IFERROR(__xludf.DUMMYFUNCTION("""COMPUTED_VALUE"""),235.96)</f>
        <v>235.96</v>
      </c>
    </row>
    <row r="274">
      <c r="A274" s="2">
        <f>IFERROR(__xludf.DUMMYFUNCTION("""COMPUTED_VALUE"""),44498.66666666667)</f>
        <v>44498.66667</v>
      </c>
      <c r="B274" s="1">
        <f>IFERROR(__xludf.DUMMYFUNCTION("""COMPUTED_VALUE"""),235.53)</f>
        <v>235.53</v>
      </c>
    </row>
    <row r="275">
      <c r="A275" s="2">
        <f>IFERROR(__xludf.DUMMYFUNCTION("""COMPUTED_VALUE"""),44501.66666666667)</f>
        <v>44501.66667</v>
      </c>
      <c r="B275" s="1">
        <f>IFERROR(__xludf.DUMMYFUNCTION("""COMPUTED_VALUE"""),235.64)</f>
        <v>235.64</v>
      </c>
    </row>
    <row r="276">
      <c r="A276" s="2">
        <f>IFERROR(__xludf.DUMMYFUNCTION("""COMPUTED_VALUE"""),44502.66666666667)</f>
        <v>44502.66667</v>
      </c>
      <c r="B276" s="1">
        <f>IFERROR(__xludf.DUMMYFUNCTION("""COMPUTED_VALUE"""),235.77)</f>
        <v>235.77</v>
      </c>
    </row>
    <row r="277">
      <c r="A277" s="2">
        <f>IFERROR(__xludf.DUMMYFUNCTION("""COMPUTED_VALUE"""),44503.66666666667)</f>
        <v>44503.66667</v>
      </c>
      <c r="B277" s="1">
        <f>IFERROR(__xludf.DUMMYFUNCTION("""COMPUTED_VALUE"""),240.02)</f>
        <v>240.02</v>
      </c>
    </row>
    <row r="278">
      <c r="A278" s="2">
        <f>IFERROR(__xludf.DUMMYFUNCTION("""COMPUTED_VALUE"""),44504.66666666667)</f>
        <v>44504.66667</v>
      </c>
      <c r="B278" s="1">
        <f>IFERROR(__xludf.DUMMYFUNCTION("""COMPUTED_VALUE"""),245.01)</f>
        <v>245.01</v>
      </c>
    </row>
    <row r="279">
      <c r="A279" s="2">
        <f>IFERROR(__xludf.DUMMYFUNCTION("""COMPUTED_VALUE"""),44505.66666666667)</f>
        <v>44505.66667</v>
      </c>
      <c r="B279" s="1">
        <f>IFERROR(__xludf.DUMMYFUNCTION("""COMPUTED_VALUE"""),242.77)</f>
        <v>242.77</v>
      </c>
    </row>
    <row r="280">
      <c r="A280" s="2">
        <f>IFERROR(__xludf.DUMMYFUNCTION("""COMPUTED_VALUE"""),44508.66666666667)</f>
        <v>44508.66667</v>
      </c>
      <c r="B280" s="1">
        <f>IFERROR(__xludf.DUMMYFUNCTION("""COMPUTED_VALUE"""),248.53)</f>
        <v>248.53</v>
      </c>
    </row>
    <row r="281">
      <c r="A281" s="2">
        <f>IFERROR(__xludf.DUMMYFUNCTION("""COMPUTED_VALUE"""),44509.66666666667)</f>
        <v>44509.66667</v>
      </c>
      <c r="B281" s="1">
        <f>IFERROR(__xludf.DUMMYFUNCTION("""COMPUTED_VALUE"""),249.48)</f>
        <v>249.48</v>
      </c>
    </row>
    <row r="282">
      <c r="A282" s="2">
        <f>IFERROR(__xludf.DUMMYFUNCTION("""COMPUTED_VALUE"""),44510.66666666667)</f>
        <v>44510.66667</v>
      </c>
      <c r="B282" s="1">
        <f>IFERROR(__xludf.DUMMYFUNCTION("""COMPUTED_VALUE"""),248.52)</f>
        <v>248.52</v>
      </c>
    </row>
    <row r="283">
      <c r="A283" s="2">
        <f>IFERROR(__xludf.DUMMYFUNCTION("""COMPUTED_VALUE"""),44511.66666666667)</f>
        <v>44511.66667</v>
      </c>
      <c r="B283" s="1">
        <f>IFERROR(__xludf.DUMMYFUNCTION("""COMPUTED_VALUE"""),250.99)</f>
        <v>250.99</v>
      </c>
    </row>
    <row r="284">
      <c r="A284" s="2">
        <f>IFERROR(__xludf.DUMMYFUNCTION("""COMPUTED_VALUE"""),44512.66666666667)</f>
        <v>44512.66667</v>
      </c>
      <c r="B284" s="1">
        <f>IFERROR(__xludf.DUMMYFUNCTION("""COMPUTED_VALUE"""),253.88)</f>
        <v>253.88</v>
      </c>
    </row>
    <row r="285">
      <c r="A285" s="2">
        <f>IFERROR(__xludf.DUMMYFUNCTION("""COMPUTED_VALUE"""),44515.66666666667)</f>
        <v>44515.66667</v>
      </c>
      <c r="B285" s="1">
        <f>IFERROR(__xludf.DUMMYFUNCTION("""COMPUTED_VALUE"""),252.3)</f>
        <v>252.3</v>
      </c>
    </row>
    <row r="286">
      <c r="A286" s="2">
        <f>IFERROR(__xludf.DUMMYFUNCTION("""COMPUTED_VALUE"""),44516.66666666667)</f>
        <v>44516.66667</v>
      </c>
      <c r="B286" s="1">
        <f>IFERROR(__xludf.DUMMYFUNCTION("""COMPUTED_VALUE"""),253.18)</f>
        <v>253.18</v>
      </c>
    </row>
    <row r="287">
      <c r="A287" s="2">
        <f>IFERROR(__xludf.DUMMYFUNCTION("""COMPUTED_VALUE"""),44517.66666666667)</f>
        <v>44517.66667</v>
      </c>
      <c r="B287" s="1">
        <f>IFERROR(__xludf.DUMMYFUNCTION("""COMPUTED_VALUE"""),247.35)</f>
        <v>247.35</v>
      </c>
    </row>
    <row r="288">
      <c r="A288" s="2">
        <f>IFERROR(__xludf.DUMMYFUNCTION("""COMPUTED_VALUE"""),44518.66666666667)</f>
        <v>44518.66667</v>
      </c>
      <c r="B288" s="1">
        <f>IFERROR(__xludf.DUMMYFUNCTION("""COMPUTED_VALUE"""),244.72)</f>
        <v>244.72</v>
      </c>
    </row>
    <row r="289">
      <c r="A289" s="2">
        <f>IFERROR(__xludf.DUMMYFUNCTION("""COMPUTED_VALUE"""),44519.66666666667)</f>
        <v>44519.66667</v>
      </c>
      <c r="B289" s="1">
        <f>IFERROR(__xludf.DUMMYFUNCTION("""COMPUTED_VALUE"""),242.69)</f>
        <v>242.69</v>
      </c>
    </row>
    <row r="290">
      <c r="A290" s="2">
        <f>IFERROR(__xludf.DUMMYFUNCTION("""COMPUTED_VALUE"""),44522.66666666667)</f>
        <v>44522.66667</v>
      </c>
      <c r="B290" s="1">
        <f>IFERROR(__xludf.DUMMYFUNCTION("""COMPUTED_VALUE"""),247.99)</f>
        <v>247.99</v>
      </c>
    </row>
    <row r="291">
      <c r="A291" s="2">
        <f>IFERROR(__xludf.DUMMYFUNCTION("""COMPUTED_VALUE"""),44523.66666666667)</f>
        <v>44523.66667</v>
      </c>
      <c r="B291" s="1">
        <f>IFERROR(__xludf.DUMMYFUNCTION("""COMPUTED_VALUE"""),246.43)</f>
        <v>246.43</v>
      </c>
    </row>
    <row r="292">
      <c r="A292" s="2">
        <f>IFERROR(__xludf.DUMMYFUNCTION("""COMPUTED_VALUE"""),44524.66666666667)</f>
        <v>44524.66667</v>
      </c>
      <c r="B292" s="1">
        <f>IFERROR(__xludf.DUMMYFUNCTION("""COMPUTED_VALUE"""),243.57)</f>
        <v>243.57</v>
      </c>
    </row>
    <row r="293">
      <c r="A293" s="2">
        <f>IFERROR(__xludf.DUMMYFUNCTION("""COMPUTED_VALUE"""),44526.54166666667)</f>
        <v>44526.54167</v>
      </c>
      <c r="B293" s="1">
        <f>IFERROR(__xludf.DUMMYFUNCTION("""COMPUTED_VALUE"""),238.15)</f>
        <v>238.15</v>
      </c>
    </row>
    <row r="294">
      <c r="A294" s="2">
        <f>IFERROR(__xludf.DUMMYFUNCTION("""COMPUTED_VALUE"""),44529.66666666667)</f>
        <v>44529.66667</v>
      </c>
      <c r="B294" s="1">
        <f>IFERROR(__xludf.DUMMYFUNCTION("""COMPUTED_VALUE"""),240.57)</f>
        <v>240.57</v>
      </c>
    </row>
    <row r="295">
      <c r="A295" s="2">
        <f>IFERROR(__xludf.DUMMYFUNCTION("""COMPUTED_VALUE"""),44530.66666666667)</f>
        <v>44530.66667</v>
      </c>
      <c r="B295" s="1">
        <f>IFERROR(__xludf.DUMMYFUNCTION("""COMPUTED_VALUE"""),230.37)</f>
        <v>230.37</v>
      </c>
    </row>
    <row r="296">
      <c r="A296" s="2">
        <f>IFERROR(__xludf.DUMMYFUNCTION("""COMPUTED_VALUE"""),44531.66666666667)</f>
        <v>44531.66667</v>
      </c>
      <c r="B296" s="1">
        <f>IFERROR(__xludf.DUMMYFUNCTION("""COMPUTED_VALUE"""),227.78)</f>
        <v>227.78</v>
      </c>
    </row>
    <row r="297">
      <c r="A297" s="2">
        <f>IFERROR(__xludf.DUMMYFUNCTION("""COMPUTED_VALUE"""),44532.66666666667)</f>
        <v>44532.66667</v>
      </c>
      <c r="B297" s="1">
        <f>IFERROR(__xludf.DUMMYFUNCTION("""COMPUTED_VALUE"""),235.3)</f>
        <v>235.3</v>
      </c>
    </row>
    <row r="298">
      <c r="A298" s="2">
        <f>IFERROR(__xludf.DUMMYFUNCTION("""COMPUTED_VALUE"""),44533.66666666667)</f>
        <v>44533.66667</v>
      </c>
      <c r="B298" s="1">
        <f>IFERROR(__xludf.DUMMYFUNCTION("""COMPUTED_VALUE"""),240.84)</f>
        <v>240.84</v>
      </c>
    </row>
    <row r="299">
      <c r="A299" s="2">
        <f>IFERROR(__xludf.DUMMYFUNCTION("""COMPUTED_VALUE"""),44536.66666666667)</f>
        <v>44536.66667</v>
      </c>
      <c r="B299" s="1">
        <f>IFERROR(__xludf.DUMMYFUNCTION("""COMPUTED_VALUE"""),245.05)</f>
        <v>245.05</v>
      </c>
    </row>
    <row r="300">
      <c r="A300" s="2">
        <f>IFERROR(__xludf.DUMMYFUNCTION("""COMPUTED_VALUE"""),44537.66666666667)</f>
        <v>44537.66667</v>
      </c>
      <c r="B300" s="1">
        <f>IFERROR(__xludf.DUMMYFUNCTION("""COMPUTED_VALUE"""),247.06)</f>
        <v>247.06</v>
      </c>
    </row>
    <row r="301">
      <c r="A301" s="2">
        <f>IFERROR(__xludf.DUMMYFUNCTION("""COMPUTED_VALUE"""),44538.66666666667)</f>
        <v>44538.66667</v>
      </c>
      <c r="B301" s="1">
        <f>IFERROR(__xludf.DUMMYFUNCTION("""COMPUTED_VALUE"""),244.75)</f>
        <v>244.75</v>
      </c>
    </row>
    <row r="302">
      <c r="A302" s="2">
        <f>IFERROR(__xludf.DUMMYFUNCTION("""COMPUTED_VALUE"""),44539.66666666667)</f>
        <v>44539.66667</v>
      </c>
      <c r="B302" s="1">
        <f>IFERROR(__xludf.DUMMYFUNCTION("""COMPUTED_VALUE"""),245.25)</f>
        <v>245.25</v>
      </c>
    </row>
    <row r="303">
      <c r="A303" s="2">
        <f>IFERROR(__xludf.DUMMYFUNCTION("""COMPUTED_VALUE"""),44540.66666666667)</f>
        <v>44540.66667</v>
      </c>
      <c r="B303" s="1">
        <f>IFERROR(__xludf.DUMMYFUNCTION("""COMPUTED_VALUE"""),246.28)</f>
        <v>246.28</v>
      </c>
    </row>
    <row r="304">
      <c r="A304" s="2">
        <f>IFERROR(__xludf.DUMMYFUNCTION("""COMPUTED_VALUE"""),44543.66666666667)</f>
        <v>44543.66667</v>
      </c>
      <c r="B304" s="1">
        <f>IFERROR(__xludf.DUMMYFUNCTION("""COMPUTED_VALUE"""),240.9)</f>
        <v>240.9</v>
      </c>
    </row>
    <row r="305">
      <c r="A305" s="2">
        <f>IFERROR(__xludf.DUMMYFUNCTION("""COMPUTED_VALUE"""),44544.66666666667)</f>
        <v>44544.66667</v>
      </c>
      <c r="B305" s="1">
        <f>IFERROR(__xludf.DUMMYFUNCTION("""COMPUTED_VALUE"""),240.04)</f>
        <v>240.04</v>
      </c>
    </row>
    <row r="306">
      <c r="A306" s="2">
        <f>IFERROR(__xludf.DUMMYFUNCTION("""COMPUTED_VALUE"""),44545.66666666667)</f>
        <v>44545.66667</v>
      </c>
      <c r="B306" s="1">
        <f>IFERROR(__xludf.DUMMYFUNCTION("""COMPUTED_VALUE"""),240.78)</f>
        <v>240.78</v>
      </c>
    </row>
    <row r="307">
      <c r="A307" s="2">
        <f>IFERROR(__xludf.DUMMYFUNCTION("""COMPUTED_VALUE"""),44546.66666666667)</f>
        <v>44546.66667</v>
      </c>
      <c r="B307" s="1">
        <f>IFERROR(__xludf.DUMMYFUNCTION("""COMPUTED_VALUE"""),238.52)</f>
        <v>238.52</v>
      </c>
    </row>
    <row r="308">
      <c r="A308" s="2">
        <f>IFERROR(__xludf.DUMMYFUNCTION("""COMPUTED_VALUE"""),44547.66666666667)</f>
        <v>44547.66667</v>
      </c>
      <c r="B308" s="1">
        <f>IFERROR(__xludf.DUMMYFUNCTION("""COMPUTED_VALUE"""),250.32)</f>
        <v>250.32</v>
      </c>
    </row>
    <row r="309">
      <c r="A309" s="2">
        <f>IFERROR(__xludf.DUMMYFUNCTION("""COMPUTED_VALUE"""),44550.66666666667)</f>
        <v>44550.66667</v>
      </c>
      <c r="B309" s="1">
        <f>IFERROR(__xludf.DUMMYFUNCTION("""COMPUTED_VALUE"""),245.55)</f>
        <v>245.55</v>
      </c>
    </row>
    <row r="310">
      <c r="A310" s="2">
        <f>IFERROR(__xludf.DUMMYFUNCTION("""COMPUTED_VALUE"""),44551.66666666667)</f>
        <v>44551.66667</v>
      </c>
      <c r="B310" s="1">
        <f>IFERROR(__xludf.DUMMYFUNCTION("""COMPUTED_VALUE"""),251.95)</f>
        <v>251.95</v>
      </c>
    </row>
    <row r="311">
      <c r="A311" s="2">
        <f>IFERROR(__xludf.DUMMYFUNCTION("""COMPUTED_VALUE"""),44552.66666666667)</f>
        <v>44552.66667</v>
      </c>
      <c r="B311" s="1">
        <f>IFERROR(__xludf.DUMMYFUNCTION("""COMPUTED_VALUE"""),249.96)</f>
        <v>249.96</v>
      </c>
    </row>
    <row r="312">
      <c r="A312" s="2">
        <f>IFERROR(__xludf.DUMMYFUNCTION("""COMPUTED_VALUE"""),44553.66666666667)</f>
        <v>44553.66667</v>
      </c>
      <c r="B312" s="1">
        <f>IFERROR(__xludf.DUMMYFUNCTION("""COMPUTED_VALUE"""),253.82)</f>
        <v>253.82</v>
      </c>
    </row>
    <row r="313">
      <c r="A313" s="2">
        <f>IFERROR(__xludf.DUMMYFUNCTION("""COMPUTED_VALUE"""),44557.66666666667)</f>
        <v>44557.66667</v>
      </c>
      <c r="B313" s="1">
        <f>IFERROR(__xludf.DUMMYFUNCTION("""COMPUTED_VALUE"""),256.25)</f>
        <v>256.25</v>
      </c>
    </row>
    <row r="314">
      <c r="A314" s="2">
        <f>IFERROR(__xludf.DUMMYFUNCTION("""COMPUTED_VALUE"""),44558.66666666667)</f>
        <v>44558.66667</v>
      </c>
      <c r="B314" s="1">
        <f>IFERROR(__xludf.DUMMYFUNCTION("""COMPUTED_VALUE"""),256.44)</f>
        <v>256.44</v>
      </c>
    </row>
    <row r="315">
      <c r="A315" s="2">
        <f>IFERROR(__xludf.DUMMYFUNCTION("""COMPUTED_VALUE"""),44559.66666666667)</f>
        <v>44559.66667</v>
      </c>
      <c r="B315" s="1">
        <f>IFERROR(__xludf.DUMMYFUNCTION("""COMPUTED_VALUE"""),257.49)</f>
        <v>257.49</v>
      </c>
    </row>
    <row r="316">
      <c r="A316" s="2">
        <f>IFERROR(__xludf.DUMMYFUNCTION("""COMPUTED_VALUE"""),44560.66666666667)</f>
        <v>44560.66667</v>
      </c>
      <c r="B316" s="1">
        <f>IFERROR(__xludf.DUMMYFUNCTION("""COMPUTED_VALUE"""),258.56)</f>
        <v>258.56</v>
      </c>
    </row>
    <row r="317">
      <c r="A317" s="2">
        <f>IFERROR(__xludf.DUMMYFUNCTION("""COMPUTED_VALUE"""),44561.66666666667)</f>
        <v>44561.66667</v>
      </c>
      <c r="B317" s="1">
        <f>IFERROR(__xludf.DUMMYFUNCTION("""COMPUTED_VALUE"""),258.64)</f>
        <v>258.64</v>
      </c>
    </row>
    <row r="318">
      <c r="A318" s="2">
        <f>IFERROR(__xludf.DUMMYFUNCTION("""COMPUTED_VALUE"""),44564.66666666667)</f>
        <v>44564.66667</v>
      </c>
      <c r="B318" s="1">
        <f>IFERROR(__xludf.DUMMYFUNCTION("""COMPUTED_VALUE"""),258.55)</f>
        <v>258.55</v>
      </c>
    </row>
    <row r="319">
      <c r="A319" s="2">
        <f>IFERROR(__xludf.DUMMYFUNCTION("""COMPUTED_VALUE"""),44565.66666666667)</f>
        <v>44565.66667</v>
      </c>
      <c r="B319" s="1">
        <f>IFERROR(__xludf.DUMMYFUNCTION("""COMPUTED_VALUE"""),264.91)</f>
        <v>264.91</v>
      </c>
    </row>
    <row r="320">
      <c r="A320" s="2">
        <f>IFERROR(__xludf.DUMMYFUNCTION("""COMPUTED_VALUE"""),44566.66666666667)</f>
        <v>44566.66667</v>
      </c>
      <c r="B320" s="1">
        <f>IFERROR(__xludf.DUMMYFUNCTION("""COMPUTED_VALUE"""),262.13)</f>
        <v>262.13</v>
      </c>
    </row>
    <row r="321">
      <c r="A321" s="2">
        <f>IFERROR(__xludf.DUMMYFUNCTION("""COMPUTED_VALUE"""),44567.66666666667)</f>
        <v>44567.66667</v>
      </c>
      <c r="B321" s="1">
        <f>IFERROR(__xludf.DUMMYFUNCTION("""COMPUTED_VALUE"""),263.19)</f>
        <v>263.19</v>
      </c>
    </row>
    <row r="322">
      <c r="A322" s="2">
        <f>IFERROR(__xludf.DUMMYFUNCTION("""COMPUTED_VALUE"""),44568.66666666667)</f>
        <v>44568.66667</v>
      </c>
      <c r="B322" s="1">
        <f>IFERROR(__xludf.DUMMYFUNCTION("""COMPUTED_VALUE"""),263.99)</f>
        <v>263.99</v>
      </c>
    </row>
    <row r="323">
      <c r="A323" s="2">
        <f>IFERROR(__xludf.DUMMYFUNCTION("""COMPUTED_VALUE"""),44571.66666666667)</f>
        <v>44571.66667</v>
      </c>
      <c r="B323" s="1">
        <f>IFERROR(__xludf.DUMMYFUNCTION("""COMPUTED_VALUE"""),256.55)</f>
        <v>256.55</v>
      </c>
    </row>
    <row r="324">
      <c r="A324" s="2">
        <f>IFERROR(__xludf.DUMMYFUNCTION("""COMPUTED_VALUE"""),44572.66666666667)</f>
        <v>44572.66667</v>
      </c>
      <c r="B324" s="1">
        <f>IFERROR(__xludf.DUMMYFUNCTION("""COMPUTED_VALUE"""),255.54)</f>
        <v>255.54</v>
      </c>
    </row>
    <row r="325">
      <c r="A325" s="2">
        <f>IFERROR(__xludf.DUMMYFUNCTION("""COMPUTED_VALUE"""),44573.66666666667)</f>
        <v>44573.66667</v>
      </c>
      <c r="B325" s="1">
        <f>IFERROR(__xludf.DUMMYFUNCTION("""COMPUTED_VALUE"""),256.21)</f>
        <v>256.21</v>
      </c>
    </row>
    <row r="326">
      <c r="A326" s="2">
        <f>IFERROR(__xludf.DUMMYFUNCTION("""COMPUTED_VALUE"""),44574.66666666667)</f>
        <v>44574.66667</v>
      </c>
      <c r="B326" s="1">
        <f>IFERROR(__xludf.DUMMYFUNCTION("""COMPUTED_VALUE"""),257.67)</f>
        <v>257.67</v>
      </c>
    </row>
    <row r="327">
      <c r="A327" s="2">
        <f>IFERROR(__xludf.DUMMYFUNCTION("""COMPUTED_VALUE"""),44575.66666666667)</f>
        <v>44575.66667</v>
      </c>
      <c r="B327" s="1">
        <f>IFERROR(__xludf.DUMMYFUNCTION("""COMPUTED_VALUE"""),256.22)</f>
        <v>256.22</v>
      </c>
    </row>
    <row r="328">
      <c r="A328" s="2">
        <f>IFERROR(__xludf.DUMMYFUNCTION("""COMPUTED_VALUE"""),44579.66666666667)</f>
        <v>44579.66667</v>
      </c>
      <c r="B328" s="1">
        <f>IFERROR(__xludf.DUMMYFUNCTION("""COMPUTED_VALUE"""),253.33)</f>
        <v>253.33</v>
      </c>
    </row>
    <row r="329">
      <c r="A329" s="2">
        <f>IFERROR(__xludf.DUMMYFUNCTION("""COMPUTED_VALUE"""),44580.66666666667)</f>
        <v>44580.66667</v>
      </c>
      <c r="B329" s="1">
        <f>IFERROR(__xludf.DUMMYFUNCTION("""COMPUTED_VALUE"""),252.19)</f>
        <v>252.19</v>
      </c>
    </row>
    <row r="330">
      <c r="A330" s="2">
        <f>IFERROR(__xludf.DUMMYFUNCTION("""COMPUTED_VALUE"""),44581.66666666667)</f>
        <v>44581.66667</v>
      </c>
      <c r="B330" s="1">
        <f>IFERROR(__xludf.DUMMYFUNCTION("""COMPUTED_VALUE"""),250.74)</f>
        <v>250.74</v>
      </c>
    </row>
    <row r="331">
      <c r="A331" s="2">
        <f>IFERROR(__xludf.DUMMYFUNCTION("""COMPUTED_VALUE"""),44582.66666666667)</f>
        <v>44582.66667</v>
      </c>
      <c r="B331" s="1">
        <f>IFERROR(__xludf.DUMMYFUNCTION("""COMPUTED_VALUE"""),244.91)</f>
        <v>244.91</v>
      </c>
    </row>
    <row r="332">
      <c r="A332" s="2">
        <f>IFERROR(__xludf.DUMMYFUNCTION("""COMPUTED_VALUE"""),44585.66666666667)</f>
        <v>44585.66667</v>
      </c>
      <c r="B332" s="1">
        <f>IFERROR(__xludf.DUMMYFUNCTION("""COMPUTED_VALUE"""),245.72)</f>
        <v>245.72</v>
      </c>
    </row>
    <row r="333">
      <c r="A333" s="2">
        <f>IFERROR(__xludf.DUMMYFUNCTION("""COMPUTED_VALUE"""),44586.66666666667)</f>
        <v>44586.66667</v>
      </c>
      <c r="B333" s="1">
        <f>IFERROR(__xludf.DUMMYFUNCTION("""COMPUTED_VALUE"""),244.04)</f>
        <v>244.04</v>
      </c>
    </row>
    <row r="334">
      <c r="A334" s="2">
        <f>IFERROR(__xludf.DUMMYFUNCTION("""COMPUTED_VALUE"""),44587.66666666667)</f>
        <v>44587.66667</v>
      </c>
      <c r="B334" s="1">
        <f>IFERROR(__xludf.DUMMYFUNCTION("""COMPUTED_VALUE"""),243.16)</f>
        <v>243.16</v>
      </c>
    </row>
    <row r="335">
      <c r="A335" s="2">
        <f>IFERROR(__xludf.DUMMYFUNCTION("""COMPUTED_VALUE"""),44588.66666666667)</f>
        <v>44588.66667</v>
      </c>
      <c r="B335" s="1">
        <f>IFERROR(__xludf.DUMMYFUNCTION("""COMPUTED_VALUE"""),241.93)</f>
        <v>241.93</v>
      </c>
    </row>
    <row r="336">
      <c r="A336" s="2">
        <f>IFERROR(__xludf.DUMMYFUNCTION("""COMPUTED_VALUE"""),44589.66666666667)</f>
        <v>44589.66667</v>
      </c>
      <c r="B336" s="1">
        <f>IFERROR(__xludf.DUMMYFUNCTION("""COMPUTED_VALUE"""),244.78)</f>
        <v>244.78</v>
      </c>
    </row>
    <row r="337">
      <c r="A337" s="2">
        <f>IFERROR(__xludf.DUMMYFUNCTION("""COMPUTED_VALUE"""),44592.66666666667)</f>
        <v>44592.66667</v>
      </c>
      <c r="B337" s="1">
        <f>IFERROR(__xludf.DUMMYFUNCTION("""COMPUTED_VALUE"""),245.86)</f>
        <v>245.86</v>
      </c>
    </row>
    <row r="338">
      <c r="A338" s="2">
        <f>IFERROR(__xludf.DUMMYFUNCTION("""COMPUTED_VALUE"""),44593.66666666667)</f>
        <v>44593.66667</v>
      </c>
      <c r="B338" s="1">
        <f>IFERROR(__xludf.DUMMYFUNCTION("""COMPUTED_VALUE"""),252.0)</f>
        <v>252</v>
      </c>
    </row>
    <row r="339">
      <c r="A339" s="2">
        <f>IFERROR(__xludf.DUMMYFUNCTION("""COMPUTED_VALUE"""),44594.66666666667)</f>
        <v>44594.66667</v>
      </c>
      <c r="B339" s="1">
        <f>IFERROR(__xludf.DUMMYFUNCTION("""COMPUTED_VALUE"""),251.82)</f>
        <v>251.82</v>
      </c>
    </row>
    <row r="340">
      <c r="A340" s="2">
        <f>IFERROR(__xludf.DUMMYFUNCTION("""COMPUTED_VALUE"""),44595.66666666667)</f>
        <v>44595.66667</v>
      </c>
      <c r="B340" s="1">
        <f>IFERROR(__xludf.DUMMYFUNCTION("""COMPUTED_VALUE"""),247.32)</f>
        <v>247.32</v>
      </c>
    </row>
    <row r="341">
      <c r="A341" s="2">
        <f>IFERROR(__xludf.DUMMYFUNCTION("""COMPUTED_VALUE"""),44596.66666666667)</f>
        <v>44596.66667</v>
      </c>
      <c r="B341" s="1">
        <f>IFERROR(__xludf.DUMMYFUNCTION("""COMPUTED_VALUE"""),244.11)</f>
        <v>244.11</v>
      </c>
    </row>
    <row r="342">
      <c r="A342" s="2">
        <f>IFERROR(__xludf.DUMMYFUNCTION("""COMPUTED_VALUE"""),44599.66666666667)</f>
        <v>44599.66667</v>
      </c>
      <c r="B342" s="1">
        <f>IFERROR(__xludf.DUMMYFUNCTION("""COMPUTED_VALUE"""),243.73)</f>
        <v>243.73</v>
      </c>
    </row>
    <row r="343">
      <c r="A343" s="2">
        <f>IFERROR(__xludf.DUMMYFUNCTION("""COMPUTED_VALUE"""),44600.66666666667)</f>
        <v>44600.66667</v>
      </c>
      <c r="B343" s="1">
        <f>IFERROR(__xludf.DUMMYFUNCTION("""COMPUTED_VALUE"""),243.86)</f>
        <v>243.86</v>
      </c>
    </row>
    <row r="344">
      <c r="A344" s="2">
        <f>IFERROR(__xludf.DUMMYFUNCTION("""COMPUTED_VALUE"""),44601.66666666667)</f>
        <v>44601.66667</v>
      </c>
      <c r="B344" s="1">
        <f>IFERROR(__xludf.DUMMYFUNCTION("""COMPUTED_VALUE"""),244.24)</f>
        <v>244.24</v>
      </c>
    </row>
    <row r="345">
      <c r="A345" s="2">
        <f>IFERROR(__xludf.DUMMYFUNCTION("""COMPUTED_VALUE"""),44602.66666666667)</f>
        <v>44602.66667</v>
      </c>
      <c r="B345" s="1">
        <f>IFERROR(__xludf.DUMMYFUNCTION("""COMPUTED_VALUE"""),240.41)</f>
        <v>240.41</v>
      </c>
    </row>
    <row r="346">
      <c r="A346" s="2">
        <f>IFERROR(__xludf.DUMMYFUNCTION("""COMPUTED_VALUE"""),44603.66666666667)</f>
        <v>44603.66667</v>
      </c>
      <c r="B346" s="1">
        <f>IFERROR(__xludf.DUMMYFUNCTION("""COMPUTED_VALUE"""),232.21)</f>
        <v>232.21</v>
      </c>
    </row>
    <row r="347">
      <c r="A347" s="2">
        <f>IFERROR(__xludf.DUMMYFUNCTION("""COMPUTED_VALUE"""),44606.66666666667)</f>
        <v>44606.66667</v>
      </c>
      <c r="B347" s="1">
        <f>IFERROR(__xludf.DUMMYFUNCTION("""COMPUTED_VALUE"""),228.46)</f>
        <v>228.46</v>
      </c>
    </row>
    <row r="348">
      <c r="A348" s="2">
        <f>IFERROR(__xludf.DUMMYFUNCTION("""COMPUTED_VALUE"""),44607.66666666667)</f>
        <v>44607.66667</v>
      </c>
      <c r="B348" s="1">
        <f>IFERROR(__xludf.DUMMYFUNCTION("""COMPUTED_VALUE"""),230.4)</f>
        <v>230.4</v>
      </c>
    </row>
    <row r="349">
      <c r="A349" s="2">
        <f>IFERROR(__xludf.DUMMYFUNCTION("""COMPUTED_VALUE"""),44608.66666666667)</f>
        <v>44608.66667</v>
      </c>
      <c r="B349" s="1">
        <f>IFERROR(__xludf.DUMMYFUNCTION("""COMPUTED_VALUE"""),229.01)</f>
        <v>229.01</v>
      </c>
    </row>
    <row r="350">
      <c r="A350" s="2">
        <f>IFERROR(__xludf.DUMMYFUNCTION("""COMPUTED_VALUE"""),44609.66666666667)</f>
        <v>44609.66667</v>
      </c>
      <c r="B350" s="1">
        <f>IFERROR(__xludf.DUMMYFUNCTION("""COMPUTED_VALUE"""),224.37)</f>
        <v>224.37</v>
      </c>
    </row>
    <row r="351">
      <c r="A351" s="2">
        <f>IFERROR(__xludf.DUMMYFUNCTION("""COMPUTED_VALUE"""),44610.66666666667)</f>
        <v>44610.66667</v>
      </c>
      <c r="B351" s="1">
        <f>IFERROR(__xludf.DUMMYFUNCTION("""COMPUTED_VALUE"""),222.23)</f>
        <v>222.23</v>
      </c>
    </row>
    <row r="352">
      <c r="A352" s="2">
        <f>IFERROR(__xludf.DUMMYFUNCTION("""COMPUTED_VALUE"""),44614.66666666667)</f>
        <v>44614.66667</v>
      </c>
      <c r="B352" s="1">
        <f>IFERROR(__xludf.DUMMYFUNCTION("""COMPUTED_VALUE"""),217.79)</f>
        <v>217.79</v>
      </c>
    </row>
    <row r="353">
      <c r="A353" s="2">
        <f>IFERROR(__xludf.DUMMYFUNCTION("""COMPUTED_VALUE"""),44615.66666666667)</f>
        <v>44615.66667</v>
      </c>
      <c r="B353" s="1">
        <f>IFERROR(__xludf.DUMMYFUNCTION("""COMPUTED_VALUE"""),214.84)</f>
        <v>214.84</v>
      </c>
    </row>
    <row r="354">
      <c r="A354" s="2">
        <f>IFERROR(__xludf.DUMMYFUNCTION("""COMPUTED_VALUE"""),44616.66666666667)</f>
        <v>44616.66667</v>
      </c>
      <c r="B354" s="1">
        <f>IFERROR(__xludf.DUMMYFUNCTION("""COMPUTED_VALUE"""),215.92)</f>
        <v>215.92</v>
      </c>
    </row>
    <row r="355">
      <c r="A355" s="2">
        <f>IFERROR(__xludf.DUMMYFUNCTION("""COMPUTED_VALUE"""),44617.66666666667)</f>
        <v>44617.66667</v>
      </c>
      <c r="B355" s="1">
        <f>IFERROR(__xludf.DUMMYFUNCTION("""COMPUTED_VALUE"""),220.72)</f>
        <v>220.72</v>
      </c>
    </row>
    <row r="356">
      <c r="A356" s="2">
        <f>IFERROR(__xludf.DUMMYFUNCTION("""COMPUTED_VALUE"""),44620.66666666667)</f>
        <v>44620.66667</v>
      </c>
      <c r="B356" s="1">
        <f>IFERROR(__xludf.DUMMYFUNCTION("""COMPUTED_VALUE"""),222.27)</f>
        <v>222.27</v>
      </c>
    </row>
    <row r="357">
      <c r="A357" s="2">
        <f>IFERROR(__xludf.DUMMYFUNCTION("""COMPUTED_VALUE"""),44621.66666666667)</f>
        <v>44621.66667</v>
      </c>
      <c r="B357" s="1">
        <f>IFERROR(__xludf.DUMMYFUNCTION("""COMPUTED_VALUE"""),214.91)</f>
        <v>214.91</v>
      </c>
    </row>
    <row r="358">
      <c r="A358" s="2">
        <f>IFERROR(__xludf.DUMMYFUNCTION("""COMPUTED_VALUE"""),44622.66666666667)</f>
        <v>44622.66667</v>
      </c>
      <c r="B358" s="1">
        <f>IFERROR(__xludf.DUMMYFUNCTION("""COMPUTED_VALUE"""),219.25)</f>
        <v>219.25</v>
      </c>
    </row>
    <row r="359">
      <c r="A359" s="2">
        <f>IFERROR(__xludf.DUMMYFUNCTION("""COMPUTED_VALUE"""),44623.66666666667)</f>
        <v>44623.66667</v>
      </c>
      <c r="B359" s="1">
        <f>IFERROR(__xludf.DUMMYFUNCTION("""COMPUTED_VALUE"""),221.31)</f>
        <v>221.31</v>
      </c>
    </row>
    <row r="360">
      <c r="A360" s="2">
        <f>IFERROR(__xludf.DUMMYFUNCTION("""COMPUTED_VALUE"""),44624.66666666667)</f>
        <v>44624.66667</v>
      </c>
      <c r="B360" s="1">
        <f>IFERROR(__xludf.DUMMYFUNCTION("""COMPUTED_VALUE"""),214.54)</f>
        <v>214.54</v>
      </c>
    </row>
    <row r="361">
      <c r="A361" s="2">
        <f>IFERROR(__xludf.DUMMYFUNCTION("""COMPUTED_VALUE"""),44627.66666666667)</f>
        <v>44627.66667</v>
      </c>
      <c r="B361" s="1">
        <f>IFERROR(__xludf.DUMMYFUNCTION("""COMPUTED_VALUE"""),201.09)</f>
        <v>201.09</v>
      </c>
    </row>
    <row r="362">
      <c r="A362" s="2">
        <f>IFERROR(__xludf.DUMMYFUNCTION("""COMPUTED_VALUE"""),44628.66666666667)</f>
        <v>44628.66667</v>
      </c>
      <c r="B362" s="1">
        <f>IFERROR(__xludf.DUMMYFUNCTION("""COMPUTED_VALUE"""),203.99)</f>
        <v>203.99</v>
      </c>
    </row>
    <row r="363">
      <c r="A363" s="2">
        <f>IFERROR(__xludf.DUMMYFUNCTION("""COMPUTED_VALUE"""),44629.66666666667)</f>
        <v>44629.66667</v>
      </c>
      <c r="B363" s="1">
        <f>IFERROR(__xludf.DUMMYFUNCTION("""COMPUTED_VALUE"""),216.72)</f>
        <v>216.72</v>
      </c>
    </row>
    <row r="364">
      <c r="A364" s="2">
        <f>IFERROR(__xludf.DUMMYFUNCTION("""COMPUTED_VALUE"""),44630.66666666667)</f>
        <v>44630.66667</v>
      </c>
      <c r="B364" s="1">
        <f>IFERROR(__xludf.DUMMYFUNCTION("""COMPUTED_VALUE"""),219.28)</f>
        <v>219.28</v>
      </c>
    </row>
    <row r="365">
      <c r="A365" s="2">
        <f>IFERROR(__xludf.DUMMYFUNCTION("""COMPUTED_VALUE"""),44631.66666666667)</f>
        <v>44631.66667</v>
      </c>
      <c r="B365" s="1">
        <f>IFERROR(__xludf.DUMMYFUNCTION("""COMPUTED_VALUE"""),213.18)</f>
        <v>213.18</v>
      </c>
    </row>
    <row r="366">
      <c r="A366" s="2">
        <f>IFERROR(__xludf.DUMMYFUNCTION("""COMPUTED_VALUE"""),44634.66666666667)</f>
        <v>44634.66667</v>
      </c>
      <c r="B366" s="1">
        <f>IFERROR(__xludf.DUMMYFUNCTION("""COMPUTED_VALUE"""),211.13)</f>
        <v>211.13</v>
      </c>
    </row>
    <row r="367">
      <c r="A367" s="2">
        <f>IFERROR(__xludf.DUMMYFUNCTION("""COMPUTED_VALUE"""),44635.66666666667)</f>
        <v>44635.66667</v>
      </c>
      <c r="B367" s="1">
        <f>IFERROR(__xludf.DUMMYFUNCTION("""COMPUTED_VALUE"""),216.23)</f>
        <v>216.23</v>
      </c>
    </row>
    <row r="368">
      <c r="A368" s="2">
        <f>IFERROR(__xludf.DUMMYFUNCTION("""COMPUTED_VALUE"""),44636.66666666667)</f>
        <v>44636.66667</v>
      </c>
      <c r="B368" s="1">
        <f>IFERROR(__xludf.DUMMYFUNCTION("""COMPUTED_VALUE"""),225.93)</f>
        <v>225.93</v>
      </c>
    </row>
    <row r="369">
      <c r="A369" s="2">
        <f>IFERROR(__xludf.DUMMYFUNCTION("""COMPUTED_VALUE"""),44637.66666666667)</f>
        <v>44637.66667</v>
      </c>
      <c r="B369" s="1">
        <f>IFERROR(__xludf.DUMMYFUNCTION("""COMPUTED_VALUE"""),227.98)</f>
        <v>227.98</v>
      </c>
    </row>
    <row r="370">
      <c r="A370" s="2">
        <f>IFERROR(__xludf.DUMMYFUNCTION("""COMPUTED_VALUE"""),44638.66666666667)</f>
        <v>44638.66667</v>
      </c>
      <c r="B370" s="1">
        <f>IFERROR(__xludf.DUMMYFUNCTION("""COMPUTED_VALUE"""),218.91)</f>
        <v>218.91</v>
      </c>
    </row>
    <row r="371">
      <c r="A371" s="2">
        <f>IFERROR(__xludf.DUMMYFUNCTION("""COMPUTED_VALUE"""),44641.66666666667)</f>
        <v>44641.66667</v>
      </c>
      <c r="B371" s="1">
        <f>IFERROR(__xludf.DUMMYFUNCTION("""COMPUTED_VALUE"""),222.16)</f>
        <v>222.16</v>
      </c>
    </row>
    <row r="372">
      <c r="A372" s="2">
        <f>IFERROR(__xludf.DUMMYFUNCTION("""COMPUTED_VALUE"""),44642.66666666667)</f>
        <v>44642.66667</v>
      </c>
      <c r="B372" s="1">
        <f>IFERROR(__xludf.DUMMYFUNCTION("""COMPUTED_VALUE"""),226.57)</f>
        <v>226.57</v>
      </c>
    </row>
    <row r="373">
      <c r="A373" s="2">
        <f>IFERROR(__xludf.DUMMYFUNCTION("""COMPUTED_VALUE"""),44643.66666666667)</f>
        <v>44643.66667</v>
      </c>
      <c r="B373" s="1">
        <f>IFERROR(__xludf.DUMMYFUNCTION("""COMPUTED_VALUE"""),221.47)</f>
        <v>221.47</v>
      </c>
    </row>
    <row r="374">
      <c r="A374" s="2">
        <f>IFERROR(__xludf.DUMMYFUNCTION("""COMPUTED_VALUE"""),44644.66666666667)</f>
        <v>44644.66667</v>
      </c>
      <c r="B374" s="1">
        <f>IFERROR(__xludf.DUMMYFUNCTION("""COMPUTED_VALUE"""),225.12)</f>
        <v>225.12</v>
      </c>
    </row>
    <row r="375">
      <c r="A375" s="2">
        <f>IFERROR(__xludf.DUMMYFUNCTION("""COMPUTED_VALUE"""),44645.66666666667)</f>
        <v>44645.66667</v>
      </c>
      <c r="B375" s="1">
        <f>IFERROR(__xludf.DUMMYFUNCTION("""COMPUTED_VALUE"""),226.56)</f>
        <v>226.56</v>
      </c>
    </row>
    <row r="376">
      <c r="A376" s="2">
        <f>IFERROR(__xludf.DUMMYFUNCTION("""COMPUTED_VALUE"""),44648.66666666667)</f>
        <v>44648.66667</v>
      </c>
      <c r="B376" s="1">
        <f>IFERROR(__xludf.DUMMYFUNCTION("""COMPUTED_VALUE"""),230.05)</f>
        <v>230.05</v>
      </c>
    </row>
    <row r="377">
      <c r="A377" s="2">
        <f>IFERROR(__xludf.DUMMYFUNCTION("""COMPUTED_VALUE"""),44649.66666666667)</f>
        <v>44649.66667</v>
      </c>
      <c r="B377" s="1">
        <f>IFERROR(__xludf.DUMMYFUNCTION("""COMPUTED_VALUE"""),238.57)</f>
        <v>238.57</v>
      </c>
    </row>
    <row r="378">
      <c r="A378" s="2">
        <f>IFERROR(__xludf.DUMMYFUNCTION("""COMPUTED_VALUE"""),44650.66666666667)</f>
        <v>44650.66667</v>
      </c>
      <c r="B378" s="1">
        <f>IFERROR(__xludf.DUMMYFUNCTION("""COMPUTED_VALUE"""),235.25)</f>
        <v>235.25</v>
      </c>
    </row>
    <row r="379">
      <c r="A379" s="2">
        <f>IFERROR(__xludf.DUMMYFUNCTION("""COMPUTED_VALUE"""),44651.66666666667)</f>
        <v>44651.66667</v>
      </c>
      <c r="B379" s="1">
        <f>IFERROR(__xludf.DUMMYFUNCTION("""COMPUTED_VALUE"""),231.39)</f>
        <v>231.39</v>
      </c>
    </row>
    <row r="380">
      <c r="A380" s="2">
        <f>IFERROR(__xludf.DUMMYFUNCTION("""COMPUTED_VALUE"""),44652.66666666667)</f>
        <v>44652.66667</v>
      </c>
      <c r="B380" s="1">
        <f>IFERROR(__xludf.DUMMYFUNCTION("""COMPUTED_VALUE"""),221.25)</f>
        <v>221.25</v>
      </c>
    </row>
    <row r="381">
      <c r="A381" s="2">
        <f>IFERROR(__xludf.DUMMYFUNCTION("""COMPUTED_VALUE"""),44655.66666666667)</f>
        <v>44655.66667</v>
      </c>
      <c r="B381" s="1">
        <f>IFERROR(__xludf.DUMMYFUNCTION("""COMPUTED_VALUE"""),217.99)</f>
        <v>217.99</v>
      </c>
    </row>
    <row r="382">
      <c r="A382" s="2">
        <f>IFERROR(__xludf.DUMMYFUNCTION("""COMPUTED_VALUE"""),44656.66666666667)</f>
        <v>44656.66667</v>
      </c>
      <c r="B382" s="1">
        <f>IFERROR(__xludf.DUMMYFUNCTION("""COMPUTED_VALUE"""),211.03)</f>
        <v>211.03</v>
      </c>
    </row>
    <row r="383">
      <c r="A383" s="2">
        <f>IFERROR(__xludf.DUMMYFUNCTION("""COMPUTED_VALUE"""),44657.66666666667)</f>
        <v>44657.66667</v>
      </c>
      <c r="B383" s="1">
        <f>IFERROR(__xludf.DUMMYFUNCTION("""COMPUTED_VALUE"""),204.0)</f>
        <v>204</v>
      </c>
    </row>
    <row r="384">
      <c r="A384" s="2">
        <f>IFERROR(__xludf.DUMMYFUNCTION("""COMPUTED_VALUE"""),44658.66666666667)</f>
        <v>44658.66667</v>
      </c>
      <c r="B384" s="1">
        <f>IFERROR(__xludf.DUMMYFUNCTION("""COMPUTED_VALUE"""),203.77)</f>
        <v>203.77</v>
      </c>
    </row>
    <row r="385">
      <c r="A385" s="2">
        <f>IFERROR(__xludf.DUMMYFUNCTION("""COMPUTED_VALUE"""),44659.66666666667)</f>
        <v>44659.66667</v>
      </c>
      <c r="B385" s="1">
        <f>IFERROR(__xludf.DUMMYFUNCTION("""COMPUTED_VALUE"""),201.52)</f>
        <v>201.52</v>
      </c>
    </row>
    <row r="386">
      <c r="A386" s="2">
        <f>IFERROR(__xludf.DUMMYFUNCTION("""COMPUTED_VALUE"""),44662.66666666667)</f>
        <v>44662.66667</v>
      </c>
      <c r="B386" s="1">
        <f>IFERROR(__xludf.DUMMYFUNCTION("""COMPUTED_VALUE"""),204.12)</f>
        <v>204.12</v>
      </c>
    </row>
    <row r="387">
      <c r="A387" s="2">
        <f>IFERROR(__xludf.DUMMYFUNCTION("""COMPUTED_VALUE"""),44663.66666666667)</f>
        <v>44663.66667</v>
      </c>
      <c r="B387" s="1">
        <f>IFERROR(__xludf.DUMMYFUNCTION("""COMPUTED_VALUE"""),204.38)</f>
        <v>204.38</v>
      </c>
    </row>
    <row r="388">
      <c r="A388" s="2">
        <f>IFERROR(__xludf.DUMMYFUNCTION("""COMPUTED_VALUE"""),44664.66666666667)</f>
        <v>44664.66667</v>
      </c>
      <c r="B388" s="1">
        <f>IFERROR(__xludf.DUMMYFUNCTION("""COMPUTED_VALUE"""),206.31)</f>
        <v>206.31</v>
      </c>
    </row>
    <row r="389">
      <c r="A389" s="2">
        <f>IFERROR(__xludf.DUMMYFUNCTION("""COMPUTED_VALUE"""),44665.66666666667)</f>
        <v>44665.66667</v>
      </c>
      <c r="B389" s="1">
        <f>IFERROR(__xludf.DUMMYFUNCTION("""COMPUTED_VALUE"""),205.74)</f>
        <v>205.74</v>
      </c>
    </row>
    <row r="390">
      <c r="A390" s="2">
        <f>IFERROR(__xludf.DUMMYFUNCTION("""COMPUTED_VALUE"""),44669.66666666667)</f>
        <v>44669.66667</v>
      </c>
      <c r="B390" s="1">
        <f>IFERROR(__xludf.DUMMYFUNCTION("""COMPUTED_VALUE"""),203.26)</f>
        <v>203.26</v>
      </c>
    </row>
    <row r="391">
      <c r="A391" s="2">
        <f>IFERROR(__xludf.DUMMYFUNCTION("""COMPUTED_VALUE"""),44670.66666666667)</f>
        <v>44670.66667</v>
      </c>
      <c r="B391" s="1">
        <f>IFERROR(__xludf.DUMMYFUNCTION("""COMPUTED_VALUE"""),208.81)</f>
        <v>208.81</v>
      </c>
    </row>
    <row r="392">
      <c r="A392" s="2">
        <f>IFERROR(__xludf.DUMMYFUNCTION("""COMPUTED_VALUE"""),44671.66666666667)</f>
        <v>44671.66667</v>
      </c>
      <c r="B392" s="1">
        <f>IFERROR(__xludf.DUMMYFUNCTION("""COMPUTED_VALUE"""),209.19)</f>
        <v>209.19</v>
      </c>
    </row>
    <row r="393">
      <c r="A393" s="2">
        <f>IFERROR(__xludf.DUMMYFUNCTION("""COMPUTED_VALUE"""),44672.66666666667)</f>
        <v>44672.66667</v>
      </c>
      <c r="B393" s="1">
        <f>IFERROR(__xludf.DUMMYFUNCTION("""COMPUTED_VALUE"""),206.86)</f>
        <v>206.86</v>
      </c>
    </row>
    <row r="394">
      <c r="A394" s="2">
        <f>IFERROR(__xludf.DUMMYFUNCTION("""COMPUTED_VALUE"""),44673.66666666667)</f>
        <v>44673.66667</v>
      </c>
      <c r="B394" s="1">
        <f>IFERROR(__xludf.DUMMYFUNCTION("""COMPUTED_VALUE"""),205.21)</f>
        <v>205.21</v>
      </c>
    </row>
    <row r="395">
      <c r="A395" s="2">
        <f>IFERROR(__xludf.DUMMYFUNCTION("""COMPUTED_VALUE"""),44676.66666666667)</f>
        <v>44676.66667</v>
      </c>
      <c r="B395" s="1">
        <f>IFERROR(__xludf.DUMMYFUNCTION("""COMPUTED_VALUE"""),205.4)</f>
        <v>205.4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IFERROR(__xludf.DUMMYFUNCTION("""COMPUTED_VALUE"""),200.0)</f>
        <v>200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IFERROR(__xludf.DUMMYFUNCTION("""COMPUTED_VALUE"""),199.26)</f>
        <v>199.26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IFERROR(__xludf.DUMMYFUNCTION("""COMPUTED_VALUE"""),206.85)</f>
        <v>206.85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IFERROR(__xludf.DUMMYFUNCTION("""COMPUTED_VALUE"""),198.74)</f>
        <v>198.74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IFERROR(__xludf.DUMMYFUNCTION("""COMPUTED_VALUE"""),197.01)</f>
        <v>197.01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IFERROR(__xludf.DUMMYFUNCTION("""COMPUTED_VALUE"""),199.44)</f>
        <v>199.44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IFERROR(__xludf.DUMMYFUNCTION("""COMPUTED_VALUE"""),209.49)</f>
        <v>209.49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IFERROR(__xludf.DUMMYFUNCTION("""COMPUTED_VALUE"""),207.24)</f>
        <v>207.24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IFERROR(__xludf.DUMMYFUNCTION("""COMPUTED_VALUE"""),210.21)</f>
        <v>210.21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IFERROR(__xludf.DUMMYFUNCTION("""COMPUTED_VALUE"""),208.27)</f>
        <v>208.27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IFERROR(__xludf.DUMMYFUNCTION("""COMPUTED_VALUE"""),208.06)</f>
        <v>208.06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IFERROR(__xludf.DUMMYFUNCTION("""COMPUTED_VALUE"""),207.2)</f>
        <v>207.2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IFERROR(__xludf.DUMMYFUNCTION("""COMPUTED_VALUE"""),208.2)</f>
        <v>208.2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IFERROR(__xludf.DUMMYFUNCTION("""COMPUTED_VALUE"""),211.29)</f>
        <v>211.29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IFERROR(__xludf.DUMMYFUNCTION("""COMPUTED_VALUE"""),209.72)</f>
        <v>209.72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IFERROR(__xludf.DUMMYFUNCTION("""COMPUTED_VALUE"""),221.5)</f>
        <v>221.5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IFERROR(__xludf.DUMMYFUNCTION("""COMPUTED_VALUE"""),203.57)</f>
        <v>203.57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IFERROR(__xludf.DUMMYFUNCTION("""COMPUTED_VALUE"""),199.05)</f>
        <v>199.05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IFERROR(__xludf.DUMMYFUNCTION("""COMPUTED_VALUE"""),200.9)</f>
        <v>200.9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IFERROR(__xludf.DUMMYFUNCTION("""COMPUTED_VALUE"""),204.69)</f>
        <v>204.69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IFERROR(__xludf.DUMMYFUNCTION("""COMPUTED_VALUE"""),205.25)</f>
        <v>205.25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IFERROR(__xludf.DUMMYFUNCTION("""COMPUTED_VALUE"""),204.31)</f>
        <v>204.31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IFERROR(__xludf.DUMMYFUNCTION("""COMPUTED_VALUE"""),212.29)</f>
        <v>212.29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IFERROR(__xludf.DUMMYFUNCTION("""COMPUTED_VALUE"""),219.67)</f>
        <v>219.67</v>
      </c>
    </row>
    <row r="420">
      <c r="A420" s="2">
        <f>IFERROR(__xludf.DUMMYFUNCTION("""COMPUTED_VALUE"""),44712.66666666667)</f>
        <v>44712.66667</v>
      </c>
      <c r="B420" s="1">
        <f>IFERROR(__xludf.DUMMYFUNCTION("""COMPUTED_VALUE"""),224.58)</f>
        <v>224.58</v>
      </c>
    </row>
    <row r="421">
      <c r="A421" s="2">
        <f>IFERROR(__xludf.DUMMYFUNCTION("""COMPUTED_VALUE"""),44713.66666666667)</f>
        <v>44713.66667</v>
      </c>
      <c r="B421" s="1">
        <f>IFERROR(__xludf.DUMMYFUNCTION("""COMPUTED_VALUE"""),218.67)</f>
        <v>218.67</v>
      </c>
    </row>
    <row r="422">
      <c r="A422" s="2">
        <f>IFERROR(__xludf.DUMMYFUNCTION("""COMPUTED_VALUE"""),44714.66666666667)</f>
        <v>44714.66667</v>
      </c>
      <c r="B422" s="1">
        <f>IFERROR(__xludf.DUMMYFUNCTION("""COMPUTED_VALUE"""),221.52)</f>
        <v>221.52</v>
      </c>
    </row>
    <row r="423">
      <c r="A423" s="2">
        <f>IFERROR(__xludf.DUMMYFUNCTION("""COMPUTED_VALUE"""),44715.66666666667)</f>
        <v>44715.66667</v>
      </c>
      <c r="B423" s="1">
        <f>IFERROR(__xludf.DUMMYFUNCTION("""COMPUTED_VALUE"""),218.7)</f>
        <v>218.7</v>
      </c>
    </row>
    <row r="424">
      <c r="A424" s="2">
        <f>IFERROR(__xludf.DUMMYFUNCTION("""COMPUTED_VALUE"""),44718.66666666667)</f>
        <v>44718.66667</v>
      </c>
      <c r="B424" s="1">
        <f>IFERROR(__xludf.DUMMYFUNCTION("""COMPUTED_VALUE"""),222.85)</f>
        <v>222.85</v>
      </c>
    </row>
    <row r="425">
      <c r="A425" s="2">
        <f>IFERROR(__xludf.DUMMYFUNCTION("""COMPUTED_VALUE"""),44719.66666666667)</f>
        <v>44719.66667</v>
      </c>
      <c r="B425" s="1">
        <f>IFERROR(__xludf.DUMMYFUNCTION("""COMPUTED_VALUE"""),221.37)</f>
        <v>221.37</v>
      </c>
    </row>
    <row r="426">
      <c r="A426" s="2">
        <f>IFERROR(__xludf.DUMMYFUNCTION("""COMPUTED_VALUE"""),44720.66666666667)</f>
        <v>44720.66667</v>
      </c>
      <c r="B426" s="1">
        <f>IFERROR(__xludf.DUMMYFUNCTION("""COMPUTED_VALUE"""),217.17)</f>
        <v>217.17</v>
      </c>
    </row>
    <row r="427">
      <c r="A427" s="2">
        <f>IFERROR(__xludf.DUMMYFUNCTION("""COMPUTED_VALUE"""),44721.66666666667)</f>
        <v>44721.66667</v>
      </c>
      <c r="B427" s="1">
        <f>IFERROR(__xludf.DUMMYFUNCTION("""COMPUTED_VALUE"""),217.0)</f>
        <v>217</v>
      </c>
    </row>
    <row r="428">
      <c r="A428" s="2">
        <f>IFERROR(__xludf.DUMMYFUNCTION("""COMPUTED_VALUE"""),44722.66666666667)</f>
        <v>44722.66667</v>
      </c>
      <c r="B428" s="1">
        <f>IFERROR(__xludf.DUMMYFUNCTION("""COMPUTED_VALUE"""),206.77)</f>
        <v>206.77</v>
      </c>
    </row>
    <row r="429">
      <c r="A429" s="2">
        <f>IFERROR(__xludf.DUMMYFUNCTION("""COMPUTED_VALUE"""),44725.66666666667)</f>
        <v>44725.66667</v>
      </c>
      <c r="B429" s="1">
        <f>IFERROR(__xludf.DUMMYFUNCTION("""COMPUTED_VALUE"""),200.98)</f>
        <v>200.98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IFERROR(__xludf.DUMMYFUNCTION("""COMPUTED_VALUE"""),229.95)</f>
        <v>229.95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IFERROR(__xludf.DUMMYFUNCTION("""COMPUTED_VALUE"""),232.78)</f>
        <v>232.78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IFERROR(__xludf.DUMMYFUNCTION("""COMPUTED_VALUE"""),225.31)</f>
        <v>225.31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IFERROR(__xludf.DUMMYFUNCTION("""COMPUTED_VALUE"""),229.9)</f>
        <v>229.9</v>
      </c>
    </row>
    <row r="434">
      <c r="A434" s="2">
        <f>IFERROR(__xludf.DUMMYFUNCTION("""COMPUTED_VALUE"""),44733.66666666667)</f>
        <v>44733.66667</v>
      </c>
      <c r="B434" s="1">
        <f>IFERROR(__xludf.DUMMYFUNCTION("""COMPUTED_VALUE"""),230.52)</f>
        <v>230.52</v>
      </c>
    </row>
    <row r="435">
      <c r="A435" s="2">
        <f>IFERROR(__xludf.DUMMYFUNCTION("""COMPUTED_VALUE"""),44734.66666666667)</f>
        <v>44734.66667</v>
      </c>
      <c r="B435" s="1">
        <f>IFERROR(__xludf.DUMMYFUNCTION("""COMPUTED_VALUE"""),229.02)</f>
        <v>229.02</v>
      </c>
    </row>
    <row r="436">
      <c r="A436" s="2">
        <f>IFERROR(__xludf.DUMMYFUNCTION("""COMPUTED_VALUE"""),44735.66666666667)</f>
        <v>44735.66667</v>
      </c>
      <c r="B436" s="1">
        <f>IFERROR(__xludf.DUMMYFUNCTION("""COMPUTED_VALUE"""),228.13)</f>
        <v>228.13</v>
      </c>
    </row>
    <row r="437">
      <c r="A437" s="2">
        <f>IFERROR(__xludf.DUMMYFUNCTION("""COMPUTED_VALUE"""),44736.66666666667)</f>
        <v>44736.66667</v>
      </c>
      <c r="B437" s="1">
        <f>IFERROR(__xludf.DUMMYFUNCTION("""COMPUTED_VALUE"""),243.24)</f>
        <v>243.24</v>
      </c>
    </row>
    <row r="438">
      <c r="A438" s="2">
        <f>IFERROR(__xludf.DUMMYFUNCTION("""COMPUTED_VALUE"""),44739.66666666667)</f>
        <v>44739.66667</v>
      </c>
      <c r="B438" s="1">
        <f>IFERROR(__xludf.DUMMYFUNCTION("""COMPUTED_VALUE"""),240.47)</f>
        <v>240.47</v>
      </c>
    </row>
    <row r="439">
      <c r="A439" s="2">
        <f>IFERROR(__xludf.DUMMYFUNCTION("""COMPUTED_VALUE"""),44740.66666666667)</f>
        <v>44740.66667</v>
      </c>
      <c r="B439" s="1">
        <f>IFERROR(__xludf.DUMMYFUNCTION("""COMPUTED_VALUE"""),240.09)</f>
        <v>240.09</v>
      </c>
    </row>
    <row r="440">
      <c r="A440" s="2">
        <f>IFERROR(__xludf.DUMMYFUNCTION("""COMPUTED_VALUE"""),44741.66666666667)</f>
        <v>44741.66667</v>
      </c>
      <c r="B440" s="1">
        <f>IFERROR(__xludf.DUMMYFUNCTION("""COMPUTED_VALUE"""),233.81)</f>
        <v>233.81</v>
      </c>
    </row>
    <row r="441">
      <c r="A441" s="2">
        <f>IFERROR(__xludf.DUMMYFUNCTION("""COMPUTED_VALUE"""),44742.66666666667)</f>
        <v>44742.66667</v>
      </c>
      <c r="B441" s="1">
        <f>IFERROR(__xludf.DUMMYFUNCTION("""COMPUTED_VALUE"""),226.71)</f>
        <v>226.71</v>
      </c>
    </row>
    <row r="442">
      <c r="A442" s="2">
        <f>IFERROR(__xludf.DUMMYFUNCTION("""COMPUTED_VALUE"""),44743.66666666667)</f>
        <v>44743.66667</v>
      </c>
      <c r="B442" s="1">
        <f>IFERROR(__xludf.DUMMYFUNCTION("""COMPUTED_VALUE"""),223.61)</f>
        <v>223.61</v>
      </c>
    </row>
    <row r="443">
      <c r="A443" s="2">
        <f>IFERROR(__xludf.DUMMYFUNCTION("""COMPUTED_VALUE"""),44747.66666666667)</f>
        <v>44747.66667</v>
      </c>
      <c r="B443" s="1">
        <f>IFERROR(__xludf.DUMMYFUNCTION("""COMPUTED_VALUE"""),229.61)</f>
        <v>229.61</v>
      </c>
    </row>
    <row r="444">
      <c r="A444" s="2">
        <f>IFERROR(__xludf.DUMMYFUNCTION("""COMPUTED_VALUE"""),44748.66666666667)</f>
        <v>44748.66667</v>
      </c>
      <c r="B444" s="1">
        <f>IFERROR(__xludf.DUMMYFUNCTION("""COMPUTED_VALUE"""),227.72)</f>
        <v>227.72</v>
      </c>
    </row>
    <row r="445">
      <c r="A445" s="2">
        <f>IFERROR(__xludf.DUMMYFUNCTION("""COMPUTED_VALUE"""),44749.66666666667)</f>
        <v>44749.66667</v>
      </c>
      <c r="B445" s="1">
        <f>IFERROR(__xludf.DUMMYFUNCTION("""COMPUTED_VALUE"""),231.35)</f>
        <v>231.35</v>
      </c>
    </row>
    <row r="446">
      <c r="A446" s="2">
        <f>IFERROR(__xludf.DUMMYFUNCTION("""COMPUTED_VALUE"""),44750.66666666667)</f>
        <v>44750.66667</v>
      </c>
      <c r="B446" s="1">
        <f>IFERROR(__xludf.DUMMYFUNCTION("""COMPUTED_VALUE"""),230.49)</f>
        <v>230.49</v>
      </c>
    </row>
    <row r="447">
      <c r="A447" s="2">
        <f>IFERROR(__xludf.DUMMYFUNCTION("""COMPUTED_VALUE"""),44753.66666666667)</f>
        <v>44753.66667</v>
      </c>
      <c r="B447" s="1">
        <f>IFERROR(__xludf.DUMMYFUNCTION("""COMPUTED_VALUE"""),224.19)</f>
        <v>224.19</v>
      </c>
    </row>
    <row r="448">
      <c r="A448" s="2">
        <f>IFERROR(__xludf.DUMMYFUNCTION("""COMPUTED_VALUE"""),44754.66666666667)</f>
        <v>44754.66667</v>
      </c>
      <c r="B448" s="1">
        <f>IFERROR(__xludf.DUMMYFUNCTION("""COMPUTED_VALUE"""),222.98)</f>
        <v>222.98</v>
      </c>
    </row>
    <row r="449">
      <c r="A449" s="2">
        <f>IFERROR(__xludf.DUMMYFUNCTION("""COMPUTED_VALUE"""),44755.66666666667)</f>
        <v>44755.66667</v>
      </c>
      <c r="B449" s="1">
        <f>IFERROR(__xludf.DUMMYFUNCTION("""COMPUTED_VALUE"""),216.13)</f>
        <v>216.13</v>
      </c>
    </row>
    <row r="450">
      <c r="A450" s="2">
        <f>IFERROR(__xludf.DUMMYFUNCTION("""COMPUTED_VALUE"""),44756.66666666667)</f>
        <v>44756.66667</v>
      </c>
      <c r="B450" s="1">
        <f>IFERROR(__xludf.DUMMYFUNCTION("""COMPUTED_VALUE"""),214.29)</f>
        <v>214.29</v>
      </c>
    </row>
    <row r="451">
      <c r="A451" s="2">
        <f>IFERROR(__xludf.DUMMYFUNCTION("""COMPUTED_VALUE"""),44757.66666666667)</f>
        <v>44757.66667</v>
      </c>
      <c r="B451" s="1">
        <f>IFERROR(__xludf.DUMMYFUNCTION("""COMPUTED_VALUE"""),217.83)</f>
        <v>217.83</v>
      </c>
    </row>
    <row r="452">
      <c r="A452" s="2">
        <f>IFERROR(__xludf.DUMMYFUNCTION("""COMPUTED_VALUE"""),44760.66666666667)</f>
        <v>44760.66667</v>
      </c>
      <c r="B452" s="1">
        <f>IFERROR(__xludf.DUMMYFUNCTION("""COMPUTED_VALUE"""),217.98)</f>
        <v>217.98</v>
      </c>
    </row>
    <row r="453">
      <c r="A453" s="2">
        <f>IFERROR(__xludf.DUMMYFUNCTION("""COMPUTED_VALUE"""),44761.66666666667)</f>
        <v>44761.66667</v>
      </c>
      <c r="B453" s="1">
        <f>IFERROR(__xludf.DUMMYFUNCTION("""COMPUTED_VALUE"""),225.43)</f>
        <v>225.43</v>
      </c>
    </row>
    <row r="454">
      <c r="A454" s="2">
        <f>IFERROR(__xludf.DUMMYFUNCTION("""COMPUTED_VALUE"""),44762.66666666667)</f>
        <v>44762.66667</v>
      </c>
      <c r="B454" s="1">
        <f>IFERROR(__xludf.DUMMYFUNCTION("""COMPUTED_VALUE"""),227.66)</f>
        <v>227.66</v>
      </c>
    </row>
    <row r="455">
      <c r="A455" s="2">
        <f>IFERROR(__xludf.DUMMYFUNCTION("""COMPUTED_VALUE"""),44763.66666666667)</f>
        <v>44763.66667</v>
      </c>
      <c r="B455" s="1">
        <f>IFERROR(__xludf.DUMMYFUNCTION("""COMPUTED_VALUE"""),227.66)</f>
        <v>227.66</v>
      </c>
    </row>
    <row r="456">
      <c r="A456" s="2">
        <f>IFERROR(__xludf.DUMMYFUNCTION("""COMPUTED_VALUE"""),44764.66666666667)</f>
        <v>44764.66667</v>
      </c>
      <c r="B456" s="1">
        <f>IFERROR(__xludf.DUMMYFUNCTION("""COMPUTED_VALUE"""),227.3)</f>
        <v>227.3</v>
      </c>
    </row>
    <row r="457">
      <c r="A457" s="2">
        <f>IFERROR(__xludf.DUMMYFUNCTION("""COMPUTED_VALUE"""),44767.66666666667)</f>
        <v>44767.66667</v>
      </c>
      <c r="B457" s="1">
        <f>IFERROR(__xludf.DUMMYFUNCTION("""COMPUTED_VALUE"""),228.17)</f>
        <v>228.17</v>
      </c>
    </row>
    <row r="458">
      <c r="A458" s="2">
        <f>IFERROR(__xludf.DUMMYFUNCTION("""COMPUTED_VALUE"""),44768.66666666667)</f>
        <v>44768.66667</v>
      </c>
      <c r="B458" s="1">
        <f>IFERROR(__xludf.DUMMYFUNCTION("""COMPUTED_VALUE"""),224.87)</f>
        <v>224.87</v>
      </c>
    </row>
    <row r="459">
      <c r="A459" s="2">
        <f>IFERROR(__xludf.DUMMYFUNCTION("""COMPUTED_VALUE"""),44769.66666666667)</f>
        <v>44769.66667</v>
      </c>
      <c r="B459" s="1">
        <f>IFERROR(__xludf.DUMMYFUNCTION("""COMPUTED_VALUE"""),227.63)</f>
        <v>227.63</v>
      </c>
    </row>
    <row r="460">
      <c r="A460" s="2">
        <f>IFERROR(__xludf.DUMMYFUNCTION("""COMPUTED_VALUE"""),44770.66666666667)</f>
        <v>44770.66667</v>
      </c>
      <c r="B460" s="1">
        <f>IFERROR(__xludf.DUMMYFUNCTION("""COMPUTED_VALUE"""),229.81)</f>
        <v>229.81</v>
      </c>
    </row>
    <row r="461">
      <c r="A461" s="2">
        <f>IFERROR(__xludf.DUMMYFUNCTION("""COMPUTED_VALUE"""),44771.66666666667)</f>
        <v>44771.66667</v>
      </c>
      <c r="B461" s="1">
        <f>IFERROR(__xludf.DUMMYFUNCTION("""COMPUTED_VALUE"""),233.09)</f>
        <v>233.09</v>
      </c>
    </row>
    <row r="462">
      <c r="A462" s="2">
        <f>IFERROR(__xludf.DUMMYFUNCTION("""COMPUTED_VALUE"""),44774.66666666667)</f>
        <v>44774.66667</v>
      </c>
      <c r="B462" s="1">
        <f>IFERROR(__xludf.DUMMYFUNCTION("""COMPUTED_VALUE"""),237.7)</f>
        <v>237.7</v>
      </c>
    </row>
    <row r="463">
      <c r="A463" s="2">
        <f>IFERROR(__xludf.DUMMYFUNCTION("""COMPUTED_VALUE"""),44775.66666666667)</f>
        <v>44775.66667</v>
      </c>
      <c r="B463" s="1">
        <f>IFERROR(__xludf.DUMMYFUNCTION("""COMPUTED_VALUE"""),233.27)</f>
        <v>233.27</v>
      </c>
    </row>
    <row r="464">
      <c r="A464" s="2">
        <f>IFERROR(__xludf.DUMMYFUNCTION("""COMPUTED_VALUE"""),44776.66666666667)</f>
        <v>44776.66667</v>
      </c>
      <c r="B464" s="1">
        <f>IFERROR(__xludf.DUMMYFUNCTION("""COMPUTED_VALUE"""),233.19)</f>
        <v>233.19</v>
      </c>
    </row>
    <row r="465">
      <c r="A465" s="2">
        <f>IFERROR(__xludf.DUMMYFUNCTION("""COMPUTED_VALUE"""),44777.66666666667)</f>
        <v>44777.66667</v>
      </c>
      <c r="B465" s="1">
        <f>IFERROR(__xludf.DUMMYFUNCTION("""COMPUTED_VALUE"""),236.1)</f>
        <v>236.1</v>
      </c>
    </row>
    <row r="466">
      <c r="A466" s="2">
        <f>IFERROR(__xludf.DUMMYFUNCTION("""COMPUTED_VALUE"""),44778.66666666667)</f>
        <v>44778.66667</v>
      </c>
      <c r="B466" s="1">
        <f>IFERROR(__xludf.DUMMYFUNCTION("""COMPUTED_VALUE"""),234.89)</f>
        <v>234.89</v>
      </c>
    </row>
    <row r="467">
      <c r="A467" s="2">
        <f>IFERROR(__xludf.DUMMYFUNCTION("""COMPUTED_VALUE"""),44781.66666666667)</f>
        <v>44781.66667</v>
      </c>
      <c r="B467" s="1">
        <f>IFERROR(__xludf.DUMMYFUNCTION("""COMPUTED_VALUE"""),229.02)</f>
        <v>229.02</v>
      </c>
    </row>
    <row r="468">
      <c r="A468" s="2">
        <f>IFERROR(__xludf.DUMMYFUNCTION("""COMPUTED_VALUE"""),44782.66666666667)</f>
        <v>44782.66667</v>
      </c>
      <c r="B468" s="1">
        <f>IFERROR(__xludf.DUMMYFUNCTION("""COMPUTED_VALUE"""),224.97)</f>
        <v>224.97</v>
      </c>
    </row>
    <row r="469">
      <c r="A469" s="2">
        <f>IFERROR(__xludf.DUMMYFUNCTION("""COMPUTED_VALUE"""),44783.66666666667)</f>
        <v>44783.66667</v>
      </c>
      <c r="B469" s="1">
        <f>IFERROR(__xludf.DUMMYFUNCTION("""COMPUTED_VALUE"""),232.45)</f>
        <v>232.45</v>
      </c>
    </row>
    <row r="470">
      <c r="A470" s="2">
        <f>IFERROR(__xludf.DUMMYFUNCTION("""COMPUTED_VALUE"""),44784.66666666667)</f>
        <v>44784.66667</v>
      </c>
      <c r="B470" s="1">
        <f>IFERROR(__xludf.DUMMYFUNCTION("""COMPUTED_VALUE"""),229.24)</f>
        <v>229.24</v>
      </c>
    </row>
    <row r="471">
      <c r="A471" s="2">
        <f>IFERROR(__xludf.DUMMYFUNCTION("""COMPUTED_VALUE"""),44785.66666666667)</f>
        <v>44785.66667</v>
      </c>
      <c r="B471" s="1">
        <f>IFERROR(__xludf.DUMMYFUNCTION("""COMPUTED_VALUE"""),230.68)</f>
        <v>230.68</v>
      </c>
    </row>
    <row r="472">
      <c r="A472" s="2">
        <f>IFERROR(__xludf.DUMMYFUNCTION("""COMPUTED_VALUE"""),44788.66666666667)</f>
        <v>44788.66667</v>
      </c>
      <c r="B472" s="1">
        <f>IFERROR(__xludf.DUMMYFUNCTION("""COMPUTED_VALUE"""),233.21)</f>
        <v>233.21</v>
      </c>
    </row>
    <row r="473">
      <c r="A473" s="2">
        <f>IFERROR(__xludf.DUMMYFUNCTION("""COMPUTED_VALUE"""),44789.66666666667)</f>
        <v>44789.66667</v>
      </c>
      <c r="B473" s="1">
        <f>IFERROR(__xludf.DUMMYFUNCTION("""COMPUTED_VALUE"""),238.22)</f>
        <v>238.22</v>
      </c>
    </row>
    <row r="474">
      <c r="A474" s="2">
        <f>IFERROR(__xludf.DUMMYFUNCTION("""COMPUTED_VALUE"""),44790.66666666667)</f>
        <v>44790.66667</v>
      </c>
      <c r="B474" s="1">
        <f>IFERROR(__xludf.DUMMYFUNCTION("""COMPUTED_VALUE"""),233.42)</f>
        <v>233.42</v>
      </c>
    </row>
    <row r="475">
      <c r="A475" s="2">
        <f>IFERROR(__xludf.DUMMYFUNCTION("""COMPUTED_VALUE"""),44791.66666666667)</f>
        <v>44791.66667</v>
      </c>
      <c r="B475" s="1">
        <f>IFERROR(__xludf.DUMMYFUNCTION("""COMPUTED_VALUE"""),234.87)</f>
        <v>234.87</v>
      </c>
    </row>
    <row r="476">
      <c r="A476" s="2">
        <f>IFERROR(__xludf.DUMMYFUNCTION("""COMPUTED_VALUE"""),44792.66666666667)</f>
        <v>44792.66667</v>
      </c>
      <c r="B476" s="1">
        <f>IFERROR(__xludf.DUMMYFUNCTION("""COMPUTED_VALUE"""),231.73)</f>
        <v>231.73</v>
      </c>
    </row>
    <row r="477">
      <c r="A477" s="2">
        <f>IFERROR(__xludf.DUMMYFUNCTION("""COMPUTED_VALUE"""),44795.66666666667)</f>
        <v>44795.66667</v>
      </c>
      <c r="B477" s="1">
        <f>IFERROR(__xludf.DUMMYFUNCTION("""COMPUTED_VALUE"""),223.57)</f>
        <v>223.57</v>
      </c>
    </row>
    <row r="478">
      <c r="A478" s="2">
        <f>IFERROR(__xludf.DUMMYFUNCTION("""COMPUTED_VALUE"""),44796.66666666667)</f>
        <v>44796.66667</v>
      </c>
      <c r="B478" s="1">
        <f>IFERROR(__xludf.DUMMYFUNCTION("""COMPUTED_VALUE"""),225.26)</f>
        <v>225.26</v>
      </c>
    </row>
    <row r="479">
      <c r="A479" s="2">
        <f>IFERROR(__xludf.DUMMYFUNCTION("""COMPUTED_VALUE"""),44797.66666666667)</f>
        <v>44797.66667</v>
      </c>
      <c r="B479" s="1">
        <f>IFERROR(__xludf.DUMMYFUNCTION("""COMPUTED_VALUE"""),226.06)</f>
        <v>226.06</v>
      </c>
    </row>
    <row r="480">
      <c r="A480" s="2">
        <f>IFERROR(__xludf.DUMMYFUNCTION("""COMPUTED_VALUE"""),44798.66666666667)</f>
        <v>44798.66667</v>
      </c>
      <c r="B480" s="1">
        <f>IFERROR(__xludf.DUMMYFUNCTION("""COMPUTED_VALUE"""),228.03)</f>
        <v>228.03</v>
      </c>
    </row>
    <row r="481">
      <c r="A481" s="2">
        <f>IFERROR(__xludf.DUMMYFUNCTION("""COMPUTED_VALUE"""),44799.66666666667)</f>
        <v>44799.66667</v>
      </c>
      <c r="B481" s="1">
        <f>IFERROR(__xludf.DUMMYFUNCTION("""COMPUTED_VALUE"""),218.16)</f>
        <v>218.16</v>
      </c>
    </row>
    <row r="482">
      <c r="A482" s="2">
        <f>IFERROR(__xludf.DUMMYFUNCTION("""COMPUTED_VALUE"""),44802.66666666667)</f>
        <v>44802.66667</v>
      </c>
      <c r="B482" s="1">
        <f>IFERROR(__xludf.DUMMYFUNCTION("""COMPUTED_VALUE"""),216.73)</f>
        <v>216.73</v>
      </c>
    </row>
    <row r="483">
      <c r="A483" s="2">
        <f>IFERROR(__xludf.DUMMYFUNCTION("""COMPUTED_VALUE"""),44803.66666666667)</f>
        <v>44803.66667</v>
      </c>
      <c r="B483" s="1">
        <f>IFERROR(__xludf.DUMMYFUNCTION("""COMPUTED_VALUE"""),213.48)</f>
        <v>213.48</v>
      </c>
    </row>
    <row r="484">
      <c r="A484" s="2">
        <f>IFERROR(__xludf.DUMMYFUNCTION("""COMPUTED_VALUE"""),44804.66666666667)</f>
        <v>44804.66667</v>
      </c>
      <c r="B484" s="1">
        <f>IFERROR(__xludf.DUMMYFUNCTION("""COMPUTED_VALUE"""),210.81)</f>
        <v>210.81</v>
      </c>
    </row>
    <row r="485">
      <c r="A485" s="2">
        <f>IFERROR(__xludf.DUMMYFUNCTION("""COMPUTED_VALUE"""),44805.66666666667)</f>
        <v>44805.66667</v>
      </c>
      <c r="B485" s="1">
        <f>IFERROR(__xludf.DUMMYFUNCTION("""COMPUTED_VALUE"""),211.86)</f>
        <v>211.86</v>
      </c>
    </row>
    <row r="486">
      <c r="A486" s="2">
        <f>IFERROR(__xludf.DUMMYFUNCTION("""COMPUTED_VALUE"""),44806.66666666667)</f>
        <v>44806.66667</v>
      </c>
      <c r="B486" s="1">
        <f>IFERROR(__xludf.DUMMYFUNCTION("""COMPUTED_VALUE"""),208.72)</f>
        <v>208.72</v>
      </c>
    </row>
    <row r="487">
      <c r="A487" s="2">
        <f>IFERROR(__xludf.DUMMYFUNCTION("""COMPUTED_VALUE"""),44810.66666666667)</f>
        <v>44810.66667</v>
      </c>
      <c r="B487" s="1">
        <f>IFERROR(__xludf.DUMMYFUNCTION("""COMPUTED_VALUE"""),204.17)</f>
        <v>204.17</v>
      </c>
    </row>
    <row r="488">
      <c r="A488" s="2">
        <f>IFERROR(__xludf.DUMMYFUNCTION("""COMPUTED_VALUE"""),44811.66666666667)</f>
        <v>44811.66667</v>
      </c>
      <c r="B488" s="1">
        <f>IFERROR(__xludf.DUMMYFUNCTION("""COMPUTED_VALUE"""),201.62)</f>
        <v>201.62</v>
      </c>
    </row>
    <row r="489">
      <c r="A489" s="2">
        <f>IFERROR(__xludf.DUMMYFUNCTION("""COMPUTED_VALUE"""),44812.66666666667)</f>
        <v>44812.66667</v>
      </c>
      <c r="B489" s="1">
        <f>IFERROR(__xludf.DUMMYFUNCTION("""COMPUTED_VALUE"""),202.87)</f>
        <v>202.87</v>
      </c>
    </row>
    <row r="490">
      <c r="A490" s="2">
        <f>IFERROR(__xludf.DUMMYFUNCTION("""COMPUTED_VALUE"""),44813.66666666667)</f>
        <v>44813.66667</v>
      </c>
      <c r="B490" s="1">
        <f>IFERROR(__xludf.DUMMYFUNCTION("""COMPUTED_VALUE"""),209.07)</f>
        <v>209.07</v>
      </c>
    </row>
    <row r="491">
      <c r="A491" s="2">
        <f>IFERROR(__xludf.DUMMYFUNCTION("""COMPUTED_VALUE"""),44816.66666666667)</f>
        <v>44816.66667</v>
      </c>
      <c r="B491" s="1">
        <f>IFERROR(__xludf.DUMMYFUNCTION("""COMPUTED_VALUE"""),213.84)</f>
        <v>213.84</v>
      </c>
    </row>
    <row r="492">
      <c r="A492" s="2">
        <f>IFERROR(__xludf.DUMMYFUNCTION("""COMPUTED_VALUE"""),44817.66666666667)</f>
        <v>44817.66667</v>
      </c>
      <c r="B492" s="1">
        <f>IFERROR(__xludf.DUMMYFUNCTION("""COMPUTED_VALUE"""),205.34)</f>
        <v>205.34</v>
      </c>
    </row>
    <row r="493">
      <c r="A493" s="2">
        <f>IFERROR(__xludf.DUMMYFUNCTION("""COMPUTED_VALUE"""),44818.66666666667)</f>
        <v>44818.66667</v>
      </c>
      <c r="B493" s="1">
        <f>IFERROR(__xludf.DUMMYFUNCTION("""COMPUTED_VALUE"""),205.01)</f>
        <v>205.01</v>
      </c>
    </row>
    <row r="494">
      <c r="A494" s="2">
        <f>IFERROR(__xludf.DUMMYFUNCTION("""COMPUTED_VALUE"""),44819.66666666667)</f>
        <v>44819.66667</v>
      </c>
      <c r="B494" s="1">
        <f>IFERROR(__xludf.DUMMYFUNCTION("""COMPUTED_VALUE"""),204.87)</f>
        <v>204.87</v>
      </c>
    </row>
    <row r="495">
      <c r="A495" s="2">
        <f>IFERROR(__xludf.DUMMYFUNCTION("""COMPUTED_VALUE"""),44820.66666666667)</f>
        <v>44820.66667</v>
      </c>
      <c r="B495" s="1">
        <f>IFERROR(__xludf.DUMMYFUNCTION("""COMPUTED_VALUE"""),161.02)</f>
        <v>161.02</v>
      </c>
    </row>
    <row r="496">
      <c r="A496" s="2">
        <f>IFERROR(__xludf.DUMMYFUNCTION("""COMPUTED_VALUE"""),44823.66666666667)</f>
        <v>44823.66667</v>
      </c>
      <c r="B496" s="1">
        <f>IFERROR(__xludf.DUMMYFUNCTION("""COMPUTED_VALUE"""),162.9)</f>
        <v>162.9</v>
      </c>
    </row>
    <row r="497">
      <c r="A497" s="2">
        <f>IFERROR(__xludf.DUMMYFUNCTION("""COMPUTED_VALUE"""),44824.66666666667)</f>
        <v>44824.66667</v>
      </c>
      <c r="B497" s="1">
        <f>IFERROR(__xludf.DUMMYFUNCTION("""COMPUTED_VALUE"""),157.4)</f>
        <v>157.4</v>
      </c>
    </row>
    <row r="498">
      <c r="A498" s="2">
        <f>IFERROR(__xludf.DUMMYFUNCTION("""COMPUTED_VALUE"""),44825.66666666667)</f>
        <v>44825.66667</v>
      </c>
      <c r="B498" s="1">
        <f>IFERROR(__xludf.DUMMYFUNCTION("""COMPUTED_VALUE"""),153.25)</f>
        <v>153.25</v>
      </c>
    </row>
    <row r="499">
      <c r="A499" s="2">
        <f>IFERROR(__xludf.DUMMYFUNCTION("""COMPUTED_VALUE"""),44826.66666666667)</f>
        <v>44826.66667</v>
      </c>
      <c r="B499" s="1">
        <f>IFERROR(__xludf.DUMMYFUNCTION("""COMPUTED_VALUE"""),154.54)</f>
        <v>154.54</v>
      </c>
    </row>
    <row r="500">
      <c r="A500" s="2">
        <f>IFERROR(__xludf.DUMMYFUNCTION("""COMPUTED_VALUE"""),44827.66666666667)</f>
        <v>44827.66667</v>
      </c>
      <c r="B500" s="1">
        <f>IFERROR(__xludf.DUMMYFUNCTION("""COMPUTED_VALUE"""),149.33)</f>
        <v>149.33</v>
      </c>
    </row>
    <row r="501">
      <c r="A501" s="2">
        <f>IFERROR(__xludf.DUMMYFUNCTION("""COMPUTED_VALUE"""),44830.66666666667)</f>
        <v>44830.66667</v>
      </c>
      <c r="B501" s="1">
        <f>IFERROR(__xludf.DUMMYFUNCTION("""COMPUTED_VALUE"""),142.9)</f>
        <v>142.9</v>
      </c>
    </row>
    <row r="502">
      <c r="A502" s="2">
        <f>IFERROR(__xludf.DUMMYFUNCTION("""COMPUTED_VALUE"""),44831.66666666667)</f>
        <v>44831.66667</v>
      </c>
      <c r="B502" s="1">
        <f>IFERROR(__xludf.DUMMYFUNCTION("""COMPUTED_VALUE"""),144.95)</f>
        <v>144.95</v>
      </c>
    </row>
    <row r="503">
      <c r="A503" s="2">
        <f>IFERROR(__xludf.DUMMYFUNCTION("""COMPUTED_VALUE"""),44832.66666666667)</f>
        <v>44832.66667</v>
      </c>
      <c r="B503" s="1">
        <f>IFERROR(__xludf.DUMMYFUNCTION("""COMPUTED_VALUE"""),149.99)</f>
        <v>149.99</v>
      </c>
    </row>
    <row r="504">
      <c r="A504" s="2">
        <f>IFERROR(__xludf.DUMMYFUNCTION("""COMPUTED_VALUE"""),44833.66666666667)</f>
        <v>44833.66667</v>
      </c>
      <c r="B504" s="1">
        <f>IFERROR(__xludf.DUMMYFUNCTION("""COMPUTED_VALUE"""),152.31)</f>
        <v>152.31</v>
      </c>
    </row>
    <row r="505">
      <c r="A505" s="2">
        <f>IFERROR(__xludf.DUMMYFUNCTION("""COMPUTED_VALUE"""),44834.66666666667)</f>
        <v>44834.66667</v>
      </c>
      <c r="B505" s="1">
        <f>IFERROR(__xludf.DUMMYFUNCTION("""COMPUTED_VALUE"""),148.47)</f>
        <v>148.47</v>
      </c>
    </row>
    <row r="506">
      <c r="A506" s="2">
        <f>IFERROR(__xludf.DUMMYFUNCTION("""COMPUTED_VALUE"""),44837.66666666667)</f>
        <v>44837.66667</v>
      </c>
      <c r="B506" s="1">
        <f>IFERROR(__xludf.DUMMYFUNCTION("""COMPUTED_VALUE"""),151.46)</f>
        <v>151.46</v>
      </c>
    </row>
    <row r="507">
      <c r="A507" s="2">
        <f>IFERROR(__xludf.DUMMYFUNCTION("""COMPUTED_VALUE"""),44838.66666666667)</f>
        <v>44838.66667</v>
      </c>
      <c r="B507" s="1">
        <f>IFERROR(__xludf.DUMMYFUNCTION("""COMPUTED_VALUE"""),159.12)</f>
        <v>159.12</v>
      </c>
    </row>
    <row r="508">
      <c r="A508" s="2">
        <f>IFERROR(__xludf.DUMMYFUNCTION("""COMPUTED_VALUE"""),44839.66666666667)</f>
        <v>44839.66667</v>
      </c>
      <c r="B508" s="1">
        <f>IFERROR(__xludf.DUMMYFUNCTION("""COMPUTED_VALUE"""),156.87)</f>
        <v>156.87</v>
      </c>
    </row>
    <row r="509">
      <c r="A509" s="2">
        <f>IFERROR(__xludf.DUMMYFUNCTION("""COMPUTED_VALUE"""),44840.66666666667)</f>
        <v>44840.66667</v>
      </c>
      <c r="B509" s="1">
        <f>IFERROR(__xludf.DUMMYFUNCTION("""COMPUTED_VALUE"""),155.19)</f>
        <v>155.19</v>
      </c>
    </row>
    <row r="510">
      <c r="A510" s="2">
        <f>IFERROR(__xludf.DUMMYFUNCTION("""COMPUTED_VALUE"""),44841.66666666667)</f>
        <v>44841.66667</v>
      </c>
      <c r="B510" s="1">
        <f>IFERROR(__xludf.DUMMYFUNCTION("""COMPUTED_VALUE"""),154.41)</f>
        <v>154.41</v>
      </c>
    </row>
    <row r="511">
      <c r="A511" s="2">
        <f>IFERROR(__xludf.DUMMYFUNCTION("""COMPUTED_VALUE"""),44844.66666666667)</f>
        <v>44844.66667</v>
      </c>
      <c r="B511" s="1">
        <f>IFERROR(__xludf.DUMMYFUNCTION("""COMPUTED_VALUE"""),153.21)</f>
        <v>153.21</v>
      </c>
    </row>
    <row r="512">
      <c r="A512" s="2">
        <f>IFERROR(__xludf.DUMMYFUNCTION("""COMPUTED_VALUE"""),44845.66666666667)</f>
        <v>44845.66667</v>
      </c>
      <c r="B512" s="1">
        <f>IFERROR(__xludf.DUMMYFUNCTION("""COMPUTED_VALUE"""),152.08)</f>
        <v>152.08</v>
      </c>
    </row>
    <row r="513">
      <c r="A513" s="2">
        <f>IFERROR(__xludf.DUMMYFUNCTION("""COMPUTED_VALUE"""),44846.66666666667)</f>
        <v>44846.66667</v>
      </c>
      <c r="B513" s="1">
        <f>IFERROR(__xludf.DUMMYFUNCTION("""COMPUTED_VALUE"""),152.89)</f>
        <v>152.89</v>
      </c>
    </row>
    <row r="514">
      <c r="A514" s="2">
        <f>IFERROR(__xludf.DUMMYFUNCTION("""COMPUTED_VALUE"""),44847.66666666667)</f>
        <v>44847.66667</v>
      </c>
      <c r="B514" s="1">
        <f>IFERROR(__xludf.DUMMYFUNCTION("""COMPUTED_VALUE"""),156.25)</f>
        <v>156.25</v>
      </c>
    </row>
    <row r="515">
      <c r="A515" s="2">
        <f>IFERROR(__xludf.DUMMYFUNCTION("""COMPUTED_VALUE"""),44848.66666666667)</f>
        <v>44848.66667</v>
      </c>
      <c r="B515" s="1">
        <f>IFERROR(__xludf.DUMMYFUNCTION("""COMPUTED_VALUE"""),156.96)</f>
        <v>156.96</v>
      </c>
    </row>
    <row r="516">
      <c r="A516" s="2">
        <f>IFERROR(__xludf.DUMMYFUNCTION("""COMPUTED_VALUE"""),44851.66666666667)</f>
        <v>44851.66667</v>
      </c>
      <c r="B516" s="1">
        <f>IFERROR(__xludf.DUMMYFUNCTION("""COMPUTED_VALUE"""),156.98)</f>
        <v>156.98</v>
      </c>
    </row>
    <row r="517">
      <c r="A517" s="2">
        <f>IFERROR(__xludf.DUMMYFUNCTION("""COMPUTED_VALUE"""),44852.66666666667)</f>
        <v>44852.66667</v>
      </c>
      <c r="B517" s="1">
        <f>IFERROR(__xludf.DUMMYFUNCTION("""COMPUTED_VALUE"""),156.3)</f>
        <v>156.3</v>
      </c>
    </row>
    <row r="518">
      <c r="A518" s="2">
        <f>IFERROR(__xludf.DUMMYFUNCTION("""COMPUTED_VALUE"""),44853.66666666667)</f>
        <v>44853.66667</v>
      </c>
      <c r="B518" s="1">
        <f>IFERROR(__xludf.DUMMYFUNCTION("""COMPUTED_VALUE"""),152.96)</f>
        <v>152.96</v>
      </c>
    </row>
    <row r="519">
      <c r="A519" s="2">
        <f>IFERROR(__xludf.DUMMYFUNCTION("""COMPUTED_VALUE"""),44854.66666666667)</f>
        <v>44854.66667</v>
      </c>
      <c r="B519" s="1">
        <f>IFERROR(__xludf.DUMMYFUNCTION("""COMPUTED_VALUE"""),150.14)</f>
        <v>150.14</v>
      </c>
    </row>
    <row r="520">
      <c r="A520" s="2">
        <f>IFERROR(__xludf.DUMMYFUNCTION("""COMPUTED_VALUE"""),44855.66666666667)</f>
        <v>44855.66667</v>
      </c>
      <c r="B520" s="1">
        <f>IFERROR(__xludf.DUMMYFUNCTION("""COMPUTED_VALUE"""),153.23)</f>
        <v>153.23</v>
      </c>
    </row>
    <row r="521">
      <c r="A521" s="2">
        <f>IFERROR(__xludf.DUMMYFUNCTION("""COMPUTED_VALUE"""),44858.66666666667)</f>
        <v>44858.66667</v>
      </c>
      <c r="B521" s="1">
        <f>IFERROR(__xludf.DUMMYFUNCTION("""COMPUTED_VALUE"""),154.76)</f>
        <v>154.76</v>
      </c>
    </row>
    <row r="522">
      <c r="A522" s="2">
        <f>IFERROR(__xludf.DUMMYFUNCTION("""COMPUTED_VALUE"""),44859.66666666667)</f>
        <v>44859.66667</v>
      </c>
      <c r="B522" s="1">
        <f>IFERROR(__xludf.DUMMYFUNCTION("""COMPUTED_VALUE"""),155.8)</f>
        <v>155.8</v>
      </c>
    </row>
    <row r="523">
      <c r="A523" s="2">
        <f>IFERROR(__xludf.DUMMYFUNCTION("""COMPUTED_VALUE"""),44860.66666666667)</f>
        <v>44860.66667</v>
      </c>
      <c r="B523" s="1">
        <f>IFERROR(__xludf.DUMMYFUNCTION("""COMPUTED_VALUE"""),157.96)</f>
        <v>157.96</v>
      </c>
    </row>
    <row r="524">
      <c r="A524" s="2">
        <f>IFERROR(__xludf.DUMMYFUNCTION("""COMPUTED_VALUE"""),44861.66666666667)</f>
        <v>44861.66667</v>
      </c>
      <c r="B524" s="1">
        <f>IFERROR(__xludf.DUMMYFUNCTION("""COMPUTED_VALUE"""),156.91)</f>
        <v>156.91</v>
      </c>
    </row>
    <row r="525">
      <c r="A525" s="2">
        <f>IFERROR(__xludf.DUMMYFUNCTION("""COMPUTED_VALUE"""),44862.66666666667)</f>
        <v>44862.66667</v>
      </c>
      <c r="B525" s="1">
        <f>IFERROR(__xludf.DUMMYFUNCTION("""COMPUTED_VALUE"""),160.37)</f>
        <v>160.37</v>
      </c>
    </row>
    <row r="526">
      <c r="A526" s="2">
        <f>IFERROR(__xludf.DUMMYFUNCTION("""COMPUTED_VALUE"""),44865.66666666667)</f>
        <v>44865.66667</v>
      </c>
      <c r="B526" s="1">
        <f>IFERROR(__xludf.DUMMYFUNCTION("""COMPUTED_VALUE"""),160.28)</f>
        <v>160.28</v>
      </c>
    </row>
    <row r="527">
      <c r="A527" s="2">
        <f>IFERROR(__xludf.DUMMYFUNCTION("""COMPUTED_VALUE"""),44866.66666666667)</f>
        <v>44866.66667</v>
      </c>
      <c r="B527" s="1">
        <f>IFERROR(__xludf.DUMMYFUNCTION("""COMPUTED_VALUE"""),158.19)</f>
        <v>158.19</v>
      </c>
    </row>
    <row r="528">
      <c r="A528" s="2">
        <f>IFERROR(__xludf.DUMMYFUNCTION("""COMPUTED_VALUE"""),44867.66666666667)</f>
        <v>44867.66667</v>
      </c>
      <c r="B528" s="1">
        <f>IFERROR(__xludf.DUMMYFUNCTION("""COMPUTED_VALUE"""),154.56)</f>
        <v>154.56</v>
      </c>
    </row>
    <row r="529">
      <c r="A529" s="2">
        <f>IFERROR(__xludf.DUMMYFUNCTION("""COMPUTED_VALUE"""),44868.66666666667)</f>
        <v>44868.66667</v>
      </c>
      <c r="B529" s="1">
        <f>IFERROR(__xludf.DUMMYFUNCTION("""COMPUTED_VALUE"""),154.92)</f>
        <v>154.92</v>
      </c>
    </row>
    <row r="530">
      <c r="A530" s="2">
        <f>IFERROR(__xludf.DUMMYFUNCTION("""COMPUTED_VALUE"""),44869.66666666667)</f>
        <v>44869.66667</v>
      </c>
      <c r="B530" s="1">
        <f>IFERROR(__xludf.DUMMYFUNCTION("""COMPUTED_VALUE"""),156.66)</f>
        <v>156.66</v>
      </c>
    </row>
    <row r="531">
      <c r="A531" s="2">
        <f>IFERROR(__xludf.DUMMYFUNCTION("""COMPUTED_VALUE"""),44872.66666666667)</f>
        <v>44872.66667</v>
      </c>
      <c r="B531" s="1">
        <f>IFERROR(__xludf.DUMMYFUNCTION("""COMPUTED_VALUE"""),159.24)</f>
        <v>159.24</v>
      </c>
    </row>
    <row r="532">
      <c r="A532" s="2">
        <f>IFERROR(__xludf.DUMMYFUNCTION("""COMPUTED_VALUE"""),44873.66666666667)</f>
        <v>44873.66667</v>
      </c>
      <c r="B532" s="1">
        <f>IFERROR(__xludf.DUMMYFUNCTION("""COMPUTED_VALUE"""),159.54)</f>
        <v>159.54</v>
      </c>
    </row>
    <row r="533">
      <c r="A533" s="2">
        <f>IFERROR(__xludf.DUMMYFUNCTION("""COMPUTED_VALUE"""),44874.66666666667)</f>
        <v>44874.66667</v>
      </c>
      <c r="B533" s="1">
        <f>IFERROR(__xludf.DUMMYFUNCTION("""COMPUTED_VALUE"""),158.04)</f>
        <v>158.04</v>
      </c>
    </row>
    <row r="534">
      <c r="A534" s="2">
        <f>IFERROR(__xludf.DUMMYFUNCTION("""COMPUTED_VALUE"""),44875.66666666667)</f>
        <v>44875.66667</v>
      </c>
      <c r="B534" s="1">
        <f>IFERROR(__xludf.DUMMYFUNCTION("""COMPUTED_VALUE"""),166.0)</f>
        <v>166</v>
      </c>
    </row>
    <row r="535">
      <c r="A535" s="2">
        <f>IFERROR(__xludf.DUMMYFUNCTION("""COMPUTED_VALUE"""),44876.66666666667)</f>
        <v>44876.66667</v>
      </c>
      <c r="B535" s="1">
        <f>IFERROR(__xludf.DUMMYFUNCTION("""COMPUTED_VALUE"""),175.61)</f>
        <v>175.61</v>
      </c>
    </row>
    <row r="536">
      <c r="A536" s="2">
        <f>IFERROR(__xludf.DUMMYFUNCTION("""COMPUTED_VALUE"""),44879.66666666667)</f>
        <v>44879.66667</v>
      </c>
      <c r="B536" s="1">
        <f>IFERROR(__xludf.DUMMYFUNCTION("""COMPUTED_VALUE"""),174.76)</f>
        <v>174.76</v>
      </c>
    </row>
    <row r="537">
      <c r="A537" s="2">
        <f>IFERROR(__xludf.DUMMYFUNCTION("""COMPUTED_VALUE"""),44880.66666666667)</f>
        <v>44880.66667</v>
      </c>
      <c r="B537" s="1">
        <f>IFERROR(__xludf.DUMMYFUNCTION("""COMPUTED_VALUE"""),176.26)</f>
        <v>176.26</v>
      </c>
    </row>
    <row r="538">
      <c r="A538" s="2">
        <f>IFERROR(__xludf.DUMMYFUNCTION("""COMPUTED_VALUE"""),44881.66666666667)</f>
        <v>44881.66667</v>
      </c>
      <c r="B538" s="1">
        <f>IFERROR(__xludf.DUMMYFUNCTION("""COMPUTED_VALUE"""),170.77)</f>
        <v>170.77</v>
      </c>
    </row>
    <row r="539">
      <c r="A539" s="2">
        <f>IFERROR(__xludf.DUMMYFUNCTION("""COMPUTED_VALUE"""),44882.66666666667)</f>
        <v>44882.66667</v>
      </c>
      <c r="B539" s="1">
        <f>IFERROR(__xludf.DUMMYFUNCTION("""COMPUTED_VALUE"""),171.54)</f>
        <v>171.54</v>
      </c>
    </row>
    <row r="540">
      <c r="A540" s="2">
        <f>IFERROR(__xludf.DUMMYFUNCTION("""COMPUTED_VALUE"""),44883.66666666667)</f>
        <v>44883.66667</v>
      </c>
      <c r="B540" s="1">
        <f>IFERROR(__xludf.DUMMYFUNCTION("""COMPUTED_VALUE"""),174.72)</f>
        <v>174.72</v>
      </c>
    </row>
    <row r="541">
      <c r="A541" s="2">
        <f>IFERROR(__xludf.DUMMYFUNCTION("""COMPUTED_VALUE"""),44886.66666666667)</f>
        <v>44886.66667</v>
      </c>
      <c r="B541" s="1">
        <f>IFERROR(__xludf.DUMMYFUNCTION("""COMPUTED_VALUE"""),173.64)</f>
        <v>173.64</v>
      </c>
    </row>
    <row r="542">
      <c r="A542" s="2">
        <f>IFERROR(__xludf.DUMMYFUNCTION("""COMPUTED_VALUE"""),44887.66666666667)</f>
        <v>44887.66667</v>
      </c>
      <c r="B542" s="1">
        <f>IFERROR(__xludf.DUMMYFUNCTION("""COMPUTED_VALUE"""),175.67)</f>
        <v>175.67</v>
      </c>
    </row>
    <row r="543">
      <c r="A543" s="2">
        <f>IFERROR(__xludf.DUMMYFUNCTION("""COMPUTED_VALUE"""),44888.66666666667)</f>
        <v>44888.66667</v>
      </c>
      <c r="B543" s="1">
        <f>IFERROR(__xludf.DUMMYFUNCTION("""COMPUTED_VALUE"""),176.36)</f>
        <v>176.36</v>
      </c>
    </row>
    <row r="544">
      <c r="A544" s="2">
        <f>IFERROR(__xludf.DUMMYFUNCTION("""COMPUTED_VALUE"""),44890.54166666667)</f>
        <v>44890.54167</v>
      </c>
      <c r="B544" s="1">
        <f>IFERROR(__xludf.DUMMYFUNCTION("""COMPUTED_VALUE"""),176.7)</f>
        <v>176.7</v>
      </c>
    </row>
    <row r="545">
      <c r="A545" s="2">
        <f>IFERROR(__xludf.DUMMYFUNCTION("""COMPUTED_VALUE"""),44893.66666666667)</f>
        <v>44893.66667</v>
      </c>
      <c r="B545" s="1">
        <f>IFERROR(__xludf.DUMMYFUNCTION("""COMPUTED_VALUE"""),173.21)</f>
        <v>173.21</v>
      </c>
    </row>
    <row r="546">
      <c r="A546" s="2">
        <f>IFERROR(__xludf.DUMMYFUNCTION("""COMPUTED_VALUE"""),44894.66666666667)</f>
        <v>44894.66667</v>
      </c>
      <c r="B546" s="1">
        <f>IFERROR(__xludf.DUMMYFUNCTION("""COMPUTED_VALUE"""),177.82)</f>
        <v>177.82</v>
      </c>
    </row>
    <row r="547">
      <c r="A547" s="2">
        <f>IFERROR(__xludf.DUMMYFUNCTION("""COMPUTED_VALUE"""),44895.66666666667)</f>
        <v>44895.66667</v>
      </c>
      <c r="B547" s="1">
        <f>IFERROR(__xludf.DUMMYFUNCTION("""COMPUTED_VALUE"""),182.22)</f>
        <v>182.22</v>
      </c>
    </row>
    <row r="548">
      <c r="A548" s="2">
        <f>IFERROR(__xludf.DUMMYFUNCTION("""COMPUTED_VALUE"""),44896.66666666667)</f>
        <v>44896.66667</v>
      </c>
      <c r="B548" s="1">
        <f>IFERROR(__xludf.DUMMYFUNCTION("""COMPUTED_VALUE"""),180.45)</f>
        <v>180.45</v>
      </c>
    </row>
    <row r="549">
      <c r="A549" s="2">
        <f>IFERROR(__xludf.DUMMYFUNCTION("""COMPUTED_VALUE"""),44897.66666666667)</f>
        <v>44897.66667</v>
      </c>
      <c r="B549" s="1">
        <f>IFERROR(__xludf.DUMMYFUNCTION("""COMPUTED_VALUE"""),181.41)</f>
        <v>181.41</v>
      </c>
    </row>
    <row r="550">
      <c r="A550" s="2">
        <f>IFERROR(__xludf.DUMMYFUNCTION("""COMPUTED_VALUE"""),44900.66666666667)</f>
        <v>44900.66667</v>
      </c>
      <c r="B550" s="1">
        <f>IFERROR(__xludf.DUMMYFUNCTION("""COMPUTED_VALUE"""),176.6)</f>
        <v>176.6</v>
      </c>
    </row>
    <row r="551">
      <c r="A551" s="2">
        <f>IFERROR(__xludf.DUMMYFUNCTION("""COMPUTED_VALUE"""),44901.66666666667)</f>
        <v>44901.66667</v>
      </c>
      <c r="B551" s="1">
        <f>IFERROR(__xludf.DUMMYFUNCTION("""COMPUTED_VALUE"""),173.05)</f>
        <v>173.05</v>
      </c>
    </row>
    <row r="552">
      <c r="A552" s="2">
        <f>IFERROR(__xludf.DUMMYFUNCTION("""COMPUTED_VALUE"""),44902.66666666667)</f>
        <v>44902.66667</v>
      </c>
      <c r="B552" s="1">
        <f>IFERROR(__xludf.DUMMYFUNCTION("""COMPUTED_VALUE"""),172.28)</f>
        <v>172.28</v>
      </c>
    </row>
    <row r="553">
      <c r="A553" s="2">
        <f>IFERROR(__xludf.DUMMYFUNCTION("""COMPUTED_VALUE"""),44903.66666666667)</f>
        <v>44903.66667</v>
      </c>
      <c r="B553" s="1">
        <f>IFERROR(__xludf.DUMMYFUNCTION("""COMPUTED_VALUE"""),171.91)</f>
        <v>171.91</v>
      </c>
    </row>
    <row r="554">
      <c r="A554" s="2">
        <f>IFERROR(__xludf.DUMMYFUNCTION("""COMPUTED_VALUE"""),44904.66666666667)</f>
        <v>44904.66667</v>
      </c>
      <c r="B554" s="1">
        <f>IFERROR(__xludf.DUMMYFUNCTION("""COMPUTED_VALUE"""),172.33)</f>
        <v>172.33</v>
      </c>
    </row>
    <row r="555">
      <c r="A555" s="2">
        <f>IFERROR(__xludf.DUMMYFUNCTION("""COMPUTED_VALUE"""),44907.66666666667)</f>
        <v>44907.66667</v>
      </c>
      <c r="B555" s="1">
        <f>IFERROR(__xludf.DUMMYFUNCTION("""COMPUTED_VALUE"""),177.37)</f>
        <v>177.37</v>
      </c>
    </row>
    <row r="556">
      <c r="A556" s="2">
        <f>IFERROR(__xludf.DUMMYFUNCTION("""COMPUTED_VALUE"""),44908.66666666667)</f>
        <v>44908.66667</v>
      </c>
      <c r="B556" s="1">
        <f>IFERROR(__xludf.DUMMYFUNCTION("""COMPUTED_VALUE"""),176.88)</f>
        <v>176.88</v>
      </c>
    </row>
    <row r="557">
      <c r="A557" s="2">
        <f>IFERROR(__xludf.DUMMYFUNCTION("""COMPUTED_VALUE"""),44909.66666666667)</f>
        <v>44909.66667</v>
      </c>
      <c r="B557" s="1">
        <f>IFERROR(__xludf.DUMMYFUNCTION("""COMPUTED_VALUE"""),178.07)</f>
        <v>178.07</v>
      </c>
    </row>
    <row r="558">
      <c r="A558" s="2">
        <f>IFERROR(__xludf.DUMMYFUNCTION("""COMPUTED_VALUE"""),44910.66666666667)</f>
        <v>44910.66667</v>
      </c>
      <c r="B558" s="1">
        <f>IFERROR(__xludf.DUMMYFUNCTION("""COMPUTED_VALUE"""),173.17)</f>
        <v>173.17</v>
      </c>
    </row>
    <row r="559">
      <c r="A559" s="2">
        <f>IFERROR(__xludf.DUMMYFUNCTION("""COMPUTED_VALUE"""),44911.66666666667)</f>
        <v>44911.66667</v>
      </c>
      <c r="B559" s="1">
        <f>IFERROR(__xludf.DUMMYFUNCTION("""COMPUTED_VALUE"""),171.72)</f>
        <v>171.72</v>
      </c>
    </row>
    <row r="560">
      <c r="A560" s="2">
        <f>IFERROR(__xludf.DUMMYFUNCTION("""COMPUTED_VALUE"""),44914.66666666667)</f>
        <v>44914.66667</v>
      </c>
      <c r="B560" s="1">
        <f>IFERROR(__xludf.DUMMYFUNCTION("""COMPUTED_VALUE"""),168.78)</f>
        <v>168.78</v>
      </c>
    </row>
    <row r="561">
      <c r="A561" s="2">
        <f>IFERROR(__xludf.DUMMYFUNCTION("""COMPUTED_VALUE"""),44915.66666666667)</f>
        <v>44915.66667</v>
      </c>
      <c r="B561" s="1">
        <f>IFERROR(__xludf.DUMMYFUNCTION("""COMPUTED_VALUE"""),164.35)</f>
        <v>164.35</v>
      </c>
    </row>
    <row r="562">
      <c r="A562" s="2">
        <f>IFERROR(__xludf.DUMMYFUNCTION("""COMPUTED_VALUE"""),44916.66666666667)</f>
        <v>44916.66667</v>
      </c>
      <c r="B562" s="1">
        <f>IFERROR(__xludf.DUMMYFUNCTION("""COMPUTED_VALUE"""),169.99)</f>
        <v>169.99</v>
      </c>
    </row>
    <row r="563">
      <c r="A563" s="2">
        <f>IFERROR(__xludf.DUMMYFUNCTION("""COMPUTED_VALUE"""),44917.66666666667)</f>
        <v>44917.66667</v>
      </c>
      <c r="B563" s="1">
        <f>IFERROR(__xludf.DUMMYFUNCTION("""COMPUTED_VALUE"""),175.69)</f>
        <v>175.69</v>
      </c>
    </row>
    <row r="564">
      <c r="A564" s="2">
        <f>IFERROR(__xludf.DUMMYFUNCTION("""COMPUTED_VALUE"""),44918.66666666667)</f>
        <v>44918.66667</v>
      </c>
      <c r="B564" s="1">
        <f>IFERROR(__xludf.DUMMYFUNCTION("""COMPUTED_VALUE"""),175.93)</f>
        <v>175.93</v>
      </c>
    </row>
    <row r="565">
      <c r="A565" s="2">
        <f>IFERROR(__xludf.DUMMYFUNCTION("""COMPUTED_VALUE"""),44922.66666666667)</f>
        <v>44922.66667</v>
      </c>
      <c r="B565" s="1">
        <f>IFERROR(__xludf.DUMMYFUNCTION("""COMPUTED_VALUE"""),177.05)</f>
        <v>177.05</v>
      </c>
    </row>
    <row r="566">
      <c r="A566" s="2">
        <f>IFERROR(__xludf.DUMMYFUNCTION("""COMPUTED_VALUE"""),44923.66666666667)</f>
        <v>44923.66667</v>
      </c>
      <c r="B566" s="1">
        <f>IFERROR(__xludf.DUMMYFUNCTION("""COMPUTED_VALUE"""),173.05)</f>
        <v>173.05</v>
      </c>
    </row>
    <row r="567">
      <c r="A567" s="2">
        <f>IFERROR(__xludf.DUMMYFUNCTION("""COMPUTED_VALUE"""),44924.66666666667)</f>
        <v>44924.66667</v>
      </c>
      <c r="B567" s="1">
        <f>IFERROR(__xludf.DUMMYFUNCTION("""COMPUTED_VALUE"""),175.55)</f>
        <v>175.55</v>
      </c>
    </row>
    <row r="568">
      <c r="A568" s="2">
        <f>IFERROR(__xludf.DUMMYFUNCTION("""COMPUTED_VALUE"""),44925.66666666667)</f>
        <v>44925.66667</v>
      </c>
      <c r="B568" s="1">
        <f>IFERROR(__xludf.DUMMYFUNCTION("""COMPUTED_VALUE"""),173.2)</f>
        <v>173.2</v>
      </c>
    </row>
    <row r="569">
      <c r="A569" s="2">
        <f>IFERROR(__xludf.DUMMYFUNCTION("""COMPUTED_VALUE"""),44929.66666666667)</f>
        <v>44929.66667</v>
      </c>
      <c r="B569" s="1">
        <f>IFERROR(__xludf.DUMMYFUNCTION("""COMPUTED_VALUE"""),177.27)</f>
        <v>177.27</v>
      </c>
    </row>
    <row r="570">
      <c r="A570" s="2">
        <f>IFERROR(__xludf.DUMMYFUNCTION("""COMPUTED_VALUE"""),44930.66666666667)</f>
        <v>44930.66667</v>
      </c>
      <c r="B570" s="1">
        <f>IFERROR(__xludf.DUMMYFUNCTION("""COMPUTED_VALUE"""),181.45)</f>
        <v>181.45</v>
      </c>
    </row>
    <row r="571">
      <c r="A571" s="2">
        <f>IFERROR(__xludf.DUMMYFUNCTION("""COMPUTED_VALUE"""),44931.66666666667)</f>
        <v>44931.66667</v>
      </c>
      <c r="B571" s="1">
        <f>IFERROR(__xludf.DUMMYFUNCTION("""COMPUTED_VALUE"""),181.28)</f>
        <v>181.28</v>
      </c>
    </row>
    <row r="572">
      <c r="A572" s="2">
        <f>IFERROR(__xludf.DUMMYFUNCTION("""COMPUTED_VALUE"""),44932.66666666667)</f>
        <v>44932.66667</v>
      </c>
      <c r="B572" s="1">
        <f>IFERROR(__xludf.DUMMYFUNCTION("""COMPUTED_VALUE"""),185.77)</f>
        <v>185.77</v>
      </c>
    </row>
    <row r="573">
      <c r="A573" s="2">
        <f>IFERROR(__xludf.DUMMYFUNCTION("""COMPUTED_VALUE"""),44935.66666666667)</f>
        <v>44935.66667</v>
      </c>
      <c r="B573" s="1">
        <f>IFERROR(__xludf.DUMMYFUNCTION("""COMPUTED_VALUE"""),189.74)</f>
        <v>189.74</v>
      </c>
    </row>
    <row r="574">
      <c r="A574" s="2">
        <f>IFERROR(__xludf.DUMMYFUNCTION("""COMPUTED_VALUE"""),44936.66666666667)</f>
        <v>44936.66667</v>
      </c>
      <c r="B574" s="1">
        <f>IFERROR(__xludf.DUMMYFUNCTION("""COMPUTED_VALUE"""),188.74)</f>
        <v>188.74</v>
      </c>
    </row>
    <row r="575">
      <c r="A575" s="2">
        <f>IFERROR(__xludf.DUMMYFUNCTION("""COMPUTED_VALUE"""),44937.66666666667)</f>
        <v>44937.66667</v>
      </c>
      <c r="B575" s="1">
        <f>IFERROR(__xludf.DUMMYFUNCTION("""COMPUTED_VALUE"""),192.2)</f>
        <v>192.2</v>
      </c>
    </row>
    <row r="576">
      <c r="A576" s="2">
        <f>IFERROR(__xludf.DUMMYFUNCTION("""COMPUTED_VALUE"""),44938.66666666667)</f>
        <v>44938.66667</v>
      </c>
      <c r="B576" s="1">
        <f>IFERROR(__xludf.DUMMYFUNCTION("""COMPUTED_VALUE"""),191.89)</f>
        <v>191.89</v>
      </c>
    </row>
    <row r="577">
      <c r="A577" s="2">
        <f>IFERROR(__xludf.DUMMYFUNCTION("""COMPUTED_VALUE"""),44939.66666666667)</f>
        <v>44939.66667</v>
      </c>
      <c r="B577" s="1">
        <f>IFERROR(__xludf.DUMMYFUNCTION("""COMPUTED_VALUE"""),188.63)</f>
        <v>188.63</v>
      </c>
    </row>
    <row r="578">
      <c r="A578" s="2">
        <f>IFERROR(__xludf.DUMMYFUNCTION("""COMPUTED_VALUE"""),44943.66666666667)</f>
        <v>44943.66667</v>
      </c>
      <c r="B578" s="1">
        <f>IFERROR(__xludf.DUMMYFUNCTION("""COMPUTED_VALUE"""),188.13)</f>
        <v>188.13</v>
      </c>
    </row>
    <row r="579">
      <c r="A579" s="2">
        <f>IFERROR(__xludf.DUMMYFUNCTION("""COMPUTED_VALUE"""),44944.66666666667)</f>
        <v>44944.66667</v>
      </c>
      <c r="B579" s="1">
        <f>IFERROR(__xludf.DUMMYFUNCTION("""COMPUTED_VALUE"""),187.67)</f>
        <v>187.67</v>
      </c>
    </row>
    <row r="580">
      <c r="A580" s="2">
        <f>IFERROR(__xludf.DUMMYFUNCTION("""COMPUTED_VALUE"""),44945.66666666667)</f>
        <v>44945.66667</v>
      </c>
      <c r="B580" s="1">
        <f>IFERROR(__xludf.DUMMYFUNCTION("""COMPUTED_VALUE"""),184.23)</f>
        <v>184.23</v>
      </c>
    </row>
    <row r="581">
      <c r="A581" s="2">
        <f>IFERROR(__xludf.DUMMYFUNCTION("""COMPUTED_VALUE"""),44946.66666666667)</f>
        <v>44946.66667</v>
      </c>
      <c r="B581" s="1">
        <f>IFERROR(__xludf.DUMMYFUNCTION("""COMPUTED_VALUE"""),186.88)</f>
        <v>186.88</v>
      </c>
    </row>
    <row r="582">
      <c r="A582" s="2">
        <f>IFERROR(__xludf.DUMMYFUNCTION("""COMPUTED_VALUE"""),44949.66666666667)</f>
        <v>44949.66667</v>
      </c>
      <c r="B582" s="1">
        <f>IFERROR(__xludf.DUMMYFUNCTION("""COMPUTED_VALUE"""),191.15)</f>
        <v>191.15</v>
      </c>
    </row>
    <row r="583">
      <c r="A583" s="2">
        <f>IFERROR(__xludf.DUMMYFUNCTION("""COMPUTED_VALUE"""),44950.66666666667)</f>
        <v>44950.66667</v>
      </c>
      <c r="B583" s="1">
        <f>IFERROR(__xludf.DUMMYFUNCTION("""COMPUTED_VALUE"""),189.25)</f>
        <v>189.25</v>
      </c>
    </row>
    <row r="584">
      <c r="A584" s="2">
        <f>IFERROR(__xludf.DUMMYFUNCTION("""COMPUTED_VALUE"""),44951.66666666667)</f>
        <v>44951.66667</v>
      </c>
      <c r="B584" s="1">
        <f>IFERROR(__xludf.DUMMYFUNCTION("""COMPUTED_VALUE"""),187.81)</f>
        <v>187.81</v>
      </c>
    </row>
    <row r="585">
      <c r="A585" s="2">
        <f>IFERROR(__xludf.DUMMYFUNCTION("""COMPUTED_VALUE"""),44952.66666666667)</f>
        <v>44952.66667</v>
      </c>
      <c r="B585" s="1">
        <f>IFERROR(__xludf.DUMMYFUNCTION("""COMPUTED_VALUE"""),190.14)</f>
        <v>190.14</v>
      </c>
    </row>
    <row r="586">
      <c r="A586" s="2">
        <f>IFERROR(__xludf.DUMMYFUNCTION("""COMPUTED_VALUE"""),44953.66666666667)</f>
        <v>44953.66667</v>
      </c>
      <c r="B586" s="1">
        <f>IFERROR(__xludf.DUMMYFUNCTION("""COMPUTED_VALUE"""),190.56)</f>
        <v>190.56</v>
      </c>
    </row>
    <row r="587">
      <c r="A587" s="2">
        <f>IFERROR(__xludf.DUMMYFUNCTION("""COMPUTED_VALUE"""),44956.66666666667)</f>
        <v>44956.66667</v>
      </c>
      <c r="B587" s="1">
        <f>IFERROR(__xludf.DUMMYFUNCTION("""COMPUTED_VALUE"""),184.08)</f>
        <v>184.08</v>
      </c>
    </row>
    <row r="588">
      <c r="A588" s="2">
        <f>IFERROR(__xludf.DUMMYFUNCTION("""COMPUTED_VALUE"""),44957.66666666667)</f>
        <v>44957.66667</v>
      </c>
      <c r="B588" s="1">
        <f>IFERROR(__xludf.DUMMYFUNCTION("""COMPUTED_VALUE"""),193.86)</f>
        <v>193.86</v>
      </c>
    </row>
    <row r="589">
      <c r="A589" s="2">
        <f>IFERROR(__xludf.DUMMYFUNCTION("""COMPUTED_VALUE"""),44958.66666666667)</f>
        <v>44958.66667</v>
      </c>
      <c r="B589" s="1">
        <f>IFERROR(__xludf.DUMMYFUNCTION("""COMPUTED_VALUE"""),202.11)</f>
        <v>202.11</v>
      </c>
    </row>
    <row r="590">
      <c r="A590" s="2">
        <f>IFERROR(__xludf.DUMMYFUNCTION("""COMPUTED_VALUE"""),44959.66666666667)</f>
        <v>44959.66667</v>
      </c>
      <c r="B590" s="1">
        <f>IFERROR(__xludf.DUMMYFUNCTION("""COMPUTED_VALUE"""),214.5)</f>
        <v>214.5</v>
      </c>
    </row>
    <row r="591">
      <c r="A591" s="2">
        <f>IFERROR(__xludf.DUMMYFUNCTION("""COMPUTED_VALUE"""),44960.66666666667)</f>
        <v>44960.66667</v>
      </c>
      <c r="B591" s="1">
        <f>IFERROR(__xludf.DUMMYFUNCTION("""COMPUTED_VALUE"""),214.67)</f>
        <v>214.67</v>
      </c>
    </row>
    <row r="592">
      <c r="A592" s="2">
        <f>IFERROR(__xludf.DUMMYFUNCTION("""COMPUTED_VALUE"""),44963.66666666667)</f>
        <v>44963.66667</v>
      </c>
      <c r="B592" s="1">
        <f>IFERROR(__xludf.DUMMYFUNCTION("""COMPUTED_VALUE"""),210.59)</f>
        <v>210.59</v>
      </c>
    </row>
    <row r="593">
      <c r="A593" s="2">
        <f>IFERROR(__xludf.DUMMYFUNCTION("""COMPUTED_VALUE"""),44964.66666666667)</f>
        <v>44964.66667</v>
      </c>
      <c r="B593" s="1">
        <f>IFERROR(__xludf.DUMMYFUNCTION("""COMPUTED_VALUE"""),209.91)</f>
        <v>209.91</v>
      </c>
    </row>
    <row r="594">
      <c r="A594" s="2">
        <f>IFERROR(__xludf.DUMMYFUNCTION("""COMPUTED_VALUE"""),44965.66666666667)</f>
        <v>44965.66667</v>
      </c>
      <c r="B594" s="1">
        <f>IFERROR(__xludf.DUMMYFUNCTION("""COMPUTED_VALUE"""),209.48)</f>
        <v>209.48</v>
      </c>
    </row>
    <row r="595">
      <c r="A595" s="2">
        <f>IFERROR(__xludf.DUMMYFUNCTION("""COMPUTED_VALUE"""),44966.66666666667)</f>
        <v>44966.66667</v>
      </c>
      <c r="B595" s="1">
        <f>IFERROR(__xludf.DUMMYFUNCTION("""COMPUTED_VALUE"""),208.62)</f>
        <v>208.62</v>
      </c>
    </row>
    <row r="596">
      <c r="A596" s="2">
        <f>IFERROR(__xludf.DUMMYFUNCTION("""COMPUTED_VALUE"""),44967.66666666667)</f>
        <v>44967.66667</v>
      </c>
      <c r="B596" s="1">
        <f>IFERROR(__xludf.DUMMYFUNCTION("""COMPUTED_VALUE"""),209.37)</f>
        <v>209.37</v>
      </c>
    </row>
    <row r="597">
      <c r="A597" s="2">
        <f>IFERROR(__xludf.DUMMYFUNCTION("""COMPUTED_VALUE"""),44970.66666666667)</f>
        <v>44970.66667</v>
      </c>
      <c r="B597" s="1">
        <f>IFERROR(__xludf.DUMMYFUNCTION("""COMPUTED_VALUE"""),211.66)</f>
        <v>211.66</v>
      </c>
    </row>
    <row r="598">
      <c r="A598" s="2">
        <f>IFERROR(__xludf.DUMMYFUNCTION("""COMPUTED_VALUE"""),44971.66666666667)</f>
        <v>44971.66667</v>
      </c>
      <c r="B598" s="1">
        <f>IFERROR(__xludf.DUMMYFUNCTION("""COMPUTED_VALUE"""),212.67)</f>
        <v>212.67</v>
      </c>
    </row>
    <row r="599">
      <c r="A599" s="2">
        <f>IFERROR(__xludf.DUMMYFUNCTION("""COMPUTED_VALUE"""),44972.66666666667)</f>
        <v>44972.66667</v>
      </c>
      <c r="B599" s="1">
        <f>IFERROR(__xludf.DUMMYFUNCTION("""COMPUTED_VALUE"""),213.04)</f>
        <v>213.04</v>
      </c>
    </row>
    <row r="600">
      <c r="A600" s="2">
        <f>IFERROR(__xludf.DUMMYFUNCTION("""COMPUTED_VALUE"""),44973.66666666667)</f>
        <v>44973.66667</v>
      </c>
      <c r="B600" s="1">
        <f>IFERROR(__xludf.DUMMYFUNCTION("""COMPUTED_VALUE"""),211.67)</f>
        <v>211.67</v>
      </c>
    </row>
    <row r="601">
      <c r="A601" s="2">
        <f>IFERROR(__xludf.DUMMYFUNCTION("""COMPUTED_VALUE"""),44974.66666666667)</f>
        <v>44974.66667</v>
      </c>
      <c r="B601" s="1">
        <f>IFERROR(__xludf.DUMMYFUNCTION("""COMPUTED_VALUE"""),210.3)</f>
        <v>210.3</v>
      </c>
    </row>
    <row r="602">
      <c r="A602" s="2">
        <f>IFERROR(__xludf.DUMMYFUNCTION("""COMPUTED_VALUE"""),44978.66666666667)</f>
        <v>44978.66667</v>
      </c>
      <c r="B602" s="1">
        <f>IFERROR(__xludf.DUMMYFUNCTION("""COMPUTED_VALUE"""),205.65)</f>
        <v>205.65</v>
      </c>
    </row>
    <row r="603">
      <c r="A603" s="2">
        <f>IFERROR(__xludf.DUMMYFUNCTION("""COMPUTED_VALUE"""),44979.66666666667)</f>
        <v>44979.66667</v>
      </c>
      <c r="B603" s="1">
        <f>IFERROR(__xludf.DUMMYFUNCTION("""COMPUTED_VALUE"""),202.83)</f>
        <v>202.83</v>
      </c>
    </row>
    <row r="604">
      <c r="A604" s="2">
        <f>IFERROR(__xludf.DUMMYFUNCTION("""COMPUTED_VALUE"""),44980.66666666667)</f>
        <v>44980.66667</v>
      </c>
      <c r="B604" s="1">
        <f>IFERROR(__xludf.DUMMYFUNCTION("""COMPUTED_VALUE"""),205.18)</f>
        <v>205.18</v>
      </c>
    </row>
    <row r="605">
      <c r="A605" s="2">
        <f>IFERROR(__xludf.DUMMYFUNCTION("""COMPUTED_VALUE"""),44981.66666666667)</f>
        <v>44981.66667</v>
      </c>
      <c r="B605" s="1">
        <f>IFERROR(__xludf.DUMMYFUNCTION("""COMPUTED_VALUE"""),203.28)</f>
        <v>203.28</v>
      </c>
    </row>
    <row r="606">
      <c r="A606" s="2">
        <f>IFERROR(__xludf.DUMMYFUNCTION("""COMPUTED_VALUE"""),44984.66666666667)</f>
        <v>44984.66667</v>
      </c>
      <c r="B606" s="1">
        <f>IFERROR(__xludf.DUMMYFUNCTION("""COMPUTED_VALUE"""),204.06)</f>
        <v>204.06</v>
      </c>
    </row>
    <row r="607">
      <c r="A607" s="2">
        <f>IFERROR(__xludf.DUMMYFUNCTION("""COMPUTED_VALUE"""),44985.66666666667)</f>
        <v>44985.66667</v>
      </c>
      <c r="B607" s="1">
        <f>IFERROR(__xludf.DUMMYFUNCTION("""COMPUTED_VALUE"""),203.22)</f>
        <v>203.22</v>
      </c>
    </row>
    <row r="608">
      <c r="A608" s="2">
        <f>IFERROR(__xludf.DUMMYFUNCTION("""COMPUTED_VALUE"""),44986.66666666667)</f>
        <v>44986.66667</v>
      </c>
      <c r="B608" s="1">
        <f>IFERROR(__xludf.DUMMYFUNCTION("""COMPUTED_VALUE"""),204.33)</f>
        <v>204.33</v>
      </c>
    </row>
    <row r="609">
      <c r="A609" s="2">
        <f>IFERROR(__xludf.DUMMYFUNCTION("""COMPUTED_VALUE"""),44987.66666666667)</f>
        <v>44987.66667</v>
      </c>
      <c r="B609" s="1">
        <f>IFERROR(__xludf.DUMMYFUNCTION("""COMPUTED_VALUE"""),206.93)</f>
        <v>206.93</v>
      </c>
    </row>
    <row r="610">
      <c r="A610" s="2">
        <f>IFERROR(__xludf.DUMMYFUNCTION("""COMPUTED_VALUE"""),44988.66666666667)</f>
        <v>44988.66667</v>
      </c>
      <c r="B610" s="1">
        <f>IFERROR(__xludf.DUMMYFUNCTION("""COMPUTED_VALUE"""),209.08)</f>
        <v>209.08</v>
      </c>
    </row>
    <row r="611">
      <c r="A611" s="2">
        <f>IFERROR(__xludf.DUMMYFUNCTION("""COMPUTED_VALUE"""),44991.66666666667)</f>
        <v>44991.66667</v>
      </c>
      <c r="B611" s="1">
        <f>IFERROR(__xludf.DUMMYFUNCTION("""COMPUTED_VALUE"""),210.13)</f>
        <v>210.13</v>
      </c>
    </row>
    <row r="612">
      <c r="A612" s="2">
        <f>IFERROR(__xludf.DUMMYFUNCTION("""COMPUTED_VALUE"""),44992.66666666667)</f>
        <v>44992.66667</v>
      </c>
      <c r="B612" s="1">
        <f>IFERROR(__xludf.DUMMYFUNCTION("""COMPUTED_VALUE"""),206.32)</f>
        <v>206.32</v>
      </c>
    </row>
    <row r="613">
      <c r="A613" s="2">
        <f>IFERROR(__xludf.DUMMYFUNCTION("""COMPUTED_VALUE"""),44993.66666666667)</f>
        <v>44993.66667</v>
      </c>
      <c r="B613" s="1">
        <f>IFERROR(__xludf.DUMMYFUNCTION("""COMPUTED_VALUE"""),209.54)</f>
        <v>209.54</v>
      </c>
    </row>
    <row r="614">
      <c r="A614" s="2">
        <f>IFERROR(__xludf.DUMMYFUNCTION("""COMPUTED_VALUE"""),44994.66666666667)</f>
        <v>44994.66667</v>
      </c>
      <c r="B614" s="1">
        <f>IFERROR(__xludf.DUMMYFUNCTION("""COMPUTED_VALUE"""),207.83)</f>
        <v>207.83</v>
      </c>
    </row>
    <row r="615">
      <c r="A615" s="2">
        <f>IFERROR(__xludf.DUMMYFUNCTION("""COMPUTED_VALUE"""),44995.66666666667)</f>
        <v>44995.66667</v>
      </c>
      <c r="B615" s="1">
        <f>IFERROR(__xludf.DUMMYFUNCTION("""COMPUTED_VALUE"""),201.19)</f>
        <v>201.19</v>
      </c>
    </row>
    <row r="616">
      <c r="A616" s="2">
        <f>IFERROR(__xludf.DUMMYFUNCTION("""COMPUTED_VALUE"""),44998.66666666667)</f>
        <v>44998.66667</v>
      </c>
      <c r="B616" s="1">
        <f>IFERROR(__xludf.DUMMYFUNCTION("""COMPUTED_VALUE"""),197.39)</f>
        <v>197.39</v>
      </c>
    </row>
    <row r="617">
      <c r="A617" s="2">
        <f>IFERROR(__xludf.DUMMYFUNCTION("""COMPUTED_VALUE"""),44999.66666666667)</f>
        <v>44999.66667</v>
      </c>
      <c r="B617" s="1">
        <f>IFERROR(__xludf.DUMMYFUNCTION("""COMPUTED_VALUE"""),197.89)</f>
        <v>197.89</v>
      </c>
    </row>
    <row r="618">
      <c r="A618" s="2">
        <f>IFERROR(__xludf.DUMMYFUNCTION("""COMPUTED_VALUE"""),45000.66666666667)</f>
        <v>45000.66667</v>
      </c>
      <c r="B618" s="1">
        <f>IFERROR(__xludf.DUMMYFUNCTION("""COMPUTED_VALUE"""),195.3)</f>
        <v>195.3</v>
      </c>
    </row>
    <row r="619">
      <c r="A619" s="2">
        <f>IFERROR(__xludf.DUMMYFUNCTION("""COMPUTED_VALUE"""),45001.66666666667)</f>
        <v>45001.66667</v>
      </c>
      <c r="B619" s="1">
        <f>IFERROR(__xludf.DUMMYFUNCTION("""COMPUTED_VALUE"""),204.05)</f>
        <v>204.05</v>
      </c>
    </row>
    <row r="620">
      <c r="A620" s="2">
        <f>IFERROR(__xludf.DUMMYFUNCTION("""COMPUTED_VALUE"""),45002.66666666667)</f>
        <v>45002.66667</v>
      </c>
      <c r="B620" s="1">
        <f>IFERROR(__xludf.DUMMYFUNCTION("""COMPUTED_VALUE"""),220.31)</f>
        <v>220.31</v>
      </c>
    </row>
    <row r="621">
      <c r="A621" s="2">
        <f>IFERROR(__xludf.DUMMYFUNCTION("""COMPUTED_VALUE"""),45005.66666666667)</f>
        <v>45005.66667</v>
      </c>
      <c r="B621" s="1">
        <f>IFERROR(__xludf.DUMMYFUNCTION("""COMPUTED_VALUE"""),216.24)</f>
        <v>216.24</v>
      </c>
    </row>
    <row r="622">
      <c r="A622" s="2">
        <f>IFERROR(__xludf.DUMMYFUNCTION("""COMPUTED_VALUE"""),45006.66666666667)</f>
        <v>45006.66667</v>
      </c>
      <c r="B622" s="1">
        <f>IFERROR(__xludf.DUMMYFUNCTION("""COMPUTED_VALUE"""),219.83)</f>
        <v>219.83</v>
      </c>
    </row>
    <row r="623">
      <c r="A623" s="2">
        <f>IFERROR(__xludf.DUMMYFUNCTION("""COMPUTED_VALUE"""),45007.66666666667)</f>
        <v>45007.66667</v>
      </c>
      <c r="B623" s="1">
        <f>IFERROR(__xludf.DUMMYFUNCTION("""COMPUTED_VALUE"""),217.06)</f>
        <v>217.06</v>
      </c>
    </row>
    <row r="624">
      <c r="A624" s="2">
        <f>IFERROR(__xludf.DUMMYFUNCTION("""COMPUTED_VALUE"""),45008.66666666667)</f>
        <v>45008.66667</v>
      </c>
      <c r="B624" s="1">
        <f>IFERROR(__xludf.DUMMYFUNCTION("""COMPUTED_VALUE"""),216.92)</f>
        <v>216.92</v>
      </c>
    </row>
    <row r="625">
      <c r="A625" s="2">
        <f>IFERROR(__xludf.DUMMYFUNCTION("""COMPUTED_VALUE"""),45009.66666666667)</f>
        <v>45009.66667</v>
      </c>
      <c r="B625" s="1">
        <f>IFERROR(__xludf.DUMMYFUNCTION("""COMPUTED_VALUE"""),217.6)</f>
        <v>217.6</v>
      </c>
    </row>
    <row r="626">
      <c r="A626" s="2">
        <f>IFERROR(__xludf.DUMMYFUNCTION("""COMPUTED_VALUE"""),45012.66666666667)</f>
        <v>45012.66667</v>
      </c>
      <c r="B626" s="1">
        <f>IFERROR(__xludf.DUMMYFUNCTION("""COMPUTED_VALUE"""),219.82)</f>
        <v>219.82</v>
      </c>
    </row>
    <row r="627">
      <c r="A627" s="2">
        <f>IFERROR(__xludf.DUMMYFUNCTION("""COMPUTED_VALUE"""),45013.66666666667)</f>
        <v>45013.66667</v>
      </c>
      <c r="B627" s="1">
        <f>IFERROR(__xludf.DUMMYFUNCTION("""COMPUTED_VALUE"""),220.44)</f>
        <v>220.44</v>
      </c>
    </row>
    <row r="628">
      <c r="A628" s="2">
        <f>IFERROR(__xludf.DUMMYFUNCTION("""COMPUTED_VALUE"""),45014.66666666667)</f>
        <v>45014.66667</v>
      </c>
      <c r="B628" s="1">
        <f>IFERROR(__xludf.DUMMYFUNCTION("""COMPUTED_VALUE"""),223.65)</f>
        <v>223.65</v>
      </c>
    </row>
    <row r="629">
      <c r="A629" s="2">
        <f>IFERROR(__xludf.DUMMYFUNCTION("""COMPUTED_VALUE"""),45015.66666666667)</f>
        <v>45015.66667</v>
      </c>
      <c r="B629" s="1">
        <f>IFERROR(__xludf.DUMMYFUNCTION("""COMPUTED_VALUE"""),224.4)</f>
        <v>224.4</v>
      </c>
    </row>
    <row r="630">
      <c r="A630" s="2">
        <f>IFERROR(__xludf.DUMMYFUNCTION("""COMPUTED_VALUE"""),45016.66666666667)</f>
        <v>45016.66667</v>
      </c>
      <c r="B630" s="1">
        <f>IFERROR(__xludf.DUMMYFUNCTION("""COMPUTED_VALUE"""),228.49)</f>
        <v>228.49</v>
      </c>
    </row>
    <row r="631">
      <c r="A631" s="2">
        <f>IFERROR(__xludf.DUMMYFUNCTION("""COMPUTED_VALUE"""),45019.66666666667)</f>
        <v>45019.66667</v>
      </c>
      <c r="B631" s="1">
        <f>IFERROR(__xludf.DUMMYFUNCTION("""COMPUTED_VALUE"""),228.84)</f>
        <v>228.84</v>
      </c>
    </row>
    <row r="632">
      <c r="A632" s="2">
        <f>IFERROR(__xludf.DUMMYFUNCTION("""COMPUTED_VALUE"""),45020.66666666667)</f>
        <v>45020.66667</v>
      </c>
      <c r="B632" s="1">
        <f>IFERROR(__xludf.DUMMYFUNCTION("""COMPUTED_VALUE"""),226.49)</f>
        <v>226.49</v>
      </c>
    </row>
    <row r="633">
      <c r="A633" s="2">
        <f>IFERROR(__xludf.DUMMYFUNCTION("""COMPUTED_VALUE"""),45021.66666666667)</f>
        <v>45021.66667</v>
      </c>
      <c r="B633" s="1">
        <f>IFERROR(__xludf.DUMMYFUNCTION("""COMPUTED_VALUE"""),229.93)</f>
        <v>229.93</v>
      </c>
    </row>
    <row r="634">
      <c r="A634" s="2">
        <f>IFERROR(__xludf.DUMMYFUNCTION("""COMPUTED_VALUE"""),45022.66666666667)</f>
        <v>45022.66667</v>
      </c>
      <c r="B634" s="1">
        <f>IFERROR(__xludf.DUMMYFUNCTION("""COMPUTED_VALUE"""),232.1)</f>
        <v>232.1</v>
      </c>
    </row>
    <row r="635">
      <c r="A635" s="2">
        <f>IFERROR(__xludf.DUMMYFUNCTION("""COMPUTED_VALUE"""),45026.66666666667)</f>
        <v>45026.66667</v>
      </c>
      <c r="B635" s="1">
        <f>IFERROR(__xludf.DUMMYFUNCTION("""COMPUTED_VALUE"""),231.6)</f>
        <v>231.6</v>
      </c>
    </row>
    <row r="636">
      <c r="A636" s="2">
        <f>IFERROR(__xludf.DUMMYFUNCTION("""COMPUTED_VALUE"""),45027.66666666667)</f>
        <v>45027.66667</v>
      </c>
      <c r="B636" s="1">
        <f>IFERROR(__xludf.DUMMYFUNCTION("""COMPUTED_VALUE"""),231.53)</f>
        <v>231.53</v>
      </c>
    </row>
    <row r="637">
      <c r="A637" s="2">
        <f>IFERROR(__xludf.DUMMYFUNCTION("""COMPUTED_VALUE"""),45028.66666666667)</f>
        <v>45028.66667</v>
      </c>
      <c r="B637" s="1">
        <f>IFERROR(__xludf.DUMMYFUNCTION("""COMPUTED_VALUE"""),229.47)</f>
        <v>229.47</v>
      </c>
    </row>
    <row r="638">
      <c r="A638" s="2">
        <f>IFERROR(__xludf.DUMMYFUNCTION("""COMPUTED_VALUE"""),45029.66666666667)</f>
        <v>45029.66667</v>
      </c>
      <c r="B638" s="1">
        <f>IFERROR(__xludf.DUMMYFUNCTION("""COMPUTED_VALUE"""),231.07)</f>
        <v>231.07</v>
      </c>
    </row>
    <row r="639">
      <c r="A639" s="2">
        <f>IFERROR(__xludf.DUMMYFUNCTION("""COMPUTED_VALUE"""),45030.66666666667)</f>
        <v>45030.66667</v>
      </c>
      <c r="B639" s="1">
        <f>IFERROR(__xludf.DUMMYFUNCTION("""COMPUTED_VALUE"""),230.69)</f>
        <v>230.69</v>
      </c>
    </row>
    <row r="640">
      <c r="A640" s="2">
        <f>IFERROR(__xludf.DUMMYFUNCTION("""COMPUTED_VALUE"""),45033.66666666667)</f>
        <v>45033.66667</v>
      </c>
      <c r="B640" s="1">
        <f>IFERROR(__xludf.DUMMYFUNCTION("""COMPUTED_VALUE"""),229.31)</f>
        <v>229.31</v>
      </c>
    </row>
    <row r="641">
      <c r="A641" s="2">
        <f>IFERROR(__xludf.DUMMYFUNCTION("""COMPUTED_VALUE"""),45034.66666666667)</f>
        <v>45034.66667</v>
      </c>
      <c r="B641" s="1">
        <f>IFERROR(__xludf.DUMMYFUNCTION("""COMPUTED_VALUE"""),229.21)</f>
        <v>229.21</v>
      </c>
    </row>
    <row r="642">
      <c r="A642" s="2">
        <f>IFERROR(__xludf.DUMMYFUNCTION("""COMPUTED_VALUE"""),45035.66666666667)</f>
        <v>45035.66667</v>
      </c>
      <c r="B642" s="1">
        <f>IFERROR(__xludf.DUMMYFUNCTION("""COMPUTED_VALUE"""),229.49)</f>
        <v>229.49</v>
      </c>
    </row>
    <row r="643">
      <c r="A643" s="2">
        <f>IFERROR(__xludf.DUMMYFUNCTION("""COMPUTED_VALUE"""),45036.66666666667)</f>
        <v>45036.66667</v>
      </c>
      <c r="B643" s="1">
        <f>IFERROR(__xludf.DUMMYFUNCTION("""COMPUTED_VALUE"""),229.38)</f>
        <v>229.38</v>
      </c>
    </row>
    <row r="644">
      <c r="A644" s="2">
        <f>IFERROR(__xludf.DUMMYFUNCTION("""COMPUTED_VALUE"""),45037.66666666667)</f>
        <v>45037.66667</v>
      </c>
      <c r="B644" s="1">
        <f>IFERROR(__xludf.DUMMYFUNCTION("""COMPUTED_VALUE"""),230.44)</f>
        <v>230.44</v>
      </c>
    </row>
    <row r="645">
      <c r="A645" s="2">
        <f>IFERROR(__xludf.DUMMYFUNCTION("""COMPUTED_VALUE"""),45040.66666666667)</f>
        <v>45040.66667</v>
      </c>
      <c r="B645" s="1">
        <f>IFERROR(__xludf.DUMMYFUNCTION("""COMPUTED_VALUE"""),232.16)</f>
        <v>232.16</v>
      </c>
    </row>
    <row r="646">
      <c r="A646" s="2">
        <f>IFERROR(__xludf.DUMMYFUNCTION("""COMPUTED_VALUE"""),45041.66666666667)</f>
        <v>45041.66667</v>
      </c>
      <c r="B646" s="1">
        <f>IFERROR(__xludf.DUMMYFUNCTION("""COMPUTED_VALUE"""),225.47)</f>
        <v>225.47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IFERROR(__xludf.DUMMYFUNCTION("""COMPUTED_VALUE"""),222.77)</f>
        <v>222.77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IFERROR(__xludf.DUMMYFUNCTION("""COMPUTED_VALUE"""),225.94)</f>
        <v>225.94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IFERROR(__xludf.DUMMYFUNCTION("""COMPUTED_VALUE"""),227.78)</f>
        <v>227.78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IFERROR(__xludf.DUMMYFUNCTION("""COMPUTED_VALUE"""),230.58)</f>
        <v>230.58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IFERROR(__xludf.DUMMYFUNCTION("""COMPUTED_VALUE"""),228.4)</f>
        <v>228.4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IFERROR(__xludf.DUMMYFUNCTION("""COMPUTED_VALUE"""),228.52)</f>
        <v>228.52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IFERROR(__xludf.DUMMYFUNCTION("""COMPUTED_VALUE"""),226.37)</f>
        <v>226.37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IFERROR(__xludf.DUMMYFUNCTION("""COMPUTED_VALUE"""),229.3)</f>
        <v>229.3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IFERROR(__xludf.DUMMYFUNCTION("""COMPUTED_VALUE"""),230.73)</f>
        <v>230.73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IFERROR(__xludf.DUMMYFUNCTION("""COMPUTED_VALUE"""),228.63)</f>
        <v>228.63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IFERROR(__xludf.DUMMYFUNCTION("""COMPUTED_VALUE"""),226.33)</f>
        <v>226.33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IFERROR(__xludf.DUMMYFUNCTION("""COMPUTED_VALUE"""),224.84)</f>
        <v>224.84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IFERROR(__xludf.DUMMYFUNCTION("""COMPUTED_VALUE"""),222.93)</f>
        <v>222.93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IFERROR(__xludf.DUMMYFUNCTION("""COMPUTED_VALUE"""),222.42)</f>
        <v>222.42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IFERROR(__xludf.DUMMYFUNCTION("""COMPUTED_VALUE"""),221.27)</f>
        <v>221.27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IFERROR(__xludf.DUMMYFUNCTION("""COMPUTED_VALUE"""),225.89)</f>
        <v>225.89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IFERROR(__xludf.DUMMYFUNCTION("""COMPUTED_VALUE"""),230.43)</f>
        <v>230.43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IFERROR(__xludf.DUMMYFUNCTION("""COMPUTED_VALUE"""),229.08)</f>
        <v>229.08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IFERROR(__xludf.DUMMYFUNCTION("""COMPUTED_VALUE"""),228.68)</f>
        <v>228.68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IFERROR(__xludf.DUMMYFUNCTION("""COMPUTED_VALUE"""),226.64)</f>
        <v>226.64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IFERROR(__xludf.DUMMYFUNCTION("""COMPUTED_VALUE"""),223.55)</f>
        <v>223.55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IFERROR(__xludf.DUMMYFUNCTION("""COMPUTED_VALUE"""),225.08)</f>
        <v>225.08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IFERROR(__xludf.DUMMYFUNCTION("""COMPUTED_VALUE"""),224.15)</f>
        <v>224.15</v>
      </c>
    </row>
    <row r="670">
      <c r="A670" s="2">
        <f>IFERROR(__xludf.DUMMYFUNCTION("""COMPUTED_VALUE"""),45076.66666666667)</f>
        <v>45076.66667</v>
      </c>
      <c r="B670" s="1">
        <f>IFERROR(__xludf.DUMMYFUNCTION("""COMPUTED_VALUE"""),226.14)</f>
        <v>226.14</v>
      </c>
    </row>
    <row r="671">
      <c r="A671" s="2">
        <f>IFERROR(__xludf.DUMMYFUNCTION("""COMPUTED_VALUE"""),45077.66666666667)</f>
        <v>45077.66667</v>
      </c>
      <c r="B671" s="1">
        <f>IFERROR(__xludf.DUMMYFUNCTION("""COMPUTED_VALUE"""),217.98)</f>
        <v>217.98</v>
      </c>
    </row>
    <row r="672">
      <c r="A672" s="2">
        <f>IFERROR(__xludf.DUMMYFUNCTION("""COMPUTED_VALUE"""),45078.66666666667)</f>
        <v>45078.66667</v>
      </c>
      <c r="B672" s="1">
        <f>IFERROR(__xludf.DUMMYFUNCTION("""COMPUTED_VALUE"""),217.29)</f>
        <v>217.29</v>
      </c>
    </row>
    <row r="673">
      <c r="A673" s="2">
        <f>IFERROR(__xludf.DUMMYFUNCTION("""COMPUTED_VALUE"""),45079.66666666667)</f>
        <v>45079.66667</v>
      </c>
      <c r="B673" s="1">
        <f>IFERROR(__xludf.DUMMYFUNCTION("""COMPUTED_VALUE"""),221.74)</f>
        <v>221.74</v>
      </c>
    </row>
    <row r="674">
      <c r="A674" s="2">
        <f>IFERROR(__xludf.DUMMYFUNCTION("""COMPUTED_VALUE"""),45082.66666666667)</f>
        <v>45082.66667</v>
      </c>
      <c r="B674" s="1">
        <f>IFERROR(__xludf.DUMMYFUNCTION("""COMPUTED_VALUE"""),221.08)</f>
        <v>221.08</v>
      </c>
    </row>
    <row r="675">
      <c r="A675" s="2">
        <f>IFERROR(__xludf.DUMMYFUNCTION("""COMPUTED_VALUE"""),45083.66666666667)</f>
        <v>45083.66667</v>
      </c>
      <c r="B675" s="1">
        <f>IFERROR(__xludf.DUMMYFUNCTION("""COMPUTED_VALUE"""),219.5)</f>
        <v>219.5</v>
      </c>
    </row>
    <row r="676">
      <c r="A676" s="2">
        <f>IFERROR(__xludf.DUMMYFUNCTION("""COMPUTED_VALUE"""),45084.66666666667)</f>
        <v>45084.66667</v>
      </c>
      <c r="B676" s="1">
        <f>IFERROR(__xludf.DUMMYFUNCTION("""COMPUTED_VALUE"""),224.6)</f>
        <v>224.6</v>
      </c>
    </row>
    <row r="677">
      <c r="A677" s="2">
        <f>IFERROR(__xludf.DUMMYFUNCTION("""COMPUTED_VALUE"""),45085.66666666667)</f>
        <v>45085.66667</v>
      </c>
      <c r="B677" s="1">
        <f>IFERROR(__xludf.DUMMYFUNCTION("""COMPUTED_VALUE"""),225.01)</f>
        <v>225.01</v>
      </c>
    </row>
    <row r="678">
      <c r="A678" s="2">
        <f>IFERROR(__xludf.DUMMYFUNCTION("""COMPUTED_VALUE"""),45086.66666666667)</f>
        <v>45086.66667</v>
      </c>
      <c r="B678" s="1">
        <f>IFERROR(__xludf.DUMMYFUNCTION("""COMPUTED_VALUE"""),223.76)</f>
        <v>223.76</v>
      </c>
    </row>
    <row r="679">
      <c r="A679" s="2">
        <f>IFERROR(__xludf.DUMMYFUNCTION("""COMPUTED_VALUE"""),45089.66666666667)</f>
        <v>45089.66667</v>
      </c>
      <c r="B679" s="1">
        <f>IFERROR(__xludf.DUMMYFUNCTION("""COMPUTED_VALUE"""),224.55)</f>
        <v>224.55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IFERROR(__xludf.DUMMYFUNCTION("""COMPUTED_VALUE"""),228.87)</f>
        <v>228.87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IFERROR(__xludf.DUMMYFUNCTION("""COMPUTED_VALUE"""),229.67)</f>
        <v>229.67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IFERROR(__xludf.DUMMYFUNCTION("""COMPUTED_VALUE"""),236.44)</f>
        <v>236.44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IFERROR(__xludf.DUMMYFUNCTION("""COMPUTED_VALUE"""),233.46)</f>
        <v>233.46</v>
      </c>
    </row>
    <row r="684">
      <c r="A684" s="2">
        <f>IFERROR(__xludf.DUMMYFUNCTION("""COMPUTED_VALUE"""),45097.66666666667)</f>
        <v>45097.66667</v>
      </c>
      <c r="B684" s="1">
        <f>IFERROR(__xludf.DUMMYFUNCTION("""COMPUTED_VALUE"""),231.65)</f>
        <v>231.65</v>
      </c>
    </row>
    <row r="685">
      <c r="A685" s="2">
        <f>IFERROR(__xludf.DUMMYFUNCTION("""COMPUTED_VALUE"""),45098.66666666667)</f>
        <v>45098.66667</v>
      </c>
      <c r="B685" s="1">
        <f>IFERROR(__xludf.DUMMYFUNCTION("""COMPUTED_VALUE"""),225.84)</f>
        <v>225.84</v>
      </c>
    </row>
    <row r="686">
      <c r="A686" s="2">
        <f>IFERROR(__xludf.DUMMYFUNCTION("""COMPUTED_VALUE"""),45099.66666666667)</f>
        <v>45099.66667</v>
      </c>
      <c r="B686" s="1">
        <f>IFERROR(__xludf.DUMMYFUNCTION("""COMPUTED_VALUE"""),232.93)</f>
        <v>232.93</v>
      </c>
    </row>
    <row r="687">
      <c r="A687" s="2">
        <f>IFERROR(__xludf.DUMMYFUNCTION("""COMPUTED_VALUE"""),45100.66666666667)</f>
        <v>45100.66667</v>
      </c>
      <c r="B687" s="1">
        <f>IFERROR(__xludf.DUMMYFUNCTION("""COMPUTED_VALUE"""),232.34)</f>
        <v>232.34</v>
      </c>
    </row>
    <row r="688">
      <c r="A688" s="2">
        <f>IFERROR(__xludf.DUMMYFUNCTION("""COMPUTED_VALUE"""),45103.66666666667)</f>
        <v>45103.66667</v>
      </c>
      <c r="B688" s="1">
        <f>IFERROR(__xludf.DUMMYFUNCTION("""COMPUTED_VALUE"""),234.93)</f>
        <v>234.93</v>
      </c>
    </row>
    <row r="689">
      <c r="A689" s="2">
        <f>IFERROR(__xludf.DUMMYFUNCTION("""COMPUTED_VALUE"""),45104.66666666667)</f>
        <v>45104.66667</v>
      </c>
      <c r="B689" s="1">
        <f>IFERROR(__xludf.DUMMYFUNCTION("""COMPUTED_VALUE"""),246.76)</f>
        <v>246.76</v>
      </c>
    </row>
    <row r="690">
      <c r="A690" s="2">
        <f>IFERROR(__xludf.DUMMYFUNCTION("""COMPUTED_VALUE"""),45105.66666666667)</f>
        <v>45105.66667</v>
      </c>
      <c r="B690" s="1">
        <f>IFERROR(__xludf.DUMMYFUNCTION("""COMPUTED_VALUE"""),248.44)</f>
        <v>248.44</v>
      </c>
    </row>
    <row r="691">
      <c r="A691" s="2">
        <f>IFERROR(__xludf.DUMMYFUNCTION("""COMPUTED_VALUE"""),45106.66666666667)</f>
        <v>45106.66667</v>
      </c>
      <c r="B691" s="1">
        <f>IFERROR(__xludf.DUMMYFUNCTION("""COMPUTED_VALUE"""),249.98)</f>
        <v>249.98</v>
      </c>
    </row>
    <row r="692">
      <c r="A692" s="2">
        <f>IFERROR(__xludf.DUMMYFUNCTION("""COMPUTED_VALUE"""),45107.66666666667)</f>
        <v>45107.66667</v>
      </c>
      <c r="B692" s="1">
        <f>IFERROR(__xludf.DUMMYFUNCTION("""COMPUTED_VALUE"""),247.9)</f>
        <v>247.9</v>
      </c>
    </row>
    <row r="693">
      <c r="A693" s="2">
        <f>IFERROR(__xludf.DUMMYFUNCTION("""COMPUTED_VALUE"""),45110.54166666667)</f>
        <v>45110.54167</v>
      </c>
      <c r="B693" s="1">
        <f>IFERROR(__xludf.DUMMYFUNCTION("""COMPUTED_VALUE"""),247.55)</f>
        <v>247.55</v>
      </c>
    </row>
    <row r="694">
      <c r="A694" s="2">
        <f>IFERROR(__xludf.DUMMYFUNCTION("""COMPUTED_VALUE"""),45112.66666666667)</f>
        <v>45112.66667</v>
      </c>
      <c r="B694" s="1">
        <f>IFERROR(__xludf.DUMMYFUNCTION("""COMPUTED_VALUE"""),248.32)</f>
        <v>248.32</v>
      </c>
    </row>
    <row r="695">
      <c r="A695" s="2">
        <f>IFERROR(__xludf.DUMMYFUNCTION("""COMPUTED_VALUE"""),45113.66666666667)</f>
        <v>45113.66667</v>
      </c>
      <c r="B695" s="1">
        <f>IFERROR(__xludf.DUMMYFUNCTION("""COMPUTED_VALUE"""),247.67)</f>
        <v>247.67</v>
      </c>
    </row>
    <row r="696">
      <c r="A696" s="2">
        <f>IFERROR(__xludf.DUMMYFUNCTION("""COMPUTED_VALUE"""),45114.66666666667)</f>
        <v>45114.66667</v>
      </c>
      <c r="B696" s="1">
        <f>IFERROR(__xludf.DUMMYFUNCTION("""COMPUTED_VALUE"""),251.25)</f>
        <v>251.25</v>
      </c>
    </row>
    <row r="697">
      <c r="A697" s="2">
        <f>IFERROR(__xludf.DUMMYFUNCTION("""COMPUTED_VALUE"""),45117.66666666667)</f>
        <v>45117.66667</v>
      </c>
      <c r="B697" s="1">
        <f>IFERROR(__xludf.DUMMYFUNCTION("""COMPUTED_VALUE"""),251.69)</f>
        <v>251.69</v>
      </c>
    </row>
    <row r="698">
      <c r="A698" s="2">
        <f>IFERROR(__xludf.DUMMYFUNCTION("""COMPUTED_VALUE"""),45118.66666666667)</f>
        <v>45118.66667</v>
      </c>
      <c r="B698" s="1">
        <f>IFERROR(__xludf.DUMMYFUNCTION("""COMPUTED_VALUE"""),258.4)</f>
        <v>258.4</v>
      </c>
    </row>
    <row r="699">
      <c r="A699" s="2">
        <f>IFERROR(__xludf.DUMMYFUNCTION("""COMPUTED_VALUE"""),45119.66666666667)</f>
        <v>45119.66667</v>
      </c>
      <c r="B699" s="1">
        <f>IFERROR(__xludf.DUMMYFUNCTION("""COMPUTED_VALUE"""),261.61)</f>
        <v>261.61</v>
      </c>
    </row>
    <row r="700">
      <c r="A700" s="2">
        <f>IFERROR(__xludf.DUMMYFUNCTION("""COMPUTED_VALUE"""),45120.66666666667)</f>
        <v>45120.66667</v>
      </c>
      <c r="B700" s="1">
        <f>IFERROR(__xludf.DUMMYFUNCTION("""COMPUTED_VALUE"""),258.46)</f>
        <v>258.46</v>
      </c>
    </row>
    <row r="701">
      <c r="A701" s="2">
        <f>IFERROR(__xludf.DUMMYFUNCTION("""COMPUTED_VALUE"""),45121.66666666667)</f>
        <v>45121.66667</v>
      </c>
      <c r="B701" s="1">
        <f>IFERROR(__xludf.DUMMYFUNCTION("""COMPUTED_VALUE"""),257.45)</f>
        <v>257.45</v>
      </c>
    </row>
    <row r="702">
      <c r="A702" s="2">
        <f>IFERROR(__xludf.DUMMYFUNCTION("""COMPUTED_VALUE"""),45124.66666666667)</f>
        <v>45124.66667</v>
      </c>
      <c r="B702" s="1">
        <f>IFERROR(__xludf.DUMMYFUNCTION("""COMPUTED_VALUE"""),254.73)</f>
        <v>254.73</v>
      </c>
    </row>
    <row r="703">
      <c r="A703" s="2">
        <f>IFERROR(__xludf.DUMMYFUNCTION("""COMPUTED_VALUE"""),45125.66666666667)</f>
        <v>45125.66667</v>
      </c>
      <c r="B703" s="1">
        <f>IFERROR(__xludf.DUMMYFUNCTION("""COMPUTED_VALUE"""),261.97)</f>
        <v>261.97</v>
      </c>
    </row>
    <row r="704">
      <c r="A704" s="2">
        <f>IFERROR(__xludf.DUMMYFUNCTION("""COMPUTED_VALUE"""),45126.66666666667)</f>
        <v>45126.66667</v>
      </c>
      <c r="B704" s="1">
        <f>IFERROR(__xludf.DUMMYFUNCTION("""COMPUTED_VALUE"""),260.26)</f>
        <v>260.26</v>
      </c>
    </row>
    <row r="705">
      <c r="A705" s="2">
        <f>IFERROR(__xludf.DUMMYFUNCTION("""COMPUTED_VALUE"""),45127.66666666667)</f>
        <v>45127.66667</v>
      </c>
      <c r="B705" s="1">
        <f>IFERROR(__xludf.DUMMYFUNCTION("""COMPUTED_VALUE"""),263.54)</f>
        <v>263.54</v>
      </c>
    </row>
    <row r="706">
      <c r="A706" s="2">
        <f>IFERROR(__xludf.DUMMYFUNCTION("""COMPUTED_VALUE"""),45128.66666666667)</f>
        <v>45128.66667</v>
      </c>
      <c r="B706" s="1">
        <f>IFERROR(__xludf.DUMMYFUNCTION("""COMPUTED_VALUE"""),259.67)</f>
        <v>259.67</v>
      </c>
    </row>
    <row r="707">
      <c r="A707" s="2">
        <f>IFERROR(__xludf.DUMMYFUNCTION("""COMPUTED_VALUE"""),45131.66666666667)</f>
        <v>45131.66667</v>
      </c>
      <c r="B707" s="1">
        <f>IFERROR(__xludf.DUMMYFUNCTION("""COMPUTED_VALUE"""),258.77)</f>
        <v>258.77</v>
      </c>
    </row>
    <row r="708">
      <c r="A708" s="2">
        <f>IFERROR(__xludf.DUMMYFUNCTION("""COMPUTED_VALUE"""),45132.66666666667)</f>
        <v>45132.66667</v>
      </c>
      <c r="B708" s="1">
        <f>IFERROR(__xludf.DUMMYFUNCTION("""COMPUTED_VALUE"""),259.66)</f>
        <v>259.66</v>
      </c>
    </row>
    <row r="709">
      <c r="A709" s="2">
        <f>IFERROR(__xludf.DUMMYFUNCTION("""COMPUTED_VALUE"""),45133.66666666667)</f>
        <v>45133.66667</v>
      </c>
      <c r="B709" s="1">
        <f>IFERROR(__xludf.DUMMYFUNCTION("""COMPUTED_VALUE"""),268.13)</f>
        <v>268.13</v>
      </c>
    </row>
    <row r="710">
      <c r="A710" s="2">
        <f>IFERROR(__xludf.DUMMYFUNCTION("""COMPUTED_VALUE"""),45134.66666666667)</f>
        <v>45134.66667</v>
      </c>
      <c r="B710" s="1">
        <f>IFERROR(__xludf.DUMMYFUNCTION("""COMPUTED_VALUE"""),265.37)</f>
        <v>265.37</v>
      </c>
    </row>
    <row r="711">
      <c r="A711" s="2">
        <f>IFERROR(__xludf.DUMMYFUNCTION("""COMPUTED_VALUE"""),45135.66666666667)</f>
        <v>45135.66667</v>
      </c>
      <c r="B711" s="1">
        <f>IFERROR(__xludf.DUMMYFUNCTION("""COMPUTED_VALUE"""),268.85)</f>
        <v>268.85</v>
      </c>
    </row>
    <row r="712">
      <c r="A712" s="2">
        <f>IFERROR(__xludf.DUMMYFUNCTION("""COMPUTED_VALUE"""),45138.66666666667)</f>
        <v>45138.66667</v>
      </c>
      <c r="B712" s="1">
        <f>IFERROR(__xludf.DUMMYFUNCTION("""COMPUTED_VALUE"""),269.95)</f>
        <v>269.95</v>
      </c>
    </row>
    <row r="713">
      <c r="A713" s="2">
        <f>IFERROR(__xludf.DUMMYFUNCTION("""COMPUTED_VALUE"""),45139.66666666667)</f>
        <v>45139.66667</v>
      </c>
      <c r="B713" s="1">
        <f>IFERROR(__xludf.DUMMYFUNCTION("""COMPUTED_VALUE"""),268.16)</f>
        <v>268.16</v>
      </c>
    </row>
    <row r="714">
      <c r="A714" s="2">
        <f>IFERROR(__xludf.DUMMYFUNCTION("""COMPUTED_VALUE"""),45140.66666666667)</f>
        <v>45140.66667</v>
      </c>
      <c r="B714" s="1">
        <f>IFERROR(__xludf.DUMMYFUNCTION("""COMPUTED_VALUE"""),265.45)</f>
        <v>265.45</v>
      </c>
    </row>
    <row r="715">
      <c r="A715" s="2">
        <f>IFERROR(__xludf.DUMMYFUNCTION("""COMPUTED_VALUE"""),45141.66666666667)</f>
        <v>45141.66667</v>
      </c>
      <c r="B715" s="1">
        <f>IFERROR(__xludf.DUMMYFUNCTION("""COMPUTED_VALUE"""),263.52)</f>
        <v>263.52</v>
      </c>
    </row>
    <row r="716">
      <c r="A716" s="2">
        <f>IFERROR(__xludf.DUMMYFUNCTION("""COMPUTED_VALUE"""),45142.66666666667)</f>
        <v>45142.66667</v>
      </c>
      <c r="B716" s="1">
        <f>IFERROR(__xludf.DUMMYFUNCTION("""COMPUTED_VALUE"""),263.0)</f>
        <v>263</v>
      </c>
    </row>
    <row r="717">
      <c r="A717" s="2">
        <f>IFERROR(__xludf.DUMMYFUNCTION("""COMPUTED_VALUE"""),45145.66666666667)</f>
        <v>45145.66667</v>
      </c>
      <c r="B717" s="1">
        <f>IFERROR(__xludf.DUMMYFUNCTION("""COMPUTED_VALUE"""),264.36)</f>
        <v>264.36</v>
      </c>
    </row>
    <row r="718">
      <c r="A718" s="2">
        <f>IFERROR(__xludf.DUMMYFUNCTION("""COMPUTED_VALUE"""),45146.66666666667)</f>
        <v>45146.66667</v>
      </c>
      <c r="B718" s="1">
        <f>IFERROR(__xludf.DUMMYFUNCTION("""COMPUTED_VALUE"""),268.26)</f>
        <v>268.26</v>
      </c>
    </row>
    <row r="719">
      <c r="A719" s="2">
        <f>IFERROR(__xludf.DUMMYFUNCTION("""COMPUTED_VALUE"""),45147.66666666667)</f>
        <v>45147.66667</v>
      </c>
      <c r="B719" s="1">
        <f>IFERROR(__xludf.DUMMYFUNCTION("""COMPUTED_VALUE"""),265.48)</f>
        <v>265.48</v>
      </c>
    </row>
    <row r="720">
      <c r="A720" s="2">
        <f>IFERROR(__xludf.DUMMYFUNCTION("""COMPUTED_VALUE"""),45148.66666666667)</f>
        <v>45148.66667</v>
      </c>
      <c r="B720" s="1">
        <f>IFERROR(__xludf.DUMMYFUNCTION("""COMPUTED_VALUE"""),266.53)</f>
        <v>266.53</v>
      </c>
    </row>
    <row r="721">
      <c r="A721" s="2">
        <f>IFERROR(__xludf.DUMMYFUNCTION("""COMPUTED_VALUE"""),45149.66666666667)</f>
        <v>45149.66667</v>
      </c>
      <c r="B721" s="1">
        <f>IFERROR(__xludf.DUMMYFUNCTION("""COMPUTED_VALUE"""),265.77)</f>
        <v>265.77</v>
      </c>
    </row>
    <row r="722">
      <c r="A722" s="2">
        <f>IFERROR(__xludf.DUMMYFUNCTION("""COMPUTED_VALUE"""),45152.66666666667)</f>
        <v>45152.66667</v>
      </c>
      <c r="B722" s="1">
        <f>IFERROR(__xludf.DUMMYFUNCTION("""COMPUTED_VALUE"""),266.94)</f>
        <v>266.94</v>
      </c>
    </row>
    <row r="723">
      <c r="A723" s="2">
        <f>IFERROR(__xludf.DUMMYFUNCTION("""COMPUTED_VALUE"""),45153.66666666667)</f>
        <v>45153.66667</v>
      </c>
      <c r="B723" s="1">
        <f>IFERROR(__xludf.DUMMYFUNCTION("""COMPUTED_VALUE"""),265.55)</f>
        <v>265.55</v>
      </c>
    </row>
    <row r="724">
      <c r="A724" s="2">
        <f>IFERROR(__xludf.DUMMYFUNCTION("""COMPUTED_VALUE"""),45154.66666666667)</f>
        <v>45154.66667</v>
      </c>
      <c r="B724" s="1">
        <f>IFERROR(__xludf.DUMMYFUNCTION("""COMPUTED_VALUE"""),265.07)</f>
        <v>265.07</v>
      </c>
    </row>
    <row r="725">
      <c r="A725" s="2">
        <f>IFERROR(__xludf.DUMMYFUNCTION("""COMPUTED_VALUE"""),45155.66666666667)</f>
        <v>45155.66667</v>
      </c>
      <c r="B725" s="1">
        <f>IFERROR(__xludf.DUMMYFUNCTION("""COMPUTED_VALUE"""),264.91)</f>
        <v>264.91</v>
      </c>
    </row>
    <row r="726">
      <c r="A726" s="2">
        <f>IFERROR(__xludf.DUMMYFUNCTION("""COMPUTED_VALUE"""),45156.66666666667)</f>
        <v>45156.66667</v>
      </c>
      <c r="B726" s="1">
        <f>IFERROR(__xludf.DUMMYFUNCTION("""COMPUTED_VALUE"""),262.65)</f>
        <v>262.65</v>
      </c>
    </row>
    <row r="727">
      <c r="A727" s="2">
        <f>IFERROR(__xludf.DUMMYFUNCTION("""COMPUTED_VALUE"""),45159.66666666667)</f>
        <v>45159.66667</v>
      </c>
      <c r="B727" s="1">
        <f>IFERROR(__xludf.DUMMYFUNCTION("""COMPUTED_VALUE"""),259.94)</f>
        <v>259.94</v>
      </c>
    </row>
    <row r="728">
      <c r="A728" s="2">
        <f>IFERROR(__xludf.DUMMYFUNCTION("""COMPUTED_VALUE"""),45160.66666666667)</f>
        <v>45160.66667</v>
      </c>
      <c r="B728" s="1">
        <f>IFERROR(__xludf.DUMMYFUNCTION("""COMPUTED_VALUE"""),258.98)</f>
        <v>258.98</v>
      </c>
    </row>
    <row r="729">
      <c r="A729" s="2">
        <f>IFERROR(__xludf.DUMMYFUNCTION("""COMPUTED_VALUE"""),45161.66666666667)</f>
        <v>45161.66667</v>
      </c>
      <c r="B729" s="1">
        <f>IFERROR(__xludf.DUMMYFUNCTION("""COMPUTED_VALUE"""),260.45)</f>
        <v>260.45</v>
      </c>
    </row>
    <row r="730">
      <c r="A730" s="2">
        <f>IFERROR(__xludf.DUMMYFUNCTION("""COMPUTED_VALUE"""),45162.66666666667)</f>
        <v>45162.66667</v>
      </c>
      <c r="B730" s="1">
        <f>IFERROR(__xludf.DUMMYFUNCTION("""COMPUTED_VALUE"""),258.78)</f>
        <v>258.78</v>
      </c>
    </row>
    <row r="731">
      <c r="A731" s="2">
        <f>IFERROR(__xludf.DUMMYFUNCTION("""COMPUTED_VALUE"""),45163.66666666667)</f>
        <v>45163.66667</v>
      </c>
      <c r="B731" s="1">
        <f>IFERROR(__xludf.DUMMYFUNCTION("""COMPUTED_VALUE"""),258.73)</f>
        <v>258.73</v>
      </c>
    </row>
    <row r="732">
      <c r="A732" s="2">
        <f>IFERROR(__xludf.DUMMYFUNCTION("""COMPUTED_VALUE"""),45166.66666666667)</f>
        <v>45166.66667</v>
      </c>
      <c r="B732" s="1">
        <f>IFERROR(__xludf.DUMMYFUNCTION("""COMPUTED_VALUE"""),258.35)</f>
        <v>258.35</v>
      </c>
    </row>
    <row r="733">
      <c r="A733" s="2">
        <f>IFERROR(__xludf.DUMMYFUNCTION("""COMPUTED_VALUE"""),45167.66666666667)</f>
        <v>45167.66667</v>
      </c>
      <c r="B733" s="1">
        <f>IFERROR(__xludf.DUMMYFUNCTION("""COMPUTED_VALUE"""),260.58)</f>
        <v>260.58</v>
      </c>
    </row>
    <row r="734">
      <c r="A734" s="2">
        <f>IFERROR(__xludf.DUMMYFUNCTION("""COMPUTED_VALUE"""),45168.66666666667)</f>
        <v>45168.66667</v>
      </c>
      <c r="B734" s="1">
        <f>IFERROR(__xludf.DUMMYFUNCTION("""COMPUTED_VALUE"""),263.89)</f>
        <v>263.89</v>
      </c>
    </row>
    <row r="735">
      <c r="A735" s="2">
        <f>IFERROR(__xludf.DUMMYFUNCTION("""COMPUTED_VALUE"""),45169.66666666667)</f>
        <v>45169.66667</v>
      </c>
      <c r="B735" s="1">
        <f>IFERROR(__xludf.DUMMYFUNCTION("""COMPUTED_VALUE"""),261.02)</f>
        <v>261.02</v>
      </c>
    </row>
    <row r="736">
      <c r="A736" s="2">
        <f>IFERROR(__xludf.DUMMYFUNCTION("""COMPUTED_VALUE"""),45170.66666666667)</f>
        <v>45170.66667</v>
      </c>
      <c r="B736" s="1">
        <f>IFERROR(__xludf.DUMMYFUNCTION("""COMPUTED_VALUE"""),260.97)</f>
        <v>260.97</v>
      </c>
    </row>
    <row r="737">
      <c r="A737" s="2">
        <f>IFERROR(__xludf.DUMMYFUNCTION("""COMPUTED_VALUE"""),45174.66666666667)</f>
        <v>45174.66667</v>
      </c>
      <c r="B737" s="1">
        <f>IFERROR(__xludf.DUMMYFUNCTION("""COMPUTED_VALUE"""),256.62)</f>
        <v>256.62</v>
      </c>
    </row>
    <row r="738">
      <c r="A738" s="2">
        <f>IFERROR(__xludf.DUMMYFUNCTION("""COMPUTED_VALUE"""),45175.66666666667)</f>
        <v>45175.66667</v>
      </c>
      <c r="B738" s="1">
        <f>IFERROR(__xludf.DUMMYFUNCTION("""COMPUTED_VALUE"""),257.47)</f>
        <v>257.47</v>
      </c>
    </row>
    <row r="739">
      <c r="A739" s="2">
        <f>IFERROR(__xludf.DUMMYFUNCTION("""COMPUTED_VALUE"""),45176.66666666667)</f>
        <v>45176.66667</v>
      </c>
      <c r="B739" s="1">
        <f>IFERROR(__xludf.DUMMYFUNCTION("""COMPUTED_VALUE"""),256.16)</f>
        <v>256.16</v>
      </c>
    </row>
    <row r="740">
      <c r="A740" s="2">
        <f>IFERROR(__xludf.DUMMYFUNCTION("""COMPUTED_VALUE"""),45177.66666666667)</f>
        <v>45177.66667</v>
      </c>
      <c r="B740" s="1">
        <f>IFERROR(__xludf.DUMMYFUNCTION("""COMPUTED_VALUE"""),253.31)</f>
        <v>253.31</v>
      </c>
    </row>
    <row r="741">
      <c r="A741" s="2">
        <f>IFERROR(__xludf.DUMMYFUNCTION("""COMPUTED_VALUE"""),45180.66666666667)</f>
        <v>45180.66667</v>
      </c>
      <c r="B741" s="1">
        <f>IFERROR(__xludf.DUMMYFUNCTION("""COMPUTED_VALUE"""),254.7)</f>
        <v>254.7</v>
      </c>
    </row>
    <row r="742">
      <c r="A742" s="2">
        <f>IFERROR(__xludf.DUMMYFUNCTION("""COMPUTED_VALUE"""),45181.66666666667)</f>
        <v>45181.66667</v>
      </c>
      <c r="B742" s="1">
        <f>IFERROR(__xludf.DUMMYFUNCTION("""COMPUTED_VALUE"""),251.47)</f>
        <v>251.47</v>
      </c>
    </row>
    <row r="743">
      <c r="A743" s="2">
        <f>IFERROR(__xludf.DUMMYFUNCTION("""COMPUTED_VALUE"""),45182.66666666667)</f>
        <v>45182.66667</v>
      </c>
      <c r="B743" s="1">
        <f>IFERROR(__xludf.DUMMYFUNCTION("""COMPUTED_VALUE"""),252.16)</f>
        <v>252.16</v>
      </c>
    </row>
    <row r="744">
      <c r="A744" s="2">
        <f>IFERROR(__xludf.DUMMYFUNCTION("""COMPUTED_VALUE"""),45183.66666666667)</f>
        <v>45183.66667</v>
      </c>
      <c r="B744" s="1">
        <f>IFERROR(__xludf.DUMMYFUNCTION("""COMPUTED_VALUE"""),257.03)</f>
        <v>257.03</v>
      </c>
    </row>
    <row r="745">
      <c r="A745" s="2">
        <f>IFERROR(__xludf.DUMMYFUNCTION("""COMPUTED_VALUE"""),45184.66666666667)</f>
        <v>45184.66667</v>
      </c>
      <c r="B745" s="1">
        <f>IFERROR(__xludf.DUMMYFUNCTION("""COMPUTED_VALUE"""),254.08)</f>
        <v>254.08</v>
      </c>
    </row>
    <row r="746">
      <c r="A746" s="2">
        <f>IFERROR(__xludf.DUMMYFUNCTION("""COMPUTED_VALUE"""),45187.66666666667)</f>
        <v>45187.66667</v>
      </c>
      <c r="B746" s="1">
        <f>IFERROR(__xludf.DUMMYFUNCTION("""COMPUTED_VALUE"""),249.3)</f>
        <v>249.3</v>
      </c>
    </row>
    <row r="747">
      <c r="A747" s="2">
        <f>IFERROR(__xludf.DUMMYFUNCTION("""COMPUTED_VALUE"""),45188.66666666667)</f>
        <v>45188.66667</v>
      </c>
      <c r="B747" s="1">
        <f>IFERROR(__xludf.DUMMYFUNCTION("""COMPUTED_VALUE"""),249.99)</f>
        <v>249.99</v>
      </c>
    </row>
    <row r="748">
      <c r="A748" s="2">
        <f>IFERROR(__xludf.DUMMYFUNCTION("""COMPUTED_VALUE"""),45189.66666666667)</f>
        <v>45189.66667</v>
      </c>
      <c r="B748" s="1">
        <f>IFERROR(__xludf.DUMMYFUNCTION("""COMPUTED_VALUE"""),250.52)</f>
        <v>250.52</v>
      </c>
    </row>
    <row r="749">
      <c r="A749" s="2">
        <f>IFERROR(__xludf.DUMMYFUNCTION("""COMPUTED_VALUE"""),45190.66666666667)</f>
        <v>45190.66667</v>
      </c>
      <c r="B749" s="1">
        <f>IFERROR(__xludf.DUMMYFUNCTION("""COMPUTED_VALUE"""),261.85)</f>
        <v>261.85</v>
      </c>
    </row>
    <row r="750">
      <c r="A750" s="2">
        <f>IFERROR(__xludf.DUMMYFUNCTION("""COMPUTED_VALUE"""),45191.66666666667)</f>
        <v>45191.66667</v>
      </c>
      <c r="B750" s="1">
        <f>IFERROR(__xludf.DUMMYFUNCTION("""COMPUTED_VALUE"""),261.09)</f>
        <v>261.09</v>
      </c>
    </row>
    <row r="751">
      <c r="A751" s="2">
        <f>IFERROR(__xludf.DUMMYFUNCTION("""COMPUTED_VALUE"""),45194.66666666667)</f>
        <v>45194.66667</v>
      </c>
      <c r="B751" s="1">
        <f>IFERROR(__xludf.DUMMYFUNCTION("""COMPUTED_VALUE"""),266.43)</f>
        <v>266.43</v>
      </c>
    </row>
    <row r="752">
      <c r="A752" s="2">
        <f>IFERROR(__xludf.DUMMYFUNCTION("""COMPUTED_VALUE"""),45195.66666666667)</f>
        <v>45195.66667</v>
      </c>
      <c r="B752" s="1">
        <f>IFERROR(__xludf.DUMMYFUNCTION("""COMPUTED_VALUE"""),261.39)</f>
        <v>261.39</v>
      </c>
    </row>
    <row r="753">
      <c r="A753" s="2">
        <f>IFERROR(__xludf.DUMMYFUNCTION("""COMPUTED_VALUE"""),45196.66666666667)</f>
        <v>45196.66667</v>
      </c>
      <c r="B753" s="1">
        <f>IFERROR(__xludf.DUMMYFUNCTION("""COMPUTED_VALUE"""),262.71)</f>
        <v>262.71</v>
      </c>
    </row>
    <row r="754">
      <c r="A754" s="2">
        <f>IFERROR(__xludf.DUMMYFUNCTION("""COMPUTED_VALUE"""),45197.66666666667)</f>
        <v>45197.66667</v>
      </c>
      <c r="B754" s="1">
        <f>IFERROR(__xludf.DUMMYFUNCTION("""COMPUTED_VALUE"""),266.44)</f>
        <v>266.44</v>
      </c>
    </row>
    <row r="755">
      <c r="A755" s="2">
        <f>IFERROR(__xludf.DUMMYFUNCTION("""COMPUTED_VALUE"""),45198.66666666667)</f>
        <v>45198.66667</v>
      </c>
      <c r="B755" s="1">
        <f>IFERROR(__xludf.DUMMYFUNCTION("""COMPUTED_VALUE"""),264.92)</f>
        <v>264.92</v>
      </c>
    </row>
    <row r="756">
      <c r="A756" s="2">
        <f>IFERROR(__xludf.DUMMYFUNCTION("""COMPUTED_VALUE"""),45201.66666666667)</f>
        <v>45201.66667</v>
      </c>
      <c r="B756" s="1">
        <f>IFERROR(__xludf.DUMMYFUNCTION("""COMPUTED_VALUE"""),265.11)</f>
        <v>265.11</v>
      </c>
    </row>
    <row r="757">
      <c r="A757" s="2">
        <f>IFERROR(__xludf.DUMMYFUNCTION("""COMPUTED_VALUE"""),45202.66666666667)</f>
        <v>45202.66667</v>
      </c>
      <c r="B757" s="1">
        <f>IFERROR(__xludf.DUMMYFUNCTION("""COMPUTED_VALUE"""),260.19)</f>
        <v>260.19</v>
      </c>
    </row>
    <row r="758">
      <c r="A758" s="2">
        <f>IFERROR(__xludf.DUMMYFUNCTION("""COMPUTED_VALUE"""),45203.66666666667)</f>
        <v>45203.66667</v>
      </c>
      <c r="B758" s="1">
        <f>IFERROR(__xludf.DUMMYFUNCTION("""COMPUTED_VALUE"""),260.05)</f>
        <v>260.05</v>
      </c>
    </row>
    <row r="759">
      <c r="A759" s="2">
        <f>IFERROR(__xludf.DUMMYFUNCTION("""COMPUTED_VALUE"""),45204.66666666667)</f>
        <v>45204.66667</v>
      </c>
      <c r="B759" s="1">
        <f>IFERROR(__xludf.DUMMYFUNCTION("""COMPUTED_VALUE"""),259.16)</f>
        <v>259.16</v>
      </c>
    </row>
    <row r="760">
      <c r="A760" s="2">
        <f>IFERROR(__xludf.DUMMYFUNCTION("""COMPUTED_VALUE"""),45205.66666666667)</f>
        <v>45205.66667</v>
      </c>
      <c r="B760" s="1">
        <f>IFERROR(__xludf.DUMMYFUNCTION("""COMPUTED_VALUE"""),257.9)</f>
        <v>257.9</v>
      </c>
    </row>
    <row r="761">
      <c r="A761" s="2">
        <f>IFERROR(__xludf.DUMMYFUNCTION("""COMPUTED_VALUE"""),45208.66666666667)</f>
        <v>45208.66667</v>
      </c>
      <c r="B761" s="1">
        <f>IFERROR(__xludf.DUMMYFUNCTION("""COMPUTED_VALUE"""),255.72)</f>
        <v>255.72</v>
      </c>
    </row>
    <row r="762">
      <c r="A762" s="2">
        <f>IFERROR(__xludf.DUMMYFUNCTION("""COMPUTED_VALUE"""),45209.66666666667)</f>
        <v>45209.66667</v>
      </c>
      <c r="B762" s="1">
        <f>IFERROR(__xludf.DUMMYFUNCTION("""COMPUTED_VALUE"""),256.79)</f>
        <v>256.79</v>
      </c>
    </row>
    <row r="763">
      <c r="A763" s="2">
        <f>IFERROR(__xludf.DUMMYFUNCTION("""COMPUTED_VALUE"""),45210.66666666667)</f>
        <v>45210.66667</v>
      </c>
      <c r="B763" s="1">
        <f>IFERROR(__xludf.DUMMYFUNCTION("""COMPUTED_VALUE"""),255.46)</f>
        <v>255.46</v>
      </c>
    </row>
    <row r="764">
      <c r="A764" s="2">
        <f>IFERROR(__xludf.DUMMYFUNCTION("""COMPUTED_VALUE"""),45211.66666666667)</f>
        <v>45211.66667</v>
      </c>
      <c r="B764" s="1">
        <f>IFERROR(__xludf.DUMMYFUNCTION("""COMPUTED_VALUE"""),252.04)</f>
        <v>252.04</v>
      </c>
    </row>
    <row r="765">
      <c r="A765" s="2">
        <f>IFERROR(__xludf.DUMMYFUNCTION("""COMPUTED_VALUE"""),45212.66666666667)</f>
        <v>45212.66667</v>
      </c>
      <c r="B765" s="1">
        <f>IFERROR(__xludf.DUMMYFUNCTION("""COMPUTED_VALUE"""),242.84)</f>
        <v>242.84</v>
      </c>
    </row>
    <row r="766">
      <c r="A766" s="2">
        <f>IFERROR(__xludf.DUMMYFUNCTION("""COMPUTED_VALUE"""),45215.66666666667)</f>
        <v>45215.66667</v>
      </c>
      <c r="B766" s="1">
        <f>IFERROR(__xludf.DUMMYFUNCTION("""COMPUTED_VALUE"""),247.56)</f>
        <v>247.56</v>
      </c>
    </row>
    <row r="767">
      <c r="A767" s="2">
        <f>IFERROR(__xludf.DUMMYFUNCTION("""COMPUTED_VALUE"""),45216.66666666667)</f>
        <v>45216.66667</v>
      </c>
      <c r="B767" s="1">
        <f>IFERROR(__xludf.DUMMYFUNCTION("""COMPUTED_VALUE"""),248.03)</f>
        <v>248.03</v>
      </c>
    </row>
    <row r="768">
      <c r="A768" s="2">
        <f>IFERROR(__xludf.DUMMYFUNCTION("""COMPUTED_VALUE"""),45217.66666666667)</f>
        <v>45217.66667</v>
      </c>
      <c r="B768" s="1">
        <f>IFERROR(__xludf.DUMMYFUNCTION("""COMPUTED_VALUE"""),243.61)</f>
        <v>243.61</v>
      </c>
    </row>
    <row r="769">
      <c r="A769" s="2">
        <f>IFERROR(__xludf.DUMMYFUNCTION("""COMPUTED_VALUE"""),45218.66666666667)</f>
        <v>45218.66667</v>
      </c>
      <c r="B769" s="1">
        <f>IFERROR(__xludf.DUMMYFUNCTION("""COMPUTED_VALUE"""),243.29)</f>
        <v>243.29</v>
      </c>
    </row>
    <row r="770">
      <c r="A770" s="2">
        <f>IFERROR(__xludf.DUMMYFUNCTION("""COMPUTED_VALUE"""),45219.66666666667)</f>
        <v>45219.66667</v>
      </c>
      <c r="B770" s="1">
        <f>IFERROR(__xludf.DUMMYFUNCTION("""COMPUTED_VALUE"""),240.62)</f>
        <v>240.62</v>
      </c>
    </row>
    <row r="771">
      <c r="A771" s="2">
        <f>IFERROR(__xludf.DUMMYFUNCTION("""COMPUTED_VALUE"""),45222.66666666667)</f>
        <v>45222.66667</v>
      </c>
      <c r="B771" s="1">
        <f>IFERROR(__xludf.DUMMYFUNCTION("""COMPUTED_VALUE"""),237.97)</f>
        <v>237.97</v>
      </c>
    </row>
    <row r="772">
      <c r="A772" s="2">
        <f>IFERROR(__xludf.DUMMYFUNCTION("""COMPUTED_VALUE"""),45223.66666666667)</f>
        <v>45223.66667</v>
      </c>
      <c r="B772" s="1">
        <f>IFERROR(__xludf.DUMMYFUNCTION("""COMPUTED_VALUE"""),241.68)</f>
        <v>241.68</v>
      </c>
    </row>
    <row r="773">
      <c r="A773" s="2">
        <f>IFERROR(__xludf.DUMMYFUNCTION("""COMPUTED_VALUE"""),45224.66666666667)</f>
        <v>45224.66667</v>
      </c>
      <c r="B773" s="1">
        <f>IFERROR(__xludf.DUMMYFUNCTION("""COMPUTED_VALUE"""),235.21)</f>
        <v>235.21</v>
      </c>
    </row>
    <row r="774">
      <c r="A774" s="2">
        <f>IFERROR(__xludf.DUMMYFUNCTION("""COMPUTED_VALUE"""),45225.66666666667)</f>
        <v>45225.66667</v>
      </c>
      <c r="B774" s="1">
        <f>IFERROR(__xludf.DUMMYFUNCTION("""COMPUTED_VALUE"""),227.93)</f>
        <v>227.93</v>
      </c>
    </row>
    <row r="775">
      <c r="A775" s="2">
        <f>IFERROR(__xludf.DUMMYFUNCTION("""COMPUTED_VALUE"""),45226.66666666667)</f>
        <v>45226.66667</v>
      </c>
      <c r="B775" s="1">
        <f>IFERROR(__xludf.DUMMYFUNCTION("""COMPUTED_VALUE"""),228.84)</f>
        <v>228.84</v>
      </c>
    </row>
    <row r="776">
      <c r="A776" s="2">
        <f>IFERROR(__xludf.DUMMYFUNCTION("""COMPUTED_VALUE"""),45229.66666666667)</f>
        <v>45229.66667</v>
      </c>
      <c r="B776" s="1">
        <f>IFERROR(__xludf.DUMMYFUNCTION("""COMPUTED_VALUE"""),236.82)</f>
        <v>236.82</v>
      </c>
    </row>
    <row r="777">
      <c r="A777" s="2">
        <f>IFERROR(__xludf.DUMMYFUNCTION("""COMPUTED_VALUE"""),45230.66666666667)</f>
        <v>45230.66667</v>
      </c>
      <c r="B777" s="1">
        <f>IFERROR(__xludf.DUMMYFUNCTION("""COMPUTED_VALUE"""),240.1)</f>
        <v>240.1</v>
      </c>
    </row>
    <row r="778">
      <c r="A778" s="2">
        <f>IFERROR(__xludf.DUMMYFUNCTION("""COMPUTED_VALUE"""),45231.66666666667)</f>
        <v>45231.66667</v>
      </c>
      <c r="B778" s="1">
        <f>IFERROR(__xludf.DUMMYFUNCTION("""COMPUTED_VALUE"""),243.23)</f>
        <v>243.23</v>
      </c>
    </row>
    <row r="779">
      <c r="A779" s="2">
        <f>IFERROR(__xludf.DUMMYFUNCTION("""COMPUTED_VALUE"""),45232.66666666667)</f>
        <v>45232.66667</v>
      </c>
      <c r="B779" s="1">
        <f>IFERROR(__xludf.DUMMYFUNCTION("""COMPUTED_VALUE"""),247.25)</f>
        <v>247.25</v>
      </c>
    </row>
    <row r="780">
      <c r="A780" s="2">
        <f>IFERROR(__xludf.DUMMYFUNCTION("""COMPUTED_VALUE"""),45233.66666666667)</f>
        <v>45233.66667</v>
      </c>
      <c r="B780" s="1">
        <f>IFERROR(__xludf.DUMMYFUNCTION("""COMPUTED_VALUE"""),247.14)</f>
        <v>247.14</v>
      </c>
    </row>
    <row r="781">
      <c r="A781" s="2">
        <f>IFERROR(__xludf.DUMMYFUNCTION("""COMPUTED_VALUE"""),45236.66666666667)</f>
        <v>45236.66667</v>
      </c>
      <c r="B781" s="1">
        <f>IFERROR(__xludf.DUMMYFUNCTION("""COMPUTED_VALUE"""),245.33)</f>
        <v>245.33</v>
      </c>
    </row>
    <row r="782">
      <c r="A782" s="2">
        <f>IFERROR(__xludf.DUMMYFUNCTION("""COMPUTED_VALUE"""),45237.66666666667)</f>
        <v>45237.66667</v>
      </c>
      <c r="B782" s="1">
        <f>IFERROR(__xludf.DUMMYFUNCTION("""COMPUTED_VALUE"""),244.2)</f>
        <v>244.2</v>
      </c>
    </row>
    <row r="783">
      <c r="A783" s="2">
        <f>IFERROR(__xludf.DUMMYFUNCTION("""COMPUTED_VALUE"""),45238.66666666667)</f>
        <v>45238.66667</v>
      </c>
      <c r="B783" s="1">
        <f>IFERROR(__xludf.DUMMYFUNCTION("""COMPUTED_VALUE"""),245.37)</f>
        <v>245.37</v>
      </c>
    </row>
    <row r="784">
      <c r="A784" s="2">
        <f>IFERROR(__xludf.DUMMYFUNCTION("""COMPUTED_VALUE"""),45239.66666666667)</f>
        <v>45239.66667</v>
      </c>
      <c r="B784" s="1">
        <f>IFERROR(__xludf.DUMMYFUNCTION("""COMPUTED_VALUE"""),241.19)</f>
        <v>241.19</v>
      </c>
    </row>
    <row r="785">
      <c r="A785" s="2">
        <f>IFERROR(__xludf.DUMMYFUNCTION("""COMPUTED_VALUE"""),45240.66666666667)</f>
        <v>45240.66667</v>
      </c>
      <c r="B785" s="1">
        <f>IFERROR(__xludf.DUMMYFUNCTION("""COMPUTED_VALUE"""),246.03)</f>
        <v>246.03</v>
      </c>
    </row>
    <row r="786">
      <c r="A786" s="2">
        <f>IFERROR(__xludf.DUMMYFUNCTION("""COMPUTED_VALUE"""),45243.66666666667)</f>
        <v>45243.66667</v>
      </c>
      <c r="B786" s="1">
        <f>IFERROR(__xludf.DUMMYFUNCTION("""COMPUTED_VALUE"""),245.39)</f>
        <v>245.39</v>
      </c>
    </row>
    <row r="787">
      <c r="A787" s="2">
        <f>IFERROR(__xludf.DUMMYFUNCTION("""COMPUTED_VALUE"""),45244.66666666667)</f>
        <v>45244.66667</v>
      </c>
      <c r="B787" s="1">
        <f>IFERROR(__xludf.DUMMYFUNCTION("""COMPUTED_VALUE"""),254.18)</f>
        <v>254.18</v>
      </c>
    </row>
    <row r="788">
      <c r="A788" s="2">
        <f>IFERROR(__xludf.DUMMYFUNCTION("""COMPUTED_VALUE"""),45245.66666666667)</f>
        <v>45245.66667</v>
      </c>
      <c r="B788" s="1">
        <f>IFERROR(__xludf.DUMMYFUNCTION("""COMPUTED_VALUE"""),257.42)</f>
        <v>257.42</v>
      </c>
    </row>
    <row r="789">
      <c r="A789" s="2">
        <f>IFERROR(__xludf.DUMMYFUNCTION("""COMPUTED_VALUE"""),45246.66666666667)</f>
        <v>45246.66667</v>
      </c>
      <c r="B789" s="1">
        <f>IFERROR(__xludf.DUMMYFUNCTION("""COMPUTED_VALUE"""),254.94)</f>
        <v>254.94</v>
      </c>
    </row>
    <row r="790">
      <c r="A790" s="2">
        <f>IFERROR(__xludf.DUMMYFUNCTION("""COMPUTED_VALUE"""),45247.66666666667)</f>
        <v>45247.66667</v>
      </c>
      <c r="B790" s="1">
        <f>IFERROR(__xludf.DUMMYFUNCTION("""COMPUTED_VALUE"""),255.95)</f>
        <v>255.95</v>
      </c>
    </row>
    <row r="791">
      <c r="A791" s="2">
        <f>IFERROR(__xludf.DUMMYFUNCTION("""COMPUTED_VALUE"""),45250.66666666667)</f>
        <v>45250.66667</v>
      </c>
      <c r="B791" s="1">
        <f>IFERROR(__xludf.DUMMYFUNCTION("""COMPUTED_VALUE"""),255.54)</f>
        <v>255.54</v>
      </c>
    </row>
    <row r="792">
      <c r="A792" s="2">
        <f>IFERROR(__xludf.DUMMYFUNCTION("""COMPUTED_VALUE"""),45251.66666666667)</f>
        <v>45251.66667</v>
      </c>
      <c r="B792" s="1">
        <f>IFERROR(__xludf.DUMMYFUNCTION("""COMPUTED_VALUE"""),255.86)</f>
        <v>255.86</v>
      </c>
    </row>
    <row r="793">
      <c r="A793" s="2">
        <f>IFERROR(__xludf.DUMMYFUNCTION("""COMPUTED_VALUE"""),45252.66666666667)</f>
        <v>45252.66667</v>
      </c>
      <c r="B793" s="1">
        <f>IFERROR(__xludf.DUMMYFUNCTION("""COMPUTED_VALUE"""),256.46)</f>
        <v>256.46</v>
      </c>
    </row>
    <row r="794">
      <c r="A794" s="2">
        <f>IFERROR(__xludf.DUMMYFUNCTION("""COMPUTED_VALUE"""),45254.54166666667)</f>
        <v>45254.54167</v>
      </c>
      <c r="B794" s="1">
        <f>IFERROR(__xludf.DUMMYFUNCTION("""COMPUTED_VALUE"""),257.61)</f>
        <v>257.61</v>
      </c>
    </row>
    <row r="795">
      <c r="A795" s="2">
        <f>IFERROR(__xludf.DUMMYFUNCTION("""COMPUTED_VALUE"""),45257.66666666667)</f>
        <v>45257.66667</v>
      </c>
      <c r="B795" s="1">
        <f>IFERROR(__xludf.DUMMYFUNCTION("""COMPUTED_VALUE"""),253.6)</f>
        <v>253.6</v>
      </c>
    </row>
    <row r="796">
      <c r="A796" s="2">
        <f>IFERROR(__xludf.DUMMYFUNCTION("""COMPUTED_VALUE"""),45258.66666666667)</f>
        <v>45258.66667</v>
      </c>
      <c r="B796" s="1">
        <f>IFERROR(__xludf.DUMMYFUNCTION("""COMPUTED_VALUE"""),253.41)</f>
        <v>253.41</v>
      </c>
    </row>
    <row r="797">
      <c r="A797" s="2">
        <f>IFERROR(__xludf.DUMMYFUNCTION("""COMPUTED_VALUE"""),45259.66666666667)</f>
        <v>45259.66667</v>
      </c>
      <c r="B797" s="1">
        <f>IFERROR(__xludf.DUMMYFUNCTION("""COMPUTED_VALUE"""),253.93)</f>
        <v>253.93</v>
      </c>
    </row>
    <row r="798">
      <c r="A798" s="2">
        <f>IFERROR(__xludf.DUMMYFUNCTION("""COMPUTED_VALUE"""),45260.66666666667)</f>
        <v>45260.66667</v>
      </c>
      <c r="B798" s="1">
        <f>IFERROR(__xludf.DUMMYFUNCTION("""COMPUTED_VALUE"""),258.83)</f>
        <v>258.83</v>
      </c>
    </row>
    <row r="799">
      <c r="A799" s="2">
        <f>IFERROR(__xludf.DUMMYFUNCTION("""COMPUTED_VALUE"""),45261.66666666667)</f>
        <v>45261.66667</v>
      </c>
      <c r="B799" s="1">
        <f>IFERROR(__xludf.DUMMYFUNCTION("""COMPUTED_VALUE"""),264.42)</f>
        <v>264.42</v>
      </c>
    </row>
    <row r="800">
      <c r="A800" s="2">
        <f>IFERROR(__xludf.DUMMYFUNCTION("""COMPUTED_VALUE"""),45264.66666666667)</f>
        <v>45264.66667</v>
      </c>
      <c r="B800" s="1">
        <f>IFERROR(__xludf.DUMMYFUNCTION("""COMPUTED_VALUE"""),265.6)</f>
        <v>265.6</v>
      </c>
    </row>
    <row r="801">
      <c r="A801" s="2">
        <f>IFERROR(__xludf.DUMMYFUNCTION("""COMPUTED_VALUE"""),45265.66666666667)</f>
        <v>45265.66667</v>
      </c>
      <c r="B801" s="1">
        <f>IFERROR(__xludf.DUMMYFUNCTION("""COMPUTED_VALUE"""),266.08)</f>
        <v>266.08</v>
      </c>
    </row>
    <row r="802">
      <c r="A802" s="2">
        <f>IFERROR(__xludf.DUMMYFUNCTION("""COMPUTED_VALUE"""),45266.66666666667)</f>
        <v>45266.66667</v>
      </c>
      <c r="B802" s="1">
        <f>IFERROR(__xludf.DUMMYFUNCTION("""COMPUTED_VALUE"""),267.21)</f>
        <v>267.21</v>
      </c>
    </row>
    <row r="803">
      <c r="A803" s="2">
        <f>IFERROR(__xludf.DUMMYFUNCTION("""COMPUTED_VALUE"""),45267.66666666667)</f>
        <v>45267.66667</v>
      </c>
      <c r="B803" s="1">
        <f>IFERROR(__xludf.DUMMYFUNCTION("""COMPUTED_VALUE"""),267.63)</f>
        <v>267.63</v>
      </c>
    </row>
    <row r="804">
      <c r="A804" s="2">
        <f>IFERROR(__xludf.DUMMYFUNCTION("""COMPUTED_VALUE"""),45268.66666666667)</f>
        <v>45268.66667</v>
      </c>
      <c r="B804" s="1">
        <f>IFERROR(__xludf.DUMMYFUNCTION("""COMPUTED_VALUE"""),272.21)</f>
        <v>272.21</v>
      </c>
    </row>
    <row r="805">
      <c r="A805" s="2">
        <f>IFERROR(__xludf.DUMMYFUNCTION("""COMPUTED_VALUE"""),45271.66666666667)</f>
        <v>45271.66667</v>
      </c>
      <c r="B805" s="1">
        <f>IFERROR(__xludf.DUMMYFUNCTION("""COMPUTED_VALUE"""),271.38)</f>
        <v>271.38</v>
      </c>
    </row>
    <row r="806">
      <c r="A806" s="2">
        <f>IFERROR(__xludf.DUMMYFUNCTION("""COMPUTED_VALUE"""),45272.66666666667)</f>
        <v>45272.66667</v>
      </c>
      <c r="B806" s="1">
        <f>IFERROR(__xludf.DUMMYFUNCTION("""COMPUTED_VALUE"""),273.01)</f>
        <v>273.01</v>
      </c>
    </row>
    <row r="807">
      <c r="A807" s="2">
        <f>IFERROR(__xludf.DUMMYFUNCTION("""COMPUTED_VALUE"""),45273.66666666667)</f>
        <v>45273.66667</v>
      </c>
      <c r="B807" s="1">
        <f>IFERROR(__xludf.DUMMYFUNCTION("""COMPUTED_VALUE"""),273.83)</f>
        <v>273.83</v>
      </c>
    </row>
    <row r="808">
      <c r="A808" s="2">
        <f>IFERROR(__xludf.DUMMYFUNCTION("""COMPUTED_VALUE"""),45274.66666666667)</f>
        <v>45274.66667</v>
      </c>
      <c r="B808" s="1">
        <f>IFERROR(__xludf.DUMMYFUNCTION("""COMPUTED_VALUE"""),279.46)</f>
        <v>279.46</v>
      </c>
    </row>
    <row r="809">
      <c r="A809" s="2">
        <f>IFERROR(__xludf.DUMMYFUNCTION("""COMPUTED_VALUE"""),45275.66666666667)</f>
        <v>45275.66667</v>
      </c>
      <c r="B809" s="1">
        <f>IFERROR(__xludf.DUMMYFUNCTION("""COMPUTED_VALUE"""),281.29)</f>
        <v>281.29</v>
      </c>
    </row>
    <row r="810">
      <c r="A810" s="2">
        <f>IFERROR(__xludf.DUMMYFUNCTION("""COMPUTED_VALUE"""),45278.66666666667)</f>
        <v>45278.66667</v>
      </c>
      <c r="B810" s="1">
        <f>IFERROR(__xludf.DUMMYFUNCTION("""COMPUTED_VALUE"""),281.92)</f>
        <v>281.92</v>
      </c>
    </row>
    <row r="811">
      <c r="A811" s="2">
        <f>IFERROR(__xludf.DUMMYFUNCTION("""COMPUTED_VALUE"""),45279.66666666667)</f>
        <v>45279.66667</v>
      </c>
      <c r="B811" s="1">
        <f>IFERROR(__xludf.DUMMYFUNCTION("""COMPUTED_VALUE"""),280.0)</f>
        <v>280</v>
      </c>
    </row>
    <row r="812">
      <c r="A812" s="2">
        <f>IFERROR(__xludf.DUMMYFUNCTION("""COMPUTED_VALUE"""),45280.66666666667)</f>
        <v>45280.66667</v>
      </c>
      <c r="B812" s="1">
        <f>IFERROR(__xludf.DUMMYFUNCTION("""COMPUTED_VALUE"""),246.25)</f>
        <v>246.25</v>
      </c>
    </row>
    <row r="813">
      <c r="A813" s="2">
        <f>IFERROR(__xludf.DUMMYFUNCTION("""COMPUTED_VALUE"""),45281.66666666667)</f>
        <v>45281.66667</v>
      </c>
      <c r="B813" s="1">
        <f>IFERROR(__xludf.DUMMYFUNCTION("""COMPUTED_VALUE"""),247.36)</f>
        <v>247.36</v>
      </c>
    </row>
    <row r="814">
      <c r="A814" s="2">
        <f>IFERROR(__xludf.DUMMYFUNCTION("""COMPUTED_VALUE"""),45282.66666666667)</f>
        <v>45282.66667</v>
      </c>
      <c r="B814" s="1">
        <f>IFERROR(__xludf.DUMMYFUNCTION("""COMPUTED_VALUE"""),248.03)</f>
        <v>248.03</v>
      </c>
    </row>
    <row r="815">
      <c r="A815" s="2">
        <f>IFERROR(__xludf.DUMMYFUNCTION("""COMPUTED_VALUE"""),45286.66666666667)</f>
        <v>45286.66667</v>
      </c>
      <c r="B815" s="1">
        <f>IFERROR(__xludf.DUMMYFUNCTION("""COMPUTED_VALUE"""),251.99)</f>
        <v>251.99</v>
      </c>
    </row>
    <row r="816">
      <c r="A816" s="2">
        <f>IFERROR(__xludf.DUMMYFUNCTION("""COMPUTED_VALUE"""),45287.66666666667)</f>
        <v>45287.66667</v>
      </c>
      <c r="B816" s="1">
        <f>IFERROR(__xludf.DUMMYFUNCTION("""COMPUTED_VALUE"""),250.94)</f>
        <v>250.94</v>
      </c>
    </row>
    <row r="817">
      <c r="A817" s="2">
        <f>IFERROR(__xludf.DUMMYFUNCTION("""COMPUTED_VALUE"""),45288.66666666667)</f>
        <v>45288.66667</v>
      </c>
      <c r="B817" s="1">
        <f>IFERROR(__xludf.DUMMYFUNCTION("""COMPUTED_VALUE"""),253.58)</f>
        <v>253.58</v>
      </c>
    </row>
    <row r="818">
      <c r="A818" s="2">
        <f>IFERROR(__xludf.DUMMYFUNCTION("""COMPUTED_VALUE"""),45289.66666666667)</f>
        <v>45289.66667</v>
      </c>
      <c r="B818" s="1">
        <f>IFERROR(__xludf.DUMMYFUNCTION("""COMPUTED_VALUE"""),252.97)</f>
        <v>252.97</v>
      </c>
    </row>
    <row r="819">
      <c r="A819" s="2">
        <f>IFERROR(__xludf.DUMMYFUNCTION("""COMPUTED_VALUE"""),45293.66666666667)</f>
        <v>45293.66667</v>
      </c>
      <c r="B819" s="1">
        <f>IFERROR(__xludf.DUMMYFUNCTION("""COMPUTED_VALUE"""),252.24)</f>
        <v>252.24</v>
      </c>
    </row>
    <row r="820">
      <c r="A820" s="2">
        <f>IFERROR(__xludf.DUMMYFUNCTION("""COMPUTED_VALUE"""),45294.66666666667)</f>
        <v>45294.66667</v>
      </c>
      <c r="B820" s="1">
        <f>IFERROR(__xludf.DUMMYFUNCTION("""COMPUTED_VALUE"""),247.64)</f>
        <v>247.64</v>
      </c>
    </row>
    <row r="821">
      <c r="A821" s="2">
        <f>IFERROR(__xludf.DUMMYFUNCTION("""COMPUTED_VALUE"""),45295.66666666667)</f>
        <v>45295.66667</v>
      </c>
      <c r="B821" s="1">
        <f>IFERROR(__xludf.DUMMYFUNCTION("""COMPUTED_VALUE"""),245.29)</f>
        <v>245.29</v>
      </c>
    </row>
    <row r="822">
      <c r="A822" s="2">
        <f>IFERROR(__xludf.DUMMYFUNCTION("""COMPUTED_VALUE"""),45296.66666666667)</f>
        <v>45296.66667</v>
      </c>
      <c r="B822" s="1">
        <f>IFERROR(__xludf.DUMMYFUNCTION("""COMPUTED_VALUE"""),246.81)</f>
        <v>246.81</v>
      </c>
    </row>
    <row r="823">
      <c r="A823" s="2">
        <f>IFERROR(__xludf.DUMMYFUNCTION("""COMPUTED_VALUE"""),45299.66666666667)</f>
        <v>45299.66667</v>
      </c>
      <c r="B823" s="1">
        <f>IFERROR(__xludf.DUMMYFUNCTION("""COMPUTED_VALUE"""),248.59)</f>
        <v>248.59</v>
      </c>
    </row>
    <row r="824">
      <c r="A824" s="2">
        <f>IFERROR(__xludf.DUMMYFUNCTION("""COMPUTED_VALUE"""),45300.66666666667)</f>
        <v>45300.66667</v>
      </c>
      <c r="B824" s="1">
        <f>IFERROR(__xludf.DUMMYFUNCTION("""COMPUTED_VALUE"""),247.25)</f>
        <v>247.25</v>
      </c>
    </row>
    <row r="825">
      <c r="A825" s="2">
        <f>IFERROR(__xludf.DUMMYFUNCTION("""COMPUTED_VALUE"""),45301.66666666667)</f>
        <v>45301.66667</v>
      </c>
      <c r="B825" s="1">
        <f>IFERROR(__xludf.DUMMYFUNCTION("""COMPUTED_VALUE"""),250.81)</f>
        <v>250.81</v>
      </c>
    </row>
    <row r="826">
      <c r="A826" s="2">
        <f>IFERROR(__xludf.DUMMYFUNCTION("""COMPUTED_VALUE"""),45302.66666666667)</f>
        <v>45302.66667</v>
      </c>
      <c r="B826" s="1">
        <f>IFERROR(__xludf.DUMMYFUNCTION("""COMPUTED_VALUE"""),250.85)</f>
        <v>250.85</v>
      </c>
    </row>
    <row r="827">
      <c r="A827" s="2">
        <f>IFERROR(__xludf.DUMMYFUNCTION("""COMPUTED_VALUE"""),45303.66666666667)</f>
        <v>45303.66667</v>
      </c>
      <c r="B827" s="1">
        <f>IFERROR(__xludf.DUMMYFUNCTION("""COMPUTED_VALUE"""),248.57)</f>
        <v>248.57</v>
      </c>
    </row>
    <row r="828">
      <c r="A828" s="2">
        <f>IFERROR(__xludf.DUMMYFUNCTION("""COMPUTED_VALUE"""),45307.66666666667)</f>
        <v>45307.66667</v>
      </c>
      <c r="B828" s="1">
        <f>IFERROR(__xludf.DUMMYFUNCTION("""COMPUTED_VALUE"""),245.04)</f>
        <v>245.04</v>
      </c>
    </row>
    <row r="829">
      <c r="A829" s="2">
        <f>IFERROR(__xludf.DUMMYFUNCTION("""COMPUTED_VALUE"""),45308.66666666667)</f>
        <v>45308.66667</v>
      </c>
      <c r="B829" s="1">
        <f>IFERROR(__xludf.DUMMYFUNCTION("""COMPUTED_VALUE"""),243.29)</f>
        <v>243.29</v>
      </c>
    </row>
    <row r="830">
      <c r="A830" s="2">
        <f>IFERROR(__xludf.DUMMYFUNCTION("""COMPUTED_VALUE"""),45309.66666666667)</f>
        <v>45309.66667</v>
      </c>
      <c r="B830" s="1">
        <f>IFERROR(__xludf.DUMMYFUNCTION("""COMPUTED_VALUE"""),244.07)</f>
        <v>244.07</v>
      </c>
    </row>
    <row r="831">
      <c r="A831" s="2">
        <f>IFERROR(__xludf.DUMMYFUNCTION("""COMPUTED_VALUE"""),45310.66666666667)</f>
        <v>45310.66667</v>
      </c>
      <c r="B831" s="1">
        <f>IFERROR(__xludf.DUMMYFUNCTION("""COMPUTED_VALUE"""),246.53)</f>
        <v>246.53</v>
      </c>
    </row>
    <row r="832">
      <c r="A832" s="2">
        <f>IFERROR(__xludf.DUMMYFUNCTION("""COMPUTED_VALUE"""),45313.66666666667)</f>
        <v>45313.66667</v>
      </c>
      <c r="B832" s="1">
        <f>IFERROR(__xludf.DUMMYFUNCTION("""COMPUTED_VALUE"""),250.69)</f>
        <v>250.69</v>
      </c>
    </row>
    <row r="833">
      <c r="A833" s="2">
        <f>IFERROR(__xludf.DUMMYFUNCTION("""COMPUTED_VALUE"""),45314.66666666667)</f>
        <v>45314.66667</v>
      </c>
      <c r="B833" s="1">
        <f>IFERROR(__xludf.DUMMYFUNCTION("""COMPUTED_VALUE"""),250.85)</f>
        <v>250.85</v>
      </c>
    </row>
    <row r="834">
      <c r="A834" s="2">
        <f>IFERROR(__xludf.DUMMYFUNCTION("""COMPUTED_VALUE"""),45315.66666666667)</f>
        <v>45315.66667</v>
      </c>
      <c r="B834" s="1">
        <f>IFERROR(__xludf.DUMMYFUNCTION("""COMPUTED_VALUE"""),249.73)</f>
        <v>249.73</v>
      </c>
    </row>
    <row r="835">
      <c r="A835" s="2">
        <f>IFERROR(__xludf.DUMMYFUNCTION("""COMPUTED_VALUE"""),45316.66666666667)</f>
        <v>45316.66667</v>
      </c>
      <c r="B835" s="1">
        <f>IFERROR(__xludf.DUMMYFUNCTION("""COMPUTED_VALUE"""),253.13)</f>
        <v>253.13</v>
      </c>
    </row>
    <row r="836">
      <c r="A836" s="2">
        <f>IFERROR(__xludf.DUMMYFUNCTION("""COMPUTED_VALUE"""),45317.66666666667)</f>
        <v>45317.66667</v>
      </c>
      <c r="B836" s="1">
        <f>IFERROR(__xludf.DUMMYFUNCTION("""COMPUTED_VALUE"""),251.55)</f>
        <v>251.55</v>
      </c>
    </row>
    <row r="837">
      <c r="A837" s="2">
        <f>IFERROR(__xludf.DUMMYFUNCTION("""COMPUTED_VALUE"""),45320.66666666667)</f>
        <v>45320.66667</v>
      </c>
      <c r="B837" s="1">
        <f>IFERROR(__xludf.DUMMYFUNCTION("""COMPUTED_VALUE"""),248.03)</f>
        <v>248.03</v>
      </c>
    </row>
    <row r="838">
      <c r="A838" s="2">
        <f>IFERROR(__xludf.DUMMYFUNCTION("""COMPUTED_VALUE"""),45321.66666666667)</f>
        <v>45321.66667</v>
      </c>
      <c r="B838" s="1">
        <f>IFERROR(__xludf.DUMMYFUNCTION("""COMPUTED_VALUE"""),243.77)</f>
        <v>243.77</v>
      </c>
    </row>
    <row r="839">
      <c r="A839" s="2">
        <f>IFERROR(__xludf.DUMMYFUNCTION("""COMPUTED_VALUE"""),45322.66666666667)</f>
        <v>45322.66667</v>
      </c>
      <c r="B839" s="1">
        <f>IFERROR(__xludf.DUMMYFUNCTION("""COMPUTED_VALUE"""),241.29)</f>
        <v>241.29</v>
      </c>
    </row>
    <row r="840">
      <c r="A840" s="2">
        <f>IFERROR(__xludf.DUMMYFUNCTION("""COMPUTED_VALUE"""),45323.66666666667)</f>
        <v>45323.66667</v>
      </c>
      <c r="B840" s="1">
        <f>IFERROR(__xludf.DUMMYFUNCTION("""COMPUTED_VALUE"""),241.95)</f>
        <v>241.95</v>
      </c>
    </row>
    <row r="841">
      <c r="A841" s="2">
        <f>IFERROR(__xludf.DUMMYFUNCTION("""COMPUTED_VALUE"""),45324.66666666667)</f>
        <v>45324.66667</v>
      </c>
      <c r="B841" s="1">
        <f>IFERROR(__xludf.DUMMYFUNCTION("""COMPUTED_VALUE"""),242.36)</f>
        <v>242.36</v>
      </c>
    </row>
    <row r="842">
      <c r="A842" s="2">
        <f>IFERROR(__xludf.DUMMYFUNCTION("""COMPUTED_VALUE"""),45327.66666666667)</f>
        <v>45327.66667</v>
      </c>
      <c r="B842" s="1">
        <f>IFERROR(__xludf.DUMMYFUNCTION("""COMPUTED_VALUE"""),238.31)</f>
        <v>238.31</v>
      </c>
    </row>
    <row r="843">
      <c r="A843" s="2">
        <f>IFERROR(__xludf.DUMMYFUNCTION("""COMPUTED_VALUE"""),45328.66666666667)</f>
        <v>45328.66667</v>
      </c>
      <c r="B843" s="1">
        <f>IFERROR(__xludf.DUMMYFUNCTION("""COMPUTED_VALUE"""),241.32)</f>
        <v>241.32</v>
      </c>
    </row>
    <row r="844">
      <c r="A844" s="2">
        <f>IFERROR(__xludf.DUMMYFUNCTION("""COMPUTED_VALUE"""),45329.66666666667)</f>
        <v>45329.66667</v>
      </c>
      <c r="B844" s="1">
        <f>IFERROR(__xludf.DUMMYFUNCTION("""COMPUTED_VALUE"""),242.13)</f>
        <v>242.13</v>
      </c>
    </row>
    <row r="845">
      <c r="A845" s="2">
        <f>IFERROR(__xludf.DUMMYFUNCTION("""COMPUTED_VALUE"""),45330.66666666667)</f>
        <v>45330.66667</v>
      </c>
      <c r="B845" s="1">
        <f>IFERROR(__xludf.DUMMYFUNCTION("""COMPUTED_VALUE"""),241.75)</f>
        <v>241.75</v>
      </c>
    </row>
    <row r="846">
      <c r="A846" s="2">
        <f>IFERROR(__xludf.DUMMYFUNCTION("""COMPUTED_VALUE"""),45331.66666666667)</f>
        <v>45331.66667</v>
      </c>
      <c r="B846" s="1">
        <f>IFERROR(__xludf.DUMMYFUNCTION("""COMPUTED_VALUE"""),242.62)</f>
        <v>242.62</v>
      </c>
    </row>
    <row r="847">
      <c r="A847" s="2">
        <f>IFERROR(__xludf.DUMMYFUNCTION("""COMPUTED_VALUE"""),45334.66666666667)</f>
        <v>45334.66667</v>
      </c>
      <c r="B847" s="1">
        <f>IFERROR(__xludf.DUMMYFUNCTION("""COMPUTED_VALUE"""),244.44)</f>
        <v>244.44</v>
      </c>
    </row>
    <row r="848">
      <c r="A848" s="2">
        <f>IFERROR(__xludf.DUMMYFUNCTION("""COMPUTED_VALUE"""),45335.66666666667)</f>
        <v>45335.66667</v>
      </c>
      <c r="B848" s="1">
        <f>IFERROR(__xludf.DUMMYFUNCTION("""COMPUTED_VALUE"""),236.39)</f>
        <v>236.39</v>
      </c>
    </row>
    <row r="849">
      <c r="A849" s="2">
        <f>IFERROR(__xludf.DUMMYFUNCTION("""COMPUTED_VALUE"""),45336.66666666667)</f>
        <v>45336.66667</v>
      </c>
      <c r="B849" s="1">
        <f>IFERROR(__xludf.DUMMYFUNCTION("""COMPUTED_VALUE"""),236.83)</f>
        <v>236.83</v>
      </c>
    </row>
    <row r="850">
      <c r="A850" s="2">
        <f>IFERROR(__xludf.DUMMYFUNCTION("""COMPUTED_VALUE"""),45337.66666666667)</f>
        <v>45337.66667</v>
      </c>
      <c r="B850" s="1">
        <f>IFERROR(__xludf.DUMMYFUNCTION("""COMPUTED_VALUE"""),236.52)</f>
        <v>236.52</v>
      </c>
    </row>
    <row r="851">
      <c r="A851" s="2">
        <f>IFERROR(__xludf.DUMMYFUNCTION("""COMPUTED_VALUE"""),45338.66666666667)</f>
        <v>45338.66667</v>
      </c>
      <c r="B851" s="1">
        <f>IFERROR(__xludf.DUMMYFUNCTION("""COMPUTED_VALUE"""),237.59)</f>
        <v>237.59</v>
      </c>
    </row>
    <row r="852">
      <c r="A852" s="2">
        <f>IFERROR(__xludf.DUMMYFUNCTION("""COMPUTED_VALUE"""),45342.66666666667)</f>
        <v>45342.66667</v>
      </c>
      <c r="B852" s="1">
        <f>IFERROR(__xludf.DUMMYFUNCTION("""COMPUTED_VALUE"""),239.54)</f>
        <v>239.54</v>
      </c>
    </row>
    <row r="853">
      <c r="A853" s="2">
        <f>IFERROR(__xludf.DUMMYFUNCTION("""COMPUTED_VALUE"""),45343.66666666667)</f>
        <v>45343.66667</v>
      </c>
      <c r="B853" s="1">
        <f>IFERROR(__xludf.DUMMYFUNCTION("""COMPUTED_VALUE"""),241.41)</f>
        <v>241.41</v>
      </c>
    </row>
    <row r="854">
      <c r="A854" s="2">
        <f>IFERROR(__xludf.DUMMYFUNCTION("""COMPUTED_VALUE"""),45344.66666666667)</f>
        <v>45344.66667</v>
      </c>
      <c r="B854" s="1">
        <f>IFERROR(__xludf.DUMMYFUNCTION("""COMPUTED_VALUE"""),244.16)</f>
        <v>244.16</v>
      </c>
    </row>
    <row r="855">
      <c r="A855" s="2">
        <f>IFERROR(__xludf.DUMMYFUNCTION("""COMPUTED_VALUE"""),45345.66666666667)</f>
        <v>45345.66667</v>
      </c>
      <c r="B855" s="1">
        <f>IFERROR(__xludf.DUMMYFUNCTION("""COMPUTED_VALUE"""),243.46)</f>
        <v>243.46</v>
      </c>
    </row>
    <row r="856">
      <c r="A856" s="2">
        <f>IFERROR(__xludf.DUMMYFUNCTION("""COMPUTED_VALUE"""),45348.66666666667)</f>
        <v>45348.66667</v>
      </c>
      <c r="B856" s="1">
        <f>IFERROR(__xludf.DUMMYFUNCTION("""COMPUTED_VALUE"""),241.12)</f>
        <v>241.12</v>
      </c>
    </row>
    <row r="857">
      <c r="A857" s="2">
        <f>IFERROR(__xludf.DUMMYFUNCTION("""COMPUTED_VALUE"""),45349.66666666667)</f>
        <v>45349.66667</v>
      </c>
      <c r="B857" s="1">
        <f>IFERROR(__xludf.DUMMYFUNCTION("""COMPUTED_VALUE"""),241.4)</f>
        <v>241.4</v>
      </c>
    </row>
    <row r="858">
      <c r="A858" s="2">
        <f>IFERROR(__xludf.DUMMYFUNCTION("""COMPUTED_VALUE"""),45350.66666666667)</f>
        <v>45350.66667</v>
      </c>
      <c r="B858" s="1">
        <f>IFERROR(__xludf.DUMMYFUNCTION("""COMPUTED_VALUE"""),244.37)</f>
        <v>244.37</v>
      </c>
    </row>
    <row r="859">
      <c r="A859" s="2">
        <f>IFERROR(__xludf.DUMMYFUNCTION("""COMPUTED_VALUE"""),45351.66666666667)</f>
        <v>45351.66667</v>
      </c>
      <c r="B859" s="1">
        <f>IFERROR(__xludf.DUMMYFUNCTION("""COMPUTED_VALUE"""),248.97)</f>
        <v>248.97</v>
      </c>
    </row>
    <row r="860">
      <c r="A860" s="2">
        <f>IFERROR(__xludf.DUMMYFUNCTION("""COMPUTED_VALUE"""),45352.66666666667)</f>
        <v>45352.66667</v>
      </c>
      <c r="B860" s="1">
        <f>IFERROR(__xludf.DUMMYFUNCTION("""COMPUTED_VALUE"""),246.6)</f>
        <v>246.6</v>
      </c>
    </row>
    <row r="861">
      <c r="A861" s="2">
        <f>IFERROR(__xludf.DUMMYFUNCTION("""COMPUTED_VALUE"""),45355.66666666667)</f>
        <v>45355.66667</v>
      </c>
      <c r="B861" s="1">
        <f>IFERROR(__xludf.DUMMYFUNCTION("""COMPUTED_VALUE"""),246.77)</f>
        <v>246.77</v>
      </c>
    </row>
    <row r="862">
      <c r="A862" s="2">
        <f>IFERROR(__xludf.DUMMYFUNCTION("""COMPUTED_VALUE"""),45356.66666666667)</f>
        <v>45356.66667</v>
      </c>
      <c r="B862" s="1">
        <f>IFERROR(__xludf.DUMMYFUNCTION("""COMPUTED_VALUE"""),248.72)</f>
        <v>248.72</v>
      </c>
    </row>
    <row r="863">
      <c r="A863" s="2">
        <f>IFERROR(__xludf.DUMMYFUNCTION("""COMPUTED_VALUE"""),45357.66666666667)</f>
        <v>45357.66667</v>
      </c>
      <c r="B863" s="1">
        <f>IFERROR(__xludf.DUMMYFUNCTION("""COMPUTED_VALUE"""),248.4)</f>
        <v>248.4</v>
      </c>
    </row>
    <row r="864">
      <c r="A864" s="2">
        <f>IFERROR(__xludf.DUMMYFUNCTION("""COMPUTED_VALUE"""),45358.66666666667)</f>
        <v>45358.66667</v>
      </c>
      <c r="B864" s="1">
        <f>IFERROR(__xludf.DUMMYFUNCTION("""COMPUTED_VALUE"""),250.24)</f>
        <v>250.24</v>
      </c>
    </row>
    <row r="865">
      <c r="A865" s="2">
        <f>IFERROR(__xludf.DUMMYFUNCTION("""COMPUTED_VALUE"""),45359.66666666667)</f>
        <v>45359.66667</v>
      </c>
      <c r="B865" s="1">
        <f>IFERROR(__xludf.DUMMYFUNCTION("""COMPUTED_VALUE"""),247.68)</f>
        <v>247.68</v>
      </c>
    </row>
    <row r="866">
      <c r="A866" s="2">
        <f>IFERROR(__xludf.DUMMYFUNCTION("""COMPUTED_VALUE"""),45362.66666666667)</f>
        <v>45362.66667</v>
      </c>
      <c r="B866" s="1">
        <f>IFERROR(__xludf.DUMMYFUNCTION("""COMPUTED_VALUE"""),252.7)</f>
        <v>252.7</v>
      </c>
    </row>
    <row r="867">
      <c r="A867" s="2">
        <f>IFERROR(__xludf.DUMMYFUNCTION("""COMPUTED_VALUE"""),45363.66666666667)</f>
        <v>45363.66667</v>
      </c>
      <c r="B867" s="1">
        <f>IFERROR(__xludf.DUMMYFUNCTION("""COMPUTED_VALUE"""),254.22)</f>
        <v>254.22</v>
      </c>
    </row>
    <row r="868">
      <c r="A868" s="2">
        <f>IFERROR(__xludf.DUMMYFUNCTION("""COMPUTED_VALUE"""),45364.66666666667)</f>
        <v>45364.66667</v>
      </c>
      <c r="B868" s="1">
        <f>IFERROR(__xludf.DUMMYFUNCTION("""COMPUTED_VALUE"""),255.22)</f>
        <v>255.22</v>
      </c>
    </row>
    <row r="869">
      <c r="A869" s="2">
        <f>IFERROR(__xludf.DUMMYFUNCTION("""COMPUTED_VALUE"""),45365.66666666667)</f>
        <v>45365.66667</v>
      </c>
      <c r="B869" s="1">
        <f>IFERROR(__xludf.DUMMYFUNCTION("""COMPUTED_VALUE"""),255.53)</f>
        <v>255.53</v>
      </c>
    </row>
    <row r="870">
      <c r="A870" s="2">
        <f>IFERROR(__xludf.DUMMYFUNCTION("""COMPUTED_VALUE"""),45366.66666666667)</f>
        <v>45366.66667</v>
      </c>
      <c r="B870" s="1">
        <f>IFERROR(__xludf.DUMMYFUNCTION("""COMPUTED_VALUE"""),253.29)</f>
        <v>253.29</v>
      </c>
    </row>
    <row r="871">
      <c r="A871" s="2">
        <f>IFERROR(__xludf.DUMMYFUNCTION("""COMPUTED_VALUE"""),45369.66666666667)</f>
        <v>45369.66667</v>
      </c>
      <c r="B871" s="1">
        <f>IFERROR(__xludf.DUMMYFUNCTION("""COMPUTED_VALUE"""),253.18)</f>
        <v>253.18</v>
      </c>
    </row>
    <row r="872">
      <c r="A872" s="2">
        <f>IFERROR(__xludf.DUMMYFUNCTION("""COMPUTED_VALUE"""),45370.66666666667)</f>
        <v>45370.66667</v>
      </c>
      <c r="B872" s="1">
        <f>IFERROR(__xludf.DUMMYFUNCTION("""COMPUTED_VALUE"""),256.62)</f>
        <v>256.62</v>
      </c>
    </row>
    <row r="873">
      <c r="A873" s="2">
        <f>IFERROR(__xludf.DUMMYFUNCTION("""COMPUTED_VALUE"""),45371.66666666667)</f>
        <v>45371.66667</v>
      </c>
      <c r="B873" s="1">
        <f>IFERROR(__xludf.DUMMYFUNCTION("""COMPUTED_VALUE"""),259.99)</f>
        <v>259.99</v>
      </c>
    </row>
    <row r="874">
      <c r="A874" s="2">
        <f>IFERROR(__xludf.DUMMYFUNCTION("""COMPUTED_VALUE"""),45372.66666666667)</f>
        <v>45372.66667</v>
      </c>
      <c r="B874" s="1">
        <f>IFERROR(__xludf.DUMMYFUNCTION("""COMPUTED_VALUE"""),264.85)</f>
        <v>264.85</v>
      </c>
    </row>
    <row r="875">
      <c r="A875" s="2">
        <f>IFERROR(__xludf.DUMMYFUNCTION("""COMPUTED_VALUE"""),45373.66666666667)</f>
        <v>45373.66667</v>
      </c>
      <c r="B875" s="1">
        <f>IFERROR(__xludf.DUMMYFUNCTION("""COMPUTED_VALUE"""),284.32)</f>
        <v>284.32</v>
      </c>
    </row>
    <row r="876">
      <c r="A876" s="2">
        <f>IFERROR(__xludf.DUMMYFUNCTION("""COMPUTED_VALUE"""),45376.66666666667)</f>
        <v>45376.66667</v>
      </c>
      <c r="B876" s="1">
        <f>IFERROR(__xludf.DUMMYFUNCTION("""COMPUTED_VALUE"""),282.57)</f>
        <v>282.57</v>
      </c>
    </row>
    <row r="877">
      <c r="A877" s="2">
        <f>IFERROR(__xludf.DUMMYFUNCTION("""COMPUTED_VALUE"""),45377.66666666667)</f>
        <v>45377.66667</v>
      </c>
      <c r="B877" s="1">
        <f>IFERROR(__xludf.DUMMYFUNCTION("""COMPUTED_VALUE"""),288.99)</f>
        <v>288.99</v>
      </c>
    </row>
    <row r="878">
      <c r="A878" s="2">
        <f>IFERROR(__xludf.DUMMYFUNCTION("""COMPUTED_VALUE"""),45378.66666666667)</f>
        <v>45378.66667</v>
      </c>
      <c r="B878" s="1">
        <f>IFERROR(__xludf.DUMMYFUNCTION("""COMPUTED_VALUE"""),287.88)</f>
        <v>287.88</v>
      </c>
    </row>
    <row r="879">
      <c r="A879" s="2">
        <f>IFERROR(__xludf.DUMMYFUNCTION("""COMPUTED_VALUE"""),45379.66666666667)</f>
        <v>45379.66667</v>
      </c>
      <c r="B879" s="1">
        <f>IFERROR(__xludf.DUMMYFUNCTION("""COMPUTED_VALUE"""),289.74)</f>
        <v>289.74</v>
      </c>
    </row>
    <row r="880">
      <c r="A880" s="2">
        <f>IFERROR(__xludf.DUMMYFUNCTION("""COMPUTED_VALUE"""),45383.66666666667)</f>
        <v>45383.66667</v>
      </c>
      <c r="B880" s="1">
        <f>IFERROR(__xludf.DUMMYFUNCTION("""COMPUTED_VALUE"""),280.13)</f>
        <v>280.13</v>
      </c>
    </row>
    <row r="881">
      <c r="A881" s="2">
        <f>IFERROR(__xludf.DUMMYFUNCTION("""COMPUTED_VALUE"""),45384.66666666667)</f>
        <v>45384.66667</v>
      </c>
      <c r="B881" s="1">
        <f>IFERROR(__xludf.DUMMYFUNCTION("""COMPUTED_VALUE"""),275.29)</f>
        <v>275.29</v>
      </c>
    </row>
    <row r="882">
      <c r="A882" s="2">
        <f>IFERROR(__xludf.DUMMYFUNCTION("""COMPUTED_VALUE"""),45385.66666666667)</f>
        <v>45385.66667</v>
      </c>
      <c r="B882" s="1">
        <f>IFERROR(__xludf.DUMMYFUNCTION("""COMPUTED_VALUE"""),278.49)</f>
        <v>278.49</v>
      </c>
    </row>
    <row r="883">
      <c r="A883" s="2">
        <f>IFERROR(__xludf.DUMMYFUNCTION("""COMPUTED_VALUE"""),45386.66666666667)</f>
        <v>45386.66667</v>
      </c>
      <c r="B883" s="1">
        <f>IFERROR(__xludf.DUMMYFUNCTION("""COMPUTED_VALUE"""),275.51)</f>
        <v>275.51</v>
      </c>
    </row>
    <row r="884">
      <c r="A884" s="2">
        <f>IFERROR(__xludf.DUMMYFUNCTION("""COMPUTED_VALUE"""),45387.66666666667)</f>
        <v>45387.66667</v>
      </c>
      <c r="B884" s="1">
        <f>IFERROR(__xludf.DUMMYFUNCTION("""COMPUTED_VALUE"""),273.52)</f>
        <v>273.52</v>
      </c>
    </row>
    <row r="885">
      <c r="A885" s="2">
        <f>IFERROR(__xludf.DUMMYFUNCTION("""COMPUTED_VALUE"""),45390.66666666667)</f>
        <v>45390.66667</v>
      </c>
      <c r="B885" s="1">
        <f>IFERROR(__xludf.DUMMYFUNCTION("""COMPUTED_VALUE"""),275.57)</f>
        <v>275.57</v>
      </c>
    </row>
    <row r="886">
      <c r="A886" s="2">
        <f>IFERROR(__xludf.DUMMYFUNCTION("""COMPUTED_VALUE"""),45391.66666666667)</f>
        <v>45391.66667</v>
      </c>
      <c r="B886" s="1">
        <f>IFERROR(__xludf.DUMMYFUNCTION("""COMPUTED_VALUE"""),276.37)</f>
        <v>276.37</v>
      </c>
    </row>
    <row r="887">
      <c r="A887" s="2">
        <f>IFERROR(__xludf.DUMMYFUNCTION("""COMPUTED_VALUE"""),45392.66666666667)</f>
        <v>45392.66667</v>
      </c>
      <c r="B887" s="1">
        <f>IFERROR(__xludf.DUMMYFUNCTION("""COMPUTED_VALUE"""),270.3)</f>
        <v>270.3</v>
      </c>
    </row>
    <row r="888">
      <c r="A888" s="2">
        <f>IFERROR(__xludf.DUMMYFUNCTION("""COMPUTED_VALUE"""),45393.66666666667)</f>
        <v>45393.66667</v>
      </c>
      <c r="B888" s="1">
        <f>IFERROR(__xludf.DUMMYFUNCTION("""COMPUTED_VALUE"""),272.18)</f>
        <v>272.18</v>
      </c>
    </row>
    <row r="889">
      <c r="A889" s="2">
        <f>IFERROR(__xludf.DUMMYFUNCTION("""COMPUTED_VALUE"""),45394.66666666667)</f>
        <v>45394.66667</v>
      </c>
      <c r="B889" s="1">
        <f>IFERROR(__xludf.DUMMYFUNCTION("""COMPUTED_VALUE"""),267.8)</f>
        <v>267.8</v>
      </c>
    </row>
    <row r="890">
      <c r="A890" s="2">
        <f>IFERROR(__xludf.DUMMYFUNCTION("""COMPUTED_VALUE"""),45397.66666666667)</f>
        <v>45397.66667</v>
      </c>
      <c r="B890" s="1">
        <f>IFERROR(__xludf.DUMMYFUNCTION("""COMPUTED_VALUE"""),266.74)</f>
        <v>266.74</v>
      </c>
    </row>
    <row r="891">
      <c r="A891" s="2">
        <f>IFERROR(__xludf.DUMMYFUNCTION("""COMPUTED_VALUE"""),45398.66666666667)</f>
        <v>45398.66667</v>
      </c>
      <c r="B891" s="1">
        <f>IFERROR(__xludf.DUMMYFUNCTION("""COMPUTED_VALUE"""),264.94)</f>
        <v>264.94</v>
      </c>
    </row>
    <row r="892">
      <c r="A892" s="2">
        <f>IFERROR(__xludf.DUMMYFUNCTION("""COMPUTED_VALUE"""),45399.66666666667)</f>
        <v>45399.66667</v>
      </c>
      <c r="B892" s="1">
        <f>IFERROR(__xludf.DUMMYFUNCTION("""COMPUTED_VALUE"""),263.07)</f>
        <v>263.07</v>
      </c>
    </row>
    <row r="893">
      <c r="A893" s="2">
        <f>IFERROR(__xludf.DUMMYFUNCTION("""COMPUTED_VALUE"""),45400.66666666667)</f>
        <v>45400.66667</v>
      </c>
      <c r="B893" s="1">
        <f>IFERROR(__xludf.DUMMYFUNCTION("""COMPUTED_VALUE"""),263.37)</f>
        <v>263.37</v>
      </c>
    </row>
    <row r="894">
      <c r="A894" s="2">
        <f>IFERROR(__xludf.DUMMYFUNCTION("""COMPUTED_VALUE"""),45401.66666666667)</f>
        <v>45401.66667</v>
      </c>
      <c r="B894" s="1">
        <f>IFERROR(__xludf.DUMMYFUNCTION("""COMPUTED_VALUE"""),266.99)</f>
        <v>266.99</v>
      </c>
    </row>
    <row r="895">
      <c r="A895" s="2">
        <f>IFERROR(__xludf.DUMMYFUNCTION("""COMPUTED_VALUE"""),45404.66666666667)</f>
        <v>45404.66667</v>
      </c>
      <c r="B895" s="1">
        <f>IFERROR(__xludf.DUMMYFUNCTION("""COMPUTED_VALUE"""),270.15)</f>
        <v>270.15</v>
      </c>
    </row>
    <row r="896">
      <c r="A896" s="2">
        <f>IFERROR(__xludf.DUMMYFUNCTION("""COMPUTED_VALUE"""),45405.66666666667)</f>
        <v>45405.66667</v>
      </c>
      <c r="B896" s="1">
        <f>IFERROR(__xludf.DUMMYFUNCTION("""COMPUTED_VALUE"""),271.75)</f>
        <v>271.75</v>
      </c>
    </row>
    <row r="897">
      <c r="A897" s="2">
        <f>IFERROR(__xludf.DUMMYFUNCTION("""COMPUTED_VALUE"""),45406.66666666667)</f>
        <v>45406.66667</v>
      </c>
      <c r="B897" s="1">
        <f>IFERROR(__xludf.DUMMYFUNCTION("""COMPUTED_VALUE"""),266.07)</f>
        <v>266.07</v>
      </c>
    </row>
    <row r="898">
      <c r="A898" s="2">
        <f>IFERROR(__xludf.DUMMYFUNCTION("""COMPUTED_VALUE"""),45407.66666666667)</f>
        <v>45407.66667</v>
      </c>
      <c r="B898" s="1">
        <f>IFERROR(__xludf.DUMMYFUNCTION("""COMPUTED_VALUE"""),265.52)</f>
        <v>265.52</v>
      </c>
    </row>
    <row r="899">
      <c r="A899" s="2">
        <f>IFERROR(__xludf.DUMMYFUNCTION("""COMPUTED_VALUE"""),45408.66666666667)</f>
        <v>45408.66667</v>
      </c>
      <c r="B899" s="1">
        <f>IFERROR(__xludf.DUMMYFUNCTION("""COMPUTED_VALUE"""),265.84)</f>
        <v>265.84</v>
      </c>
    </row>
    <row r="900">
      <c r="A900" s="2">
        <f>IFERROR(__xludf.DUMMYFUNCTION("""COMPUTED_VALUE"""),45411.66666666667)</f>
        <v>45411.66667</v>
      </c>
      <c r="B900" s="1">
        <f>IFERROR(__xludf.DUMMYFUNCTION("""COMPUTED_VALUE"""),265.86)</f>
        <v>265.86</v>
      </c>
    </row>
    <row r="901">
      <c r="A901" s="2">
        <f>IFERROR(__xludf.DUMMYFUNCTION("""COMPUTED_VALUE"""),45412.66666666667)</f>
        <v>45412.66667</v>
      </c>
      <c r="B901" s="1">
        <f>IFERROR(__xludf.DUMMYFUNCTION("""COMPUTED_VALUE"""),261.78)</f>
        <v>261.78</v>
      </c>
    </row>
    <row r="902">
      <c r="A902" s="2">
        <f>IFERROR(__xludf.DUMMYFUNCTION("""COMPUTED_VALUE"""),45413.66666666667)</f>
        <v>45413.66667</v>
      </c>
      <c r="B902" s="1">
        <f>IFERROR(__xludf.DUMMYFUNCTION("""COMPUTED_VALUE"""),260.73)</f>
        <v>260.73</v>
      </c>
    </row>
    <row r="903">
      <c r="A903" s="2">
        <f>IFERROR(__xludf.DUMMYFUNCTION("""COMPUTED_VALUE"""),45414.66666666667)</f>
        <v>45414.66667</v>
      </c>
      <c r="B903" s="1">
        <f>IFERROR(__xludf.DUMMYFUNCTION("""COMPUTED_VALUE"""),262.03)</f>
        <v>262.03</v>
      </c>
    </row>
    <row r="904">
      <c r="A904" s="2">
        <f>IFERROR(__xludf.DUMMYFUNCTION("""COMPUTED_VALUE"""),45415.66666666667)</f>
        <v>45415.66667</v>
      </c>
      <c r="B904" s="1">
        <f>IFERROR(__xludf.DUMMYFUNCTION("""COMPUTED_VALUE"""),260.65)</f>
        <v>260.65</v>
      </c>
    </row>
    <row r="905">
      <c r="A905" s="2">
        <f>IFERROR(__xludf.DUMMYFUNCTION("""COMPUTED_VALUE"""),45418.66666666667)</f>
        <v>45418.66667</v>
      </c>
      <c r="B905" s="1">
        <f>IFERROR(__xludf.DUMMYFUNCTION("""COMPUTED_VALUE"""),260.29)</f>
        <v>260.29</v>
      </c>
    </row>
    <row r="906">
      <c r="A906" s="2">
        <f>IFERROR(__xludf.DUMMYFUNCTION("""COMPUTED_VALUE"""),45419.66666666667)</f>
        <v>45419.66667</v>
      </c>
      <c r="B906" s="1">
        <f>IFERROR(__xludf.DUMMYFUNCTION("""COMPUTED_VALUE"""),259.47)</f>
        <v>259.47</v>
      </c>
    </row>
    <row r="907">
      <c r="A907" s="2">
        <f>IFERROR(__xludf.DUMMYFUNCTION("""COMPUTED_VALUE"""),45420.66666666667)</f>
        <v>45420.66667</v>
      </c>
      <c r="B907" s="1">
        <f>IFERROR(__xludf.DUMMYFUNCTION("""COMPUTED_VALUE"""),258.01)</f>
        <v>258.01</v>
      </c>
    </row>
    <row r="908">
      <c r="A908" s="2">
        <f>IFERROR(__xludf.DUMMYFUNCTION("""COMPUTED_VALUE"""),45421.66666666667)</f>
        <v>45421.66667</v>
      </c>
      <c r="B908" s="1">
        <f>IFERROR(__xludf.DUMMYFUNCTION("""COMPUTED_VALUE"""),262.06)</f>
        <v>262.06</v>
      </c>
    </row>
    <row r="909">
      <c r="A909" s="2">
        <f>IFERROR(__xludf.DUMMYFUNCTION("""COMPUTED_VALUE"""),45422.66666666667)</f>
        <v>45422.66667</v>
      </c>
      <c r="B909" s="1">
        <f>IFERROR(__xludf.DUMMYFUNCTION("""COMPUTED_VALUE"""),265.73)</f>
        <v>265.73</v>
      </c>
    </row>
    <row r="910">
      <c r="A910" s="2">
        <f>IFERROR(__xludf.DUMMYFUNCTION("""COMPUTED_VALUE"""),45425.66666666667)</f>
        <v>45425.66667</v>
      </c>
      <c r="B910" s="1">
        <f>IFERROR(__xludf.DUMMYFUNCTION("""COMPUTED_VALUE"""),266.89)</f>
        <v>266.89</v>
      </c>
    </row>
    <row r="911">
      <c r="A911" s="2">
        <f>IFERROR(__xludf.DUMMYFUNCTION("""COMPUTED_VALUE"""),45426.66666666667)</f>
        <v>45426.66667</v>
      </c>
      <c r="B911" s="1">
        <f>IFERROR(__xludf.DUMMYFUNCTION("""COMPUTED_VALUE"""),259.04)</f>
        <v>259.04</v>
      </c>
    </row>
    <row r="912">
      <c r="A912" s="2">
        <f>IFERROR(__xludf.DUMMYFUNCTION("""COMPUTED_VALUE"""),45427.66666666667)</f>
        <v>45427.66667</v>
      </c>
      <c r="B912" s="1">
        <f>IFERROR(__xludf.DUMMYFUNCTION("""COMPUTED_VALUE"""),259.32)</f>
        <v>259.32</v>
      </c>
    </row>
    <row r="913">
      <c r="A913" s="2">
        <f>IFERROR(__xludf.DUMMYFUNCTION("""COMPUTED_VALUE"""),45428.66666666667)</f>
        <v>45428.66667</v>
      </c>
      <c r="B913" s="1">
        <f>IFERROR(__xludf.DUMMYFUNCTION("""COMPUTED_VALUE"""),258.78)</f>
        <v>258.78</v>
      </c>
    </row>
    <row r="914">
      <c r="A914" s="2">
        <f>IFERROR(__xludf.DUMMYFUNCTION("""COMPUTED_VALUE"""),45429.66666666667)</f>
        <v>45429.66667</v>
      </c>
      <c r="B914" s="1">
        <f>IFERROR(__xludf.DUMMYFUNCTION("""COMPUTED_VALUE"""),257.25)</f>
        <v>257.25</v>
      </c>
    </row>
    <row r="915">
      <c r="A915" s="2">
        <f>IFERROR(__xludf.DUMMYFUNCTION("""COMPUTED_VALUE"""),45432.66666666667)</f>
        <v>45432.66667</v>
      </c>
      <c r="B915" s="1">
        <f>IFERROR(__xludf.DUMMYFUNCTION("""COMPUTED_VALUE"""),254.71)</f>
        <v>254.71</v>
      </c>
    </row>
    <row r="916">
      <c r="A916" s="2">
        <f>IFERROR(__xludf.DUMMYFUNCTION("""COMPUTED_VALUE"""),45433.66666666667)</f>
        <v>45433.66667</v>
      </c>
      <c r="B916" s="1">
        <f>IFERROR(__xludf.DUMMYFUNCTION("""COMPUTED_VALUE"""),252.33)</f>
        <v>252.33</v>
      </c>
    </row>
    <row r="917">
      <c r="A917" s="2">
        <f>IFERROR(__xludf.DUMMYFUNCTION("""COMPUTED_VALUE"""),45434.66666666667)</f>
        <v>45434.66667</v>
      </c>
      <c r="B917" s="1">
        <f>IFERROR(__xludf.DUMMYFUNCTION("""COMPUTED_VALUE"""),252.07)</f>
        <v>252.07</v>
      </c>
    </row>
    <row r="918">
      <c r="A918" s="2">
        <f>IFERROR(__xludf.DUMMYFUNCTION("""COMPUTED_VALUE"""),45435.66666666667)</f>
        <v>45435.66667</v>
      </c>
      <c r="B918" s="1">
        <f>IFERROR(__xludf.DUMMYFUNCTION("""COMPUTED_VALUE"""),249.29)</f>
        <v>249.29</v>
      </c>
    </row>
    <row r="919">
      <c r="A919" s="2">
        <f>IFERROR(__xludf.DUMMYFUNCTION("""COMPUTED_VALUE"""),45436.66666666667)</f>
        <v>45436.66667</v>
      </c>
      <c r="B919" s="1">
        <f>IFERROR(__xludf.DUMMYFUNCTION("""COMPUTED_VALUE"""),247.59)</f>
        <v>247.59</v>
      </c>
    </row>
    <row r="920">
      <c r="A920" s="2">
        <f>IFERROR(__xludf.DUMMYFUNCTION("""COMPUTED_VALUE"""),45440.66666666667)</f>
        <v>45440.66667</v>
      </c>
      <c r="B920" s="1">
        <f>IFERROR(__xludf.DUMMYFUNCTION("""COMPUTED_VALUE"""),248.04)</f>
        <v>248.04</v>
      </c>
    </row>
    <row r="921">
      <c r="A921" s="2">
        <f>IFERROR(__xludf.DUMMYFUNCTION("""COMPUTED_VALUE"""),45441.66666666667)</f>
        <v>45441.66667</v>
      </c>
      <c r="B921" s="1">
        <f>IFERROR(__xludf.DUMMYFUNCTION("""COMPUTED_VALUE"""),245.11)</f>
        <v>245.11</v>
      </c>
    </row>
    <row r="922">
      <c r="A922" s="2">
        <f>IFERROR(__xludf.DUMMYFUNCTION("""COMPUTED_VALUE"""),45442.66666666667)</f>
        <v>45442.66667</v>
      </c>
      <c r="B922" s="1">
        <f>IFERROR(__xludf.DUMMYFUNCTION("""COMPUTED_VALUE"""),249.58)</f>
        <v>249.58</v>
      </c>
    </row>
    <row r="923">
      <c r="A923" s="2">
        <f>IFERROR(__xludf.DUMMYFUNCTION("""COMPUTED_VALUE"""),45443.66666666667)</f>
        <v>45443.66667</v>
      </c>
      <c r="B923" s="1">
        <f>IFERROR(__xludf.DUMMYFUNCTION("""COMPUTED_VALUE"""),253.96)</f>
        <v>253.96</v>
      </c>
    </row>
    <row r="924">
      <c r="A924" s="2">
        <f>IFERROR(__xludf.DUMMYFUNCTION("""COMPUTED_VALUE"""),45446.66666666667)</f>
        <v>45446.66667</v>
      </c>
      <c r="B924" s="1">
        <f>IFERROR(__xludf.DUMMYFUNCTION("""COMPUTED_VALUE"""),248.62)</f>
        <v>248.62</v>
      </c>
    </row>
    <row r="925">
      <c r="A925" s="2">
        <f>IFERROR(__xludf.DUMMYFUNCTION("""COMPUTED_VALUE"""),45447.66666666667)</f>
        <v>45447.66667</v>
      </c>
      <c r="B925" s="1">
        <f>IFERROR(__xludf.DUMMYFUNCTION("""COMPUTED_VALUE"""),245.95)</f>
        <v>245.95</v>
      </c>
    </row>
    <row r="926">
      <c r="A926" s="2">
        <f>IFERROR(__xludf.DUMMYFUNCTION("""COMPUTED_VALUE"""),45448.66666666667)</f>
        <v>45448.66667</v>
      </c>
      <c r="B926" s="1">
        <f>IFERROR(__xludf.DUMMYFUNCTION("""COMPUTED_VALUE"""),248.05)</f>
        <v>248.05</v>
      </c>
    </row>
    <row r="927">
      <c r="A927" s="2">
        <f>IFERROR(__xludf.DUMMYFUNCTION("""COMPUTED_VALUE"""),45449.66666666667)</f>
        <v>45449.66667</v>
      </c>
      <c r="B927" s="1">
        <f>IFERROR(__xludf.DUMMYFUNCTION("""COMPUTED_VALUE"""),250.27)</f>
        <v>250.27</v>
      </c>
    </row>
    <row r="928">
      <c r="A928" s="2">
        <f>IFERROR(__xludf.DUMMYFUNCTION("""COMPUTED_VALUE"""),45450.66666666667)</f>
        <v>45450.66667</v>
      </c>
      <c r="B928" s="1">
        <f>IFERROR(__xludf.DUMMYFUNCTION("""COMPUTED_VALUE"""),247.73)</f>
        <v>247.73</v>
      </c>
    </row>
    <row r="929">
      <c r="A929" s="2">
        <f>IFERROR(__xludf.DUMMYFUNCTION("""COMPUTED_VALUE"""),45453.66666666667)</f>
        <v>45453.66667</v>
      </c>
      <c r="B929" s="1">
        <f>IFERROR(__xludf.DUMMYFUNCTION("""COMPUTED_VALUE"""),253.72)</f>
        <v>253.72</v>
      </c>
    </row>
    <row r="930">
      <c r="A930" s="2">
        <f>IFERROR(__xludf.DUMMYFUNCTION("""COMPUTED_VALUE"""),45454.66666666667)</f>
        <v>45454.66667</v>
      </c>
      <c r="B930" s="1">
        <f>IFERROR(__xludf.DUMMYFUNCTION("""COMPUTED_VALUE"""),252.43)</f>
        <v>252.43</v>
      </c>
    </row>
    <row r="931">
      <c r="A931" s="2">
        <f>IFERROR(__xludf.DUMMYFUNCTION("""COMPUTED_VALUE"""),45455.66666666667)</f>
        <v>45455.66667</v>
      </c>
      <c r="B931" s="1">
        <f>IFERROR(__xludf.DUMMYFUNCTION("""COMPUTED_VALUE"""),248.6)</f>
        <v>248.6</v>
      </c>
    </row>
    <row r="932">
      <c r="A932" s="2">
        <f>IFERROR(__xludf.DUMMYFUNCTION("""COMPUTED_VALUE"""),45456.66666666667)</f>
        <v>45456.66667</v>
      </c>
      <c r="B932" s="1">
        <f>IFERROR(__xludf.DUMMYFUNCTION("""COMPUTED_VALUE"""),248.6)</f>
        <v>248.6</v>
      </c>
    </row>
    <row r="933">
      <c r="A933" s="2">
        <f>IFERROR(__xludf.DUMMYFUNCTION("""COMPUTED_VALUE"""),45457.66666666667)</f>
        <v>45457.66667</v>
      </c>
      <c r="B933" s="1">
        <f>IFERROR(__xludf.DUMMYFUNCTION("""COMPUTED_VALUE"""),246.43)</f>
        <v>246.43</v>
      </c>
    </row>
    <row r="934">
      <c r="A934" s="2">
        <f>IFERROR(__xludf.DUMMYFUNCTION("""COMPUTED_VALUE"""),45460.66666666667)</f>
        <v>45460.66667</v>
      </c>
      <c r="B934" s="1">
        <f>IFERROR(__xludf.DUMMYFUNCTION("""COMPUTED_VALUE"""),250.06)</f>
        <v>250.06</v>
      </c>
    </row>
    <row r="935">
      <c r="A935" s="2">
        <f>IFERROR(__xludf.DUMMYFUNCTION("""COMPUTED_VALUE"""),45461.66666666667)</f>
        <v>45461.66667</v>
      </c>
      <c r="B935" s="1">
        <f>IFERROR(__xludf.DUMMYFUNCTION("""COMPUTED_VALUE"""),248.09)</f>
        <v>248.09</v>
      </c>
    </row>
    <row r="936">
      <c r="A936" s="2">
        <f>IFERROR(__xludf.DUMMYFUNCTION("""COMPUTED_VALUE"""),45463.66666666667)</f>
        <v>45463.66667</v>
      </c>
      <c r="B936" s="1">
        <f>IFERROR(__xludf.DUMMYFUNCTION("""COMPUTED_VALUE"""),252.52)</f>
        <v>252.52</v>
      </c>
    </row>
    <row r="937">
      <c r="A937" s="2">
        <f>IFERROR(__xludf.DUMMYFUNCTION("""COMPUTED_VALUE"""),45464.66666666667)</f>
        <v>45464.66667</v>
      </c>
      <c r="B937" s="1">
        <f>IFERROR(__xludf.DUMMYFUNCTION("""COMPUTED_VALUE"""),253.66)</f>
        <v>253.66</v>
      </c>
    </row>
    <row r="938">
      <c r="A938" s="2">
        <f>IFERROR(__xludf.DUMMYFUNCTION("""COMPUTED_VALUE"""),45467.66666666667)</f>
        <v>45467.66667</v>
      </c>
      <c r="B938" s="1">
        <f>IFERROR(__xludf.DUMMYFUNCTION("""COMPUTED_VALUE"""),256.51)</f>
        <v>256.51</v>
      </c>
    </row>
    <row r="939">
      <c r="A939" s="2">
        <f>IFERROR(__xludf.DUMMYFUNCTION("""COMPUTED_VALUE"""),45468.66666666667)</f>
        <v>45468.66667</v>
      </c>
      <c r="B939" s="1">
        <f>IFERROR(__xludf.DUMMYFUNCTION("""COMPUTED_VALUE"""),256.38)</f>
        <v>256.38</v>
      </c>
    </row>
    <row r="940">
      <c r="A940" s="2">
        <f>IFERROR(__xludf.DUMMYFUNCTION("""COMPUTED_VALUE"""),45469.66666666667)</f>
        <v>45469.66667</v>
      </c>
      <c r="B940" s="1">
        <f>IFERROR(__xludf.DUMMYFUNCTION("""COMPUTED_VALUE"""),296.19)</f>
        <v>296.19</v>
      </c>
    </row>
    <row r="941">
      <c r="A941" s="2">
        <f>IFERROR(__xludf.DUMMYFUNCTION("""COMPUTED_VALUE"""),45470.66666666667)</f>
        <v>45470.66667</v>
      </c>
      <c r="B941" s="1">
        <f>IFERROR(__xludf.DUMMYFUNCTION("""COMPUTED_VALUE"""),295.47)</f>
        <v>295.47</v>
      </c>
    </row>
    <row r="942">
      <c r="A942" s="2">
        <f>IFERROR(__xludf.DUMMYFUNCTION("""COMPUTED_VALUE"""),45471.66666666667)</f>
        <v>45471.66667</v>
      </c>
      <c r="B942" s="1">
        <f>IFERROR(__xludf.DUMMYFUNCTION("""COMPUTED_VALUE"""),299.84)</f>
        <v>299.84</v>
      </c>
    </row>
    <row r="943">
      <c r="A943" s="2">
        <f>IFERROR(__xludf.DUMMYFUNCTION("""COMPUTED_VALUE"""),45474.66666666667)</f>
        <v>45474.66667</v>
      </c>
      <c r="B943" s="1">
        <f>IFERROR(__xludf.DUMMYFUNCTION("""COMPUTED_VALUE"""),298.68)</f>
        <v>298.68</v>
      </c>
    </row>
    <row r="944">
      <c r="A944" s="2">
        <f>IFERROR(__xludf.DUMMYFUNCTION("""COMPUTED_VALUE"""),45475.66666666667)</f>
        <v>45475.66667</v>
      </c>
      <c r="B944" s="1">
        <f>IFERROR(__xludf.DUMMYFUNCTION("""COMPUTED_VALUE"""),298.22)</f>
        <v>298.22</v>
      </c>
    </row>
    <row r="945">
      <c r="A945" s="2">
        <f>IFERROR(__xludf.DUMMYFUNCTION("""COMPUTED_VALUE"""),45476.54166666667)</f>
        <v>45476.54167</v>
      </c>
      <c r="B945" s="1">
        <f>IFERROR(__xludf.DUMMYFUNCTION("""COMPUTED_VALUE"""),293.71)</f>
        <v>293.71</v>
      </c>
    </row>
    <row r="946">
      <c r="A946" s="2">
        <f>IFERROR(__xludf.DUMMYFUNCTION("""COMPUTED_VALUE"""),45478.66666666667)</f>
        <v>45478.66667</v>
      </c>
      <c r="B946" s="1">
        <f>IFERROR(__xludf.DUMMYFUNCTION("""COMPUTED_VALUE"""),294.0)</f>
        <v>294</v>
      </c>
    </row>
    <row r="947">
      <c r="A947" s="2">
        <f>IFERROR(__xludf.DUMMYFUNCTION("""COMPUTED_VALUE"""),45481.66666666667)</f>
        <v>45481.66667</v>
      </c>
      <c r="B947" s="1">
        <f>IFERROR(__xludf.DUMMYFUNCTION("""COMPUTED_VALUE"""),295.53)</f>
        <v>295.53</v>
      </c>
    </row>
    <row r="948">
      <c r="A948" s="2">
        <f>IFERROR(__xludf.DUMMYFUNCTION("""COMPUTED_VALUE"""),45482.66666666667)</f>
        <v>45482.66667</v>
      </c>
      <c r="B948" s="1">
        <f>IFERROR(__xludf.DUMMYFUNCTION("""COMPUTED_VALUE"""),292.73)</f>
        <v>292.73</v>
      </c>
    </row>
    <row r="949">
      <c r="A949" s="2">
        <f>IFERROR(__xludf.DUMMYFUNCTION("""COMPUTED_VALUE"""),45483.66666666667)</f>
        <v>45483.66667</v>
      </c>
      <c r="B949" s="1">
        <f>IFERROR(__xludf.DUMMYFUNCTION("""COMPUTED_VALUE"""),293.27)</f>
        <v>293.27</v>
      </c>
    </row>
    <row r="950">
      <c r="A950" s="2">
        <f>IFERROR(__xludf.DUMMYFUNCTION("""COMPUTED_VALUE"""),45484.66666666667)</f>
        <v>45484.66667</v>
      </c>
      <c r="B950" s="1">
        <f>IFERROR(__xludf.DUMMYFUNCTION("""COMPUTED_VALUE"""),299.54)</f>
        <v>299.54</v>
      </c>
    </row>
    <row r="951">
      <c r="A951" s="2">
        <f>IFERROR(__xludf.DUMMYFUNCTION("""COMPUTED_VALUE"""),45485.66666666667)</f>
        <v>45485.66667</v>
      </c>
      <c r="B951" s="1">
        <f>IFERROR(__xludf.DUMMYFUNCTION("""COMPUTED_VALUE"""),299.02)</f>
        <v>299.02</v>
      </c>
    </row>
    <row r="952">
      <c r="A952" s="2">
        <f>IFERROR(__xludf.DUMMYFUNCTION("""COMPUTED_VALUE"""),45488.66666666667)</f>
        <v>45488.66667</v>
      </c>
      <c r="B952" s="1">
        <f>IFERROR(__xludf.DUMMYFUNCTION("""COMPUTED_VALUE"""),305.02)</f>
        <v>305.02</v>
      </c>
    </row>
    <row r="953">
      <c r="A953" s="2">
        <f>IFERROR(__xludf.DUMMYFUNCTION("""COMPUTED_VALUE"""),45489.66666666667)</f>
        <v>45489.66667</v>
      </c>
      <c r="B953" s="1">
        <f>IFERROR(__xludf.DUMMYFUNCTION("""COMPUTED_VALUE"""),313.52)</f>
        <v>313.52</v>
      </c>
    </row>
    <row r="954">
      <c r="A954" s="2">
        <f>IFERROR(__xludf.DUMMYFUNCTION("""COMPUTED_VALUE"""),45490.66666666667)</f>
        <v>45490.66667</v>
      </c>
      <c r="B954" s="1">
        <f>IFERROR(__xludf.DUMMYFUNCTION("""COMPUTED_VALUE"""),310.43)</f>
        <v>310.43</v>
      </c>
    </row>
    <row r="955">
      <c r="A955" s="2">
        <f>IFERROR(__xludf.DUMMYFUNCTION("""COMPUTED_VALUE"""),45491.66666666667)</f>
        <v>45491.66667</v>
      </c>
      <c r="B955" s="1">
        <f>IFERROR(__xludf.DUMMYFUNCTION("""COMPUTED_VALUE"""),306.62)</f>
        <v>306.62</v>
      </c>
    </row>
    <row r="956">
      <c r="A956" s="2">
        <f>IFERROR(__xludf.DUMMYFUNCTION("""COMPUTED_VALUE"""),45492.66666666667)</f>
        <v>45492.66667</v>
      </c>
      <c r="B956" s="1">
        <f>IFERROR(__xludf.DUMMYFUNCTION("""COMPUTED_VALUE"""),306.31)</f>
        <v>306.31</v>
      </c>
    </row>
    <row r="957">
      <c r="A957" s="2">
        <f>IFERROR(__xludf.DUMMYFUNCTION("""COMPUTED_VALUE"""),45495.66666666667)</f>
        <v>45495.66667</v>
      </c>
      <c r="B957" s="1">
        <f>IFERROR(__xludf.DUMMYFUNCTION("""COMPUTED_VALUE"""),307.43)</f>
        <v>307.43</v>
      </c>
    </row>
    <row r="958">
      <c r="A958" s="2">
        <f>IFERROR(__xludf.DUMMYFUNCTION("""COMPUTED_VALUE"""),45496.66666666667)</f>
        <v>45496.66667</v>
      </c>
      <c r="B958" s="1">
        <f>IFERROR(__xludf.DUMMYFUNCTION("""COMPUTED_VALUE"""),300.8)</f>
        <v>300.8</v>
      </c>
    </row>
    <row r="959">
      <c r="A959" s="2">
        <f>IFERROR(__xludf.DUMMYFUNCTION("""COMPUTED_VALUE"""),45497.66666666667)</f>
        <v>45497.66667</v>
      </c>
      <c r="B959" s="1">
        <f>IFERROR(__xludf.DUMMYFUNCTION("""COMPUTED_VALUE"""),298.28)</f>
        <v>298.28</v>
      </c>
    </row>
    <row r="960">
      <c r="A960" s="2">
        <f>IFERROR(__xludf.DUMMYFUNCTION("""COMPUTED_VALUE"""),45498.66666666667)</f>
        <v>45498.66667</v>
      </c>
      <c r="B960" s="1">
        <f>IFERROR(__xludf.DUMMYFUNCTION("""COMPUTED_VALUE"""),298.59)</f>
        <v>298.59</v>
      </c>
    </row>
    <row r="961">
      <c r="A961" s="2">
        <f>IFERROR(__xludf.DUMMYFUNCTION("""COMPUTED_VALUE"""),45499.66666666667)</f>
        <v>45499.66667</v>
      </c>
      <c r="B961" s="1">
        <f>IFERROR(__xludf.DUMMYFUNCTION("""COMPUTED_VALUE"""),300.14)</f>
        <v>300.14</v>
      </c>
    </row>
    <row r="962">
      <c r="A962" s="2">
        <f>IFERROR(__xludf.DUMMYFUNCTION("""COMPUTED_VALUE"""),45502.66666666667)</f>
        <v>45502.66667</v>
      </c>
      <c r="B962" s="1">
        <f>IFERROR(__xludf.DUMMYFUNCTION("""COMPUTED_VALUE"""),299.23)</f>
        <v>299.23</v>
      </c>
    </row>
    <row r="963">
      <c r="A963" s="2">
        <f>IFERROR(__xludf.DUMMYFUNCTION("""COMPUTED_VALUE"""),45503.66666666667)</f>
        <v>45503.66667</v>
      </c>
      <c r="B963" s="1">
        <f>IFERROR(__xludf.DUMMYFUNCTION("""COMPUTED_VALUE"""),300.88)</f>
        <v>300.88</v>
      </c>
    </row>
    <row r="964">
      <c r="A964" s="2">
        <f>IFERROR(__xludf.DUMMYFUNCTION("""COMPUTED_VALUE"""),45504.66666666667)</f>
        <v>45504.66667</v>
      </c>
      <c r="B964" s="1">
        <f>IFERROR(__xludf.DUMMYFUNCTION("""COMPUTED_VALUE"""),302.25)</f>
        <v>302.25</v>
      </c>
    </row>
    <row r="965">
      <c r="A965" s="2">
        <f>IFERROR(__xludf.DUMMYFUNCTION("""COMPUTED_VALUE"""),45505.66666666667)</f>
        <v>45505.66667</v>
      </c>
      <c r="B965" s="1">
        <f>IFERROR(__xludf.DUMMYFUNCTION("""COMPUTED_VALUE"""),297.83)</f>
        <v>297.83</v>
      </c>
    </row>
    <row r="966">
      <c r="A966" s="2">
        <f>IFERROR(__xludf.DUMMYFUNCTION("""COMPUTED_VALUE"""),45506.66666666667)</f>
        <v>45506.66667</v>
      </c>
      <c r="B966" s="1">
        <f>IFERROR(__xludf.DUMMYFUNCTION("""COMPUTED_VALUE"""),292.3)</f>
        <v>292.3</v>
      </c>
    </row>
    <row r="967">
      <c r="A967" s="2">
        <f>IFERROR(__xludf.DUMMYFUNCTION("""COMPUTED_VALUE"""),45509.66666666667)</f>
        <v>45509.66667</v>
      </c>
      <c r="B967" s="1">
        <f>IFERROR(__xludf.DUMMYFUNCTION("""COMPUTED_VALUE"""),283.09)</f>
        <v>283.09</v>
      </c>
    </row>
    <row r="968">
      <c r="A968" s="2">
        <f>IFERROR(__xludf.DUMMYFUNCTION("""COMPUTED_VALUE"""),45510.66666666667)</f>
        <v>45510.66667</v>
      </c>
      <c r="B968" s="1">
        <f>IFERROR(__xludf.DUMMYFUNCTION("""COMPUTED_VALUE"""),285.73)</f>
        <v>285.73</v>
      </c>
    </row>
    <row r="969">
      <c r="A969" s="2">
        <f>IFERROR(__xludf.DUMMYFUNCTION("""COMPUTED_VALUE"""),45511.66666666667)</f>
        <v>45511.66667</v>
      </c>
      <c r="B969" s="1">
        <f>IFERROR(__xludf.DUMMYFUNCTION("""COMPUTED_VALUE"""),278.13)</f>
        <v>278.13</v>
      </c>
    </row>
    <row r="970">
      <c r="A970" s="2">
        <f>IFERROR(__xludf.DUMMYFUNCTION("""COMPUTED_VALUE"""),45512.66666666667)</f>
        <v>45512.66667</v>
      </c>
      <c r="B970" s="1">
        <f>IFERROR(__xludf.DUMMYFUNCTION("""COMPUTED_VALUE"""),278.62)</f>
        <v>278.62</v>
      </c>
    </row>
    <row r="971">
      <c r="A971" s="2">
        <f>IFERROR(__xludf.DUMMYFUNCTION("""COMPUTED_VALUE"""),45513.66666666667)</f>
        <v>45513.66667</v>
      </c>
      <c r="B971" s="1">
        <f>IFERROR(__xludf.DUMMYFUNCTION("""COMPUTED_VALUE"""),277.41)</f>
        <v>277.41</v>
      </c>
    </row>
    <row r="972">
      <c r="A972" s="2">
        <f>IFERROR(__xludf.DUMMYFUNCTION("""COMPUTED_VALUE"""),45516.66666666667)</f>
        <v>45516.66667</v>
      </c>
      <c r="B972" s="1">
        <f>IFERROR(__xludf.DUMMYFUNCTION("""COMPUTED_VALUE"""),279.15)</f>
        <v>279.15</v>
      </c>
    </row>
    <row r="973">
      <c r="A973" s="2">
        <f>IFERROR(__xludf.DUMMYFUNCTION("""COMPUTED_VALUE"""),45517.66666666667)</f>
        <v>45517.66667</v>
      </c>
      <c r="B973" s="1">
        <f>IFERROR(__xludf.DUMMYFUNCTION("""COMPUTED_VALUE"""),283.1)</f>
        <v>283.1</v>
      </c>
    </row>
    <row r="974">
      <c r="A974" s="2">
        <f>IFERROR(__xludf.DUMMYFUNCTION("""COMPUTED_VALUE"""),45518.66666666667)</f>
        <v>45518.66667</v>
      </c>
      <c r="B974" s="1">
        <f>IFERROR(__xludf.DUMMYFUNCTION("""COMPUTED_VALUE"""),283.33)</f>
        <v>283.33</v>
      </c>
    </row>
    <row r="975">
      <c r="A975" s="2">
        <f>IFERROR(__xludf.DUMMYFUNCTION("""COMPUTED_VALUE"""),45519.66666666667)</f>
        <v>45519.66667</v>
      </c>
      <c r="B975" s="1">
        <f>IFERROR(__xludf.DUMMYFUNCTION("""COMPUTED_VALUE"""),284.18)</f>
        <v>284.18</v>
      </c>
    </row>
    <row r="976">
      <c r="A976" s="2">
        <f>IFERROR(__xludf.DUMMYFUNCTION("""COMPUTED_VALUE"""),45520.66666666667)</f>
        <v>45520.66667</v>
      </c>
      <c r="B976" s="1">
        <f>IFERROR(__xludf.DUMMYFUNCTION("""COMPUTED_VALUE"""),285.4)</f>
        <v>285.4</v>
      </c>
    </row>
    <row r="977">
      <c r="A977" s="2">
        <f>IFERROR(__xludf.DUMMYFUNCTION("""COMPUTED_VALUE"""),45523.66666666667)</f>
        <v>45523.66667</v>
      </c>
      <c r="B977" s="1">
        <f>IFERROR(__xludf.DUMMYFUNCTION("""COMPUTED_VALUE"""),288.42)</f>
        <v>288.42</v>
      </c>
    </row>
    <row r="978">
      <c r="A978" s="2">
        <f>IFERROR(__xludf.DUMMYFUNCTION("""COMPUTED_VALUE"""),45524.66666666667)</f>
        <v>45524.66667</v>
      </c>
      <c r="B978" s="1">
        <f>IFERROR(__xludf.DUMMYFUNCTION("""COMPUTED_VALUE"""),288.44)</f>
        <v>288.44</v>
      </c>
    </row>
    <row r="979">
      <c r="A979" s="2">
        <f>IFERROR(__xludf.DUMMYFUNCTION("""COMPUTED_VALUE"""),45525.66666666667)</f>
        <v>45525.66667</v>
      </c>
      <c r="B979" s="1">
        <f>IFERROR(__xludf.DUMMYFUNCTION("""COMPUTED_VALUE"""),291.52)</f>
        <v>291.52</v>
      </c>
    </row>
    <row r="980">
      <c r="A980" s="2">
        <f>IFERROR(__xludf.DUMMYFUNCTION("""COMPUTED_VALUE"""),45526.66666666667)</f>
        <v>45526.66667</v>
      </c>
      <c r="B980" s="1">
        <f>IFERROR(__xludf.DUMMYFUNCTION("""COMPUTED_VALUE"""),294.28)</f>
        <v>294.28</v>
      </c>
    </row>
    <row r="981">
      <c r="A981" s="2">
        <f>IFERROR(__xludf.DUMMYFUNCTION("""COMPUTED_VALUE"""),45527.66666666667)</f>
        <v>45527.66667</v>
      </c>
      <c r="B981" s="1">
        <f>IFERROR(__xludf.DUMMYFUNCTION("""COMPUTED_VALUE"""),297.18)</f>
        <v>297.18</v>
      </c>
    </row>
    <row r="982">
      <c r="A982" s="2">
        <f>IFERROR(__xludf.DUMMYFUNCTION("""COMPUTED_VALUE"""),45530.66666666667)</f>
        <v>45530.66667</v>
      </c>
      <c r="B982" s="1">
        <f>IFERROR(__xludf.DUMMYFUNCTION("""COMPUTED_VALUE"""),297.24)</f>
        <v>297.24</v>
      </c>
    </row>
    <row r="983">
      <c r="A983" s="2">
        <f>IFERROR(__xludf.DUMMYFUNCTION("""COMPUTED_VALUE"""),45531.66666666667)</f>
        <v>45531.66667</v>
      </c>
      <c r="B983" s="1">
        <f>IFERROR(__xludf.DUMMYFUNCTION("""COMPUTED_VALUE"""),294.9)</f>
        <v>294.9</v>
      </c>
    </row>
    <row r="984">
      <c r="A984" s="2">
        <f>IFERROR(__xludf.DUMMYFUNCTION("""COMPUTED_VALUE"""),45532.66666666667)</f>
        <v>45532.66667</v>
      </c>
      <c r="B984" s="1">
        <f>IFERROR(__xludf.DUMMYFUNCTION("""COMPUTED_VALUE"""),296.13)</f>
        <v>296.13</v>
      </c>
    </row>
    <row r="985">
      <c r="A985" s="2">
        <f>IFERROR(__xludf.DUMMYFUNCTION("""COMPUTED_VALUE"""),45533.66666666667)</f>
        <v>45533.66667</v>
      </c>
      <c r="B985" s="1">
        <f>IFERROR(__xludf.DUMMYFUNCTION("""COMPUTED_VALUE"""),296.25)</f>
        <v>296.25</v>
      </c>
    </row>
    <row r="986">
      <c r="A986" s="2">
        <f>IFERROR(__xludf.DUMMYFUNCTION("""COMPUTED_VALUE"""),45534.66666666667)</f>
        <v>45534.66667</v>
      </c>
      <c r="B986" s="1">
        <f>IFERROR(__xludf.DUMMYFUNCTION("""COMPUTED_VALUE"""),298.77)</f>
        <v>298.77</v>
      </c>
    </row>
    <row r="987">
      <c r="A987" s="2">
        <f>IFERROR(__xludf.DUMMYFUNCTION("""COMPUTED_VALUE"""),45538.66666666667)</f>
        <v>45538.66667</v>
      </c>
      <c r="B987" s="1">
        <f>IFERROR(__xludf.DUMMYFUNCTION("""COMPUTED_VALUE"""),293.48)</f>
        <v>293.48</v>
      </c>
    </row>
    <row r="988">
      <c r="A988" s="2">
        <f>IFERROR(__xludf.DUMMYFUNCTION("""COMPUTED_VALUE"""),45539.66666666667)</f>
        <v>45539.66667</v>
      </c>
      <c r="B988" s="1">
        <f>IFERROR(__xludf.DUMMYFUNCTION("""COMPUTED_VALUE"""),292.84)</f>
        <v>292.84</v>
      </c>
    </row>
    <row r="989">
      <c r="A989" s="2">
        <f>IFERROR(__xludf.DUMMYFUNCTION("""COMPUTED_VALUE"""),45540.66666666667)</f>
        <v>45540.66667</v>
      </c>
      <c r="B989" s="1">
        <f>IFERROR(__xludf.DUMMYFUNCTION("""COMPUTED_VALUE"""),285.31)</f>
        <v>285.31</v>
      </c>
    </row>
    <row r="990">
      <c r="A990" s="2">
        <f>IFERROR(__xludf.DUMMYFUNCTION("""COMPUTED_VALUE"""),45541.66666666667)</f>
        <v>45541.66667</v>
      </c>
      <c r="B990" s="1">
        <f>IFERROR(__xludf.DUMMYFUNCTION("""COMPUTED_VALUE"""),283.04)</f>
        <v>283.04</v>
      </c>
    </row>
    <row r="991">
      <c r="A991" s="2">
        <f>IFERROR(__xludf.DUMMYFUNCTION("""COMPUTED_VALUE"""),45544.66666666667)</f>
        <v>45544.66667</v>
      </c>
      <c r="B991" s="1">
        <f>IFERROR(__xludf.DUMMYFUNCTION("""COMPUTED_VALUE"""),283.3)</f>
        <v>283.3</v>
      </c>
    </row>
    <row r="992">
      <c r="A992" s="2">
        <f>IFERROR(__xludf.DUMMYFUNCTION("""COMPUTED_VALUE"""),45545.66666666667)</f>
        <v>45545.66667</v>
      </c>
      <c r="B992" s="1">
        <f>IFERROR(__xludf.DUMMYFUNCTION("""COMPUTED_VALUE"""),283.85)</f>
        <v>283.85</v>
      </c>
    </row>
    <row r="993">
      <c r="A993" s="2">
        <f>IFERROR(__xludf.DUMMYFUNCTION("""COMPUTED_VALUE"""),45546.66666666667)</f>
        <v>45546.66667</v>
      </c>
      <c r="B993" s="1">
        <f>IFERROR(__xludf.DUMMYFUNCTION("""COMPUTED_VALUE"""),284.86)</f>
        <v>284.86</v>
      </c>
    </row>
    <row r="994">
      <c r="A994" s="2">
        <f>IFERROR(__xludf.DUMMYFUNCTION("""COMPUTED_VALUE"""),45547.66666666667)</f>
        <v>45547.66667</v>
      </c>
      <c r="B994" s="1">
        <f>IFERROR(__xludf.DUMMYFUNCTION("""COMPUTED_VALUE"""),286.0)</f>
        <v>286</v>
      </c>
    </row>
    <row r="995">
      <c r="A995" s="2">
        <f>IFERROR(__xludf.DUMMYFUNCTION("""COMPUTED_VALUE"""),45548.66666666667)</f>
        <v>45548.66667</v>
      </c>
      <c r="B995" s="1">
        <f>IFERROR(__xludf.DUMMYFUNCTION("""COMPUTED_VALUE"""),286.38)</f>
        <v>286.38</v>
      </c>
    </row>
    <row r="996">
      <c r="A996" s="2">
        <f>IFERROR(__xludf.DUMMYFUNCTION("""COMPUTED_VALUE"""),45551.66666666667)</f>
        <v>45551.66667</v>
      </c>
      <c r="B996" s="1">
        <f>IFERROR(__xludf.DUMMYFUNCTION("""COMPUTED_VALUE"""),292.63)</f>
        <v>292.63</v>
      </c>
    </row>
    <row r="997">
      <c r="A997" s="2">
        <f>IFERROR(__xludf.DUMMYFUNCTION("""COMPUTED_VALUE"""),45552.66666666667)</f>
        <v>45552.66667</v>
      </c>
      <c r="B997" s="1">
        <f>IFERROR(__xludf.DUMMYFUNCTION("""COMPUTED_VALUE"""),297.34)</f>
        <v>297.34</v>
      </c>
    </row>
    <row r="998">
      <c r="A998" s="2">
        <f>IFERROR(__xludf.DUMMYFUNCTION("""COMPUTED_VALUE"""),45553.66666666667)</f>
        <v>45553.66667</v>
      </c>
      <c r="B998" s="1">
        <f>IFERROR(__xludf.DUMMYFUNCTION("""COMPUTED_VALUE"""),298.17)</f>
        <v>298.17</v>
      </c>
    </row>
    <row r="999">
      <c r="A999" s="2">
        <f>IFERROR(__xludf.DUMMYFUNCTION("""COMPUTED_VALUE"""),45554.66666666667)</f>
        <v>45554.66667</v>
      </c>
      <c r="B999" s="1">
        <f>IFERROR(__xludf.DUMMYFUNCTION("""COMPUTED_VALUE"""),300.39)</f>
        <v>300.39</v>
      </c>
    </row>
    <row r="1000">
      <c r="A1000" s="2">
        <f>IFERROR(__xludf.DUMMYFUNCTION("""COMPUTED_VALUE"""),45555.66666666667)</f>
        <v>45555.66667</v>
      </c>
      <c r="B1000" s="1">
        <f>IFERROR(__xludf.DUMMYFUNCTION("""COMPUTED_VALUE"""),254.64)</f>
        <v>254.64</v>
      </c>
    </row>
    <row r="1001">
      <c r="A1001" s="2">
        <f>IFERROR(__xludf.DUMMYFUNCTION("""COMPUTED_VALUE"""),45558.66666666667)</f>
        <v>45558.66667</v>
      </c>
      <c r="B1001" s="1">
        <f>IFERROR(__xludf.DUMMYFUNCTION("""COMPUTED_VALUE"""),258.79)</f>
        <v>258.79</v>
      </c>
    </row>
    <row r="1002">
      <c r="A1002" s="2">
        <f>IFERROR(__xludf.DUMMYFUNCTION("""COMPUTED_VALUE"""),45559.66666666667)</f>
        <v>45559.66667</v>
      </c>
      <c r="B1002" s="1">
        <f>IFERROR(__xludf.DUMMYFUNCTION("""COMPUTED_VALUE"""),267.13)</f>
        <v>267.13</v>
      </c>
    </row>
    <row r="1003">
      <c r="A1003" s="2">
        <f>IFERROR(__xludf.DUMMYFUNCTION("""COMPUTED_VALUE"""),45560.66666666667)</f>
        <v>45560.66667</v>
      </c>
      <c r="B1003" s="1">
        <f>IFERROR(__xludf.DUMMYFUNCTION("""COMPUTED_VALUE"""),263.77)</f>
        <v>263.77</v>
      </c>
    </row>
    <row r="1004">
      <c r="A1004" s="2">
        <f>IFERROR(__xludf.DUMMYFUNCTION("""COMPUTED_VALUE"""),45561.66666666667)</f>
        <v>45561.66667</v>
      </c>
      <c r="B1004" s="1">
        <f>IFERROR(__xludf.DUMMYFUNCTION("""COMPUTED_VALUE"""),266.33)</f>
        <v>266.33</v>
      </c>
    </row>
    <row r="1005">
      <c r="A1005" s="2">
        <f>IFERROR(__xludf.DUMMYFUNCTION("""COMPUTED_VALUE"""),45562.66666666667)</f>
        <v>45562.66667</v>
      </c>
      <c r="B1005" s="1">
        <f>IFERROR(__xludf.DUMMYFUNCTION("""COMPUTED_VALUE"""),267.55)</f>
        <v>267.55</v>
      </c>
    </row>
    <row r="1006">
      <c r="A1006" s="2">
        <f>IFERROR(__xludf.DUMMYFUNCTION("""COMPUTED_VALUE"""),45565.66666666667)</f>
        <v>45565.66667</v>
      </c>
      <c r="B1006" s="1">
        <f>IFERROR(__xludf.DUMMYFUNCTION("""COMPUTED_VALUE"""),273.68)</f>
        <v>273.68</v>
      </c>
    </row>
    <row r="1007">
      <c r="A1007" s="2">
        <f>IFERROR(__xludf.DUMMYFUNCTION("""COMPUTED_VALUE"""),45566.66666666667)</f>
        <v>45566.66667</v>
      </c>
      <c r="B1007" s="1">
        <f>IFERROR(__xludf.DUMMYFUNCTION("""COMPUTED_VALUE"""),269.56)</f>
        <v>269.56</v>
      </c>
    </row>
    <row r="1008">
      <c r="A1008" s="2">
        <f>IFERROR(__xludf.DUMMYFUNCTION("""COMPUTED_VALUE"""),45567.66666666667)</f>
        <v>45567.66667</v>
      </c>
      <c r="B1008" s="1">
        <f>IFERROR(__xludf.DUMMYFUNCTION("""COMPUTED_VALUE"""),266.93)</f>
        <v>266.93</v>
      </c>
    </row>
    <row r="1009">
      <c r="A1009" s="2">
        <f>IFERROR(__xludf.DUMMYFUNCTION("""COMPUTED_VALUE"""),45568.66666666667)</f>
        <v>45568.66667</v>
      </c>
      <c r="B1009" s="1">
        <f>IFERROR(__xludf.DUMMYFUNCTION("""COMPUTED_VALUE"""),262.08)</f>
        <v>262.08</v>
      </c>
    </row>
    <row r="1010">
      <c r="A1010" s="2">
        <f>IFERROR(__xludf.DUMMYFUNCTION("""COMPUTED_VALUE"""),45569.66666666667)</f>
        <v>45569.66667</v>
      </c>
      <c r="B1010" s="1">
        <f>IFERROR(__xludf.DUMMYFUNCTION("""COMPUTED_VALUE"""),260.84)</f>
        <v>260.84</v>
      </c>
    </row>
    <row r="1011">
      <c r="A1011" s="2">
        <f>IFERROR(__xludf.DUMMYFUNCTION("""COMPUTED_VALUE"""),45572.66666666667)</f>
        <v>45572.66667</v>
      </c>
      <c r="B1011" s="1">
        <f>IFERROR(__xludf.DUMMYFUNCTION("""COMPUTED_VALUE"""),260.5)</f>
        <v>260.5</v>
      </c>
    </row>
    <row r="1012">
      <c r="A1012" s="2">
        <f>IFERROR(__xludf.DUMMYFUNCTION("""COMPUTED_VALUE"""),45573.66666666667)</f>
        <v>45573.66667</v>
      </c>
      <c r="B1012" s="1">
        <f>IFERROR(__xludf.DUMMYFUNCTION("""COMPUTED_VALUE"""),261.4)</f>
        <v>261.4</v>
      </c>
    </row>
    <row r="1013">
      <c r="A1013" s="2">
        <f>IFERROR(__xludf.DUMMYFUNCTION("""COMPUTED_VALUE"""),45574.66666666667)</f>
        <v>45574.66667</v>
      </c>
      <c r="B1013" s="1">
        <f>IFERROR(__xludf.DUMMYFUNCTION("""COMPUTED_VALUE"""),264.64)</f>
        <v>264.64</v>
      </c>
    </row>
    <row r="1014">
      <c r="A1014" s="2">
        <f>IFERROR(__xludf.DUMMYFUNCTION("""COMPUTED_VALUE"""),45575.66666666667)</f>
        <v>45575.66667</v>
      </c>
      <c r="B1014" s="1">
        <f>IFERROR(__xludf.DUMMYFUNCTION("""COMPUTED_VALUE"""),264.27)</f>
        <v>264.27</v>
      </c>
    </row>
    <row r="1015">
      <c r="A1015" s="2">
        <f>IFERROR(__xludf.DUMMYFUNCTION("""COMPUTED_VALUE"""),45576.66666666667)</f>
        <v>45576.66667</v>
      </c>
      <c r="B1015" s="1">
        <f>IFERROR(__xludf.DUMMYFUNCTION("""COMPUTED_VALUE"""),264.36)</f>
        <v>264.36</v>
      </c>
    </row>
    <row r="1016">
      <c r="A1016" s="2">
        <f>IFERROR(__xludf.DUMMYFUNCTION("""COMPUTED_VALUE"""),45579.66666666667)</f>
        <v>45579.66667</v>
      </c>
      <c r="B1016" s="1">
        <f>IFERROR(__xludf.DUMMYFUNCTION("""COMPUTED_VALUE"""),267.45)</f>
        <v>267.45</v>
      </c>
    </row>
    <row r="1017">
      <c r="A1017" s="2">
        <f>IFERROR(__xludf.DUMMYFUNCTION("""COMPUTED_VALUE"""),45580.66666666667)</f>
        <v>45580.66667</v>
      </c>
      <c r="B1017" s="1">
        <f>IFERROR(__xludf.DUMMYFUNCTION("""COMPUTED_VALUE"""),265.92)</f>
        <v>265.92</v>
      </c>
    </row>
    <row r="1018">
      <c r="A1018" s="2">
        <f>IFERROR(__xludf.DUMMYFUNCTION("""COMPUTED_VALUE"""),45581.66666666667)</f>
        <v>45581.66667</v>
      </c>
      <c r="B1018" s="1">
        <f>IFERROR(__xludf.DUMMYFUNCTION("""COMPUTED_VALUE"""),271.8)</f>
        <v>271.8</v>
      </c>
    </row>
    <row r="1019">
      <c r="A1019" s="2">
        <f>IFERROR(__xludf.DUMMYFUNCTION("""COMPUTED_VALUE"""),45582.66666666667)</f>
        <v>45582.66667</v>
      </c>
      <c r="B1019" s="1">
        <f>IFERROR(__xludf.DUMMYFUNCTION("""COMPUTED_VALUE"""),274.26)</f>
        <v>274.26</v>
      </c>
    </row>
    <row r="1020">
      <c r="A1020" s="2">
        <f>IFERROR(__xludf.DUMMYFUNCTION("""COMPUTED_VALUE"""),45583.66666666667)</f>
        <v>45583.66667</v>
      </c>
      <c r="B1020" s="1">
        <f>IFERROR(__xludf.DUMMYFUNCTION("""COMPUTED_VALUE"""),274.4)</f>
        <v>274.4</v>
      </c>
    </row>
    <row r="1021">
      <c r="A1021" s="2">
        <f>IFERROR(__xludf.DUMMYFUNCTION("""COMPUTED_VALUE"""),45586.66666666667)</f>
        <v>45586.66667</v>
      </c>
      <c r="B1021" s="1">
        <f>IFERROR(__xludf.DUMMYFUNCTION("""COMPUTED_VALUE"""),268.81)</f>
        <v>268.81</v>
      </c>
    </row>
    <row r="1022">
      <c r="A1022" s="2">
        <f>IFERROR(__xludf.DUMMYFUNCTION("""COMPUTED_VALUE"""),45587.66666666667)</f>
        <v>45587.66667</v>
      </c>
      <c r="B1022" s="1">
        <f>IFERROR(__xludf.DUMMYFUNCTION("""COMPUTED_VALUE"""),269.79)</f>
        <v>269.79</v>
      </c>
    </row>
    <row r="1023">
      <c r="A1023" s="2">
        <f>IFERROR(__xludf.DUMMYFUNCTION("""COMPUTED_VALUE"""),45588.66666666667)</f>
        <v>45588.66667</v>
      </c>
      <c r="B1023" s="1">
        <f>IFERROR(__xludf.DUMMYFUNCTION("""COMPUTED_VALUE"""),268.05)</f>
        <v>268.05</v>
      </c>
    </row>
    <row r="1024">
      <c r="A1024" s="2">
        <f>IFERROR(__xludf.DUMMYFUNCTION("""COMPUTED_VALUE"""),45589.66666666667)</f>
        <v>45589.66667</v>
      </c>
      <c r="B1024" s="1">
        <f>IFERROR(__xludf.DUMMYFUNCTION("""COMPUTED_VALUE"""),272.87)</f>
        <v>272.87</v>
      </c>
    </row>
    <row r="1025">
      <c r="A1025" s="2">
        <f>IFERROR(__xludf.DUMMYFUNCTION("""COMPUTED_VALUE"""),45590.66666666667)</f>
        <v>45590.66667</v>
      </c>
      <c r="B1025" s="1">
        <f>IFERROR(__xludf.DUMMYFUNCTION("""COMPUTED_VALUE"""),272.12)</f>
        <v>272.12</v>
      </c>
    </row>
    <row r="1026">
      <c r="A1026" s="2">
        <f>IFERROR(__xludf.DUMMYFUNCTION("""COMPUTED_VALUE"""),45593.66666666667)</f>
        <v>45593.66667</v>
      </c>
      <c r="B1026" s="1">
        <f>IFERROR(__xludf.DUMMYFUNCTION("""COMPUTED_VALUE"""),275.45)</f>
        <v>275.45</v>
      </c>
    </row>
    <row r="1027">
      <c r="A1027" s="2">
        <f>IFERROR(__xludf.DUMMYFUNCTION("""COMPUTED_VALUE"""),45594.66666666667)</f>
        <v>45594.66667</v>
      </c>
      <c r="B1027" s="1">
        <f>IFERROR(__xludf.DUMMYFUNCTION("""COMPUTED_VALUE"""),275.04)</f>
        <v>275.04</v>
      </c>
    </row>
    <row r="1028">
      <c r="A1028" s="2">
        <f>IFERROR(__xludf.DUMMYFUNCTION("""COMPUTED_VALUE"""),45595.66666666667)</f>
        <v>45595.66667</v>
      </c>
      <c r="B1028" s="1">
        <f>IFERROR(__xludf.DUMMYFUNCTION("""COMPUTED_VALUE"""),274.08)</f>
        <v>274.08</v>
      </c>
    </row>
    <row r="1029">
      <c r="A1029" s="2">
        <f>IFERROR(__xludf.DUMMYFUNCTION("""COMPUTED_VALUE"""),45596.66666666667)</f>
        <v>45596.66667</v>
      </c>
      <c r="B1029" s="1">
        <f>IFERROR(__xludf.DUMMYFUNCTION("""COMPUTED_VALUE"""),273.85)</f>
        <v>273.85</v>
      </c>
    </row>
    <row r="1030">
      <c r="A1030" s="2">
        <f>IFERROR(__xludf.DUMMYFUNCTION("""COMPUTED_VALUE"""),45597.66666666667)</f>
        <v>45597.66667</v>
      </c>
      <c r="B1030" s="1">
        <f>IFERROR(__xludf.DUMMYFUNCTION("""COMPUTED_VALUE"""),274.35)</f>
        <v>274.35</v>
      </c>
    </row>
    <row r="1031">
      <c r="A1031" s="2">
        <f>IFERROR(__xludf.DUMMYFUNCTION("""COMPUTED_VALUE"""),45600.66666666667)</f>
        <v>45600.66667</v>
      </c>
      <c r="B1031" s="1">
        <f>IFERROR(__xludf.DUMMYFUNCTION("""COMPUTED_VALUE"""),271.18)</f>
        <v>271.18</v>
      </c>
    </row>
    <row r="1032">
      <c r="A1032" s="2">
        <f>IFERROR(__xludf.DUMMYFUNCTION("""COMPUTED_VALUE"""),45601.66666666667)</f>
        <v>45601.66667</v>
      </c>
      <c r="B1032" s="1">
        <f>IFERROR(__xludf.DUMMYFUNCTION("""COMPUTED_VALUE"""),275.42)</f>
        <v>275.42</v>
      </c>
    </row>
    <row r="1033">
      <c r="A1033" s="2">
        <f>IFERROR(__xludf.DUMMYFUNCTION("""COMPUTED_VALUE"""),45602.66666666667)</f>
        <v>45602.66667</v>
      </c>
      <c r="B1033" s="1">
        <f>IFERROR(__xludf.DUMMYFUNCTION("""COMPUTED_VALUE"""),280.06)</f>
        <v>280.06</v>
      </c>
    </row>
    <row r="1034">
      <c r="A1034" s="2">
        <f>IFERROR(__xludf.DUMMYFUNCTION("""COMPUTED_VALUE"""),45603.66666666667)</f>
        <v>45603.66667</v>
      </c>
      <c r="B1034" s="1">
        <f>IFERROR(__xludf.DUMMYFUNCTION("""COMPUTED_VALUE"""),283.21)</f>
        <v>283.21</v>
      </c>
    </row>
    <row r="1035">
      <c r="A1035" s="2">
        <f>IFERROR(__xludf.DUMMYFUNCTION("""COMPUTED_VALUE"""),45604.66666666667)</f>
        <v>45604.66667</v>
      </c>
      <c r="B1035" s="1">
        <f>IFERROR(__xludf.DUMMYFUNCTION("""COMPUTED_VALUE"""),286.28)</f>
        <v>286.28</v>
      </c>
    </row>
    <row r="1036">
      <c r="A1036" s="2">
        <f>IFERROR(__xludf.DUMMYFUNCTION("""COMPUTED_VALUE"""),45607.66666666667)</f>
        <v>45607.66667</v>
      </c>
      <c r="B1036" s="1">
        <f>IFERROR(__xludf.DUMMYFUNCTION("""COMPUTED_VALUE"""),289.79)</f>
        <v>289.79</v>
      </c>
    </row>
    <row r="1037">
      <c r="A1037" s="2">
        <f>IFERROR(__xludf.DUMMYFUNCTION("""COMPUTED_VALUE"""),45608.66666666667)</f>
        <v>45608.66667</v>
      </c>
      <c r="B1037" s="1">
        <f>IFERROR(__xludf.DUMMYFUNCTION("""COMPUTED_VALUE"""),287.27)</f>
        <v>287.27</v>
      </c>
    </row>
    <row r="1038">
      <c r="A1038" s="2">
        <f>IFERROR(__xludf.DUMMYFUNCTION("""COMPUTED_VALUE"""),45609.66666666667)</f>
        <v>45609.66667</v>
      </c>
      <c r="B1038" s="1">
        <f>IFERROR(__xludf.DUMMYFUNCTION("""COMPUTED_VALUE"""),291.89)</f>
        <v>291.89</v>
      </c>
    </row>
    <row r="1039">
      <c r="A1039" s="2">
        <f>IFERROR(__xludf.DUMMYFUNCTION("""COMPUTED_VALUE"""),45610.66666666667)</f>
        <v>45610.66667</v>
      </c>
      <c r="B1039" s="1">
        <f>IFERROR(__xludf.DUMMYFUNCTION("""COMPUTED_VALUE"""),292.29)</f>
        <v>292.29</v>
      </c>
    </row>
    <row r="1040">
      <c r="A1040" s="2">
        <f>IFERROR(__xludf.DUMMYFUNCTION("""COMPUTED_VALUE"""),45611.66666666667)</f>
        <v>45611.66667</v>
      </c>
      <c r="B1040" s="1">
        <f>IFERROR(__xludf.DUMMYFUNCTION("""COMPUTED_VALUE"""),294.46)</f>
        <v>294.46</v>
      </c>
    </row>
    <row r="1041">
      <c r="A1041" s="2">
        <f>IFERROR(__xludf.DUMMYFUNCTION("""COMPUTED_VALUE"""),45614.66666666667)</f>
        <v>45614.66667</v>
      </c>
      <c r="B1041" s="1">
        <f>IFERROR(__xludf.DUMMYFUNCTION("""COMPUTED_VALUE"""),295.21)</f>
        <v>295.21</v>
      </c>
    </row>
    <row r="1042">
      <c r="A1042" s="2">
        <f>IFERROR(__xludf.DUMMYFUNCTION("""COMPUTED_VALUE"""),45615.66666666667)</f>
        <v>45615.66667</v>
      </c>
      <c r="B1042" s="1">
        <f>IFERROR(__xludf.DUMMYFUNCTION("""COMPUTED_VALUE"""),293.06)</f>
        <v>293.06</v>
      </c>
    </row>
    <row r="1043">
      <c r="A1043" s="2">
        <f>IFERROR(__xludf.DUMMYFUNCTION("""COMPUTED_VALUE"""),45616.66666666667)</f>
        <v>45616.66667</v>
      </c>
      <c r="B1043" s="1">
        <f>IFERROR(__xludf.DUMMYFUNCTION("""COMPUTED_VALUE"""),288.03)</f>
        <v>288.03</v>
      </c>
    </row>
    <row r="1044">
      <c r="A1044" s="2">
        <f>IFERROR(__xludf.DUMMYFUNCTION("""COMPUTED_VALUE"""),45617.66666666667)</f>
        <v>45617.66667</v>
      </c>
      <c r="B1044" s="1">
        <f>IFERROR(__xludf.DUMMYFUNCTION("""COMPUTED_VALUE"""),295.16)</f>
        <v>295.16</v>
      </c>
    </row>
    <row r="1045">
      <c r="A1045" s="2">
        <f>IFERROR(__xludf.DUMMYFUNCTION("""COMPUTED_VALUE"""),45618.66666666667)</f>
        <v>45618.66667</v>
      </c>
      <c r="B1045" s="1">
        <f>IFERROR(__xludf.DUMMYFUNCTION("""COMPUTED_VALUE"""),299.97)</f>
        <v>299.97</v>
      </c>
    </row>
    <row r="1046">
      <c r="A1046" s="2">
        <f>IFERROR(__xludf.DUMMYFUNCTION("""COMPUTED_VALUE"""),45621.66666666667)</f>
        <v>45621.66667</v>
      </c>
      <c r="B1046" s="1">
        <f>IFERROR(__xludf.DUMMYFUNCTION("""COMPUTED_VALUE"""),305.15)</f>
        <v>305.15</v>
      </c>
    </row>
    <row r="1047">
      <c r="A1047" s="2">
        <f>IFERROR(__xludf.DUMMYFUNCTION("""COMPUTED_VALUE"""),45622.66666666667)</f>
        <v>45622.66667</v>
      </c>
      <c r="B1047" s="1">
        <f>IFERROR(__xludf.DUMMYFUNCTION("""COMPUTED_VALUE"""),302.98)</f>
        <v>302.98</v>
      </c>
    </row>
    <row r="1048">
      <c r="A1048" s="2">
        <f>IFERROR(__xludf.DUMMYFUNCTION("""COMPUTED_VALUE"""),45623.66666666667)</f>
        <v>45623.66667</v>
      </c>
      <c r="B1048" s="1">
        <f>IFERROR(__xludf.DUMMYFUNCTION("""COMPUTED_VALUE"""),303.39)</f>
        <v>303.39</v>
      </c>
    </row>
    <row r="1049">
      <c r="A1049" s="2">
        <f>IFERROR(__xludf.DUMMYFUNCTION("""COMPUTED_VALUE"""),45625.54166666667)</f>
        <v>45625.54167</v>
      </c>
      <c r="B1049" s="1">
        <f>IFERROR(__xludf.DUMMYFUNCTION("""COMPUTED_VALUE"""),302.67)</f>
        <v>302.67</v>
      </c>
    </row>
    <row r="1050">
      <c r="A1050" s="2">
        <f>IFERROR(__xludf.DUMMYFUNCTION("""COMPUTED_VALUE"""),45628.66666666667)</f>
        <v>45628.66667</v>
      </c>
      <c r="B1050" s="1">
        <f>IFERROR(__xludf.DUMMYFUNCTION("""COMPUTED_VALUE"""),296.69)</f>
        <v>296.69</v>
      </c>
    </row>
    <row r="1051">
      <c r="A1051" s="2">
        <f>IFERROR(__xludf.DUMMYFUNCTION("""COMPUTED_VALUE"""),45629.66666666667)</f>
        <v>45629.66667</v>
      </c>
      <c r="B1051" s="1">
        <f>IFERROR(__xludf.DUMMYFUNCTION("""COMPUTED_VALUE"""),282.85)</f>
        <v>282.85</v>
      </c>
    </row>
    <row r="1052">
      <c r="A1052" s="2">
        <f>IFERROR(__xludf.DUMMYFUNCTION("""COMPUTED_VALUE"""),45630.66666666667)</f>
        <v>45630.66667</v>
      </c>
      <c r="B1052" s="1">
        <f>IFERROR(__xludf.DUMMYFUNCTION("""COMPUTED_VALUE"""),283.43)</f>
        <v>283.43</v>
      </c>
    </row>
    <row r="1053">
      <c r="A1053" s="2">
        <f>IFERROR(__xludf.DUMMYFUNCTION("""COMPUTED_VALUE"""),45631.66666666667)</f>
        <v>45631.66667</v>
      </c>
      <c r="B1053" s="1">
        <f>IFERROR(__xludf.DUMMYFUNCTION("""COMPUTED_VALUE"""),279.42)</f>
        <v>279.42</v>
      </c>
    </row>
    <row r="1054">
      <c r="A1054" s="2">
        <f>IFERROR(__xludf.DUMMYFUNCTION("""COMPUTED_VALUE"""),45632.66666666667)</f>
        <v>45632.66667</v>
      </c>
      <c r="B1054" s="1">
        <f>IFERROR(__xludf.DUMMYFUNCTION("""COMPUTED_VALUE"""),280.68)</f>
        <v>280.68</v>
      </c>
    </row>
    <row r="1055">
      <c r="A1055" s="2">
        <f>IFERROR(__xludf.DUMMYFUNCTION("""COMPUTED_VALUE"""),45635.66666666667)</f>
        <v>45635.66667</v>
      </c>
      <c r="B1055" s="1">
        <f>IFERROR(__xludf.DUMMYFUNCTION("""COMPUTED_VALUE"""),279.53)</f>
        <v>279.53</v>
      </c>
    </row>
    <row r="1056">
      <c r="A1056" s="2">
        <f>IFERROR(__xludf.DUMMYFUNCTION("""COMPUTED_VALUE"""),45636.66666666667)</f>
        <v>45636.66667</v>
      </c>
      <c r="B1056" s="1">
        <f>IFERROR(__xludf.DUMMYFUNCTION("""COMPUTED_VALUE"""),279.32)</f>
        <v>279.32</v>
      </c>
    </row>
    <row r="1057">
      <c r="A1057" s="2">
        <f>IFERROR(__xludf.DUMMYFUNCTION("""COMPUTED_VALUE"""),45637.66666666667)</f>
        <v>45637.66667</v>
      </c>
      <c r="B1057" s="1">
        <f>IFERROR(__xludf.DUMMYFUNCTION("""COMPUTED_VALUE"""),281.16)</f>
        <v>281.16</v>
      </c>
    </row>
    <row r="1058">
      <c r="A1058" s="2">
        <f>IFERROR(__xludf.DUMMYFUNCTION("""COMPUTED_VALUE"""),45638.66666666667)</f>
        <v>45638.66667</v>
      </c>
      <c r="B1058" s="1">
        <f>IFERROR(__xludf.DUMMYFUNCTION("""COMPUTED_VALUE"""),283.69)</f>
        <v>283.69</v>
      </c>
    </row>
    <row r="1059">
      <c r="A1059" s="2">
        <f>IFERROR(__xludf.DUMMYFUNCTION("""COMPUTED_VALUE"""),45639.66666666667)</f>
        <v>45639.66667</v>
      </c>
      <c r="B1059" s="1">
        <f>IFERROR(__xludf.DUMMYFUNCTION("""COMPUTED_VALUE"""),283.42)</f>
        <v>283.42</v>
      </c>
    </row>
    <row r="1060">
      <c r="A1060" s="2">
        <f>IFERROR(__xludf.DUMMYFUNCTION("""COMPUTED_VALUE"""),45642.66666666667)</f>
        <v>45642.66667</v>
      </c>
      <c r="B1060" s="1">
        <f>IFERROR(__xludf.DUMMYFUNCTION("""COMPUTED_VALUE"""),283.44)</f>
        <v>283.44</v>
      </c>
    </row>
    <row r="1061">
      <c r="A1061" s="2">
        <f>IFERROR(__xludf.DUMMYFUNCTION("""COMPUTED_VALUE"""),45643.66666666667)</f>
        <v>45643.66667</v>
      </c>
      <c r="B1061" s="1">
        <f>IFERROR(__xludf.DUMMYFUNCTION("""COMPUTED_VALUE"""),277.43)</f>
        <v>277.43</v>
      </c>
    </row>
    <row r="1062">
      <c r="A1062" s="2">
        <f>IFERROR(__xludf.DUMMYFUNCTION("""COMPUTED_VALUE"""),45644.66666666667)</f>
        <v>45644.66667</v>
      </c>
      <c r="B1062" s="1">
        <f>IFERROR(__xludf.DUMMYFUNCTION("""COMPUTED_VALUE"""),273.16)</f>
        <v>273.16</v>
      </c>
    </row>
    <row r="1063">
      <c r="A1063" s="2">
        <f>IFERROR(__xludf.DUMMYFUNCTION("""COMPUTED_VALUE"""),45645.66666666667)</f>
        <v>45645.66667</v>
      </c>
      <c r="B1063" s="1">
        <f>IFERROR(__xludf.DUMMYFUNCTION("""COMPUTED_VALUE"""),275.88)</f>
        <v>275.88</v>
      </c>
    </row>
    <row r="1064">
      <c r="A1064" s="2">
        <f>IFERROR(__xludf.DUMMYFUNCTION("""COMPUTED_VALUE"""),45646.66666666667)</f>
        <v>45646.66667</v>
      </c>
      <c r="B1064" s="1">
        <f>IFERROR(__xludf.DUMMYFUNCTION("""COMPUTED_VALUE"""),275.73)</f>
        <v>275.73</v>
      </c>
    </row>
    <row r="1065">
      <c r="A1065" s="2">
        <f>IFERROR(__xludf.DUMMYFUNCTION("""COMPUTED_VALUE"""),45649.66666666667)</f>
        <v>45649.66667</v>
      </c>
      <c r="B1065" s="1">
        <f>IFERROR(__xludf.DUMMYFUNCTION("""COMPUTED_VALUE"""),269.01)</f>
        <v>269.01</v>
      </c>
    </row>
    <row r="1066">
      <c r="A1066" s="2">
        <f>IFERROR(__xludf.DUMMYFUNCTION("""COMPUTED_VALUE"""),45650.54166666667)</f>
        <v>45650.54167</v>
      </c>
      <c r="B1066" s="1">
        <f>IFERROR(__xludf.DUMMYFUNCTION("""COMPUTED_VALUE"""),271.84)</f>
        <v>271.84</v>
      </c>
    </row>
    <row r="1067">
      <c r="A1067" s="2">
        <f>IFERROR(__xludf.DUMMYFUNCTION("""COMPUTED_VALUE"""),45652.66666666667)</f>
        <v>45652.66667</v>
      </c>
      <c r="B1067" s="1">
        <f>IFERROR(__xludf.DUMMYFUNCTION("""COMPUTED_VALUE"""),278.66)</f>
        <v>278.66</v>
      </c>
    </row>
    <row r="1068">
      <c r="A1068" s="2">
        <f>IFERROR(__xludf.DUMMYFUNCTION("""COMPUTED_VALUE"""),45653.66666666667)</f>
        <v>45653.66667</v>
      </c>
      <c r="B1068" s="1">
        <f>IFERROR(__xludf.DUMMYFUNCTION("""COMPUTED_VALUE"""),280.36)</f>
        <v>280.36</v>
      </c>
    </row>
    <row r="1069">
      <c r="A1069" s="2">
        <f>IFERROR(__xludf.DUMMYFUNCTION("""COMPUTED_VALUE"""),45656.66666666667)</f>
        <v>45656.66667</v>
      </c>
      <c r="B1069" s="1">
        <f>IFERROR(__xludf.DUMMYFUNCTION("""COMPUTED_VALUE"""),280.55)</f>
        <v>280.55</v>
      </c>
    </row>
    <row r="1070">
      <c r="A1070" s="2">
        <f>IFERROR(__xludf.DUMMYFUNCTION("""COMPUTED_VALUE"""),45657.66666666667)</f>
        <v>45657.66667</v>
      </c>
      <c r="B1070" s="1">
        <f>IFERROR(__xludf.DUMMYFUNCTION("""COMPUTED_VALUE"""),281.33)</f>
        <v>281.33</v>
      </c>
    </row>
    <row r="1071">
      <c r="A1071" s="2">
        <f>IFERROR(__xludf.DUMMYFUNCTION("""COMPUTED_VALUE"""),45659.66666666667)</f>
        <v>45659.66667</v>
      </c>
      <c r="B1071" s="1">
        <f>IFERROR(__xludf.DUMMYFUNCTION("""COMPUTED_VALUE"""),274.28)</f>
        <v>274.28</v>
      </c>
    </row>
    <row r="1072">
      <c r="A1072" s="2">
        <f>IFERROR(__xludf.DUMMYFUNCTION("""COMPUTED_VALUE"""),45660.66666666667)</f>
        <v>45660.66667</v>
      </c>
      <c r="B1072" s="1">
        <f>IFERROR(__xludf.DUMMYFUNCTION("""COMPUTED_VALUE"""),274.41)</f>
        <v>274.41</v>
      </c>
    </row>
    <row r="1073">
      <c r="A1073" s="2">
        <f>IFERROR(__xludf.DUMMYFUNCTION("""COMPUTED_VALUE"""),45663.66666666667)</f>
        <v>45663.66667</v>
      </c>
      <c r="B1073" s="1">
        <f>IFERROR(__xludf.DUMMYFUNCTION("""COMPUTED_VALUE"""),273.97)</f>
        <v>273.97</v>
      </c>
    </row>
    <row r="1074">
      <c r="A1074" s="2">
        <f>IFERROR(__xludf.DUMMYFUNCTION("""COMPUTED_VALUE"""),45664.66666666667)</f>
        <v>45664.66667</v>
      </c>
      <c r="B1074" s="1">
        <f>IFERROR(__xludf.DUMMYFUNCTION("""COMPUTED_VALUE"""),275.0)</f>
        <v>275</v>
      </c>
    </row>
    <row r="1075">
      <c r="A1075" s="2">
        <f>IFERROR(__xludf.DUMMYFUNCTION("""COMPUTED_VALUE"""),45665.66666666667)</f>
        <v>45665.66667</v>
      </c>
      <c r="B1075" s="1">
        <f>IFERROR(__xludf.DUMMYFUNCTION("""COMPUTED_VALUE"""),274.9)</f>
        <v>274.9</v>
      </c>
    </row>
    <row r="1076">
      <c r="A1076" s="2">
        <f>IFERROR(__xludf.DUMMYFUNCTION("""COMPUTED_VALUE"""),45667.66666666667)</f>
        <v>45667.66667</v>
      </c>
      <c r="B1076" s="1">
        <f>IFERROR(__xludf.DUMMYFUNCTION("""COMPUTED_VALUE"""),270.73)</f>
        <v>270.73</v>
      </c>
    </row>
    <row r="1077">
      <c r="A1077" s="2">
        <f>IFERROR(__xludf.DUMMYFUNCTION("""COMPUTED_VALUE"""),45670.66666666667)</f>
        <v>45670.66667</v>
      </c>
      <c r="B1077" s="1">
        <f>IFERROR(__xludf.DUMMYFUNCTION("""COMPUTED_VALUE"""),274.59)</f>
        <v>274.59</v>
      </c>
    </row>
    <row r="1078">
      <c r="A1078" s="2">
        <f>IFERROR(__xludf.DUMMYFUNCTION("""COMPUTED_VALUE"""),45671.66666666667)</f>
        <v>45671.66667</v>
      </c>
      <c r="B1078" s="1">
        <f>IFERROR(__xludf.DUMMYFUNCTION("""COMPUTED_VALUE"""),277.62)</f>
        <v>277.62</v>
      </c>
    </row>
    <row r="1079">
      <c r="A1079" s="2">
        <f>IFERROR(__xludf.DUMMYFUNCTION("""COMPUTED_VALUE"""),45672.66666666667)</f>
        <v>45672.66667</v>
      </c>
      <c r="B1079" s="1">
        <f>IFERROR(__xludf.DUMMYFUNCTION("""COMPUTED_VALUE"""),276.59)</f>
        <v>276.59</v>
      </c>
    </row>
    <row r="1080">
      <c r="A1080" s="2">
        <f>IFERROR(__xludf.DUMMYFUNCTION("""COMPUTED_VALUE"""),45673.66666666667)</f>
        <v>45673.66667</v>
      </c>
      <c r="B1080" s="1">
        <f>IFERROR(__xludf.DUMMYFUNCTION("""COMPUTED_VALUE"""),277.37)</f>
        <v>277.37</v>
      </c>
    </row>
    <row r="1081">
      <c r="A1081" s="2">
        <f>IFERROR(__xludf.DUMMYFUNCTION("""COMPUTED_VALUE"""),45674.66666666667)</f>
        <v>45674.66667</v>
      </c>
      <c r="B1081" s="1">
        <f>IFERROR(__xludf.DUMMYFUNCTION("""COMPUTED_VALUE"""),275.1)</f>
        <v>275.1</v>
      </c>
    </row>
    <row r="1082">
      <c r="A1082" s="2">
        <f>IFERROR(__xludf.DUMMYFUNCTION("""COMPUTED_VALUE"""),45678.66666666667)</f>
        <v>45678.66667</v>
      </c>
      <c r="B1082" s="1">
        <f>IFERROR(__xludf.DUMMYFUNCTION("""COMPUTED_VALUE"""),275.57)</f>
        <v>275.57</v>
      </c>
    </row>
    <row r="1083">
      <c r="A1083" s="2">
        <f>IFERROR(__xludf.DUMMYFUNCTION("""COMPUTED_VALUE"""),45679.66666666667)</f>
        <v>45679.66667</v>
      </c>
      <c r="B1083" s="1">
        <f>IFERROR(__xludf.DUMMYFUNCTION("""COMPUTED_VALUE"""),270.43)</f>
        <v>270.43</v>
      </c>
    </row>
    <row r="1084">
      <c r="A1084" s="2">
        <f>IFERROR(__xludf.DUMMYFUNCTION("""COMPUTED_VALUE"""),45680.66666666667)</f>
        <v>45680.66667</v>
      </c>
      <c r="B1084" s="1">
        <f>IFERROR(__xludf.DUMMYFUNCTION("""COMPUTED_VALUE"""),270.03)</f>
        <v>270.03</v>
      </c>
    </row>
    <row r="1085">
      <c r="A1085" s="2">
        <f>IFERROR(__xludf.DUMMYFUNCTION("""COMPUTED_VALUE"""),45681.66666666667)</f>
        <v>45681.66667</v>
      </c>
      <c r="B1085" s="1">
        <f>IFERROR(__xludf.DUMMYFUNCTION("""COMPUTED_VALUE"""),273.29)</f>
        <v>273.29</v>
      </c>
    </row>
    <row r="1086">
      <c r="A1086" s="2">
        <f>IFERROR(__xludf.DUMMYFUNCTION("""COMPUTED_VALUE"""),45684.66666666667)</f>
        <v>45684.66667</v>
      </c>
      <c r="B1086" s="1">
        <f>IFERROR(__xludf.DUMMYFUNCTION("""COMPUTED_VALUE"""),281.53)</f>
        <v>281.53</v>
      </c>
    </row>
    <row r="1087">
      <c r="A1087" s="2">
        <f>IFERROR(__xludf.DUMMYFUNCTION("""COMPUTED_VALUE"""),45685.66666666667)</f>
        <v>45685.66667</v>
      </c>
      <c r="B1087" s="1">
        <f>IFERROR(__xludf.DUMMYFUNCTION("""COMPUTED_VALUE"""),278.65)</f>
        <v>278.65</v>
      </c>
    </row>
    <row r="1088">
      <c r="A1088" s="2">
        <f>IFERROR(__xludf.DUMMYFUNCTION("""COMPUTED_VALUE"""),45686.66666666667)</f>
        <v>45686.66667</v>
      </c>
      <c r="B1088" s="1">
        <f>IFERROR(__xludf.DUMMYFUNCTION("""COMPUTED_VALUE"""),275.06)</f>
        <v>275.06</v>
      </c>
    </row>
    <row r="1089">
      <c r="A1089" s="2">
        <f>IFERROR(__xludf.DUMMYFUNCTION("""COMPUTED_VALUE"""),45687.66666666667)</f>
        <v>45687.66667</v>
      </c>
      <c r="B1089" s="1">
        <f>IFERROR(__xludf.DUMMYFUNCTION("""COMPUTED_VALUE"""),269.24)</f>
        <v>269.24</v>
      </c>
    </row>
    <row r="1090">
      <c r="A1090" s="2">
        <f>IFERROR(__xludf.DUMMYFUNCTION("""COMPUTED_VALUE"""),45688.66666666667)</f>
        <v>45688.66667</v>
      </c>
      <c r="B1090" s="1">
        <f>IFERROR(__xludf.DUMMYFUNCTION("""COMPUTED_VALUE"""),264.87)</f>
        <v>264.87</v>
      </c>
    </row>
    <row r="1091">
      <c r="A1091" s="2">
        <f>IFERROR(__xludf.DUMMYFUNCTION("""COMPUTED_VALUE"""),45691.66666666667)</f>
        <v>45691.66667</v>
      </c>
      <c r="B1091" s="1">
        <f>IFERROR(__xludf.DUMMYFUNCTION("""COMPUTED_VALUE"""),247.34)</f>
        <v>247.34</v>
      </c>
    </row>
    <row r="1092">
      <c r="A1092" s="2">
        <f>IFERROR(__xludf.DUMMYFUNCTION("""COMPUTED_VALUE"""),45692.66666666667)</f>
        <v>45692.66667</v>
      </c>
      <c r="B1092" s="1">
        <f>IFERROR(__xludf.DUMMYFUNCTION("""COMPUTED_VALUE"""),250.95)</f>
        <v>250.95</v>
      </c>
    </row>
    <row r="1093">
      <c r="A1093" s="2">
        <f>IFERROR(__xludf.DUMMYFUNCTION("""COMPUTED_VALUE"""),45693.66666666667)</f>
        <v>45693.66667</v>
      </c>
      <c r="B1093" s="1">
        <f>IFERROR(__xludf.DUMMYFUNCTION("""COMPUTED_VALUE"""),252.41)</f>
        <v>252.41</v>
      </c>
    </row>
    <row r="1094">
      <c r="A1094" s="2">
        <f>IFERROR(__xludf.DUMMYFUNCTION("""COMPUTED_VALUE"""),45694.66666666667)</f>
        <v>45694.66667</v>
      </c>
      <c r="B1094" s="1">
        <f>IFERROR(__xludf.DUMMYFUNCTION("""COMPUTED_VALUE"""),258.77)</f>
        <v>258.77</v>
      </c>
    </row>
    <row r="1095">
      <c r="A1095" s="2">
        <f>IFERROR(__xludf.DUMMYFUNCTION("""COMPUTED_VALUE"""),45695.66666666667)</f>
        <v>45695.66667</v>
      </c>
      <c r="B1095" s="1">
        <f>IFERROR(__xludf.DUMMYFUNCTION("""COMPUTED_VALUE"""),256.08)</f>
        <v>256.08</v>
      </c>
    </row>
    <row r="1096">
      <c r="A1096" s="2">
        <f>IFERROR(__xludf.DUMMYFUNCTION("""COMPUTED_VALUE"""),45698.66666666667)</f>
        <v>45698.66667</v>
      </c>
      <c r="B1096" s="1">
        <f>IFERROR(__xludf.DUMMYFUNCTION("""COMPUTED_VALUE"""),258.23)</f>
        <v>258.23</v>
      </c>
    </row>
    <row r="1097">
      <c r="A1097" s="2">
        <f>IFERROR(__xludf.DUMMYFUNCTION("""COMPUTED_VALUE"""),45699.66666666667)</f>
        <v>45699.66667</v>
      </c>
      <c r="B1097" s="1">
        <f>IFERROR(__xludf.DUMMYFUNCTION("""COMPUTED_VALUE"""),261.26)</f>
        <v>261.26</v>
      </c>
    </row>
    <row r="1098">
      <c r="A1098" s="2">
        <f>IFERROR(__xludf.DUMMYFUNCTION("""COMPUTED_VALUE"""),45700.66666666667)</f>
        <v>45700.66667</v>
      </c>
      <c r="B1098" s="1">
        <f>IFERROR(__xludf.DUMMYFUNCTION("""COMPUTED_VALUE"""),262.65)</f>
        <v>262.65</v>
      </c>
    </row>
    <row r="1099">
      <c r="A1099" s="2">
        <f>IFERROR(__xludf.DUMMYFUNCTION("""COMPUTED_VALUE"""),45701.66666666667)</f>
        <v>45701.66667</v>
      </c>
      <c r="B1099" s="1">
        <f>IFERROR(__xludf.DUMMYFUNCTION("""COMPUTED_VALUE"""),263.12)</f>
        <v>263.12</v>
      </c>
    </row>
    <row r="1100">
      <c r="A1100" s="2">
        <f>IFERROR(__xludf.DUMMYFUNCTION("""COMPUTED_VALUE"""),45702.66666666667)</f>
        <v>45702.66667</v>
      </c>
      <c r="B1100" s="1">
        <f>IFERROR(__xludf.DUMMYFUNCTION("""COMPUTED_VALUE"""),267.77)</f>
        <v>267.77</v>
      </c>
    </row>
    <row r="1101">
      <c r="A1101" s="2">
        <f>IFERROR(__xludf.DUMMYFUNCTION("""COMPUTED_VALUE"""),45706.66666666667)</f>
        <v>45706.66667</v>
      </c>
      <c r="B1101" s="1">
        <f>IFERROR(__xludf.DUMMYFUNCTION("""COMPUTED_VALUE"""),267.45)</f>
        <v>267.45</v>
      </c>
    </row>
    <row r="1102">
      <c r="A1102" s="2">
        <f>IFERROR(__xludf.DUMMYFUNCTION("""COMPUTED_VALUE"""),45707.66666666667)</f>
        <v>45707.66667</v>
      </c>
      <c r="B1102" s="1">
        <f>IFERROR(__xludf.DUMMYFUNCTION("""COMPUTED_VALUE"""),266.87)</f>
        <v>266.87</v>
      </c>
    </row>
    <row r="1103">
      <c r="A1103" s="2">
        <f>IFERROR(__xludf.DUMMYFUNCTION("""COMPUTED_VALUE"""),45708.66666666667)</f>
        <v>45708.66667</v>
      </c>
      <c r="B1103" s="1">
        <f>IFERROR(__xludf.DUMMYFUNCTION("""COMPUTED_VALUE"""),268.46)</f>
        <v>268.46</v>
      </c>
    </row>
    <row r="1104">
      <c r="A1104" s="2">
        <f>IFERROR(__xludf.DUMMYFUNCTION("""COMPUTED_VALUE"""),45709.66666666667)</f>
        <v>45709.66667</v>
      </c>
      <c r="B1104" s="1">
        <f>IFERROR(__xludf.DUMMYFUNCTION("""COMPUTED_VALUE"""),254.19)</f>
        <v>254.19</v>
      </c>
    </row>
    <row r="1105">
      <c r="A1105" s="2">
        <f>IFERROR(__xludf.DUMMYFUNCTION("""COMPUTED_VALUE"""),45712.66666666667)</f>
        <v>45712.66667</v>
      </c>
      <c r="B1105" s="1">
        <f>IFERROR(__xludf.DUMMYFUNCTION("""COMPUTED_VALUE"""),253.54)</f>
        <v>253.54</v>
      </c>
    </row>
    <row r="1106">
      <c r="A1106" s="2">
        <f>IFERROR(__xludf.DUMMYFUNCTION("""COMPUTED_VALUE"""),45713.66666666667)</f>
        <v>45713.66667</v>
      </c>
      <c r="B1106" s="1">
        <f>IFERROR(__xludf.DUMMYFUNCTION("""COMPUTED_VALUE"""),256.48)</f>
        <v>256.48</v>
      </c>
    </row>
    <row r="1107">
      <c r="A1107" s="2">
        <f>IFERROR(__xludf.DUMMYFUNCTION("""COMPUTED_VALUE"""),45714.66666666667)</f>
        <v>45714.66667</v>
      </c>
      <c r="B1107" s="1">
        <f>IFERROR(__xludf.DUMMYFUNCTION("""COMPUTED_VALUE"""),256.12)</f>
        <v>256.12</v>
      </c>
    </row>
    <row r="1108">
      <c r="A1108" s="2">
        <f>IFERROR(__xludf.DUMMYFUNCTION("""COMPUTED_VALUE"""),45715.66666666667)</f>
        <v>45715.66667</v>
      </c>
      <c r="B1108" s="1">
        <f>IFERROR(__xludf.DUMMYFUNCTION("""COMPUTED_VALUE"""),258.54)</f>
        <v>258.54</v>
      </c>
    </row>
    <row r="1109">
      <c r="A1109" s="2">
        <f>IFERROR(__xludf.DUMMYFUNCTION("""COMPUTED_VALUE"""),45716.66666666667)</f>
        <v>45716.66667</v>
      </c>
      <c r="B1109" s="1">
        <f>IFERROR(__xludf.DUMMYFUNCTION("""COMPUTED_VALUE"""),262.9)</f>
        <v>262.9</v>
      </c>
    </row>
    <row r="1110">
      <c r="A1110" s="2">
        <f>IFERROR(__xludf.DUMMYFUNCTION("""COMPUTED_VALUE"""),45719.66666666667)</f>
        <v>45719.66667</v>
      </c>
      <c r="B1110" s="1">
        <f>IFERROR(__xludf.DUMMYFUNCTION("""COMPUTED_VALUE"""),258.77)</f>
        <v>258.77</v>
      </c>
    </row>
    <row r="1111">
      <c r="A1111" s="2">
        <f>IFERROR(__xludf.DUMMYFUNCTION("""COMPUTED_VALUE"""),45720.66666666667)</f>
        <v>45720.66667</v>
      </c>
      <c r="B1111" s="1">
        <f>IFERROR(__xludf.DUMMYFUNCTION("""COMPUTED_VALUE"""),247.74)</f>
        <v>247.74</v>
      </c>
    </row>
    <row r="1112">
      <c r="A1112" s="2">
        <f>IFERROR(__xludf.DUMMYFUNCTION("""COMPUTED_VALUE"""),45721.66666666667)</f>
        <v>45721.66667</v>
      </c>
      <c r="B1112" s="1">
        <f>IFERROR(__xludf.DUMMYFUNCTION("""COMPUTED_VALUE"""),250.41)</f>
        <v>250.41</v>
      </c>
    </row>
    <row r="1113">
      <c r="A1113" s="2">
        <f>IFERROR(__xludf.DUMMYFUNCTION("""COMPUTED_VALUE"""),45722.66666666667)</f>
        <v>45722.66667</v>
      </c>
      <c r="B1113" s="1">
        <f>IFERROR(__xludf.DUMMYFUNCTION("""COMPUTED_VALUE"""),249.79)</f>
        <v>249.79</v>
      </c>
    </row>
    <row r="1114">
      <c r="A1114" s="2">
        <f>IFERROR(__xludf.DUMMYFUNCTION("""COMPUTED_VALUE"""),45723.66666666667)</f>
        <v>45723.66667</v>
      </c>
      <c r="B1114" s="1">
        <f>IFERROR(__xludf.DUMMYFUNCTION("""COMPUTED_VALUE"""),253.92)</f>
        <v>253.92</v>
      </c>
    </row>
    <row r="1115">
      <c r="A1115" s="2">
        <f>IFERROR(__xludf.DUMMYFUNCTION("""COMPUTED_VALUE"""),45726.66666666667)</f>
        <v>45726.66667</v>
      </c>
      <c r="B1115" s="1">
        <f>IFERROR(__xludf.DUMMYFUNCTION("""COMPUTED_VALUE"""),246.51)</f>
        <v>246.51</v>
      </c>
    </row>
    <row r="1116">
      <c r="A1116" s="2">
        <f>IFERROR(__xludf.DUMMYFUNCTION("""COMPUTED_VALUE"""),45727.66666666667)</f>
        <v>45727.66667</v>
      </c>
      <c r="B1116" s="1">
        <f>IFERROR(__xludf.DUMMYFUNCTION("""COMPUTED_VALUE"""),242.96)</f>
        <v>242.96</v>
      </c>
    </row>
    <row r="1117">
      <c r="A1117" s="2">
        <f>IFERROR(__xludf.DUMMYFUNCTION("""COMPUTED_VALUE"""),45728.66666666667)</f>
        <v>45728.66667</v>
      </c>
      <c r="B1117" s="1">
        <f>IFERROR(__xludf.DUMMYFUNCTION("""COMPUTED_VALUE"""),243.51)</f>
        <v>243.51</v>
      </c>
    </row>
    <row r="1118">
      <c r="A1118" s="2">
        <f>IFERROR(__xludf.DUMMYFUNCTION("""COMPUTED_VALUE"""),45729.66666666667)</f>
        <v>45729.66667</v>
      </c>
      <c r="B1118" s="1">
        <f>IFERROR(__xludf.DUMMYFUNCTION("""COMPUTED_VALUE"""),240.98)</f>
        <v>240.98</v>
      </c>
    </row>
    <row r="1119">
      <c r="A1119" s="2">
        <f>IFERROR(__xludf.DUMMYFUNCTION("""COMPUTED_VALUE"""),45730.66666666667)</f>
        <v>45730.66667</v>
      </c>
      <c r="B1119" s="1">
        <f>IFERROR(__xludf.DUMMYFUNCTION("""COMPUTED_VALUE"""),242.2)</f>
        <v>242.2</v>
      </c>
    </row>
    <row r="1120">
      <c r="A1120" s="2">
        <f>IFERROR(__xludf.DUMMYFUNCTION("""COMPUTED_VALUE"""),45733.66666666667)</f>
        <v>45733.66667</v>
      </c>
      <c r="B1120" s="1">
        <f>IFERROR(__xludf.DUMMYFUNCTION("""COMPUTED_VALUE"""),245.3)</f>
        <v>245.3</v>
      </c>
    </row>
    <row r="1121">
      <c r="A1121" s="2">
        <f>IFERROR(__xludf.DUMMYFUNCTION("""COMPUTED_VALUE"""),45734.66666666667)</f>
        <v>45734.66667</v>
      </c>
      <c r="B1121" s="1">
        <f>IFERROR(__xludf.DUMMYFUNCTION("""COMPUTED_VALUE"""),245.8)</f>
        <v>245.8</v>
      </c>
    </row>
    <row r="1122">
      <c r="A1122" s="2">
        <f>IFERROR(__xludf.DUMMYFUNCTION("""COMPUTED_VALUE"""),45735.66666666667)</f>
        <v>45735.66667</v>
      </c>
      <c r="B1122" s="1">
        <f>IFERROR(__xludf.DUMMYFUNCTION("""COMPUTED_VALUE"""),247.12)</f>
        <v>247.12</v>
      </c>
    </row>
    <row r="1123">
      <c r="A1123" s="2">
        <f>IFERROR(__xludf.DUMMYFUNCTION("""COMPUTED_VALUE"""),45736.66666666667)</f>
        <v>45736.66667</v>
      </c>
      <c r="B1123" s="1">
        <f>IFERROR(__xludf.DUMMYFUNCTION("""COMPUTED_VALUE"""),246.21)</f>
        <v>246.21</v>
      </c>
    </row>
    <row r="1124">
      <c r="A1124" s="2">
        <f>IFERROR(__xludf.DUMMYFUNCTION("""COMPUTED_VALUE"""),45737.66666666667)</f>
        <v>45737.66667</v>
      </c>
      <c r="B1124" s="1">
        <f>IFERROR(__xludf.DUMMYFUNCTION("""COMPUTED_VALUE"""),230.33)</f>
        <v>230.33</v>
      </c>
    </row>
    <row r="1125">
      <c r="A1125" s="2">
        <f>IFERROR(__xludf.DUMMYFUNCTION("""COMPUTED_VALUE"""),45740.66666666667)</f>
        <v>45740.66667</v>
      </c>
      <c r="B1125" s="1">
        <f>IFERROR(__xludf.DUMMYFUNCTION("""COMPUTED_VALUE"""),242.32)</f>
        <v>242.32</v>
      </c>
    </row>
    <row r="1126">
      <c r="A1126" s="2">
        <f>IFERROR(__xludf.DUMMYFUNCTION("""COMPUTED_VALUE"""),45741.66666666667)</f>
        <v>45741.66667</v>
      </c>
      <c r="B1126" s="1">
        <f>IFERROR(__xludf.DUMMYFUNCTION("""COMPUTED_VALUE"""),241.07)</f>
        <v>241.07</v>
      </c>
    </row>
    <row r="1127">
      <c r="A1127" s="2">
        <f>IFERROR(__xludf.DUMMYFUNCTION("""COMPUTED_VALUE"""),45742.66666666667)</f>
        <v>45742.66667</v>
      </c>
      <c r="B1127" s="1">
        <f>IFERROR(__xludf.DUMMYFUNCTION("""COMPUTED_VALUE"""),243.67)</f>
        <v>243.67</v>
      </c>
    </row>
    <row r="1128">
      <c r="A1128" s="2">
        <f>IFERROR(__xludf.DUMMYFUNCTION("""COMPUTED_VALUE"""),45743.66666666667)</f>
        <v>45743.66667</v>
      </c>
      <c r="B1128" s="1">
        <f>IFERROR(__xludf.DUMMYFUNCTION("""COMPUTED_VALUE"""),243.92)</f>
        <v>243.92</v>
      </c>
    </row>
    <row r="1129">
      <c r="A1129" s="2">
        <f>IFERROR(__xludf.DUMMYFUNCTION("""COMPUTED_VALUE"""),45744.66666666667)</f>
        <v>45744.66667</v>
      </c>
      <c r="B1129" s="1">
        <f>IFERROR(__xludf.DUMMYFUNCTION("""COMPUTED_VALUE"""),241.71)</f>
        <v>241.71</v>
      </c>
    </row>
    <row r="1130">
      <c r="A1130" s="2">
        <f>IFERROR(__xludf.DUMMYFUNCTION("""COMPUTED_VALUE"""),45747.66666666667)</f>
        <v>45747.66667</v>
      </c>
      <c r="B1130" s="1">
        <f>IFERROR(__xludf.DUMMYFUNCTION("""COMPUTED_VALUE"""),243.78)</f>
        <v>243.78</v>
      </c>
    </row>
    <row r="1131">
      <c r="A1131" s="2">
        <f>IFERROR(__xludf.DUMMYFUNCTION("""COMPUTED_VALUE"""),45748.66666666667)</f>
        <v>45748.66667</v>
      </c>
      <c r="B1131" s="1">
        <f>IFERROR(__xludf.DUMMYFUNCTION("""COMPUTED_VALUE"""),241.98)</f>
        <v>241.98</v>
      </c>
    </row>
    <row r="1132">
      <c r="A1132" s="2">
        <f>IFERROR(__xludf.DUMMYFUNCTION("""COMPUTED_VALUE"""),45749.66666666667)</f>
        <v>45749.66667</v>
      </c>
      <c r="B1132" s="1">
        <f>IFERROR(__xludf.DUMMYFUNCTION("""COMPUTED_VALUE"""),245.17)</f>
        <v>245.17</v>
      </c>
    </row>
    <row r="1133">
      <c r="A1133" s="2">
        <f>IFERROR(__xludf.DUMMYFUNCTION("""COMPUTED_VALUE"""),45750.66666666667)</f>
        <v>45750.66667</v>
      </c>
      <c r="B1133" s="1">
        <f>IFERROR(__xludf.DUMMYFUNCTION("""COMPUTED_VALUE"""),215.86)</f>
        <v>215.86</v>
      </c>
    </row>
    <row r="1134">
      <c r="A1134" s="2">
        <f>IFERROR(__xludf.DUMMYFUNCTION("""COMPUTED_VALUE"""),45751.66666666667)</f>
        <v>45751.66667</v>
      </c>
      <c r="B1134" s="1">
        <f>IFERROR(__xludf.DUMMYFUNCTION("""COMPUTED_VALUE"""),210.12)</f>
        <v>210.12</v>
      </c>
    </row>
    <row r="1135">
      <c r="A1135" s="2">
        <f>IFERROR(__xludf.DUMMYFUNCTION("""COMPUTED_VALUE"""),45754.66666666667)</f>
        <v>45754.66667</v>
      </c>
      <c r="B1135" s="1">
        <f>IFERROR(__xludf.DUMMYFUNCTION("""COMPUTED_VALUE"""),205.23)</f>
        <v>205.23</v>
      </c>
    </row>
    <row r="1136">
      <c r="A1136" s="2">
        <f>IFERROR(__xludf.DUMMYFUNCTION("""COMPUTED_VALUE"""),45755.66666666667)</f>
        <v>45755.66667</v>
      </c>
      <c r="B1136" s="1">
        <f>IFERROR(__xludf.DUMMYFUNCTION("""COMPUTED_VALUE"""),198.07)</f>
        <v>198.07</v>
      </c>
    </row>
    <row r="1137">
      <c r="A1137" s="2">
        <f>IFERROR(__xludf.DUMMYFUNCTION("""COMPUTED_VALUE"""),45756.66666666667)</f>
        <v>45756.66667</v>
      </c>
      <c r="B1137" s="1">
        <f>IFERROR(__xludf.DUMMYFUNCTION("""COMPUTED_VALUE"""),217.94)</f>
        <v>217.94</v>
      </c>
    </row>
    <row r="1138">
      <c r="A1138" s="2">
        <f>IFERROR(__xludf.DUMMYFUNCTION("""COMPUTED_VALUE"""),45757.66666666667)</f>
        <v>45757.66667</v>
      </c>
      <c r="B1138" s="1">
        <f>IFERROR(__xludf.DUMMYFUNCTION("""COMPUTED_VALUE"""),206.4)</f>
        <v>206.4</v>
      </c>
    </row>
    <row r="1139">
      <c r="A1139" s="2">
        <f>IFERROR(__xludf.DUMMYFUNCTION("""COMPUTED_VALUE"""),45758.66666666667)</f>
        <v>45758.66667</v>
      </c>
      <c r="B1139" s="1">
        <f>IFERROR(__xludf.DUMMYFUNCTION("""COMPUTED_VALUE"""),207.77)</f>
        <v>207.77</v>
      </c>
    </row>
    <row r="1140">
      <c r="A1140" s="2">
        <f>IFERROR(__xludf.DUMMYFUNCTION("""COMPUTED_VALUE"""),45761.66666666667)</f>
        <v>45761.66667</v>
      </c>
      <c r="B1140" s="1">
        <f>IFERROR(__xludf.DUMMYFUNCTION("""COMPUTED_VALUE"""),210.45)</f>
        <v>210.45</v>
      </c>
    </row>
    <row r="1141">
      <c r="A1141" s="2">
        <f>IFERROR(__xludf.DUMMYFUNCTION("""COMPUTED_VALUE"""),45762.66666666667)</f>
        <v>45762.66667</v>
      </c>
      <c r="B1141" s="1">
        <f>IFERROR(__xludf.DUMMYFUNCTION("""COMPUTED_VALUE"""),207.35)</f>
        <v>207.35</v>
      </c>
    </row>
    <row r="1142">
      <c r="A1142" s="2">
        <f>IFERROR(__xludf.DUMMYFUNCTION("""COMPUTED_VALUE"""),45763.66666666667)</f>
        <v>45763.66667</v>
      </c>
      <c r="B1142" s="1">
        <f>IFERROR(__xludf.DUMMYFUNCTION("""COMPUTED_VALUE"""),203.56)</f>
        <v>203.56</v>
      </c>
    </row>
    <row r="1143">
      <c r="A1143" s="2">
        <f>IFERROR(__xludf.DUMMYFUNCTION("""COMPUTED_VALUE"""),45764.66666666667)</f>
        <v>45764.66667</v>
      </c>
      <c r="B1143" s="1">
        <f>IFERROR(__xludf.DUMMYFUNCTION("""COMPUTED_VALUE"""),207.55)</f>
        <v>207.55</v>
      </c>
    </row>
    <row r="1144">
      <c r="A1144" s="2">
        <f>IFERROR(__xludf.DUMMYFUNCTION("""COMPUTED_VALUE"""),45768.66666666667)</f>
        <v>45768.66667</v>
      </c>
      <c r="B1144" s="1">
        <f>IFERROR(__xludf.DUMMYFUNCTION("""COMPUTED_VALUE"""),205.12)</f>
        <v>205.12</v>
      </c>
    </row>
    <row r="1145">
      <c r="A1145" s="2">
        <f>IFERROR(__xludf.DUMMYFUNCTION("""COMPUTED_VALUE"""),45769.66666666667)</f>
        <v>45769.66667</v>
      </c>
      <c r="B1145" s="1">
        <f>IFERROR(__xludf.DUMMYFUNCTION("""COMPUTED_VALUE"""),206.57)</f>
        <v>206.57</v>
      </c>
    </row>
    <row r="1146">
      <c r="A1146" s="2">
        <f>IFERROR(__xludf.DUMMYFUNCTION("""COMPUTED_VALUE"""),45770.66666666667)</f>
        <v>45770.66667</v>
      </c>
      <c r="B1146" s="1">
        <f>IFERROR(__xludf.DUMMYFUNCTION("""COMPUTED_VALUE"""),211.04)</f>
        <v>211.04</v>
      </c>
    </row>
    <row r="1147">
      <c r="A1147" s="2">
        <f>IFERROR(__xludf.DUMMYFUNCTION("""COMPUTED_VALUE"""),45771.66666666667)</f>
        <v>45771.66667</v>
      </c>
      <c r="B1147" s="1">
        <f>IFERROR(__xludf.DUMMYFUNCTION("""COMPUTED_VALUE"""),215.69)</f>
        <v>215.69</v>
      </c>
    </row>
    <row r="1148">
      <c r="A1148" s="2">
        <f>IFERROR(__xludf.DUMMYFUNCTION("""COMPUTED_VALUE"""),45772.66666666667)</f>
        <v>45772.66667</v>
      </c>
      <c r="B1148" s="1">
        <f>IFERROR(__xludf.DUMMYFUNCTION("""COMPUTED_VALUE"""),211.56)</f>
        <v>211.56</v>
      </c>
    </row>
    <row r="1149">
      <c r="A1149" s="2">
        <f>IFERROR(__xludf.DUMMYFUNCTION("""COMPUTED_VALUE"""),45775.66666666667)</f>
        <v>45775.66667</v>
      </c>
      <c r="B1149" s="1">
        <f>IFERROR(__xludf.DUMMYFUNCTION("""COMPUTED_VALUE"""),211.5)</f>
        <v>211.5</v>
      </c>
    </row>
    <row r="1150">
      <c r="A1150" s="2">
        <f>IFERROR(__xludf.DUMMYFUNCTION("""COMPUTED_VALUE"""),45776.66666666667)</f>
        <v>45776.66667</v>
      </c>
      <c r="B1150" s="1">
        <f>IFERROR(__xludf.DUMMYFUNCTION("""COMPUTED_VALUE"""),209.85)</f>
        <v>209.85</v>
      </c>
    </row>
    <row r="1151">
      <c r="A1151" s="2">
        <f>IFERROR(__xludf.DUMMYFUNCTION("""COMPUTED_VALUE"""),45777.66666666667)</f>
        <v>45777.66667</v>
      </c>
      <c r="B1151" s="1">
        <f>IFERROR(__xludf.DUMMYFUNCTION("""COMPUTED_VALUE"""),210.33)</f>
        <v>210.33</v>
      </c>
    </row>
    <row r="1152">
      <c r="A1152" s="2">
        <f>IFERROR(__xludf.DUMMYFUNCTION("""COMPUTED_VALUE"""),45778.66666666667)</f>
        <v>45778.66667</v>
      </c>
      <c r="B1152" s="1">
        <f>IFERROR(__xludf.DUMMYFUNCTION("""COMPUTED_VALUE"""),210.06)</f>
        <v>210.06</v>
      </c>
    </row>
    <row r="1153">
      <c r="A1153" s="2">
        <f>IFERROR(__xludf.DUMMYFUNCTION("""COMPUTED_VALUE"""),45779.66666666667)</f>
        <v>45779.66667</v>
      </c>
      <c r="B1153" s="1">
        <f>IFERROR(__xludf.DUMMYFUNCTION("""COMPUTED_VALUE"""),219.72)</f>
        <v>219.72</v>
      </c>
    </row>
    <row r="1154">
      <c r="A1154" s="2">
        <f>IFERROR(__xludf.DUMMYFUNCTION("""COMPUTED_VALUE"""),45782.66666666667)</f>
        <v>45782.66667</v>
      </c>
      <c r="B1154" s="1">
        <f>IFERROR(__xludf.DUMMYFUNCTION("""COMPUTED_VALUE"""),216.99)</f>
        <v>216.99</v>
      </c>
    </row>
    <row r="1155">
      <c r="A1155" s="2">
        <f>IFERROR(__xludf.DUMMYFUNCTION("""COMPUTED_VALUE"""),45783.66666666667)</f>
        <v>45783.66667</v>
      </c>
      <c r="B1155" s="1">
        <f>IFERROR(__xludf.DUMMYFUNCTION("""COMPUTED_VALUE"""),213.41)</f>
        <v>213.41</v>
      </c>
    </row>
    <row r="1156">
      <c r="A1156" s="2">
        <f>IFERROR(__xludf.DUMMYFUNCTION("""COMPUTED_VALUE"""),45784.66666666667)</f>
        <v>45784.66667</v>
      </c>
      <c r="B1156" s="1">
        <f>IFERROR(__xludf.DUMMYFUNCTION("""COMPUTED_VALUE"""),215.56)</f>
        <v>215.56</v>
      </c>
    </row>
    <row r="1157">
      <c r="A1157" s="2">
        <f>IFERROR(__xludf.DUMMYFUNCTION("""COMPUTED_VALUE"""),45785.66666666667)</f>
        <v>45785.66667</v>
      </c>
      <c r="B1157" s="1">
        <f>IFERROR(__xludf.DUMMYFUNCTION("""COMPUTED_VALUE"""),219.21)</f>
        <v>219.21</v>
      </c>
    </row>
    <row r="1158">
      <c r="A1158" s="2">
        <f>IFERROR(__xludf.DUMMYFUNCTION("""COMPUTED_VALUE"""),45786.66666666667)</f>
        <v>45786.66667</v>
      </c>
      <c r="B1158" s="1">
        <f>IFERROR(__xludf.DUMMYFUNCTION("""COMPUTED_VALUE"""),217.83)</f>
        <v>217.83</v>
      </c>
    </row>
    <row r="1159">
      <c r="A1159" s="2">
        <f>IFERROR(__xludf.DUMMYFUNCTION("""COMPUTED_VALUE"""),45789.66666666667)</f>
        <v>45789.66667</v>
      </c>
      <c r="B1159" s="1">
        <f>IFERROR(__xludf.DUMMYFUNCTION("""COMPUTED_VALUE"""),232.95)</f>
        <v>232.95</v>
      </c>
    </row>
    <row r="1160">
      <c r="A1160" s="2">
        <f>IFERROR(__xludf.DUMMYFUNCTION("""COMPUTED_VALUE"""),45790.66666666667)</f>
        <v>45790.66667</v>
      </c>
      <c r="B1160" s="1">
        <f>IFERROR(__xludf.DUMMYFUNCTION("""COMPUTED_VALUE"""),231.15)</f>
        <v>231.15</v>
      </c>
    </row>
    <row r="1161">
      <c r="A1161" s="2">
        <f>IFERROR(__xludf.DUMMYFUNCTION("""COMPUTED_VALUE"""),45791.66666666667)</f>
        <v>45791.66667</v>
      </c>
      <c r="B1161" s="1">
        <f>IFERROR(__xludf.DUMMYFUNCTION("""COMPUTED_VALUE"""),231.8)</f>
        <v>231.8</v>
      </c>
    </row>
    <row r="1162">
      <c r="A1162" s="2">
        <f>IFERROR(__xludf.DUMMYFUNCTION("""COMPUTED_VALUE"""),45792.66666666667)</f>
        <v>45792.66667</v>
      </c>
      <c r="B1162" s="1">
        <f>IFERROR(__xludf.DUMMYFUNCTION("""COMPUTED_VALUE"""),231.11)</f>
        <v>231.11</v>
      </c>
    </row>
    <row r="1163">
      <c r="A1163" s="2">
        <f>IFERROR(__xludf.DUMMYFUNCTION("""COMPUTED_VALUE"""),45793.66666666667)</f>
        <v>45793.66667</v>
      </c>
      <c r="B1163" s="1">
        <f>IFERROR(__xludf.DUMMYFUNCTION("""COMPUTED_VALUE"""),229.51)</f>
        <v>229.51</v>
      </c>
    </row>
    <row r="1164">
      <c r="A1164" s="2">
        <f>IFERROR(__xludf.DUMMYFUNCTION("""COMPUTED_VALUE"""),45796.66666666667)</f>
        <v>45796.66667</v>
      </c>
      <c r="B1164" s="1">
        <f>IFERROR(__xludf.DUMMYFUNCTION("""COMPUTED_VALUE"""),226.12)</f>
        <v>226.12</v>
      </c>
    </row>
    <row r="1165">
      <c r="A1165" s="2">
        <f>IFERROR(__xludf.DUMMYFUNCTION("""COMPUTED_VALUE"""),45797.66666666667)</f>
        <v>45797.66667</v>
      </c>
      <c r="B1165" s="1">
        <f>IFERROR(__xludf.DUMMYFUNCTION("""COMPUTED_VALUE"""),221.14)</f>
        <v>221.14</v>
      </c>
    </row>
    <row r="1166">
      <c r="A1166" s="2">
        <f>IFERROR(__xludf.DUMMYFUNCTION("""COMPUTED_VALUE"""),45798.66666666667)</f>
        <v>45798.66667</v>
      </c>
      <c r="B1166" s="1">
        <f>IFERROR(__xludf.DUMMYFUNCTION("""COMPUTED_VALUE"""),216.81)</f>
        <v>216.81</v>
      </c>
    </row>
    <row r="1167">
      <c r="A1167" s="2">
        <f>IFERROR(__xludf.DUMMYFUNCTION("""COMPUTED_VALUE"""),45799.66666666667)</f>
        <v>45799.66667</v>
      </c>
      <c r="B1167" s="1">
        <f>IFERROR(__xludf.DUMMYFUNCTION("""COMPUTED_VALUE"""),218.81)</f>
        <v>218.81</v>
      </c>
    </row>
    <row r="1168">
      <c r="A1168" s="2">
        <f>IFERROR(__xludf.DUMMYFUNCTION("""COMPUTED_VALUE"""),45800.66666666667)</f>
        <v>45800.66667</v>
      </c>
      <c r="B1168" s="1">
        <f>IFERROR(__xludf.DUMMYFUNCTION("""COMPUTED_VALUE"""),216.61)</f>
        <v>216.61</v>
      </c>
    </row>
    <row r="1169">
      <c r="A1169" s="2">
        <f>IFERROR(__xludf.DUMMYFUNCTION("""COMPUTED_VALUE"""),45804.66666666667)</f>
        <v>45804.66667</v>
      </c>
      <c r="B1169" s="1">
        <f>IFERROR(__xludf.DUMMYFUNCTION("""COMPUTED_VALUE"""),219.76)</f>
        <v>219.76</v>
      </c>
    </row>
    <row r="1170">
      <c r="A1170" s="2">
        <f>IFERROR(__xludf.DUMMYFUNCTION("""COMPUTED_VALUE"""),45805.66666666667)</f>
        <v>45805.66667</v>
      </c>
      <c r="B1170" s="1">
        <f>IFERROR(__xludf.DUMMYFUNCTION("""COMPUTED_VALUE"""),217.15)</f>
        <v>217.15</v>
      </c>
    </row>
    <row r="1171">
      <c r="A1171" s="2">
        <f>IFERROR(__xludf.DUMMYFUNCTION("""COMPUTED_VALUE"""),45806.66666666667)</f>
        <v>45806.66667</v>
      </c>
      <c r="B1171" s="1">
        <f>IFERROR(__xludf.DUMMYFUNCTION("""COMPUTED_VALUE"""),220.26)</f>
        <v>220.26</v>
      </c>
    </row>
    <row r="1172">
      <c r="A1172" s="2">
        <f>IFERROR(__xludf.DUMMYFUNCTION("""COMPUTED_VALUE"""),45807.66666666667)</f>
        <v>45807.66667</v>
      </c>
      <c r="B1172" s="1">
        <f>IFERROR(__xludf.DUMMYFUNCTION("""COMPUTED_VALUE"""),218.1)</f>
        <v>218.1</v>
      </c>
    </row>
    <row r="1173">
      <c r="A1173" s="2">
        <f>IFERROR(__xludf.DUMMYFUNCTION("""COMPUTED_VALUE"""),45810.66666666667)</f>
        <v>45810.66667</v>
      </c>
      <c r="B1173" s="1">
        <f>IFERROR(__xludf.DUMMYFUNCTION("""COMPUTED_VALUE"""),217.89)</f>
        <v>217.89</v>
      </c>
    </row>
    <row r="1174">
      <c r="A1174" s="2">
        <f>IFERROR(__xludf.DUMMYFUNCTION("""COMPUTED_VALUE"""),45811.66666666667)</f>
        <v>45811.66667</v>
      </c>
      <c r="B1174" s="1">
        <f>IFERROR(__xludf.DUMMYFUNCTION("""COMPUTED_VALUE"""),219.78)</f>
        <v>219.78</v>
      </c>
    </row>
    <row r="1175">
      <c r="A1175" s="2">
        <f>IFERROR(__xludf.DUMMYFUNCTION("""COMPUTED_VALUE"""),45812.66666666667)</f>
        <v>45812.66667</v>
      </c>
      <c r="B1175" s="1">
        <f>IFERROR(__xludf.DUMMYFUNCTION("""COMPUTED_VALUE"""),218.89)</f>
        <v>218.89</v>
      </c>
    </row>
    <row r="1176">
      <c r="A1176" s="2">
        <f>IFERROR(__xludf.DUMMYFUNCTION("""COMPUTED_VALUE"""),45813.66666666667)</f>
        <v>45813.66667</v>
      </c>
      <c r="B1176" s="1">
        <f>IFERROR(__xludf.DUMMYFUNCTION("""COMPUTED_VALUE"""),216.73)</f>
        <v>216.73</v>
      </c>
    </row>
    <row r="1177">
      <c r="A1177" s="2">
        <f>IFERROR(__xludf.DUMMYFUNCTION("""COMPUTED_VALUE"""),45814.66666666667)</f>
        <v>45814.66667</v>
      </c>
      <c r="B1177" s="1">
        <f>IFERROR(__xludf.DUMMYFUNCTION("""COMPUTED_VALUE"""),219.61)</f>
        <v>219.61</v>
      </c>
    </row>
    <row r="1178">
      <c r="A1178" s="2">
        <f>IFERROR(__xludf.DUMMYFUNCTION("""COMPUTED_VALUE"""),45817.66666666667)</f>
        <v>45817.66667</v>
      </c>
      <c r="B1178" s="1">
        <f>IFERROR(__xludf.DUMMYFUNCTION("""COMPUTED_VALUE"""),222.18)</f>
        <v>222.18</v>
      </c>
    </row>
    <row r="1179">
      <c r="A1179" s="2">
        <f>IFERROR(__xludf.DUMMYFUNCTION("""COMPUTED_VALUE"""),45818.66666666667)</f>
        <v>45818.66667</v>
      </c>
      <c r="B1179" s="1">
        <f>IFERROR(__xludf.DUMMYFUNCTION("""COMPUTED_VALUE"""),227.96)</f>
        <v>227.96</v>
      </c>
    </row>
    <row r="1180">
      <c r="A1180" s="2">
        <f>IFERROR(__xludf.DUMMYFUNCTION("""COMPUTED_VALUE"""),45819.66666666667)</f>
        <v>45819.66667</v>
      </c>
      <c r="B1180" s="1">
        <f>IFERROR(__xludf.DUMMYFUNCTION("""COMPUTED_VALUE"""),224.0)</f>
        <v>224</v>
      </c>
    </row>
    <row r="1181">
      <c r="A1181" s="2">
        <f>IFERROR(__xludf.DUMMYFUNCTION("""COMPUTED_VALUE"""),45820.66666666667)</f>
        <v>45820.66667</v>
      </c>
      <c r="B1181" s="1">
        <f>IFERROR(__xludf.DUMMYFUNCTION("""COMPUTED_VALUE"""),225.0)</f>
        <v>225</v>
      </c>
    </row>
    <row r="1182">
      <c r="A1182" s="2">
        <f>IFERROR(__xludf.DUMMYFUNCTION("""COMPUTED_VALUE"""),45821.66666666667)</f>
        <v>45821.66667</v>
      </c>
      <c r="B1182" s="1">
        <f>IFERROR(__xludf.DUMMYFUNCTION("""COMPUTED_VALUE"""),224.38)</f>
        <v>224.38</v>
      </c>
    </row>
    <row r="1183">
      <c r="A1183" s="2">
        <f>IFERROR(__xludf.DUMMYFUNCTION("""COMPUTED_VALUE"""),45824.66666666667)</f>
        <v>45824.66667</v>
      </c>
      <c r="B1183" s="1">
        <f>IFERROR(__xludf.DUMMYFUNCTION("""COMPUTED_VALUE"""),226.77)</f>
        <v>226.77</v>
      </c>
    </row>
    <row r="1184">
      <c r="A1184" s="2">
        <f>IFERROR(__xludf.DUMMYFUNCTION("""COMPUTED_VALUE"""),45825.66666666667)</f>
        <v>45825.66667</v>
      </c>
      <c r="B1184" s="1">
        <f>IFERROR(__xludf.DUMMYFUNCTION("""COMPUTED_VALUE"""),222.53)</f>
        <v>222.53</v>
      </c>
    </row>
    <row r="1185">
      <c r="A1185" s="2">
        <f>IFERROR(__xludf.DUMMYFUNCTION("""COMPUTED_VALUE"""),45826.66666666667)</f>
        <v>45826.66667</v>
      </c>
      <c r="B1185" s="1">
        <f>IFERROR(__xludf.DUMMYFUNCTION("""COMPUTED_VALUE"""),223.3)</f>
        <v>223.3</v>
      </c>
    </row>
    <row r="1186">
      <c r="A1186" s="2">
        <f>IFERROR(__xludf.DUMMYFUNCTION("""COMPUTED_VALUE"""),45828.66666666667)</f>
        <v>45828.66667</v>
      </c>
      <c r="B1186" s="1">
        <f>IFERROR(__xludf.DUMMYFUNCTION("""COMPUTED_VALUE"""),226.04)</f>
        <v>226.04</v>
      </c>
    </row>
    <row r="1187">
      <c r="A1187" s="2">
        <f>IFERROR(__xludf.DUMMYFUNCTION("""COMPUTED_VALUE"""),45831.66666666667)</f>
        <v>45831.66667</v>
      </c>
      <c r="B1187" s="1">
        <f>IFERROR(__xludf.DUMMYFUNCTION("""COMPUTED_VALUE"""),229.23)</f>
        <v>229.23</v>
      </c>
    </row>
    <row r="1188">
      <c r="A1188" s="2">
        <f>IFERROR(__xludf.DUMMYFUNCTION("""COMPUTED_VALUE"""),45832.66666666667)</f>
        <v>45832.66667</v>
      </c>
      <c r="B1188" s="1">
        <f>IFERROR(__xludf.DUMMYFUNCTION("""COMPUTED_VALUE"""),229.51)</f>
        <v>229.51</v>
      </c>
    </row>
    <row r="1189">
      <c r="A1189" s="2">
        <f>IFERROR(__xludf.DUMMYFUNCTION("""COMPUTED_VALUE"""),45833.66666666667)</f>
        <v>45833.66667</v>
      </c>
      <c r="B1189" s="1">
        <f>IFERROR(__xludf.DUMMYFUNCTION("""COMPUTED_VALUE"""),222.0)</f>
        <v>222</v>
      </c>
    </row>
    <row r="1190">
      <c r="A1190" s="2">
        <f>IFERROR(__xludf.DUMMYFUNCTION("""COMPUTED_VALUE"""),45834.66666666667)</f>
        <v>45834.66667</v>
      </c>
      <c r="B1190" s="1">
        <f>IFERROR(__xludf.DUMMYFUNCTION("""COMPUTED_VALUE"""),221.07)</f>
        <v>221.07</v>
      </c>
    </row>
    <row r="1191">
      <c r="A1191" s="2">
        <f>IFERROR(__xludf.DUMMYFUNCTION("""COMPUTED_VALUE"""),45835.66666666667)</f>
        <v>45835.66667</v>
      </c>
      <c r="B1191" s="1">
        <f>IFERROR(__xludf.DUMMYFUNCTION("""COMPUTED_VALUE"""),228.91)</f>
        <v>228.91</v>
      </c>
    </row>
    <row r="1192">
      <c r="A1192" s="2">
        <f>IFERROR(__xludf.DUMMYFUNCTION("""COMPUTED_VALUE"""),45838.66666666667)</f>
        <v>45838.66667</v>
      </c>
      <c r="B1192" s="1">
        <f>IFERROR(__xludf.DUMMYFUNCTION("""COMPUTED_VALUE"""),227.31)</f>
        <v>227.31</v>
      </c>
    </row>
    <row r="1193">
      <c r="A1193" s="2">
        <f>IFERROR(__xludf.DUMMYFUNCTION("""COMPUTED_VALUE"""),45839.66666666667)</f>
        <v>45839.66667</v>
      </c>
      <c r="B1193" s="1">
        <f>IFERROR(__xludf.DUMMYFUNCTION("""COMPUTED_VALUE"""),234.33)</f>
        <v>234.33</v>
      </c>
    </row>
    <row r="1194">
      <c r="A1194" s="2">
        <f>IFERROR(__xludf.DUMMYFUNCTION("""COMPUTED_VALUE"""),45840.66666666667)</f>
        <v>45840.66667</v>
      </c>
      <c r="B1194" s="1">
        <f>IFERROR(__xludf.DUMMYFUNCTION("""COMPUTED_VALUE"""),239.14)</f>
        <v>239.14</v>
      </c>
    </row>
    <row r="1195">
      <c r="A1195" s="2">
        <f>IFERROR(__xludf.DUMMYFUNCTION("""COMPUTED_VALUE"""),45841.54166666667)</f>
        <v>45841.54167</v>
      </c>
      <c r="B1195" s="1">
        <f>IFERROR(__xludf.DUMMYFUNCTION("""COMPUTED_VALUE"""),241.23)</f>
        <v>241.23</v>
      </c>
    </row>
    <row r="1196">
      <c r="A1196" s="2">
        <f>IFERROR(__xludf.DUMMYFUNCTION("""COMPUTED_VALUE"""),45845.66666666667)</f>
        <v>45845.66667</v>
      </c>
      <c r="B1196" s="1">
        <f>IFERROR(__xludf.DUMMYFUNCTION("""COMPUTED_VALUE"""),235.09)</f>
        <v>235.09</v>
      </c>
    </row>
    <row r="1197">
      <c r="A1197" s="2">
        <f>IFERROR(__xludf.DUMMYFUNCTION("""COMPUTED_VALUE"""),45846.66666666667)</f>
        <v>45846.66667</v>
      </c>
      <c r="B1197" s="1">
        <f>IFERROR(__xludf.DUMMYFUNCTION("""COMPUTED_VALUE"""),238.71)</f>
        <v>238.71</v>
      </c>
    </row>
    <row r="1198">
      <c r="A1198" s="2">
        <f>IFERROR(__xludf.DUMMYFUNCTION("""COMPUTED_VALUE"""),45847.66666666667)</f>
        <v>45847.66667</v>
      </c>
      <c r="B1198" s="1">
        <f>IFERROR(__xludf.DUMMYFUNCTION("""COMPUTED_VALUE"""),236.51)</f>
        <v>236.51</v>
      </c>
    </row>
    <row r="1199">
      <c r="A1199" s="2">
        <f>IFERROR(__xludf.DUMMYFUNCTION("""COMPUTED_VALUE"""),45848.66666666667)</f>
        <v>45848.66667</v>
      </c>
      <c r="B1199" s="1">
        <f>IFERROR(__xludf.DUMMYFUNCTION("""COMPUTED_VALUE"""),238.73)</f>
        <v>238.73</v>
      </c>
    </row>
    <row r="1200">
      <c r="A1200" s="2">
        <f>IFERROR(__xludf.DUMMYFUNCTION("""COMPUTED_VALUE"""),45849.66666666667)</f>
        <v>45849.66667</v>
      </c>
      <c r="B1200" s="1">
        <f>IFERROR(__xludf.DUMMYFUNCTION("""COMPUTED_VALUE"""),236.06)</f>
        <v>236.06</v>
      </c>
    </row>
    <row r="1201">
      <c r="A1201" s="2">
        <f>IFERROR(__xludf.DUMMYFUNCTION("""COMPUTED_VALUE"""),45852.66666666667)</f>
        <v>45852.66667</v>
      </c>
      <c r="B1201" s="1">
        <f>IFERROR(__xludf.DUMMYFUNCTION("""COMPUTED_VALUE"""),233.98)</f>
        <v>233.98</v>
      </c>
    </row>
    <row r="1202">
      <c r="A1202" s="2">
        <f>IFERROR(__xludf.DUMMYFUNCTION("""COMPUTED_VALUE"""),45853.66666666667)</f>
        <v>45853.66667</v>
      </c>
      <c r="B1202" s="1">
        <f>IFERROR(__xludf.DUMMYFUNCTION("""COMPUTED_VALUE"""),230.66)</f>
        <v>230.66</v>
      </c>
    </row>
    <row r="1203">
      <c r="A1203" s="2">
        <f>IFERROR(__xludf.DUMMYFUNCTION("""COMPUTED_VALUE"""),45854.66666666667)</f>
        <v>45854.66667</v>
      </c>
      <c r="B1203" s="1">
        <f>IFERROR(__xludf.DUMMYFUNCTION("""COMPUTED_VALUE"""),228.75)</f>
        <v>228.75</v>
      </c>
    </row>
    <row r="1204">
      <c r="A1204" s="2">
        <f>IFERROR(__xludf.DUMMYFUNCTION("""COMPUTED_VALUE"""),45855.66666666667)</f>
        <v>45855.66667</v>
      </c>
      <c r="B1204" s="1">
        <f>IFERROR(__xludf.DUMMYFUNCTION("""COMPUTED_VALUE"""),228.37)</f>
        <v>228.37</v>
      </c>
    </row>
    <row r="1205">
      <c r="A1205" s="2">
        <f>IFERROR(__xludf.DUMMYFUNCTION("""COMPUTED_VALUE"""),45856.66666666667)</f>
        <v>45856.66667</v>
      </c>
      <c r="B1205" s="1">
        <f>IFERROR(__xludf.DUMMYFUNCTION("""COMPUTED_VALUE"""),226.62)</f>
        <v>226.62</v>
      </c>
    </row>
    <row r="1206">
      <c r="A1206" s="2">
        <f>IFERROR(__xludf.DUMMYFUNCTION("""COMPUTED_VALUE"""),45859.66666666667)</f>
        <v>45859.66667</v>
      </c>
      <c r="B1206" s="1">
        <f>IFERROR(__xludf.DUMMYFUNCTION("""COMPUTED_VALUE"""),225.73)</f>
        <v>225.73</v>
      </c>
    </row>
    <row r="1207">
      <c r="A1207" s="2">
        <f>IFERROR(__xludf.DUMMYFUNCTION("""COMPUTED_VALUE"""),45860.66666666667)</f>
        <v>45860.66667</v>
      </c>
      <c r="B1207" s="1">
        <f>IFERROR(__xludf.DUMMYFUNCTION("""COMPUTED_VALUE"""),231.7)</f>
        <v>231.7</v>
      </c>
    </row>
    <row r="1208">
      <c r="A1208" s="2">
        <f>IFERROR(__xludf.DUMMYFUNCTION("""COMPUTED_VALUE"""),45861.66666666667)</f>
        <v>45861.66667</v>
      </c>
      <c r="B1208" s="1">
        <f>IFERROR(__xludf.DUMMYFUNCTION("""COMPUTED_VALUE"""),237.9)</f>
        <v>237.9</v>
      </c>
    </row>
    <row r="1209">
      <c r="A1209" s="2">
        <f>IFERROR(__xludf.DUMMYFUNCTION("""COMPUTED_VALUE"""),45862.66666666667)</f>
        <v>45862.66667</v>
      </c>
      <c r="B1209" s="1">
        <f>IFERROR(__xludf.DUMMYFUNCTION("""COMPUTED_VALUE"""),236.51)</f>
        <v>236.51</v>
      </c>
    </row>
    <row r="1210">
      <c r="A1210" s="2">
        <f>IFERROR(__xludf.DUMMYFUNCTION("""COMPUTED_VALUE"""),45863.66666666667)</f>
        <v>45863.66667</v>
      </c>
      <c r="B1210" s="1">
        <f>IFERROR(__xludf.DUMMYFUNCTION("""COMPUTED_VALUE"""),243.2)</f>
        <v>243.2</v>
      </c>
    </row>
    <row r="1211">
      <c r="A1211" s="2">
        <f>IFERROR(__xludf.DUMMYFUNCTION("""COMPUTED_VALUE"""),45866.66666666667)</f>
        <v>45866.66667</v>
      </c>
      <c r="B1211" s="1">
        <f>IFERROR(__xludf.DUMMYFUNCTION("""COMPUTED_VALUE"""),242.41)</f>
        <v>242.41</v>
      </c>
    </row>
    <row r="1212">
      <c r="A1212" s="2">
        <f>IFERROR(__xludf.DUMMYFUNCTION("""COMPUTED_VALUE"""),45867.66666666667)</f>
        <v>45867.66667</v>
      </c>
      <c r="B1212" s="1">
        <f>IFERROR(__xludf.DUMMYFUNCTION("""COMPUTED_VALUE"""),234.54)</f>
        <v>234.54</v>
      </c>
    </row>
    <row r="1213">
      <c r="A1213" s="2">
        <f>IFERROR(__xludf.DUMMYFUNCTION("""COMPUTED_VALUE"""),45868.66666666667)</f>
        <v>45868.66667</v>
      </c>
      <c r="B1213" s="1">
        <f>IFERROR(__xludf.DUMMYFUNCTION("""COMPUTED_VALUE"""),223.86)</f>
        <v>223.86</v>
      </c>
    </row>
    <row r="1214">
      <c r="A1214" s="2">
        <f>IFERROR(__xludf.DUMMYFUNCTION("""COMPUTED_VALUE"""),45869.66666666667)</f>
        <v>45869.66667</v>
      </c>
      <c r="B1214" s="1">
        <f>IFERROR(__xludf.DUMMYFUNCTION("""COMPUTED_VALUE"""),223.49)</f>
        <v>223.49</v>
      </c>
    </row>
    <row r="1215">
      <c r="A1215" s="2">
        <f>IFERROR(__xludf.DUMMYFUNCTION("""COMPUTED_VALUE"""),45870.66666666667)</f>
        <v>45870.66667</v>
      </c>
      <c r="B1215" s="1">
        <f>IFERROR(__xludf.DUMMYFUNCTION("""COMPUTED_VALUE"""),217.1)</f>
        <v>217.1</v>
      </c>
    </row>
    <row r="1216">
      <c r="A1216" s="2">
        <f>IFERROR(__xludf.DUMMYFUNCTION("""COMPUTED_VALUE"""),45873.66666666667)</f>
        <v>45873.66667</v>
      </c>
      <c r="B1216" s="1">
        <f>IFERROR(__xludf.DUMMYFUNCTION("""COMPUTED_VALUE"""),217.49)</f>
        <v>217.49</v>
      </c>
    </row>
    <row r="1217">
      <c r="A1217" s="2">
        <f>IFERROR(__xludf.DUMMYFUNCTION("""COMPUTED_VALUE"""),45874.66666666667)</f>
        <v>45874.66667</v>
      </c>
      <c r="B1217" s="1">
        <f>IFERROR(__xludf.DUMMYFUNCTION("""COMPUTED_VALUE"""),222.41)</f>
        <v>222.41</v>
      </c>
    </row>
    <row r="1218">
      <c r="A1218" s="2">
        <f>IFERROR(__xludf.DUMMYFUNCTION("""COMPUTED_VALUE"""),45875.66666666667)</f>
        <v>45875.66667</v>
      </c>
      <c r="B1218" s="1">
        <f>IFERROR(__xludf.DUMMYFUNCTION("""COMPUTED_VALUE"""),226.45)</f>
        <v>226.45</v>
      </c>
    </row>
    <row r="1219">
      <c r="A1219" s="2">
        <f>IFERROR(__xludf.DUMMYFUNCTION("""COMPUTED_VALUE"""),45876.66666666667)</f>
        <v>45876.66667</v>
      </c>
      <c r="B1219" s="1">
        <f>IFERROR(__xludf.DUMMYFUNCTION("""COMPUTED_VALUE"""),224.66)</f>
        <v>224.66</v>
      </c>
    </row>
    <row r="1220">
      <c r="A1220" s="2">
        <f>IFERROR(__xludf.DUMMYFUNCTION("""COMPUTED_VALUE"""),45877.66666666667)</f>
        <v>45877.66667</v>
      </c>
      <c r="B1220" s="1">
        <f>IFERROR(__xludf.DUMMYFUNCTION("""COMPUTED_VALUE"""),228.05)</f>
        <v>228.05</v>
      </c>
    </row>
    <row r="1221">
      <c r="A1221" s="2">
        <f>IFERROR(__xludf.DUMMYFUNCTION("""COMPUTED_VALUE"""),45880.66666666667)</f>
        <v>45880.66667</v>
      </c>
      <c r="B1221" s="1">
        <f>IFERROR(__xludf.DUMMYFUNCTION("""COMPUTED_VALUE"""),224.61)</f>
        <v>224.61</v>
      </c>
    </row>
    <row r="1222">
      <c r="A1222" s="2">
        <f>IFERROR(__xludf.DUMMYFUNCTION("""COMPUTED_VALUE"""),45881.66666666667)</f>
        <v>45881.66667</v>
      </c>
      <c r="B1222" s="1">
        <f>IFERROR(__xludf.DUMMYFUNCTION("""COMPUTED_VALUE"""),230.42)</f>
        <v>230.42</v>
      </c>
    </row>
    <row r="1223">
      <c r="A1223" s="2">
        <f>IFERROR(__xludf.DUMMYFUNCTION("""COMPUTED_VALUE"""),45882.66666666667)</f>
        <v>45882.66667</v>
      </c>
      <c r="B1223" s="1">
        <f>IFERROR(__xludf.DUMMYFUNCTION("""COMPUTED_VALUE"""),230.5)</f>
        <v>230.5</v>
      </c>
    </row>
    <row r="1224">
      <c r="A1224" s="2">
        <f>IFERROR(__xludf.DUMMYFUNCTION("""COMPUTED_VALUE"""),45883.66666666667)</f>
        <v>45883.66667</v>
      </c>
      <c r="B1224" s="1">
        <f>IFERROR(__xludf.DUMMYFUNCTION("""COMPUTED_VALUE"""),231.07)</f>
        <v>231.07</v>
      </c>
    </row>
    <row r="1225">
      <c r="A1225" s="2">
        <f>IFERROR(__xludf.DUMMYFUNCTION("""COMPUTED_VALUE"""),45884.66666666667)</f>
        <v>45884.66667</v>
      </c>
      <c r="B1225" s="1">
        <f>IFERROR(__xludf.DUMMYFUNCTION("""COMPUTED_VALUE"""),227.26)</f>
        <v>227.26</v>
      </c>
    </row>
    <row r="1226">
      <c r="A1226" s="2">
        <f>IFERROR(__xludf.DUMMYFUNCTION("""COMPUTED_VALUE"""),45887.66666666667)</f>
        <v>45887.66667</v>
      </c>
      <c r="B1226" s="1">
        <f>IFERROR(__xludf.DUMMYFUNCTION("""COMPUTED_VALUE"""),227.72)</f>
        <v>227.72</v>
      </c>
    </row>
    <row r="1227">
      <c r="A1227" s="2">
        <f>IFERROR(__xludf.DUMMYFUNCTION("""COMPUTED_VALUE"""),45888.66666666667)</f>
        <v>45888.66667</v>
      </c>
      <c r="B1227" s="1">
        <f>IFERROR(__xludf.DUMMYFUNCTION("""COMPUTED_VALUE"""),233.13)</f>
        <v>233.13</v>
      </c>
    </row>
    <row r="1228">
      <c r="A1228" s="2">
        <f>IFERROR(__xludf.DUMMYFUNCTION("""COMPUTED_VALUE"""),45889.66666666667)</f>
        <v>45889.66667</v>
      </c>
      <c r="B1228" s="1">
        <f>IFERROR(__xludf.DUMMYFUNCTION("""COMPUTED_VALUE"""),227.21)</f>
        <v>227.21</v>
      </c>
    </row>
    <row r="1229">
      <c r="A1229" s="2">
        <f>IFERROR(__xludf.DUMMYFUNCTION("""COMPUTED_VALUE"""),45890.66666666667)</f>
        <v>45890.66667</v>
      </c>
      <c r="B1229" s="1">
        <f>IFERROR(__xludf.DUMMYFUNCTION("""COMPUTED_VALUE"""),225.28)</f>
        <v>225.28</v>
      </c>
    </row>
    <row r="1230">
      <c r="A1230" s="2">
        <f>IFERROR(__xludf.DUMMYFUNCTION("""COMPUTED_VALUE"""),45891.66666666667)</f>
        <v>45891.66667</v>
      </c>
      <c r="B1230" s="1">
        <f>IFERROR(__xludf.DUMMYFUNCTION("""COMPUTED_VALUE"""),236.8)</f>
        <v>236.8</v>
      </c>
    </row>
    <row r="1231">
      <c r="A1231" s="2">
        <f>IFERROR(__xludf.DUMMYFUNCTION("""COMPUTED_VALUE"""),45894.66666666667)</f>
        <v>45894.66667</v>
      </c>
      <c r="B1231" s="1">
        <f>IFERROR(__xludf.DUMMYFUNCTION("""COMPUTED_VALUE"""),233.0)</f>
        <v>233</v>
      </c>
    </row>
    <row r="1232">
      <c r="A1232" s="2">
        <f>IFERROR(__xludf.DUMMYFUNCTION("""COMPUTED_VALUE"""),45895.66666666667)</f>
        <v>45895.66667</v>
      </c>
      <c r="B1232" s="1">
        <f>IFERROR(__xludf.DUMMYFUNCTION("""COMPUTED_VALUE"""),231.1)</f>
        <v>231.1</v>
      </c>
    </row>
    <row r="1233">
      <c r="A1233" s="2">
        <f>IFERROR(__xludf.DUMMYFUNCTION("""COMPUTED_VALUE"""),45896.66666666667)</f>
        <v>45896.66667</v>
      </c>
      <c r="B1233" s="1">
        <f>IFERROR(__xludf.DUMMYFUNCTION("""COMPUTED_VALUE"""),232.21)</f>
        <v>232.21</v>
      </c>
    </row>
    <row r="1234">
      <c r="A1234" s="2">
        <f>IFERROR(__xludf.DUMMYFUNCTION("""COMPUTED_VALUE"""),45897.66666666667)</f>
        <v>45897.66667</v>
      </c>
      <c r="B1234" s="1">
        <f>IFERROR(__xludf.DUMMYFUNCTION("""COMPUTED_VALUE"""),231.27)</f>
        <v>231.27</v>
      </c>
    </row>
    <row r="1235">
      <c r="A1235" s="2">
        <f>IFERROR(__xludf.DUMMYFUNCTION("""COMPUTED_VALUE"""),45898.66666666667)</f>
        <v>45898.66667</v>
      </c>
      <c r="B1235" s="1">
        <f>IFERROR(__xludf.DUMMYFUNCTION("""COMPUTED_VALUE"""),231.07)</f>
        <v>231.07</v>
      </c>
    </row>
    <row r="1236">
      <c r="A1236" s="2">
        <f>IFERROR(__xludf.DUMMYFUNCTION("""COMPUTED_VALUE"""),45902.66666666667)</f>
        <v>45902.66667</v>
      </c>
      <c r="B1236" s="1">
        <f>IFERROR(__xludf.DUMMYFUNCTION("""COMPUTED_VALUE"""),224.18)</f>
        <v>224.18</v>
      </c>
    </row>
    <row r="1237">
      <c r="A1237" s="2">
        <f>IFERROR(__xludf.DUMMYFUNCTION("""COMPUTED_VALUE"""),45903.66666666667)</f>
        <v>45903.66667</v>
      </c>
      <c r="B1237" s="1">
        <f>IFERROR(__xludf.DUMMYFUNCTION("""COMPUTED_VALUE"""),225.34)</f>
        <v>225.34</v>
      </c>
    </row>
    <row r="1238">
      <c r="A1238" s="2">
        <f>IFERROR(__xludf.DUMMYFUNCTION("""COMPUTED_VALUE"""),45904.66666666667)</f>
        <v>45904.66667</v>
      </c>
      <c r="B1238" s="1">
        <f>IFERROR(__xludf.DUMMYFUNCTION("""COMPUTED_VALUE"""),225.28)</f>
        <v>225.28</v>
      </c>
    </row>
    <row r="1239">
      <c r="A1239" s="2">
        <f>IFERROR(__xludf.DUMMYFUNCTION("""COMPUTED_VALUE"""),45905.66666666667)</f>
        <v>45905.66667</v>
      </c>
      <c r="B1239" s="1">
        <f>IFERROR(__xludf.DUMMYFUNCTION("""COMPUTED_VALUE"""),227.72)</f>
        <v>227.72</v>
      </c>
    </row>
    <row r="1240">
      <c r="A1240" s="2">
        <f>IFERROR(__xludf.DUMMYFUNCTION("""COMPUTED_VALUE"""),45908.66666666667)</f>
        <v>45908.66667</v>
      </c>
      <c r="B1240" s="1">
        <f>IFERROR(__xludf.DUMMYFUNCTION("""COMPUTED_VALUE"""),225.0)</f>
        <v>225</v>
      </c>
    </row>
    <row r="1241">
      <c r="A1241" s="2">
        <f>IFERROR(__xludf.DUMMYFUNCTION("""COMPUTED_VALUE"""),45909.66666666667)</f>
        <v>45909.66667</v>
      </c>
      <c r="B1241" s="1">
        <f>IFERROR(__xludf.DUMMYFUNCTION("""COMPUTED_VALUE"""),225.75)</f>
        <v>225.75</v>
      </c>
    </row>
    <row r="1242">
      <c r="A1242" s="2">
        <f>IFERROR(__xludf.DUMMYFUNCTION("""COMPUTED_VALUE"""),45910.66666666667)</f>
        <v>45910.66667</v>
      </c>
      <c r="B1242" s="1">
        <f>IFERROR(__xludf.DUMMYFUNCTION("""COMPUTED_VALUE"""),225.69)</f>
        <v>225.69</v>
      </c>
    </row>
    <row r="1243">
      <c r="A1243" s="2">
        <f>IFERROR(__xludf.DUMMYFUNCTION("""COMPUTED_VALUE"""),45911.66666666667)</f>
        <v>45911.66667</v>
      </c>
      <c r="B1243" s="1">
        <f>IFERROR(__xludf.DUMMYFUNCTION("""COMPUTED_VALUE"""),228.81)</f>
        <v>228.81</v>
      </c>
    </row>
    <row r="1244">
      <c r="A1244" s="2">
        <f>IFERROR(__xludf.DUMMYFUNCTION("""COMPUTED_VALUE"""),45912.66666666667)</f>
        <v>45912.66667</v>
      </c>
      <c r="B1244" s="1">
        <f>IFERROR(__xludf.DUMMYFUNCTION("""COMPUTED_VALUE"""),229.55)</f>
        <v>229.55</v>
      </c>
    </row>
    <row r="1245">
      <c r="A1245" s="2">
        <f>IFERROR(__xludf.DUMMYFUNCTION("""COMPUTED_VALUE"""),45915.66666666667)</f>
        <v>45915.66667</v>
      </c>
      <c r="B1245" s="1">
        <f>IFERROR(__xludf.DUMMYFUNCTION("""COMPUTED_VALUE"""),225.69)</f>
        <v>225.69</v>
      </c>
    </row>
    <row r="1246">
      <c r="A1246" s="2">
        <f>IFERROR(__xludf.DUMMYFUNCTION("""COMPUTED_VALUE"""),45916.66666666667)</f>
        <v>45916.66667</v>
      </c>
      <c r="B1246" s="1">
        <f>IFERROR(__xludf.DUMMYFUNCTION("""COMPUTED_VALUE"""),227.7)</f>
        <v>227.7</v>
      </c>
    </row>
    <row r="1247">
      <c r="A1247" s="2">
        <f>IFERROR(__xludf.DUMMYFUNCTION("""COMPUTED_VALUE"""),45917.66666666667)</f>
        <v>45917.66667</v>
      </c>
      <c r="B1247" s="1">
        <f>IFERROR(__xludf.DUMMYFUNCTION("""COMPUTED_VALUE"""),225.78)</f>
        <v>225.78</v>
      </c>
    </row>
    <row r="1248">
      <c r="A1248" s="2">
        <f>IFERROR(__xludf.DUMMYFUNCTION("""COMPUTED_VALUE"""),45918.66666666667)</f>
        <v>45918.66667</v>
      </c>
      <c r="B1248" s="1">
        <f>IFERROR(__xludf.DUMMYFUNCTION("""COMPUTED_VALUE"""),226.5)</f>
        <v>226.5</v>
      </c>
    </row>
    <row r="1249">
      <c r="A1249" s="2">
        <f>IFERROR(__xludf.DUMMYFUNCTION("""COMPUTED_VALUE"""),45919.66666666667)</f>
        <v>45919.66667</v>
      </c>
      <c r="B1249" s="1">
        <f>IFERROR(__xludf.DUMMYFUNCTION("""COMPUTED_VALUE"""),231.75)</f>
        <v>231.75</v>
      </c>
    </row>
    <row r="1250">
      <c r="A1250" s="2">
        <f>IFERROR(__xludf.DUMMYFUNCTION("""COMPUTED_VALUE"""),45922.66666666667)</f>
        <v>45922.66667</v>
      </c>
      <c r="B1250" s="1">
        <f>IFERROR(__xludf.DUMMYFUNCTION("""COMPUTED_VALUE"""),230.12)</f>
        <v>230.12</v>
      </c>
    </row>
    <row r="1251">
      <c r="A1251" s="2">
        <f>IFERROR(__xludf.DUMMYFUNCTION("""COMPUTED_VALUE"""),45923.66666666667)</f>
        <v>45923.66667</v>
      </c>
      <c r="B1251" s="1">
        <f>IFERROR(__xludf.DUMMYFUNCTION("""COMPUTED_VALUE"""),233.7)</f>
        <v>233.7</v>
      </c>
    </row>
    <row r="1252">
      <c r="A1252" s="2">
        <f>IFERROR(__xludf.DUMMYFUNCTION("""COMPUTED_VALUE"""),45924.66666666667)</f>
        <v>45924.66667</v>
      </c>
      <c r="B1252" s="1">
        <f>IFERROR(__xludf.DUMMYFUNCTION("""COMPUTED_VALUE"""),233.75)</f>
        <v>233.75</v>
      </c>
    </row>
    <row r="1253">
      <c r="A1253" s="2">
        <f>IFERROR(__xludf.DUMMYFUNCTION("""COMPUTED_VALUE"""),45925.66666666667)</f>
        <v>45925.66667</v>
      </c>
      <c r="B1253" s="1">
        <f>IFERROR(__xludf.DUMMYFUNCTION("""COMPUTED_VALUE"""),236.42)</f>
        <v>236.42</v>
      </c>
    </row>
    <row r="1254">
      <c r="A1254" s="2">
        <f>IFERROR(__xludf.DUMMYFUNCTION("""COMPUTED_VALUE"""),45926.66666666667)</f>
        <v>45926.66667</v>
      </c>
      <c r="B1254" s="1">
        <f>IFERROR(__xludf.DUMMYFUNCTION("""COMPUTED_VALUE"""),237.82)</f>
        <v>237.82</v>
      </c>
    </row>
    <row r="1255">
      <c r="A1255" s="2">
        <f>IFERROR(__xludf.DUMMYFUNCTION("""COMPUTED_VALUE"""),45929.66666666667)</f>
        <v>45929.66667</v>
      </c>
      <c r="B1255" s="1">
        <f>IFERROR(__xludf.DUMMYFUNCTION("""COMPUTED_VALUE"""),236.58)</f>
        <v>236.58</v>
      </c>
    </row>
    <row r="1256">
      <c r="A1256" s="2">
        <f>IFERROR(__xludf.DUMMYFUNCTION("""COMPUTED_VALUE"""),45930.66666666667)</f>
        <v>45930.66667</v>
      </c>
      <c r="B1256" s="1">
        <f>IFERROR(__xludf.DUMMYFUNCTION("""COMPUTED_VALUE"""),235.81)</f>
        <v>235.81</v>
      </c>
    </row>
    <row r="1257">
      <c r="A1257" s="2">
        <f>IFERROR(__xludf.DUMMYFUNCTION("""COMPUTED_VALUE"""),45931.66666666667)</f>
        <v>45931.66667</v>
      </c>
      <c r="B1257" s="1">
        <f>IFERROR(__xludf.DUMMYFUNCTION("""COMPUTED_VALUE"""),239.55)</f>
        <v>239.55</v>
      </c>
    </row>
    <row r="1258">
      <c r="A1258" s="2">
        <f>IFERROR(__xludf.DUMMYFUNCTION("""COMPUTED_VALUE"""),45932.66666666667)</f>
        <v>45932.66667</v>
      </c>
      <c r="B1258" s="1">
        <f>IFERROR(__xludf.DUMMYFUNCTION("""COMPUTED_VALUE"""),242.32)</f>
        <v>242.32</v>
      </c>
    </row>
    <row r="1259">
      <c r="A1259" s="2">
        <f>IFERROR(__xludf.DUMMYFUNCTION("""COMPUTED_VALUE"""),45933.66666666667)</f>
        <v>45933.66667</v>
      </c>
      <c r="B1259" s="1">
        <f>IFERROR(__xludf.DUMMYFUNCTION("""COMPUTED_VALUE"""),244.61)</f>
        <v>244.61</v>
      </c>
    </row>
    <row r="1260">
      <c r="A1260" s="2">
        <f>IFERROR(__xludf.DUMMYFUNCTION("""COMPUTED_VALUE"""),45936.66666666667)</f>
        <v>45936.66667</v>
      </c>
      <c r="B1260" s="1">
        <f>IFERROR(__xludf.DUMMYFUNCTION("""COMPUTED_VALUE"""),247.03)</f>
        <v>247.03</v>
      </c>
    </row>
    <row r="1261">
      <c r="A1261" s="2">
        <f>IFERROR(__xludf.DUMMYFUNCTION("""COMPUTED_VALUE"""),45937.66666666667)</f>
        <v>45937.66667</v>
      </c>
      <c r="B1261" s="1">
        <f>IFERROR(__xludf.DUMMYFUNCTION("""COMPUTED_VALUE"""),242.33)</f>
        <v>242.33</v>
      </c>
    </row>
    <row r="1262">
      <c r="A1262" s="2">
        <f>IFERROR(__xludf.DUMMYFUNCTION("""COMPUTED_VALUE"""),45938.66666666667)</f>
        <v>45938.66667</v>
      </c>
      <c r="B1262" s="1">
        <f>IFERROR(__xludf.DUMMYFUNCTION("""COMPUTED_VALUE"""),239.93)</f>
        <v>239.93</v>
      </c>
    </row>
    <row r="1263">
      <c r="A1263" s="2">
        <f>IFERROR(__xludf.DUMMYFUNCTION("""COMPUTED_VALUE"""),45939.66666666667)</f>
        <v>45939.66667</v>
      </c>
      <c r="B1263" s="1">
        <f>IFERROR(__xludf.DUMMYFUNCTION("""COMPUTED_VALUE"""),237.0)</f>
        <v>237</v>
      </c>
    </row>
    <row r="1264">
      <c r="A1264" s="2">
        <f>IFERROR(__xludf.DUMMYFUNCTION("""COMPUTED_VALUE"""),45940.66666666667)</f>
        <v>45940.66667</v>
      </c>
      <c r="B1264" s="1">
        <f>IFERROR(__xludf.DUMMYFUNCTION("""COMPUTED_VALUE"""),224.63)</f>
        <v>224.63</v>
      </c>
    </row>
    <row r="1265">
      <c r="A1265" s="2">
        <f>IFERROR(__xludf.DUMMYFUNCTION("""COMPUTED_VALUE"""),45943.66666666667)</f>
        <v>45943.66667</v>
      </c>
      <c r="B1265" s="1">
        <f>IFERROR(__xludf.DUMMYFUNCTION("""COMPUTED_VALUE"""),229.65)</f>
        <v>229.65</v>
      </c>
    </row>
    <row r="1266">
      <c r="A1266" s="2">
        <f>IFERROR(__xludf.DUMMYFUNCTION("""COMPUTED_VALUE"""),45944.66666666667)</f>
        <v>45944.66667</v>
      </c>
      <c r="B1266" s="1">
        <f>IFERROR(__xludf.DUMMYFUNCTION("""COMPUTED_VALUE"""),234.67)</f>
        <v>234.67</v>
      </c>
    </row>
    <row r="1267">
      <c r="A1267" s="2">
        <f>IFERROR(__xludf.DUMMYFUNCTION("""COMPUTED_VALUE"""),45945.66666666667)</f>
        <v>45945.66667</v>
      </c>
      <c r="B1267" s="1">
        <f>IFERROR(__xludf.DUMMYFUNCTION("""COMPUTED_VALUE"""),235.8)</f>
        <v>235.8</v>
      </c>
    </row>
    <row r="1268">
      <c r="A1268" s="2">
        <f>IFERROR(__xludf.DUMMYFUNCTION("""COMPUTED_VALUE"""),45946.66666666667)</f>
        <v>45946.66667</v>
      </c>
      <c r="B1268" s="1">
        <f>IFERROR(__xludf.DUMMYFUNCTION("""COMPUTED_VALUE"""),236.91)</f>
        <v>236.91</v>
      </c>
    </row>
    <row r="1269">
      <c r="A1269" s="2">
        <f>IFERROR(__xludf.DUMMYFUNCTION("""COMPUTED_VALUE"""),45947.66666666667)</f>
        <v>45947.66667</v>
      </c>
      <c r="B1269" s="1">
        <f>IFERROR(__xludf.DUMMYFUNCTION("""COMPUTED_VALUE"""),237.8)</f>
        <v>237.8</v>
      </c>
    </row>
    <row r="1270">
      <c r="A1270" s="2">
        <f>IFERROR(__xludf.DUMMYFUNCTION("""COMPUTED_VALUE"""),45950.66666666667)</f>
        <v>45950.66667</v>
      </c>
      <c r="B1270" s="1">
        <f>IFERROR(__xludf.DUMMYFUNCTION("""COMPUTED_VALUE"""),239.81)</f>
        <v>239.81</v>
      </c>
    </row>
    <row r="1271">
      <c r="A1271" s="2">
        <f>IFERROR(__xludf.DUMMYFUNCTION("""COMPUTED_VALUE"""),45951.66666666667)</f>
        <v>45951.66667</v>
      </c>
      <c r="B1271" s="1">
        <f>IFERROR(__xludf.DUMMYFUNCTION("""COMPUTED_VALUE"""),242.84)</f>
        <v>242.84</v>
      </c>
    </row>
    <row r="1272">
      <c r="A1272" s="2">
        <f>IFERROR(__xludf.DUMMYFUNCTION("""COMPUTED_VALUE"""),45952.66666666667)</f>
        <v>45952.66667</v>
      </c>
      <c r="B1272" s="1">
        <f>IFERROR(__xludf.DUMMYFUNCTION("""COMPUTED_VALUE"""),239.41)</f>
        <v>239.41</v>
      </c>
    </row>
    <row r="1273">
      <c r="A1273" s="2">
        <f>IFERROR(__xludf.DUMMYFUNCTION("""COMPUTED_VALUE"""),45953.66666666667)</f>
        <v>45953.66667</v>
      </c>
      <c r="B1273" s="1">
        <f>IFERROR(__xludf.DUMMYFUNCTION("""COMPUTED_VALUE"""),238.17)</f>
        <v>238.17</v>
      </c>
    </row>
    <row r="1274">
      <c r="A1274" s="2">
        <f>IFERROR(__xludf.DUMMYFUNCTION("""COMPUTED_VALUE"""),45954.66666666667)</f>
        <v>45954.66667</v>
      </c>
      <c r="B1274" s="1">
        <f>IFERROR(__xludf.DUMMYFUNCTION("""COMPUTED_VALUE"""),241.15)</f>
        <v>241.15</v>
      </c>
    </row>
    <row r="1275">
      <c r="A1275" s="2">
        <f>IFERROR(__xludf.DUMMYFUNCTION("""COMPUTED_VALUE"""),45957.66666666667)</f>
        <v>45957.66667</v>
      </c>
      <c r="B1275" s="1">
        <f>IFERROR(__xludf.DUMMYFUNCTION("""COMPUTED_VALUE"""),247.34)</f>
        <v>247.34</v>
      </c>
    </row>
    <row r="1276">
      <c r="A1276" s="2">
        <f>IFERROR(__xludf.DUMMYFUNCTION("""COMPUTED_VALUE"""),45958.66666666667)</f>
        <v>45958.66667</v>
      </c>
      <c r="B1276" s="1">
        <f>IFERROR(__xludf.DUMMYFUNCTION("""COMPUTED_VALUE"""),249.55)</f>
        <v>249.55</v>
      </c>
    </row>
    <row r="1277">
      <c r="A1277" s="2">
        <f>IFERROR(__xludf.DUMMYFUNCTION("""COMPUTED_VALUE"""),45959.66666666667)</f>
        <v>45959.66667</v>
      </c>
      <c r="B1277" s="1">
        <f>IFERROR(__xludf.DUMMYFUNCTION("""COMPUTED_VALUE"""),249.64)</f>
        <v>249.64</v>
      </c>
    </row>
    <row r="1278">
      <c r="A1278" s="2">
        <f>IFERROR(__xludf.DUMMYFUNCTION("""COMPUTED_VALUE"""),45960.66666666667)</f>
        <v>45960.66667</v>
      </c>
      <c r="B1278" s="1">
        <f>IFERROR(__xludf.DUMMYFUNCTION("""COMPUTED_VALUE"""),248.93)</f>
        <v>248.93</v>
      </c>
    </row>
    <row r="1279">
      <c r="A1279" s="2">
        <f>IFERROR(__xludf.DUMMYFUNCTION("""COMPUTED_VALUE"""),45961.66666666667)</f>
        <v>45961.66667</v>
      </c>
      <c r="B1279" s="1">
        <f>IFERROR(__xludf.DUMMYFUNCTION("""COMPUTED_VALUE"""),253.82)</f>
        <v>253.82</v>
      </c>
    </row>
    <row r="1280">
      <c r="A1280" s="2">
        <f>IFERROR(__xludf.DUMMYFUNCTION("""COMPUTED_VALUE"""),45964.66666666667)</f>
        <v>45964.66667</v>
      </c>
      <c r="B1280" s="1">
        <f>IFERROR(__xludf.DUMMYFUNCTION("""COMPUTED_VALUE"""),252.99)</f>
        <v>252.99</v>
      </c>
    </row>
    <row r="1281">
      <c r="A1281" s="2">
        <f>IFERROR(__xludf.DUMMYFUNCTION("""COMPUTED_VALUE"""),45965.66666666667)</f>
        <v>45965.66667</v>
      </c>
      <c r="B1281" s="1">
        <f>IFERROR(__xludf.DUMMYFUNCTION("""COMPUTED_VALUE"""),251.88)</f>
        <v>251.88</v>
      </c>
    </row>
    <row r="1282">
      <c r="A1282" s="2">
        <f>IFERROR(__xludf.DUMMYFUNCTION("""COMPUTED_VALUE"""),45966.66666666667)</f>
        <v>45966.66667</v>
      </c>
      <c r="B1282" s="1">
        <f>IFERROR(__xludf.DUMMYFUNCTION("""COMPUTED_VALUE"""),256.1)</f>
        <v>256.1</v>
      </c>
    </row>
    <row r="1283">
      <c r="A1283" s="2">
        <f>IFERROR(__xludf.DUMMYFUNCTION("""COMPUTED_VALUE"""),45967.66666666667)</f>
        <v>45967.66667</v>
      </c>
      <c r="B1283" s="1">
        <f>IFERROR(__xludf.DUMMYFUNCTION("""COMPUTED_VALUE"""),258.86)</f>
        <v>258.86</v>
      </c>
    </row>
    <row r="1284">
      <c r="A1284" s="2">
        <f>IFERROR(__xludf.DUMMYFUNCTION("""COMPUTED_VALUE"""),45968.66666666667)</f>
        <v>45968.66667</v>
      </c>
      <c r="B1284" s="1">
        <f>IFERROR(__xludf.DUMMYFUNCTION("""COMPUTED_VALUE"""),262.09)</f>
        <v>262.09</v>
      </c>
    </row>
    <row r="1285">
      <c r="A1285" s="2">
        <f>IFERROR(__xludf.DUMMYFUNCTION("""COMPUTED_VALUE"""),45971.66666666667)</f>
        <v>45971.66667</v>
      </c>
      <c r="B1285" s="1">
        <f>IFERROR(__xludf.DUMMYFUNCTION("""COMPUTED_VALUE"""),253.89)</f>
        <v>253.89</v>
      </c>
    </row>
    <row r="1286">
      <c r="A1286" s="2">
        <f>IFERROR(__xludf.DUMMYFUNCTION("""COMPUTED_VALUE"""),45972.66666666667)</f>
        <v>45972.66667</v>
      </c>
      <c r="B1286" s="1">
        <f>IFERROR(__xludf.DUMMYFUNCTION("""COMPUTED_VALUE"""),267.72)</f>
        <v>267.72</v>
      </c>
    </row>
    <row r="1287">
      <c r="A1287" s="2">
        <f>IFERROR(__xludf.DUMMYFUNCTION("""COMPUTED_VALUE"""),45973.66666666667)</f>
        <v>45973.66667</v>
      </c>
      <c r="B1287" s="1">
        <f>IFERROR(__xludf.DUMMYFUNCTION("""COMPUTED_VALUE"""),268.67)</f>
        <v>268.67</v>
      </c>
    </row>
    <row r="1288">
      <c r="A1288" s="2">
        <f>IFERROR(__xludf.DUMMYFUNCTION("""COMPUTED_VALUE"""),45974.66666666667)</f>
        <v>45974.66667</v>
      </c>
      <c r="B1288" s="1">
        <f>IFERROR(__xludf.DUMMYFUNCTION("""COMPUTED_VALUE"""),267.34)</f>
        <v>267.34</v>
      </c>
    </row>
    <row r="1289">
      <c r="A1289" s="2">
        <f>IFERROR(__xludf.DUMMYFUNCTION("""COMPUTED_VALUE"""),45975.66666666667)</f>
        <v>45975.66667</v>
      </c>
      <c r="B1289" s="1">
        <f>IFERROR(__xludf.DUMMYFUNCTION("""COMPUTED_VALUE"""),267.56)</f>
        <v>267.56</v>
      </c>
    </row>
    <row r="1290">
      <c r="A1290" s="2">
        <f>IFERROR(__xludf.DUMMYFUNCTION("""COMPUTED_VALUE"""),45978.66666666667)</f>
        <v>45978.66667</v>
      </c>
      <c r="B1290" s="1">
        <f>IFERROR(__xludf.DUMMYFUNCTION("""COMPUTED_VALUE"""),264.73)</f>
        <v>264.73</v>
      </c>
    </row>
    <row r="1291">
      <c r="A1291" s="2">
        <f>IFERROR(__xludf.DUMMYFUNCTION("""COMPUTED_VALUE"""),45979.66666666667)</f>
        <v>45979.66667</v>
      </c>
      <c r="B1291" s="1">
        <f>IFERROR(__xludf.DUMMYFUNCTION("""COMPUTED_VALUE"""),263.08)</f>
        <v>263.08</v>
      </c>
    </row>
    <row r="1292">
      <c r="A1292" s="2">
        <f>IFERROR(__xludf.DUMMYFUNCTION("""COMPUTED_VALUE"""),45980.66666666667)</f>
        <v>45980.66667</v>
      </c>
      <c r="B1292" s="1">
        <f>IFERROR(__xludf.DUMMYFUNCTION("""COMPUTED_VALUE"""),262.57)</f>
        <v>262.57</v>
      </c>
    </row>
    <row r="1293">
      <c r="A1293" s="2">
        <f>IFERROR(__xludf.DUMMYFUNCTION("""COMPUTED_VALUE"""),45981.66666666667)</f>
        <v>45981.66667</v>
      </c>
      <c r="B1293" s="1">
        <f>IFERROR(__xludf.DUMMYFUNCTION("""COMPUTED_VALUE"""),263.1)</f>
        <v>263.1</v>
      </c>
    </row>
    <row r="1294">
      <c r="A1294" s="2">
        <f>IFERROR(__xludf.DUMMYFUNCTION("""COMPUTED_VALUE"""),45982.66666666667)</f>
        <v>45982.66667</v>
      </c>
      <c r="B1294" s="1">
        <f>IFERROR(__xludf.DUMMYFUNCTION("""COMPUTED_VALUE"""),269.43)</f>
        <v>269.43</v>
      </c>
    </row>
    <row r="1295">
      <c r="A1295" s="2">
        <f>IFERROR(__xludf.DUMMYFUNCTION("""COMPUTED_VALUE"""),45985.66666666667)</f>
        <v>45985.66667</v>
      </c>
      <c r="B1295" s="1">
        <f>IFERROR(__xludf.DUMMYFUNCTION("""COMPUTED_VALUE"""),266.98)</f>
        <v>266.98</v>
      </c>
    </row>
    <row r="1296">
      <c r="A1296" s="2">
        <f>IFERROR(__xludf.DUMMYFUNCTION("""COMPUTED_VALUE"""),45986.66666666667)</f>
        <v>45986.66667</v>
      </c>
      <c r="B1296" s="1">
        <f>IFERROR(__xludf.DUMMYFUNCTION("""COMPUTED_VALUE"""),273.87)</f>
        <v>273.87</v>
      </c>
    </row>
    <row r="1297">
      <c r="A1297" s="2">
        <f>IFERROR(__xludf.DUMMYFUNCTION("""COMPUTED_VALUE"""),45987.66666666667)</f>
        <v>45987.66667</v>
      </c>
      <c r="B1297" s="1">
        <f>IFERROR(__xludf.DUMMYFUNCTION("""COMPUTED_VALUE"""),275.83)</f>
        <v>275.83</v>
      </c>
    </row>
    <row r="1298">
      <c r="A1298" s="2">
        <f>IFERROR(__xludf.DUMMYFUNCTION("""COMPUTED_VALUE"""),45989.54166666667)</f>
        <v>45989.54167</v>
      </c>
      <c r="B1298" s="1">
        <f>IFERROR(__xludf.DUMMYFUNCTION("""COMPUTED_VALUE"""),275.68)</f>
        <v>275.68</v>
      </c>
    </row>
    <row r="1299">
      <c r="A1299" s="2">
        <f>IFERROR(__xludf.DUMMYFUNCTION("""COMPUTED_VALUE"""),45992.66666666667)</f>
        <v>45992.66667</v>
      </c>
      <c r="B1299" s="1">
        <f>IFERROR(__xludf.DUMMYFUNCTION("""COMPUTED_VALUE"""),273.34)</f>
        <v>273.34</v>
      </c>
    </row>
    <row r="1300">
      <c r="A1300" s="2">
        <f>IFERROR(__xludf.DUMMYFUNCTION("""COMPUTED_VALUE"""),45993.66666666667)</f>
        <v>45993.66667</v>
      </c>
      <c r="B1300" s="1">
        <f>IFERROR(__xludf.DUMMYFUNCTION("""COMPUTED_VALUE"""),270.37)</f>
        <v>270.37</v>
      </c>
    </row>
    <row r="1301">
      <c r="A1301" s="2">
        <f>IFERROR(__xludf.DUMMYFUNCTION("""COMPUTED_VALUE"""),45994.66666666667)</f>
        <v>45994.66667</v>
      </c>
      <c r="B1301" s="1">
        <f>IFERROR(__xludf.DUMMYFUNCTION("""COMPUTED_VALUE"""),270.45)</f>
        <v>270.45</v>
      </c>
    </row>
    <row r="1302">
      <c r="A1302" s="2">
        <f>IFERROR(__xludf.DUMMYFUNCTION("""COMPUTED_VALUE"""),45995.66666666667)</f>
        <v>45995.66667</v>
      </c>
      <c r="B1302" s="1">
        <f>IFERROR(__xludf.DUMMYFUNCTION("""COMPUTED_VALUE"""),274.05)</f>
        <v>274.05</v>
      </c>
    </row>
    <row r="1303">
      <c r="A1303" s="2">
        <f>IFERROR(__xludf.DUMMYFUNCTION("""COMPUTED_VALUE"""),45996.66666666667)</f>
        <v>45996.66667</v>
      </c>
      <c r="B1303" s="1">
        <f>IFERROR(__xludf.DUMMYFUNCTION("""COMPUTED_VALUE"""),274.29)</f>
        <v>274.29</v>
      </c>
    </row>
    <row r="1304">
      <c r="A1304" s="2">
        <f>IFERROR(__xludf.DUMMYFUNCTION("""COMPUTED_VALUE"""),45999.66666666667)</f>
        <v>45999.66667</v>
      </c>
      <c r="B1304" s="1">
        <f>IFERROR(__xludf.DUMMYFUNCTION("""COMPUTED_VALUE"""),276.64)</f>
        <v>276.64</v>
      </c>
    </row>
    <row r="1305">
      <c r="A1305" s="2">
        <f>IFERROR(__xludf.DUMMYFUNCTION("""COMPUTED_VALUE"""),46000.66666666667)</f>
        <v>46000.66667</v>
      </c>
      <c r="B1305" s="1">
        <f>IFERROR(__xludf.DUMMYFUNCTION("""COMPUTED_VALUE"""),275.13)</f>
        <v>275.13</v>
      </c>
    </row>
    <row r="1306">
      <c r="A1306" s="2">
        <f>IFERROR(__xludf.DUMMYFUNCTION("""COMPUTED_VALUE"""),46001.66666666667)</f>
        <v>46001.66667</v>
      </c>
      <c r="B1306" s="1">
        <f>IFERROR(__xludf.DUMMYFUNCTION("""COMPUTED_VALUE"""),284.31)</f>
        <v>284.31</v>
      </c>
    </row>
    <row r="1307">
      <c r="A1307" s="2">
        <f>IFERROR(__xludf.DUMMYFUNCTION("""COMPUTED_VALUE"""),46002.66666666667)</f>
        <v>46002.66667</v>
      </c>
      <c r="B1307" s="1">
        <f>IFERROR(__xludf.DUMMYFUNCTION("""COMPUTED_VALUE"""),284.78)</f>
        <v>284.78</v>
      </c>
    </row>
    <row r="1308">
      <c r="A1308" s="2">
        <f>IFERROR(__xludf.DUMMYFUNCTION("""COMPUTED_VALUE"""),46003.66666666667)</f>
        <v>46003.66667</v>
      </c>
      <c r="B1308" s="1">
        <f>IFERROR(__xludf.DUMMYFUNCTION("""COMPUTED_VALUE"""),284.34)</f>
        <v>284.34</v>
      </c>
    </row>
    <row r="1309">
      <c r="A1309" s="2">
        <f>IFERROR(__xludf.DUMMYFUNCTION("""COMPUTED_VALUE"""),46006.66666666667)</f>
        <v>46006.66667</v>
      </c>
      <c r="B1309" s="1">
        <f>IFERROR(__xludf.DUMMYFUNCTION("""COMPUTED_VALUE"""),281.23)</f>
        <v>281.23</v>
      </c>
    </row>
    <row r="1310">
      <c r="A1310" s="2">
        <f>IFERROR(__xludf.DUMMYFUNCTION("""COMPUTED_VALUE"""),46007.66666666667)</f>
        <v>46007.66667</v>
      </c>
      <c r="B1310" s="1">
        <f>IFERROR(__xludf.DUMMYFUNCTION("""COMPUTED_VALUE"""),282.46)</f>
        <v>282.46</v>
      </c>
    </row>
    <row r="1311">
      <c r="A1311" s="2">
        <f>IFERROR(__xludf.DUMMYFUNCTION("""COMPUTED_VALUE"""),46008.66666666667)</f>
        <v>46008.66667</v>
      </c>
      <c r="B1311" s="1">
        <f>IFERROR(__xludf.DUMMYFUNCTION("""COMPUTED_VALUE"""),282.21)</f>
        <v>282.21</v>
      </c>
    </row>
    <row r="1312">
      <c r="A1312" s="2">
        <f>IFERROR(__xludf.DUMMYFUNCTION("""COMPUTED_VALUE"""),46009.66666666667)</f>
        <v>46009.66667</v>
      </c>
      <c r="B1312" s="1">
        <f>IFERROR(__xludf.DUMMYFUNCTION("""COMPUTED_VALUE"""),287.12)</f>
        <v>287.12</v>
      </c>
    </row>
    <row r="1313">
      <c r="A1313" s="2">
        <f>IFERROR(__xludf.DUMMYFUNCTION("""COMPUTED_VALUE"""),46010.66666666667)</f>
        <v>46010.66667</v>
      </c>
      <c r="B1313" s="1">
        <f>IFERROR(__xludf.DUMMYFUNCTION("""COMPUTED_VALUE"""),288.78)</f>
        <v>288.78</v>
      </c>
    </row>
    <row r="1314">
      <c r="A1314" s="2">
        <f>IFERROR(__xludf.DUMMYFUNCTION("""COMPUTED_VALUE"""),46013.66666666667)</f>
        <v>46013.66667</v>
      </c>
      <c r="B1314" s="1">
        <f>IFERROR(__xludf.DUMMYFUNCTION("""COMPUTED_VALUE"""),292.78)</f>
        <v>292.78</v>
      </c>
    </row>
    <row r="1315">
      <c r="A1315" s="2">
        <f>IFERROR(__xludf.DUMMYFUNCTION("""COMPUTED_VALUE"""),46014.66666666667)</f>
        <v>46014.66667</v>
      </c>
      <c r="B1315" s="1">
        <f>IFERROR(__xludf.DUMMYFUNCTION("""COMPUTED_VALUE"""),295.21)</f>
        <v>295.21</v>
      </c>
    </row>
    <row r="1316">
      <c r="A1316" s="2">
        <f>IFERROR(__xludf.DUMMYFUNCTION("""COMPUTED_VALUE"""),46015.54166666667)</f>
        <v>46015.54167</v>
      </c>
      <c r="B1316" s="1">
        <f>IFERROR(__xludf.DUMMYFUNCTION("""COMPUTED_VALUE"""),295.9)</f>
        <v>295.9</v>
      </c>
    </row>
    <row r="1317">
      <c r="A1317" s="2">
        <f>IFERROR(__xludf.DUMMYFUNCTION("""COMPUTED_VALUE"""),46017.66666666667)</f>
        <v>46017.66667</v>
      </c>
      <c r="B1317" s="1">
        <f>IFERROR(__xludf.DUMMYFUNCTION("""COMPUTED_VALUE"""),296.33)</f>
        <v>296.33</v>
      </c>
    </row>
    <row r="1318">
      <c r="A1318" s="2">
        <f>IFERROR(__xludf.DUMMYFUNCTION("""COMPUTED_VALUE"""),46020.66666666667)</f>
        <v>46020.66667</v>
      </c>
      <c r="B1318" s="1">
        <f>IFERROR(__xludf.DUMMYFUNCTION("""COMPUTED_VALUE"""),292.89)</f>
        <v>292.89</v>
      </c>
    </row>
    <row r="1319">
      <c r="A1319" s="2">
        <f>IFERROR(__xludf.DUMMYFUNCTION("""COMPUTED_VALUE"""),46021.66666666667)</f>
        <v>46021.66667</v>
      </c>
      <c r="B1319" s="1">
        <f>IFERROR(__xludf.DUMMYFUNCTION("""COMPUTED_VALUE"""),291.06)</f>
        <v>291.06</v>
      </c>
    </row>
    <row r="1320">
      <c r="A1320" s="2">
        <f>IFERROR(__xludf.DUMMYFUNCTION("""COMPUTED_VALUE"""),46022.66666666667)</f>
        <v>46022.66667</v>
      </c>
      <c r="B1320" s="1">
        <f>IFERROR(__xludf.DUMMYFUNCTION("""COMPUTED_VALUE"""),288.86)</f>
        <v>288.86</v>
      </c>
    </row>
    <row r="1321">
      <c r="A1321" s="2">
        <f>IFERROR(__xludf.DUMMYFUNCTION("""COMPUTED_VALUE"""),46024.66666666667)</f>
        <v>46024.66667</v>
      </c>
      <c r="B1321" s="1">
        <f>IFERROR(__xludf.DUMMYFUNCTION("""COMPUTED_VALUE"""),293.13)</f>
        <v>293.13</v>
      </c>
    </row>
    <row r="1322">
      <c r="A1322" s="2">
        <f>IFERROR(__xludf.DUMMYFUNCTION("""COMPUTED_VALUE"""),46027.66666666667)</f>
        <v>46027.66667</v>
      </c>
      <c r="B1322" s="1">
        <f>IFERROR(__xludf.DUMMYFUNCTION("""COMPUTED_VALUE"""),297.46)</f>
        <v>297.46</v>
      </c>
    </row>
    <row r="1323">
      <c r="A1323" s="2">
        <f>IFERROR(__xludf.DUMMYFUNCTION("""COMPUTED_VALUE"""),46028.66666666667)</f>
        <v>46028.66667</v>
      </c>
      <c r="B1323" s="1">
        <f>IFERROR(__xludf.DUMMYFUNCTION("""COMPUTED_VALUE"""),307.93)</f>
        <v>307.93</v>
      </c>
    </row>
    <row r="1324">
      <c r="A1324" s="2">
        <f>IFERROR(__xludf.DUMMYFUNCTION("""COMPUTED_VALUE"""),46029.66666666667)</f>
        <v>46029.66667</v>
      </c>
      <c r="B1324" s="1">
        <f>IFERROR(__xludf.DUMMYFUNCTION("""COMPUTED_VALUE"""),307.33)</f>
        <v>307.33</v>
      </c>
    </row>
    <row r="1325">
      <c r="A1325" s="2">
        <f>IFERROR(__xludf.DUMMYFUNCTION("""COMPUTED_VALUE"""),46030.66666666667)</f>
        <v>46030.66667</v>
      </c>
      <c r="B1325" s="1">
        <f>IFERROR(__xludf.DUMMYFUNCTION("""COMPUTED_VALUE"""),309.01)</f>
        <v>309.01</v>
      </c>
    </row>
    <row r="1326">
      <c r="A1326" s="2">
        <f>IFERROR(__xludf.DUMMYFUNCTION("""COMPUTED_VALUE"""),46031.66666666667)</f>
        <v>46031.66667</v>
      </c>
      <c r="B1326" s="1">
        <f>IFERROR(__xludf.DUMMYFUNCTION("""COMPUTED_VALUE"""),312.36)</f>
        <v>312.36</v>
      </c>
    </row>
    <row r="1327">
      <c r="A1327" s="2">
        <f>IFERROR(__xludf.DUMMYFUNCTION("""COMPUTED_VALUE"""),46034.66666666667)</f>
        <v>46034.66667</v>
      </c>
      <c r="B1327" s="1">
        <f>IFERROR(__xludf.DUMMYFUNCTION("""COMPUTED_VALUE"""),311.92)</f>
        <v>311.92</v>
      </c>
    </row>
    <row r="1328">
      <c r="A1328" s="2">
        <f>IFERROR(__xludf.DUMMYFUNCTION("""COMPUTED_VALUE"""),46035.66666666667)</f>
        <v>46035.66667</v>
      </c>
      <c r="B1328" s="1">
        <f>IFERROR(__xludf.DUMMYFUNCTION("""COMPUTED_VALUE"""),309.66)</f>
        <v>309.66</v>
      </c>
    </row>
    <row r="1329">
      <c r="A1329" s="2">
        <f>IFERROR(__xludf.DUMMYFUNCTION("""COMPUTED_VALUE"""),46036.66666666667)</f>
        <v>46036.66667</v>
      </c>
      <c r="B1329" s="1">
        <f>IFERROR(__xludf.DUMMYFUNCTION("""COMPUTED_VALUE"""),313.55)</f>
        <v>313.55</v>
      </c>
    </row>
    <row r="1330">
      <c r="A1330" s="2">
        <f>IFERROR(__xludf.DUMMYFUNCTION("""COMPUTED_VALUE"""),46037.66666666667)</f>
        <v>46037.66667</v>
      </c>
      <c r="B1330" s="1">
        <f>IFERROR(__xludf.DUMMYFUNCTION("""COMPUTED_VALUE"""),313.16)</f>
        <v>313.16</v>
      </c>
    </row>
    <row r="1331">
      <c r="A1331" s="2">
        <f>IFERROR(__xludf.DUMMYFUNCTION("""COMPUTED_VALUE"""),46038.66666666667)</f>
        <v>46038.66667</v>
      </c>
      <c r="B1331" s="1">
        <f>IFERROR(__xludf.DUMMYFUNCTION("""COMPUTED_VALUE"""),308.18)</f>
        <v>308.18</v>
      </c>
    </row>
    <row r="1332">
      <c r="A1332" s="2">
        <f>IFERROR(__xludf.DUMMYFUNCTION("""COMPUTED_VALUE"""),46042.66666666667)</f>
        <v>46042.66667</v>
      </c>
      <c r="B1332" s="1">
        <f>IFERROR(__xludf.DUMMYFUNCTION("""COMPUTED_VALUE"""),301.03)</f>
        <v>301.03</v>
      </c>
    </row>
    <row r="1333">
      <c r="A1333" s="2">
        <f>IFERROR(__xludf.DUMMYFUNCTION("""COMPUTED_VALUE"""),46043.66666666667)</f>
        <v>46043.66667</v>
      </c>
      <c r="B1333" s="1">
        <f>IFERROR(__xludf.DUMMYFUNCTION("""COMPUTED_VALUE"""),306.95)</f>
        <v>306.95</v>
      </c>
    </row>
    <row r="1334">
      <c r="A1334" s="2">
        <f>IFERROR(__xludf.DUMMYFUNCTION("""COMPUTED_VALUE"""),46044.66666666667)</f>
        <v>46044.66667</v>
      </c>
      <c r="B1334" s="1">
        <f>IFERROR(__xludf.DUMMYFUNCTION("""COMPUTED_VALUE"""),309.81)</f>
        <v>309.81</v>
      </c>
    </row>
    <row r="1335">
      <c r="A1335" s="2">
        <f>IFERROR(__xludf.DUMMYFUNCTION("""COMPUTED_VALUE"""),46045.66666666667)</f>
        <v>46045.66667</v>
      </c>
      <c r="B1335" s="1">
        <f>IFERROR(__xludf.DUMMYFUNCTION("""COMPUTED_VALUE"""),304.21)</f>
        <v>304.21</v>
      </c>
    </row>
    <row r="1336">
      <c r="A1336" s="2">
        <f>IFERROR(__xludf.DUMMYFUNCTION("""COMPUTED_VALUE"""),46048.66666666667)</f>
        <v>46048.66667</v>
      </c>
      <c r="B1336" s="1">
        <f>IFERROR(__xludf.DUMMYFUNCTION("""COMPUTED_VALUE"""),304.47)</f>
        <v>304.47</v>
      </c>
    </row>
    <row r="1337">
      <c r="A1337" s="2">
        <f>IFERROR(__xludf.DUMMYFUNCTION("""COMPUTED_VALUE"""),46049.66666666667)</f>
        <v>46049.66667</v>
      </c>
      <c r="B1337" s="1">
        <f>IFERROR(__xludf.DUMMYFUNCTION("""COMPUTED_VALUE"""),312.42)</f>
        <v>312.42</v>
      </c>
    </row>
    <row r="1338">
      <c r="A1338" s="2">
        <f>IFERROR(__xludf.DUMMYFUNCTION("""COMPUTED_VALUE"""),46050.66666666667)</f>
        <v>46050.66667</v>
      </c>
      <c r="B1338" s="1">
        <f>IFERROR(__xludf.DUMMYFUNCTION("""COMPUTED_VALUE"""),314.65)</f>
        <v>314.65</v>
      </c>
    </row>
    <row r="1339">
      <c r="A1339" s="2">
        <f>IFERROR(__xludf.DUMMYFUNCTION("""COMPUTED_VALUE"""),46051.66666666667)</f>
        <v>46051.66667</v>
      </c>
      <c r="B1339" s="1">
        <f>IFERROR(__xludf.DUMMYFUNCTION("""COMPUTED_VALUE"""),319.93)</f>
        <v>319.93</v>
      </c>
    </row>
    <row r="1340">
      <c r="A1340" s="2">
        <f>IFERROR(__xludf.DUMMYFUNCTION("""COMPUTED_VALUE"""),46052.66666666667)</f>
        <v>46052.66667</v>
      </c>
      <c r="B1340" s="1">
        <f>IFERROR(__xludf.DUMMYFUNCTION("""COMPUTED_VALUE"""),322.25)</f>
        <v>322.25</v>
      </c>
    </row>
    <row r="1341">
      <c r="A1341" s="2">
        <f>IFERROR(__xludf.DUMMYFUNCTION("""COMPUTED_VALUE"""),46055.66666666667)</f>
        <v>46055.66667</v>
      </c>
      <c r="B1341" s="1">
        <f>IFERROR(__xludf.DUMMYFUNCTION("""COMPUTED_VALUE"""),335.3)</f>
        <v>335.3</v>
      </c>
    </row>
    <row r="1342">
      <c r="A1342" s="2">
        <f>IFERROR(__xludf.DUMMYFUNCTION("""COMPUTED_VALUE"""),46056.66666666667)</f>
        <v>46056.66667</v>
      </c>
      <c r="B1342" s="1">
        <f>IFERROR(__xludf.DUMMYFUNCTION("""COMPUTED_VALUE"""),353.43)</f>
        <v>353.43</v>
      </c>
    </row>
    <row r="1343">
      <c r="A1343" s="2">
        <f>IFERROR(__xludf.DUMMYFUNCTION("""COMPUTED_VALUE"""),46057.66666666667)</f>
        <v>46057.66667</v>
      </c>
      <c r="B1343" s="1">
        <f>IFERROR(__xludf.DUMMYFUNCTION("""COMPUTED_VALUE"""),362.54)</f>
        <v>362.54</v>
      </c>
    </row>
    <row r="1344">
      <c r="A1344" s="2">
        <f>IFERROR(__xludf.DUMMYFUNCTION("""COMPUTED_VALUE"""),46058.66666666667)</f>
        <v>46058.66667</v>
      </c>
      <c r="B1344" s="1">
        <f>IFERROR(__xludf.DUMMYFUNCTION("""COMPUTED_VALUE"""),363.96)</f>
        <v>363.96</v>
      </c>
    </row>
    <row r="1345">
      <c r="A1345" s="2">
        <f>IFERROR(__xludf.DUMMYFUNCTION("""COMPUTED_VALUE"""),46059.66666666667)</f>
        <v>46059.66667</v>
      </c>
      <c r="B1345" s="1">
        <f>IFERROR(__xludf.DUMMYFUNCTION("""COMPUTED_VALUE"""),369.23)</f>
        <v>369.23</v>
      </c>
    </row>
    <row r="1346">
      <c r="A1346" s="2">
        <f>IFERROR(__xludf.DUMMYFUNCTION("""COMPUTED_VALUE"""),46062.66666666667)</f>
        <v>46062.66667</v>
      </c>
      <c r="B1346" s="1">
        <f>IFERROR(__xludf.DUMMYFUNCTION("""COMPUTED_VALUE"""),364.6)</f>
        <v>364.6</v>
      </c>
    </row>
    <row r="1347">
      <c r="A1347" s="2">
        <f>IFERROR(__xludf.DUMMYFUNCTION("""COMPUTED_VALUE"""),46063.66666666667)</f>
        <v>46063.66667</v>
      </c>
      <c r="B1347" s="1">
        <f>IFERROR(__xludf.DUMMYFUNCTION("""COMPUTED_VALUE"""),367.95)</f>
        <v>367.95</v>
      </c>
    </row>
    <row r="1348">
      <c r="A1348" s="2">
        <f>IFERROR(__xludf.DUMMYFUNCTION("""COMPUTED_VALUE"""),46064.66666666667)</f>
        <v>46064.66667</v>
      </c>
      <c r="B1348" s="1">
        <f>IFERROR(__xludf.DUMMYFUNCTION("""COMPUTED_VALUE"""),367.16)</f>
        <v>367.16</v>
      </c>
    </row>
    <row r="1349">
      <c r="A1349" s="2">
        <f>IFERROR(__xludf.DUMMYFUNCTION("""COMPUTED_VALUE"""),46065.66666666667)</f>
        <v>46065.66667</v>
      </c>
      <c r="B1349" s="1">
        <f>IFERROR(__xludf.DUMMYFUNCTION("""COMPUTED_VALUE"""),369.46)</f>
        <v>369.46</v>
      </c>
    </row>
    <row r="1350">
      <c r="A1350" s="2">
        <f>IFERROR(__xludf.DUMMYFUNCTION("""COMPUTED_VALUE"""),46066.66666666667)</f>
        <v>46066.66667</v>
      </c>
      <c r="B1350" s="1">
        <f>IFERROR(__xludf.DUMMYFUNCTION("""COMPUTED_VALUE"""),374.72)</f>
        <v>374.72</v>
      </c>
    </row>
    <row r="1351">
      <c r="A1351" s="2">
        <f>IFERROR(__xludf.DUMMYFUNCTION("""COMPUTED_VALUE"""),46070.66666666667)</f>
        <v>46070.66667</v>
      </c>
      <c r="B1351" s="1">
        <f>IFERROR(__xludf.DUMMYFUNCTION("""COMPUTED_VALUE"""),375.3)</f>
        <v>375.3</v>
      </c>
    </row>
    <row r="1352">
      <c r="A1352" s="2">
        <f>IFERROR(__xludf.DUMMYFUNCTION("""COMPUTED_VALUE"""),46071.66666666667)</f>
        <v>46071.66667</v>
      </c>
      <c r="B1352" s="1">
        <f>IFERROR(__xludf.DUMMYFUNCTION("""COMPUTED_VALUE"""),383.08)</f>
        <v>383.08</v>
      </c>
    </row>
    <row r="1353">
      <c r="A1353" s="2">
        <f>IFERROR(__xludf.DUMMYFUNCTION("""COMPUTED_VALUE"""),46072.66666666667)</f>
        <v>46072.66667</v>
      </c>
      <c r="B1353" s="1">
        <f>IFERROR(__xludf.DUMMYFUNCTION("""COMPUTED_VALUE"""),383.14)</f>
        <v>383.14</v>
      </c>
    </row>
    <row r="1354">
      <c r="A1354" s="2">
        <f>IFERROR(__xludf.DUMMYFUNCTION("""COMPUTED_VALUE"""),46073.66666666667)</f>
        <v>46073.66667</v>
      </c>
      <c r="B1354" s="1">
        <f>IFERROR(__xludf.DUMMYFUNCTION("""COMPUTED_VALUE"""),388.48)</f>
        <v>388.48</v>
      </c>
    </row>
    <row r="1355">
      <c r="A1355" s="2">
        <f>IFERROR(__xludf.DUMMYFUNCTION("""COMPUTED_VALUE"""),46076.66666666667)</f>
        <v>46076.66667</v>
      </c>
      <c r="B1355" s="1">
        <f>IFERROR(__xludf.DUMMYFUNCTION("""COMPUTED_VALUE"""),383.71)</f>
        <v>383.71</v>
      </c>
    </row>
    <row r="1356">
      <c r="A1356" s="2">
        <f>IFERROR(__xludf.DUMMYFUNCTION("""COMPUTED_VALUE"""),46077.66666666667)</f>
        <v>46077.66667</v>
      </c>
      <c r="B1356" s="1">
        <f>IFERROR(__xludf.DUMMYFUNCTION("""COMPUTED_VALUE"""),386.56)</f>
        <v>386.56</v>
      </c>
    </row>
    <row r="1357">
      <c r="A1357" s="2">
        <f>IFERROR(__xludf.DUMMYFUNCTION("""COMPUTED_VALUE"""),46078.66666666667)</f>
        <v>46078.66667</v>
      </c>
      <c r="B1357" s="1">
        <f>IFERROR(__xludf.DUMMYFUNCTION("""COMPUTED_VALUE"""),382.59)</f>
        <v>382.59</v>
      </c>
    </row>
    <row r="1358">
      <c r="A1358" s="2">
        <f>IFERROR(__xludf.DUMMYFUNCTION("""COMPUTED_VALUE"""),46079.66666666667)</f>
        <v>46079.66667</v>
      </c>
      <c r="B1358" s="1">
        <f>IFERROR(__xludf.DUMMYFUNCTION("""COMPUTED_VALUE"""),387.68)</f>
        <v>387.68</v>
      </c>
    </row>
    <row r="1359">
      <c r="A1359" s="2">
        <f>IFERROR(__xludf.DUMMYFUNCTION("""COMPUTED_VALUE"""),46080.66666666667)</f>
        <v>46080.66667</v>
      </c>
      <c r="B1359" s="1">
        <f>IFERROR(__xludf.DUMMYFUNCTION("""COMPUTED_VALUE"""),387.0)</f>
        <v>387</v>
      </c>
    </row>
    <row r="1360">
      <c r="A1360" s="2">
        <f>IFERROR(__xludf.DUMMYFUNCTION("""COMPUTED_VALUE"""),46083.66666666667)</f>
        <v>46083.66667</v>
      </c>
      <c r="B1360" s="1">
        <f>IFERROR(__xludf.DUMMYFUNCTION("""COMPUTED_VALUE"""),387.25)</f>
        <v>387.25</v>
      </c>
    </row>
    <row r="1361">
      <c r="A1361" s="2">
        <f>IFERROR(__xludf.DUMMYFUNCTION("""COMPUTED_VALUE"""),46084.66666666667)</f>
        <v>46084.66667</v>
      </c>
      <c r="B1361" s="1">
        <f>IFERROR(__xludf.DUMMYFUNCTION("""COMPUTED_VALUE"""),382.53)</f>
        <v>382.53</v>
      </c>
    </row>
    <row r="1362">
      <c r="A1362" s="2">
        <f>IFERROR(__xludf.DUMMYFUNCTION("""COMPUTED_VALUE"""),46085.66666666667)</f>
        <v>46085.66667</v>
      </c>
      <c r="B1362" s="1">
        <f>IFERROR(__xludf.DUMMYFUNCTION("""COMPUTED_VALUE"""),384.09)</f>
        <v>384.09</v>
      </c>
    </row>
    <row r="1363">
      <c r="A1363" s="2">
        <f>IFERROR(__xludf.DUMMYFUNCTION("""COMPUTED_VALUE"""),46086.66666666667)</f>
        <v>46086.66667</v>
      </c>
      <c r="B1363" s="1">
        <f>IFERROR(__xludf.DUMMYFUNCTION("""COMPUTED_VALUE"""),373.35)</f>
        <v>373.35</v>
      </c>
    </row>
    <row r="1364">
      <c r="A1364" s="2">
        <f>IFERROR(__xludf.DUMMYFUNCTION("""COMPUTED_VALUE"""),46087.66666666667)</f>
        <v>46087.66667</v>
      </c>
      <c r="B1364" s="1">
        <f>IFERROR(__xludf.DUMMYFUNCTION("""COMPUTED_VALUE"""),359.1)</f>
        <v>359.1</v>
      </c>
    </row>
    <row r="1365">
      <c r="A1365" s="2">
        <f>IFERROR(__xludf.DUMMYFUNCTION("""COMPUTED_VALUE"""),46090.66666666667)</f>
        <v>46090.66667</v>
      </c>
      <c r="B1365" s="1">
        <f>IFERROR(__xludf.DUMMYFUNCTION("""COMPUTED_VALUE"""),361.1)</f>
        <v>361.1</v>
      </c>
    </row>
    <row r="1366">
      <c r="A1366" s="2">
        <f>IFERROR(__xludf.DUMMYFUNCTION("""COMPUTED_VALUE"""),46091.66666666667)</f>
        <v>46091.66667</v>
      </c>
      <c r="B1366" s="1">
        <f>IFERROR(__xludf.DUMMYFUNCTION("""COMPUTED_VALUE"""),359.47)</f>
        <v>359.47</v>
      </c>
    </row>
    <row r="1367">
      <c r="A1367" s="2">
        <f>IFERROR(__xludf.DUMMYFUNCTION("""COMPUTED_VALUE"""),46092.66666666667)</f>
        <v>46092.66667</v>
      </c>
      <c r="B1367" s="1">
        <f>IFERROR(__xludf.DUMMYFUNCTION("""COMPUTED_VALUE"""),361.39)</f>
        <v>361.39</v>
      </c>
    </row>
    <row r="1368">
      <c r="A1368" s="2">
        <f>IFERROR(__xludf.DUMMYFUNCTION("""COMPUTED_VALUE"""),46093.66666666667)</f>
        <v>46093.66667</v>
      </c>
      <c r="B1368" s="1">
        <f>IFERROR(__xludf.DUMMYFUNCTION("""COMPUTED_VALUE"""),353.13)</f>
        <v>353.13</v>
      </c>
    </row>
    <row r="1369">
      <c r="A1369" s="2">
        <f>IFERROR(__xludf.DUMMYFUNCTION("""COMPUTED_VALUE"""),46094.66666666667)</f>
        <v>46094.66667</v>
      </c>
      <c r="B1369" s="1">
        <f>IFERROR(__xludf.DUMMYFUNCTION("""COMPUTED_VALUE"""),351.68)</f>
        <v>351.68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IFERROR(__xludf.DUMMYFUNCTION("GOOGLEFINANCE(""MSFT"",""close"",DATE(2020,10,1),TODAY(),""daily"")"),"Date")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IFERROR(__xludf.DUMMYFUNCTION("""COMPUTED_VALUE"""),212.46)</f>
        <v>212.46</v>
      </c>
    </row>
    <row r="3">
      <c r="A3" s="2">
        <f>IFERROR(__xludf.DUMMYFUNCTION("""COMPUTED_VALUE"""),44106.66666666667)</f>
        <v>44106.66667</v>
      </c>
      <c r="B3" s="1">
        <f>IFERROR(__xludf.DUMMYFUNCTION("""COMPUTED_VALUE"""),206.19)</f>
        <v>206.19</v>
      </c>
    </row>
    <row r="4">
      <c r="A4" s="2">
        <f>IFERROR(__xludf.DUMMYFUNCTION("""COMPUTED_VALUE"""),44109.66666666667)</f>
        <v>44109.66667</v>
      </c>
      <c r="B4" s="1">
        <f>IFERROR(__xludf.DUMMYFUNCTION("""COMPUTED_VALUE"""),210.38)</f>
        <v>210.38</v>
      </c>
    </row>
    <row r="5">
      <c r="A5" s="2">
        <f>IFERROR(__xludf.DUMMYFUNCTION("""COMPUTED_VALUE"""),44110.66666666667)</f>
        <v>44110.66667</v>
      </c>
      <c r="B5" s="1">
        <f>IFERROR(__xludf.DUMMYFUNCTION("""COMPUTED_VALUE"""),205.91)</f>
        <v>205.91</v>
      </c>
    </row>
    <row r="6">
      <c r="A6" s="2">
        <f>IFERROR(__xludf.DUMMYFUNCTION("""COMPUTED_VALUE"""),44111.66666666667)</f>
        <v>44111.66667</v>
      </c>
      <c r="B6" s="1">
        <f>IFERROR(__xludf.DUMMYFUNCTION("""COMPUTED_VALUE"""),209.83)</f>
        <v>209.83</v>
      </c>
    </row>
    <row r="7">
      <c r="A7" s="2">
        <f>IFERROR(__xludf.DUMMYFUNCTION("""COMPUTED_VALUE"""),44112.66666666667)</f>
        <v>44112.66667</v>
      </c>
      <c r="B7" s="1">
        <f>IFERROR(__xludf.DUMMYFUNCTION("""COMPUTED_VALUE"""),210.58)</f>
        <v>210.58</v>
      </c>
    </row>
    <row r="8">
      <c r="A8" s="2">
        <f>IFERROR(__xludf.DUMMYFUNCTION("""COMPUTED_VALUE"""),44113.66666666667)</f>
        <v>44113.66667</v>
      </c>
      <c r="B8" s="1">
        <f>IFERROR(__xludf.DUMMYFUNCTION("""COMPUTED_VALUE"""),215.81)</f>
        <v>215.81</v>
      </c>
    </row>
    <row r="9">
      <c r="A9" s="2">
        <f>IFERROR(__xludf.DUMMYFUNCTION("""COMPUTED_VALUE"""),44116.66666666667)</f>
        <v>44116.66667</v>
      </c>
      <c r="B9" s="1">
        <f>IFERROR(__xludf.DUMMYFUNCTION("""COMPUTED_VALUE"""),221.4)</f>
        <v>221.4</v>
      </c>
    </row>
    <row r="10">
      <c r="A10" s="2">
        <f>IFERROR(__xludf.DUMMYFUNCTION("""COMPUTED_VALUE"""),44117.66666666667)</f>
        <v>44117.66667</v>
      </c>
      <c r="B10" s="1">
        <f>IFERROR(__xludf.DUMMYFUNCTION("""COMPUTED_VALUE"""),222.86)</f>
        <v>222.86</v>
      </c>
    </row>
    <row r="11">
      <c r="A11" s="2">
        <f>IFERROR(__xludf.DUMMYFUNCTION("""COMPUTED_VALUE"""),44118.66666666667)</f>
        <v>44118.66667</v>
      </c>
      <c r="B11" s="1">
        <f>IFERROR(__xludf.DUMMYFUNCTION("""COMPUTED_VALUE"""),220.86)</f>
        <v>220.86</v>
      </c>
    </row>
    <row r="12">
      <c r="A12" s="2">
        <f>IFERROR(__xludf.DUMMYFUNCTION("""COMPUTED_VALUE"""),44119.66666666667)</f>
        <v>44119.66667</v>
      </c>
      <c r="B12" s="1">
        <f>IFERROR(__xludf.DUMMYFUNCTION("""COMPUTED_VALUE"""),219.66)</f>
        <v>219.66</v>
      </c>
    </row>
    <row r="13">
      <c r="A13" s="2">
        <f>IFERROR(__xludf.DUMMYFUNCTION("""COMPUTED_VALUE"""),44120.66666666667)</f>
        <v>44120.66667</v>
      </c>
      <c r="B13" s="1">
        <f>IFERROR(__xludf.DUMMYFUNCTION("""COMPUTED_VALUE"""),219.66)</f>
        <v>219.66</v>
      </c>
    </row>
    <row r="14">
      <c r="A14" s="2">
        <f>IFERROR(__xludf.DUMMYFUNCTION("""COMPUTED_VALUE"""),44123.66666666667)</f>
        <v>44123.66667</v>
      </c>
      <c r="B14" s="1">
        <f>IFERROR(__xludf.DUMMYFUNCTION("""COMPUTED_VALUE"""),214.22)</f>
        <v>214.22</v>
      </c>
    </row>
    <row r="15">
      <c r="A15" s="2">
        <f>IFERROR(__xludf.DUMMYFUNCTION("""COMPUTED_VALUE"""),44124.66666666667)</f>
        <v>44124.66667</v>
      </c>
      <c r="B15" s="1">
        <f>IFERROR(__xludf.DUMMYFUNCTION("""COMPUTED_VALUE"""),214.65)</f>
        <v>214.65</v>
      </c>
    </row>
    <row r="16">
      <c r="A16" s="2">
        <f>IFERROR(__xludf.DUMMYFUNCTION("""COMPUTED_VALUE"""),44125.66666666667)</f>
        <v>44125.66667</v>
      </c>
      <c r="B16" s="1">
        <f>IFERROR(__xludf.DUMMYFUNCTION("""COMPUTED_VALUE"""),214.8)</f>
        <v>214.8</v>
      </c>
    </row>
    <row r="17">
      <c r="A17" s="2">
        <f>IFERROR(__xludf.DUMMYFUNCTION("""COMPUTED_VALUE"""),44126.66666666667)</f>
        <v>44126.66667</v>
      </c>
      <c r="B17" s="1">
        <f>IFERROR(__xludf.DUMMYFUNCTION("""COMPUTED_VALUE"""),214.89)</f>
        <v>214.89</v>
      </c>
    </row>
    <row r="18">
      <c r="A18" s="2">
        <f>IFERROR(__xludf.DUMMYFUNCTION("""COMPUTED_VALUE"""),44127.66666666667)</f>
        <v>44127.66667</v>
      </c>
      <c r="B18" s="1">
        <f>IFERROR(__xludf.DUMMYFUNCTION("""COMPUTED_VALUE"""),216.23)</f>
        <v>216.23</v>
      </c>
    </row>
    <row r="19">
      <c r="A19" s="2">
        <f>IFERROR(__xludf.DUMMYFUNCTION("""COMPUTED_VALUE"""),44130.66666666667)</f>
        <v>44130.66667</v>
      </c>
      <c r="B19" s="1">
        <f>IFERROR(__xludf.DUMMYFUNCTION("""COMPUTED_VALUE"""),210.08)</f>
        <v>210.08</v>
      </c>
    </row>
    <row r="20">
      <c r="A20" s="2">
        <f>IFERROR(__xludf.DUMMYFUNCTION("""COMPUTED_VALUE"""),44131.66666666667)</f>
        <v>44131.66667</v>
      </c>
      <c r="B20" s="1">
        <f>IFERROR(__xludf.DUMMYFUNCTION("""COMPUTED_VALUE"""),213.25)</f>
        <v>213.25</v>
      </c>
    </row>
    <row r="21">
      <c r="A21" s="2">
        <f>IFERROR(__xludf.DUMMYFUNCTION("""COMPUTED_VALUE"""),44132.66666666667)</f>
        <v>44132.66667</v>
      </c>
      <c r="B21" s="1">
        <f>IFERROR(__xludf.DUMMYFUNCTION("""COMPUTED_VALUE"""),202.68)</f>
        <v>202.68</v>
      </c>
    </row>
    <row r="22">
      <c r="A22" s="2">
        <f>IFERROR(__xludf.DUMMYFUNCTION("""COMPUTED_VALUE"""),44133.66666666667)</f>
        <v>44133.66667</v>
      </c>
      <c r="B22" s="1">
        <f>IFERROR(__xludf.DUMMYFUNCTION("""COMPUTED_VALUE"""),204.72)</f>
        <v>204.72</v>
      </c>
    </row>
    <row r="23">
      <c r="A23" s="2">
        <f>IFERROR(__xludf.DUMMYFUNCTION("""COMPUTED_VALUE"""),44134.66666666667)</f>
        <v>44134.66667</v>
      </c>
      <c r="B23" s="1">
        <f>IFERROR(__xludf.DUMMYFUNCTION("""COMPUTED_VALUE"""),202.47)</f>
        <v>202.47</v>
      </c>
    </row>
    <row r="24">
      <c r="A24" s="2">
        <f>IFERROR(__xludf.DUMMYFUNCTION("""COMPUTED_VALUE"""),44137.66666666667)</f>
        <v>44137.66667</v>
      </c>
      <c r="B24" s="1">
        <f>IFERROR(__xludf.DUMMYFUNCTION("""COMPUTED_VALUE"""),202.33)</f>
        <v>202.33</v>
      </c>
    </row>
    <row r="25">
      <c r="A25" s="2">
        <f>IFERROR(__xludf.DUMMYFUNCTION("""COMPUTED_VALUE"""),44138.66666666667)</f>
        <v>44138.66667</v>
      </c>
      <c r="B25" s="1">
        <f>IFERROR(__xludf.DUMMYFUNCTION("""COMPUTED_VALUE"""),206.43)</f>
        <v>206.43</v>
      </c>
    </row>
    <row r="26">
      <c r="A26" s="2">
        <f>IFERROR(__xludf.DUMMYFUNCTION("""COMPUTED_VALUE"""),44139.66666666667)</f>
        <v>44139.66667</v>
      </c>
      <c r="B26" s="1">
        <f>IFERROR(__xludf.DUMMYFUNCTION("""COMPUTED_VALUE"""),216.39)</f>
        <v>216.39</v>
      </c>
    </row>
    <row r="27">
      <c r="A27" s="2">
        <f>IFERROR(__xludf.DUMMYFUNCTION("""COMPUTED_VALUE"""),44140.66666666667)</f>
        <v>44140.66667</v>
      </c>
      <c r="B27" s="1">
        <f>IFERROR(__xludf.DUMMYFUNCTION("""COMPUTED_VALUE"""),223.29)</f>
        <v>223.29</v>
      </c>
    </row>
    <row r="28">
      <c r="A28" s="2">
        <f>IFERROR(__xludf.DUMMYFUNCTION("""COMPUTED_VALUE"""),44141.66666666667)</f>
        <v>44141.66667</v>
      </c>
      <c r="B28" s="1">
        <f>IFERROR(__xludf.DUMMYFUNCTION("""COMPUTED_VALUE"""),223.72)</f>
        <v>223.72</v>
      </c>
    </row>
    <row r="29">
      <c r="A29" s="2">
        <f>IFERROR(__xludf.DUMMYFUNCTION("""COMPUTED_VALUE"""),44144.66666666667)</f>
        <v>44144.66667</v>
      </c>
      <c r="B29" s="1">
        <f>IFERROR(__xludf.DUMMYFUNCTION("""COMPUTED_VALUE"""),218.39)</f>
        <v>218.39</v>
      </c>
    </row>
    <row r="30">
      <c r="A30" s="2">
        <f>IFERROR(__xludf.DUMMYFUNCTION("""COMPUTED_VALUE"""),44145.66666666667)</f>
        <v>44145.66667</v>
      </c>
      <c r="B30" s="1">
        <f>IFERROR(__xludf.DUMMYFUNCTION("""COMPUTED_VALUE"""),211.01)</f>
        <v>211.01</v>
      </c>
    </row>
    <row r="31">
      <c r="A31" s="2">
        <f>IFERROR(__xludf.DUMMYFUNCTION("""COMPUTED_VALUE"""),44146.66666666667)</f>
        <v>44146.66667</v>
      </c>
      <c r="B31" s="1">
        <f>IFERROR(__xludf.DUMMYFUNCTION("""COMPUTED_VALUE"""),216.55)</f>
        <v>216.55</v>
      </c>
    </row>
    <row r="32">
      <c r="A32" s="2">
        <f>IFERROR(__xludf.DUMMYFUNCTION("""COMPUTED_VALUE"""),44147.66666666667)</f>
        <v>44147.66667</v>
      </c>
      <c r="B32" s="1">
        <f>IFERROR(__xludf.DUMMYFUNCTION("""COMPUTED_VALUE"""),215.44)</f>
        <v>215.44</v>
      </c>
    </row>
    <row r="33">
      <c r="A33" s="2">
        <f>IFERROR(__xludf.DUMMYFUNCTION("""COMPUTED_VALUE"""),44148.66666666667)</f>
        <v>44148.66667</v>
      </c>
      <c r="B33" s="1">
        <f>IFERROR(__xludf.DUMMYFUNCTION("""COMPUTED_VALUE"""),216.51)</f>
        <v>216.51</v>
      </c>
    </row>
    <row r="34">
      <c r="A34" s="2">
        <f>IFERROR(__xludf.DUMMYFUNCTION("""COMPUTED_VALUE"""),44151.66666666667)</f>
        <v>44151.66667</v>
      </c>
      <c r="B34" s="1">
        <f>IFERROR(__xludf.DUMMYFUNCTION("""COMPUTED_VALUE"""),217.23)</f>
        <v>217.23</v>
      </c>
    </row>
    <row r="35">
      <c r="A35" s="2">
        <f>IFERROR(__xludf.DUMMYFUNCTION("""COMPUTED_VALUE"""),44152.66666666667)</f>
        <v>44152.66667</v>
      </c>
      <c r="B35" s="1">
        <f>IFERROR(__xludf.DUMMYFUNCTION("""COMPUTED_VALUE"""),214.46)</f>
        <v>214.46</v>
      </c>
    </row>
    <row r="36">
      <c r="A36" s="2">
        <f>IFERROR(__xludf.DUMMYFUNCTION("""COMPUTED_VALUE"""),44153.66666666667)</f>
        <v>44153.66667</v>
      </c>
      <c r="B36" s="1">
        <f>IFERROR(__xludf.DUMMYFUNCTION("""COMPUTED_VALUE"""),211.08)</f>
        <v>211.08</v>
      </c>
    </row>
    <row r="37">
      <c r="A37" s="2">
        <f>IFERROR(__xludf.DUMMYFUNCTION("""COMPUTED_VALUE"""),44154.66666666667)</f>
        <v>44154.66667</v>
      </c>
      <c r="B37" s="1">
        <f>IFERROR(__xludf.DUMMYFUNCTION("""COMPUTED_VALUE"""),212.42)</f>
        <v>212.42</v>
      </c>
    </row>
    <row r="38">
      <c r="A38" s="2">
        <f>IFERROR(__xludf.DUMMYFUNCTION("""COMPUTED_VALUE"""),44155.66666666667)</f>
        <v>44155.66667</v>
      </c>
      <c r="B38" s="1">
        <f>IFERROR(__xludf.DUMMYFUNCTION("""COMPUTED_VALUE"""),210.39)</f>
        <v>210.39</v>
      </c>
    </row>
    <row r="39">
      <c r="A39" s="2">
        <f>IFERROR(__xludf.DUMMYFUNCTION("""COMPUTED_VALUE"""),44158.66666666667)</f>
        <v>44158.66667</v>
      </c>
      <c r="B39" s="1">
        <f>IFERROR(__xludf.DUMMYFUNCTION("""COMPUTED_VALUE"""),210.11)</f>
        <v>210.11</v>
      </c>
    </row>
    <row r="40">
      <c r="A40" s="2">
        <f>IFERROR(__xludf.DUMMYFUNCTION("""COMPUTED_VALUE"""),44159.66666666667)</f>
        <v>44159.66667</v>
      </c>
      <c r="B40" s="1">
        <f>IFERROR(__xludf.DUMMYFUNCTION("""COMPUTED_VALUE"""),213.86)</f>
        <v>213.86</v>
      </c>
    </row>
    <row r="41">
      <c r="A41" s="2">
        <f>IFERROR(__xludf.DUMMYFUNCTION("""COMPUTED_VALUE"""),44160.66666666667)</f>
        <v>44160.66667</v>
      </c>
      <c r="B41" s="1">
        <f>IFERROR(__xludf.DUMMYFUNCTION("""COMPUTED_VALUE"""),213.87)</f>
        <v>213.87</v>
      </c>
    </row>
    <row r="42">
      <c r="A42" s="2">
        <f>IFERROR(__xludf.DUMMYFUNCTION("""COMPUTED_VALUE"""),44162.54166666667)</f>
        <v>44162.54167</v>
      </c>
      <c r="B42" s="1">
        <f>IFERROR(__xludf.DUMMYFUNCTION("""COMPUTED_VALUE"""),215.23)</f>
        <v>215.23</v>
      </c>
    </row>
    <row r="43">
      <c r="A43" s="2">
        <f>IFERROR(__xludf.DUMMYFUNCTION("""COMPUTED_VALUE"""),44165.66666666667)</f>
        <v>44165.66667</v>
      </c>
      <c r="B43" s="1">
        <f>IFERROR(__xludf.DUMMYFUNCTION("""COMPUTED_VALUE"""),214.07)</f>
        <v>214.07</v>
      </c>
    </row>
    <row r="44">
      <c r="A44" s="2">
        <f>IFERROR(__xludf.DUMMYFUNCTION("""COMPUTED_VALUE"""),44166.66666666667)</f>
        <v>44166.66667</v>
      </c>
      <c r="B44" s="1">
        <f>IFERROR(__xludf.DUMMYFUNCTION("""COMPUTED_VALUE"""),216.21)</f>
        <v>216.21</v>
      </c>
    </row>
    <row r="45">
      <c r="A45" s="2">
        <f>IFERROR(__xludf.DUMMYFUNCTION("""COMPUTED_VALUE"""),44167.66666666667)</f>
        <v>44167.66667</v>
      </c>
      <c r="B45" s="1">
        <f>IFERROR(__xludf.DUMMYFUNCTION("""COMPUTED_VALUE"""),215.37)</f>
        <v>215.37</v>
      </c>
    </row>
    <row r="46">
      <c r="A46" s="2">
        <f>IFERROR(__xludf.DUMMYFUNCTION("""COMPUTED_VALUE"""),44168.66666666667)</f>
        <v>44168.66667</v>
      </c>
      <c r="B46" s="1">
        <f>IFERROR(__xludf.DUMMYFUNCTION("""COMPUTED_VALUE"""),214.24)</f>
        <v>214.24</v>
      </c>
    </row>
    <row r="47">
      <c r="A47" s="2">
        <f>IFERROR(__xludf.DUMMYFUNCTION("""COMPUTED_VALUE"""),44169.66666666667)</f>
        <v>44169.66667</v>
      </c>
      <c r="B47" s="1">
        <f>IFERROR(__xludf.DUMMYFUNCTION("""COMPUTED_VALUE"""),214.36)</f>
        <v>214.36</v>
      </c>
    </row>
    <row r="48">
      <c r="A48" s="2">
        <f>IFERROR(__xludf.DUMMYFUNCTION("""COMPUTED_VALUE"""),44172.66666666667)</f>
        <v>44172.66667</v>
      </c>
      <c r="B48" s="1">
        <f>IFERROR(__xludf.DUMMYFUNCTION("""COMPUTED_VALUE"""),214.29)</f>
        <v>214.29</v>
      </c>
    </row>
    <row r="49">
      <c r="A49" s="2">
        <f>IFERROR(__xludf.DUMMYFUNCTION("""COMPUTED_VALUE"""),44173.66666666667)</f>
        <v>44173.66667</v>
      </c>
      <c r="B49" s="1">
        <f>IFERROR(__xludf.DUMMYFUNCTION("""COMPUTED_VALUE"""),216.01)</f>
        <v>216.01</v>
      </c>
    </row>
    <row r="50">
      <c r="A50" s="2">
        <f>IFERROR(__xludf.DUMMYFUNCTION("""COMPUTED_VALUE"""),44174.66666666667)</f>
        <v>44174.66667</v>
      </c>
      <c r="B50" s="1">
        <f>IFERROR(__xludf.DUMMYFUNCTION("""COMPUTED_VALUE"""),211.8)</f>
        <v>211.8</v>
      </c>
    </row>
    <row r="51">
      <c r="A51" s="2">
        <f>IFERROR(__xludf.DUMMYFUNCTION("""COMPUTED_VALUE"""),44175.66666666667)</f>
        <v>44175.66667</v>
      </c>
      <c r="B51" s="1">
        <f>IFERROR(__xludf.DUMMYFUNCTION("""COMPUTED_VALUE"""),210.52)</f>
        <v>210.52</v>
      </c>
    </row>
    <row r="52">
      <c r="A52" s="2">
        <f>IFERROR(__xludf.DUMMYFUNCTION("""COMPUTED_VALUE"""),44176.66666666667)</f>
        <v>44176.66667</v>
      </c>
      <c r="B52" s="1">
        <f>IFERROR(__xludf.DUMMYFUNCTION("""COMPUTED_VALUE"""),213.26)</f>
        <v>213.26</v>
      </c>
    </row>
    <row r="53">
      <c r="A53" s="2">
        <f>IFERROR(__xludf.DUMMYFUNCTION("""COMPUTED_VALUE"""),44179.66666666667)</f>
        <v>44179.66667</v>
      </c>
      <c r="B53" s="1">
        <f>IFERROR(__xludf.DUMMYFUNCTION("""COMPUTED_VALUE"""),214.2)</f>
        <v>214.2</v>
      </c>
    </row>
    <row r="54">
      <c r="A54" s="2">
        <f>IFERROR(__xludf.DUMMYFUNCTION("""COMPUTED_VALUE"""),44180.66666666667)</f>
        <v>44180.66667</v>
      </c>
      <c r="B54" s="1">
        <f>IFERROR(__xludf.DUMMYFUNCTION("""COMPUTED_VALUE"""),214.13)</f>
        <v>214.13</v>
      </c>
    </row>
    <row r="55">
      <c r="A55" s="2">
        <f>IFERROR(__xludf.DUMMYFUNCTION("""COMPUTED_VALUE"""),44181.66666666667)</f>
        <v>44181.66667</v>
      </c>
      <c r="B55" s="1">
        <f>IFERROR(__xludf.DUMMYFUNCTION("""COMPUTED_VALUE"""),219.28)</f>
        <v>219.28</v>
      </c>
    </row>
    <row r="56">
      <c r="A56" s="2">
        <f>IFERROR(__xludf.DUMMYFUNCTION("""COMPUTED_VALUE"""),44182.66666666667)</f>
        <v>44182.66667</v>
      </c>
      <c r="B56" s="1">
        <f>IFERROR(__xludf.DUMMYFUNCTION("""COMPUTED_VALUE"""),219.42)</f>
        <v>219.42</v>
      </c>
    </row>
    <row r="57">
      <c r="A57" s="2">
        <f>IFERROR(__xludf.DUMMYFUNCTION("""COMPUTED_VALUE"""),44183.66666666667)</f>
        <v>44183.66667</v>
      </c>
      <c r="B57" s="1">
        <f>IFERROR(__xludf.DUMMYFUNCTION("""COMPUTED_VALUE"""),218.59)</f>
        <v>218.59</v>
      </c>
    </row>
    <row r="58">
      <c r="A58" s="2">
        <f>IFERROR(__xludf.DUMMYFUNCTION("""COMPUTED_VALUE"""),44186.66666666667)</f>
        <v>44186.66667</v>
      </c>
      <c r="B58" s="1">
        <f>IFERROR(__xludf.DUMMYFUNCTION("""COMPUTED_VALUE"""),222.59)</f>
        <v>222.59</v>
      </c>
    </row>
    <row r="59">
      <c r="A59" s="2">
        <f>IFERROR(__xludf.DUMMYFUNCTION("""COMPUTED_VALUE"""),44187.66666666667)</f>
        <v>44187.66667</v>
      </c>
      <c r="B59" s="1">
        <f>IFERROR(__xludf.DUMMYFUNCTION("""COMPUTED_VALUE"""),223.94)</f>
        <v>223.94</v>
      </c>
    </row>
    <row r="60">
      <c r="A60" s="2">
        <f>IFERROR(__xludf.DUMMYFUNCTION("""COMPUTED_VALUE"""),44188.66666666667)</f>
        <v>44188.66667</v>
      </c>
      <c r="B60" s="1">
        <f>IFERROR(__xludf.DUMMYFUNCTION("""COMPUTED_VALUE"""),221.02)</f>
        <v>221.02</v>
      </c>
    </row>
    <row r="61">
      <c r="A61" s="2">
        <f>IFERROR(__xludf.DUMMYFUNCTION("""COMPUTED_VALUE"""),44189.54166666667)</f>
        <v>44189.54167</v>
      </c>
      <c r="B61" s="1">
        <f>IFERROR(__xludf.DUMMYFUNCTION("""COMPUTED_VALUE"""),222.75)</f>
        <v>222.75</v>
      </c>
    </row>
    <row r="62">
      <c r="A62" s="2">
        <f>IFERROR(__xludf.DUMMYFUNCTION("""COMPUTED_VALUE"""),44193.66666666667)</f>
        <v>44193.66667</v>
      </c>
      <c r="B62" s="1">
        <f>IFERROR(__xludf.DUMMYFUNCTION("""COMPUTED_VALUE"""),224.96)</f>
        <v>224.96</v>
      </c>
    </row>
    <row r="63">
      <c r="A63" s="2">
        <f>IFERROR(__xludf.DUMMYFUNCTION("""COMPUTED_VALUE"""),44194.66666666667)</f>
        <v>44194.66667</v>
      </c>
      <c r="B63" s="1">
        <f>IFERROR(__xludf.DUMMYFUNCTION("""COMPUTED_VALUE"""),224.15)</f>
        <v>224.15</v>
      </c>
    </row>
    <row r="64">
      <c r="A64" s="2">
        <f>IFERROR(__xludf.DUMMYFUNCTION("""COMPUTED_VALUE"""),44195.66666666667)</f>
        <v>44195.66667</v>
      </c>
      <c r="B64" s="1">
        <f>IFERROR(__xludf.DUMMYFUNCTION("""COMPUTED_VALUE"""),221.68)</f>
        <v>221.68</v>
      </c>
    </row>
    <row r="65">
      <c r="A65" s="2">
        <f>IFERROR(__xludf.DUMMYFUNCTION("""COMPUTED_VALUE"""),44196.66666666667)</f>
        <v>44196.66667</v>
      </c>
      <c r="B65" s="1">
        <f>IFERROR(__xludf.DUMMYFUNCTION("""COMPUTED_VALUE"""),222.42)</f>
        <v>222.42</v>
      </c>
    </row>
    <row r="66">
      <c r="A66" s="2">
        <f>IFERROR(__xludf.DUMMYFUNCTION("""COMPUTED_VALUE"""),44200.66666666667)</f>
        <v>44200.66667</v>
      </c>
      <c r="B66" s="1">
        <f>IFERROR(__xludf.DUMMYFUNCTION("""COMPUTED_VALUE"""),217.69)</f>
        <v>217.69</v>
      </c>
    </row>
    <row r="67">
      <c r="A67" s="2">
        <f>IFERROR(__xludf.DUMMYFUNCTION("""COMPUTED_VALUE"""),44201.66666666667)</f>
        <v>44201.66667</v>
      </c>
      <c r="B67" s="1">
        <f>IFERROR(__xludf.DUMMYFUNCTION("""COMPUTED_VALUE"""),217.9)</f>
        <v>217.9</v>
      </c>
    </row>
    <row r="68">
      <c r="A68" s="2">
        <f>IFERROR(__xludf.DUMMYFUNCTION("""COMPUTED_VALUE"""),44202.66666666667)</f>
        <v>44202.66667</v>
      </c>
      <c r="B68" s="1">
        <f>IFERROR(__xludf.DUMMYFUNCTION("""COMPUTED_VALUE"""),212.25)</f>
        <v>212.25</v>
      </c>
    </row>
    <row r="69">
      <c r="A69" s="2">
        <f>IFERROR(__xludf.DUMMYFUNCTION("""COMPUTED_VALUE"""),44203.66666666667)</f>
        <v>44203.66667</v>
      </c>
      <c r="B69" s="1">
        <f>IFERROR(__xludf.DUMMYFUNCTION("""COMPUTED_VALUE"""),218.29)</f>
        <v>218.29</v>
      </c>
    </row>
    <row r="70">
      <c r="A70" s="2">
        <f>IFERROR(__xludf.DUMMYFUNCTION("""COMPUTED_VALUE"""),44204.66666666667)</f>
        <v>44204.66667</v>
      </c>
      <c r="B70" s="1">
        <f>IFERROR(__xludf.DUMMYFUNCTION("""COMPUTED_VALUE"""),219.62)</f>
        <v>219.62</v>
      </c>
    </row>
    <row r="71">
      <c r="A71" s="2">
        <f>IFERROR(__xludf.DUMMYFUNCTION("""COMPUTED_VALUE"""),44207.66666666667)</f>
        <v>44207.66667</v>
      </c>
      <c r="B71" s="1">
        <f>IFERROR(__xludf.DUMMYFUNCTION("""COMPUTED_VALUE"""),217.49)</f>
        <v>217.49</v>
      </c>
    </row>
    <row r="72">
      <c r="A72" s="2">
        <f>IFERROR(__xludf.DUMMYFUNCTION("""COMPUTED_VALUE"""),44208.66666666667)</f>
        <v>44208.66667</v>
      </c>
      <c r="B72" s="1">
        <f>IFERROR(__xludf.DUMMYFUNCTION("""COMPUTED_VALUE"""),214.93)</f>
        <v>214.93</v>
      </c>
    </row>
    <row r="73">
      <c r="A73" s="2">
        <f>IFERROR(__xludf.DUMMYFUNCTION("""COMPUTED_VALUE"""),44209.66666666667)</f>
        <v>44209.66667</v>
      </c>
      <c r="B73" s="1">
        <f>IFERROR(__xludf.DUMMYFUNCTION("""COMPUTED_VALUE"""),216.34)</f>
        <v>216.34</v>
      </c>
    </row>
    <row r="74">
      <c r="A74" s="2">
        <f>IFERROR(__xludf.DUMMYFUNCTION("""COMPUTED_VALUE"""),44210.66666666667)</f>
        <v>44210.66667</v>
      </c>
      <c r="B74" s="1">
        <f>IFERROR(__xludf.DUMMYFUNCTION("""COMPUTED_VALUE"""),213.02)</f>
        <v>213.02</v>
      </c>
    </row>
    <row r="75">
      <c r="A75" s="2">
        <f>IFERROR(__xludf.DUMMYFUNCTION("""COMPUTED_VALUE"""),44211.66666666667)</f>
        <v>44211.66667</v>
      </c>
      <c r="B75" s="1">
        <f>IFERROR(__xludf.DUMMYFUNCTION("""COMPUTED_VALUE"""),212.65)</f>
        <v>212.65</v>
      </c>
    </row>
    <row r="76">
      <c r="A76" s="2">
        <f>IFERROR(__xludf.DUMMYFUNCTION("""COMPUTED_VALUE"""),44215.66666666667)</f>
        <v>44215.66667</v>
      </c>
      <c r="B76" s="1">
        <f>IFERROR(__xludf.DUMMYFUNCTION("""COMPUTED_VALUE"""),216.44)</f>
        <v>216.44</v>
      </c>
    </row>
    <row r="77">
      <c r="A77" s="2">
        <f>IFERROR(__xludf.DUMMYFUNCTION("""COMPUTED_VALUE"""),44216.66666666667)</f>
        <v>44216.66667</v>
      </c>
      <c r="B77" s="1">
        <f>IFERROR(__xludf.DUMMYFUNCTION("""COMPUTED_VALUE"""),224.34)</f>
        <v>224.34</v>
      </c>
    </row>
    <row r="78">
      <c r="A78" s="2">
        <f>IFERROR(__xludf.DUMMYFUNCTION("""COMPUTED_VALUE"""),44217.66666666667)</f>
        <v>44217.66667</v>
      </c>
      <c r="B78" s="1">
        <f>IFERROR(__xludf.DUMMYFUNCTION("""COMPUTED_VALUE"""),224.97)</f>
        <v>224.97</v>
      </c>
    </row>
    <row r="79">
      <c r="A79" s="2">
        <f>IFERROR(__xludf.DUMMYFUNCTION("""COMPUTED_VALUE"""),44218.66666666667)</f>
        <v>44218.66667</v>
      </c>
      <c r="B79" s="1">
        <f>IFERROR(__xludf.DUMMYFUNCTION("""COMPUTED_VALUE"""),225.95)</f>
        <v>225.95</v>
      </c>
    </row>
    <row r="80">
      <c r="A80" s="2">
        <f>IFERROR(__xludf.DUMMYFUNCTION("""COMPUTED_VALUE"""),44221.66666666667)</f>
        <v>44221.66667</v>
      </c>
      <c r="B80" s="1">
        <f>IFERROR(__xludf.DUMMYFUNCTION("""COMPUTED_VALUE"""),229.53)</f>
        <v>229.53</v>
      </c>
    </row>
    <row r="81">
      <c r="A81" s="2">
        <f>IFERROR(__xludf.DUMMYFUNCTION("""COMPUTED_VALUE"""),44222.66666666667)</f>
        <v>44222.66667</v>
      </c>
      <c r="B81" s="1">
        <f>IFERROR(__xludf.DUMMYFUNCTION("""COMPUTED_VALUE"""),232.33)</f>
        <v>232.33</v>
      </c>
    </row>
    <row r="82">
      <c r="A82" s="2">
        <f>IFERROR(__xludf.DUMMYFUNCTION("""COMPUTED_VALUE"""),44223.66666666667)</f>
        <v>44223.66667</v>
      </c>
      <c r="B82" s="1">
        <f>IFERROR(__xludf.DUMMYFUNCTION("""COMPUTED_VALUE"""),232.9)</f>
        <v>232.9</v>
      </c>
    </row>
    <row r="83">
      <c r="A83" s="2">
        <f>IFERROR(__xludf.DUMMYFUNCTION("""COMPUTED_VALUE"""),44224.66666666667)</f>
        <v>44224.66667</v>
      </c>
      <c r="B83" s="1">
        <f>IFERROR(__xludf.DUMMYFUNCTION("""COMPUTED_VALUE"""),238.93)</f>
        <v>238.93</v>
      </c>
    </row>
    <row r="84">
      <c r="A84" s="2">
        <f>IFERROR(__xludf.DUMMYFUNCTION("""COMPUTED_VALUE"""),44225.66666666667)</f>
        <v>44225.66667</v>
      </c>
      <c r="B84" s="1">
        <f>IFERROR(__xludf.DUMMYFUNCTION("""COMPUTED_VALUE"""),231.96)</f>
        <v>231.96</v>
      </c>
    </row>
    <row r="85">
      <c r="A85" s="2">
        <f>IFERROR(__xludf.DUMMYFUNCTION("""COMPUTED_VALUE"""),44228.66666666667)</f>
        <v>44228.66667</v>
      </c>
      <c r="B85" s="1">
        <f>IFERROR(__xludf.DUMMYFUNCTION("""COMPUTED_VALUE"""),239.65)</f>
        <v>239.65</v>
      </c>
    </row>
    <row r="86">
      <c r="A86" s="2">
        <f>IFERROR(__xludf.DUMMYFUNCTION("""COMPUTED_VALUE"""),44229.66666666667)</f>
        <v>44229.66667</v>
      </c>
      <c r="B86" s="1">
        <f>IFERROR(__xludf.DUMMYFUNCTION("""COMPUTED_VALUE"""),239.51)</f>
        <v>239.51</v>
      </c>
    </row>
    <row r="87">
      <c r="A87" s="2">
        <f>IFERROR(__xludf.DUMMYFUNCTION("""COMPUTED_VALUE"""),44230.66666666667)</f>
        <v>44230.66667</v>
      </c>
      <c r="B87" s="1">
        <f>IFERROR(__xludf.DUMMYFUNCTION("""COMPUTED_VALUE"""),243.0)</f>
        <v>243</v>
      </c>
    </row>
    <row r="88">
      <c r="A88" s="2">
        <f>IFERROR(__xludf.DUMMYFUNCTION("""COMPUTED_VALUE"""),44231.66666666667)</f>
        <v>44231.66667</v>
      </c>
      <c r="B88" s="1">
        <f>IFERROR(__xludf.DUMMYFUNCTION("""COMPUTED_VALUE"""),242.01)</f>
        <v>242.01</v>
      </c>
    </row>
    <row r="89">
      <c r="A89" s="2">
        <f>IFERROR(__xludf.DUMMYFUNCTION("""COMPUTED_VALUE"""),44232.66666666667)</f>
        <v>44232.66667</v>
      </c>
      <c r="B89" s="1">
        <f>IFERROR(__xludf.DUMMYFUNCTION("""COMPUTED_VALUE"""),242.2)</f>
        <v>242.2</v>
      </c>
    </row>
    <row r="90">
      <c r="A90" s="2">
        <f>IFERROR(__xludf.DUMMYFUNCTION("""COMPUTED_VALUE"""),44235.66666666667)</f>
        <v>44235.66667</v>
      </c>
      <c r="B90" s="1">
        <f>IFERROR(__xludf.DUMMYFUNCTION("""COMPUTED_VALUE"""),242.47)</f>
        <v>242.47</v>
      </c>
    </row>
    <row r="91">
      <c r="A91" s="2">
        <f>IFERROR(__xludf.DUMMYFUNCTION("""COMPUTED_VALUE"""),44236.66666666667)</f>
        <v>44236.66667</v>
      </c>
      <c r="B91" s="1">
        <f>IFERROR(__xludf.DUMMYFUNCTION("""COMPUTED_VALUE"""),243.77)</f>
        <v>243.77</v>
      </c>
    </row>
    <row r="92">
      <c r="A92" s="2">
        <f>IFERROR(__xludf.DUMMYFUNCTION("""COMPUTED_VALUE"""),44237.66666666667)</f>
        <v>44237.66667</v>
      </c>
      <c r="B92" s="1">
        <f>IFERROR(__xludf.DUMMYFUNCTION("""COMPUTED_VALUE"""),242.82)</f>
        <v>242.82</v>
      </c>
    </row>
    <row r="93">
      <c r="A93" s="2">
        <f>IFERROR(__xludf.DUMMYFUNCTION("""COMPUTED_VALUE"""),44238.66666666667)</f>
        <v>44238.66667</v>
      </c>
      <c r="B93" s="1">
        <f>IFERROR(__xludf.DUMMYFUNCTION("""COMPUTED_VALUE"""),244.49)</f>
        <v>244.49</v>
      </c>
    </row>
    <row r="94">
      <c r="A94" s="2">
        <f>IFERROR(__xludf.DUMMYFUNCTION("""COMPUTED_VALUE"""),44239.66666666667)</f>
        <v>44239.66667</v>
      </c>
      <c r="B94" s="1">
        <f>IFERROR(__xludf.DUMMYFUNCTION("""COMPUTED_VALUE"""),244.99)</f>
        <v>244.99</v>
      </c>
    </row>
    <row r="95">
      <c r="A95" s="2">
        <f>IFERROR(__xludf.DUMMYFUNCTION("""COMPUTED_VALUE"""),44243.66666666667)</f>
        <v>44243.66667</v>
      </c>
      <c r="B95" s="1">
        <f>IFERROR(__xludf.DUMMYFUNCTION("""COMPUTED_VALUE"""),243.7)</f>
        <v>243.7</v>
      </c>
    </row>
    <row r="96">
      <c r="A96" s="2">
        <f>IFERROR(__xludf.DUMMYFUNCTION("""COMPUTED_VALUE"""),44244.66666666667)</f>
        <v>44244.66667</v>
      </c>
      <c r="B96" s="1">
        <f>IFERROR(__xludf.DUMMYFUNCTION("""COMPUTED_VALUE"""),244.2)</f>
        <v>244.2</v>
      </c>
    </row>
    <row r="97">
      <c r="A97" s="2">
        <f>IFERROR(__xludf.DUMMYFUNCTION("""COMPUTED_VALUE"""),44245.66666666667)</f>
        <v>44245.66667</v>
      </c>
      <c r="B97" s="1">
        <f>IFERROR(__xludf.DUMMYFUNCTION("""COMPUTED_VALUE"""),243.79)</f>
        <v>243.79</v>
      </c>
    </row>
    <row r="98">
      <c r="A98" s="2">
        <f>IFERROR(__xludf.DUMMYFUNCTION("""COMPUTED_VALUE"""),44246.66666666667)</f>
        <v>44246.66667</v>
      </c>
      <c r="B98" s="1">
        <f>IFERROR(__xludf.DUMMYFUNCTION("""COMPUTED_VALUE"""),240.97)</f>
        <v>240.97</v>
      </c>
    </row>
    <row r="99">
      <c r="A99" s="2">
        <f>IFERROR(__xludf.DUMMYFUNCTION("""COMPUTED_VALUE"""),44249.66666666667)</f>
        <v>44249.66667</v>
      </c>
      <c r="B99" s="1">
        <f>IFERROR(__xludf.DUMMYFUNCTION("""COMPUTED_VALUE"""),234.51)</f>
        <v>234.51</v>
      </c>
    </row>
    <row r="100">
      <c r="A100" s="2">
        <f>IFERROR(__xludf.DUMMYFUNCTION("""COMPUTED_VALUE"""),44250.66666666667)</f>
        <v>44250.66667</v>
      </c>
      <c r="B100" s="1">
        <f>IFERROR(__xludf.DUMMYFUNCTION("""COMPUTED_VALUE"""),233.27)</f>
        <v>233.27</v>
      </c>
    </row>
    <row r="101">
      <c r="A101" s="2">
        <f>IFERROR(__xludf.DUMMYFUNCTION("""COMPUTED_VALUE"""),44251.66666666667)</f>
        <v>44251.66667</v>
      </c>
      <c r="B101" s="1">
        <f>IFERROR(__xludf.DUMMYFUNCTION("""COMPUTED_VALUE"""),234.55)</f>
        <v>234.55</v>
      </c>
    </row>
    <row r="102">
      <c r="A102" s="2">
        <f>IFERROR(__xludf.DUMMYFUNCTION("""COMPUTED_VALUE"""),44252.66666666667)</f>
        <v>44252.66667</v>
      </c>
      <c r="B102" s="1">
        <f>IFERROR(__xludf.DUMMYFUNCTION("""COMPUTED_VALUE"""),228.99)</f>
        <v>228.99</v>
      </c>
    </row>
    <row r="103">
      <c r="A103" s="2">
        <f>IFERROR(__xludf.DUMMYFUNCTION("""COMPUTED_VALUE"""),44253.66666666667)</f>
        <v>44253.66667</v>
      </c>
      <c r="B103" s="1">
        <f>IFERROR(__xludf.DUMMYFUNCTION("""COMPUTED_VALUE"""),232.38)</f>
        <v>232.38</v>
      </c>
    </row>
    <row r="104">
      <c r="A104" s="2">
        <f>IFERROR(__xludf.DUMMYFUNCTION("""COMPUTED_VALUE"""),44256.66666666667)</f>
        <v>44256.66667</v>
      </c>
      <c r="B104" s="1">
        <f>IFERROR(__xludf.DUMMYFUNCTION("""COMPUTED_VALUE"""),236.94)</f>
        <v>236.94</v>
      </c>
    </row>
    <row r="105">
      <c r="A105" s="2">
        <f>IFERROR(__xludf.DUMMYFUNCTION("""COMPUTED_VALUE"""),44257.66666666667)</f>
        <v>44257.66667</v>
      </c>
      <c r="B105" s="1">
        <f>IFERROR(__xludf.DUMMYFUNCTION("""COMPUTED_VALUE"""),233.87)</f>
        <v>233.87</v>
      </c>
    </row>
    <row r="106">
      <c r="A106" s="2">
        <f>IFERROR(__xludf.DUMMYFUNCTION("""COMPUTED_VALUE"""),44258.66666666667)</f>
        <v>44258.66667</v>
      </c>
      <c r="B106" s="1">
        <f>IFERROR(__xludf.DUMMYFUNCTION("""COMPUTED_VALUE"""),227.56)</f>
        <v>227.56</v>
      </c>
    </row>
    <row r="107">
      <c r="A107" s="2">
        <f>IFERROR(__xludf.DUMMYFUNCTION("""COMPUTED_VALUE"""),44259.66666666667)</f>
        <v>44259.66667</v>
      </c>
      <c r="B107" s="1">
        <f>IFERROR(__xludf.DUMMYFUNCTION("""COMPUTED_VALUE"""),226.73)</f>
        <v>226.73</v>
      </c>
    </row>
    <row r="108">
      <c r="A108" s="2">
        <f>IFERROR(__xludf.DUMMYFUNCTION("""COMPUTED_VALUE"""),44260.66666666667)</f>
        <v>44260.66667</v>
      </c>
      <c r="B108" s="1">
        <f>IFERROR(__xludf.DUMMYFUNCTION("""COMPUTED_VALUE"""),231.6)</f>
        <v>231.6</v>
      </c>
    </row>
    <row r="109">
      <c r="A109" s="2">
        <f>IFERROR(__xludf.DUMMYFUNCTION("""COMPUTED_VALUE"""),44263.66666666667)</f>
        <v>44263.66667</v>
      </c>
      <c r="B109" s="1">
        <f>IFERROR(__xludf.DUMMYFUNCTION("""COMPUTED_VALUE"""),227.39)</f>
        <v>227.39</v>
      </c>
    </row>
    <row r="110">
      <c r="A110" s="2">
        <f>IFERROR(__xludf.DUMMYFUNCTION("""COMPUTED_VALUE"""),44264.66666666667)</f>
        <v>44264.66667</v>
      </c>
      <c r="B110" s="1">
        <f>IFERROR(__xludf.DUMMYFUNCTION("""COMPUTED_VALUE"""),233.78)</f>
        <v>233.78</v>
      </c>
    </row>
    <row r="111">
      <c r="A111" s="2">
        <f>IFERROR(__xludf.DUMMYFUNCTION("""COMPUTED_VALUE"""),44265.66666666667)</f>
        <v>44265.66667</v>
      </c>
      <c r="B111" s="1">
        <f>IFERROR(__xludf.DUMMYFUNCTION("""COMPUTED_VALUE"""),232.42)</f>
        <v>232.42</v>
      </c>
    </row>
    <row r="112">
      <c r="A112" s="2">
        <f>IFERROR(__xludf.DUMMYFUNCTION("""COMPUTED_VALUE"""),44266.66666666667)</f>
        <v>44266.66667</v>
      </c>
      <c r="B112" s="1">
        <f>IFERROR(__xludf.DUMMYFUNCTION("""COMPUTED_VALUE"""),237.13)</f>
        <v>237.13</v>
      </c>
    </row>
    <row r="113">
      <c r="A113" s="2">
        <f>IFERROR(__xludf.DUMMYFUNCTION("""COMPUTED_VALUE"""),44267.66666666667)</f>
        <v>44267.66667</v>
      </c>
      <c r="B113" s="1">
        <f>IFERROR(__xludf.DUMMYFUNCTION("""COMPUTED_VALUE"""),235.75)</f>
        <v>235.75</v>
      </c>
    </row>
    <row r="114">
      <c r="A114" s="2">
        <f>IFERROR(__xludf.DUMMYFUNCTION("""COMPUTED_VALUE"""),44270.66666666667)</f>
        <v>44270.66667</v>
      </c>
      <c r="B114" s="1">
        <f>IFERROR(__xludf.DUMMYFUNCTION("""COMPUTED_VALUE"""),234.81)</f>
        <v>234.81</v>
      </c>
    </row>
    <row r="115">
      <c r="A115" s="2">
        <f>IFERROR(__xludf.DUMMYFUNCTION("""COMPUTED_VALUE"""),44271.66666666667)</f>
        <v>44271.66667</v>
      </c>
      <c r="B115" s="1">
        <f>IFERROR(__xludf.DUMMYFUNCTION("""COMPUTED_VALUE"""),237.71)</f>
        <v>237.71</v>
      </c>
    </row>
    <row r="116">
      <c r="A116" s="2">
        <f>IFERROR(__xludf.DUMMYFUNCTION("""COMPUTED_VALUE"""),44272.66666666667)</f>
        <v>44272.66667</v>
      </c>
      <c r="B116" s="1">
        <f>IFERROR(__xludf.DUMMYFUNCTION("""COMPUTED_VALUE"""),237.04)</f>
        <v>237.04</v>
      </c>
    </row>
    <row r="117">
      <c r="A117" s="2">
        <f>IFERROR(__xludf.DUMMYFUNCTION("""COMPUTED_VALUE"""),44273.66666666667)</f>
        <v>44273.66667</v>
      </c>
      <c r="B117" s="1">
        <f>IFERROR(__xludf.DUMMYFUNCTION("""COMPUTED_VALUE"""),230.72)</f>
        <v>230.72</v>
      </c>
    </row>
    <row r="118">
      <c r="A118" s="2">
        <f>IFERROR(__xludf.DUMMYFUNCTION("""COMPUTED_VALUE"""),44274.66666666667)</f>
        <v>44274.66667</v>
      </c>
      <c r="B118" s="1">
        <f>IFERROR(__xludf.DUMMYFUNCTION("""COMPUTED_VALUE"""),230.35)</f>
        <v>230.35</v>
      </c>
    </row>
    <row r="119">
      <c r="A119" s="2">
        <f>IFERROR(__xludf.DUMMYFUNCTION("""COMPUTED_VALUE"""),44277.66666666667)</f>
        <v>44277.66667</v>
      </c>
      <c r="B119" s="1">
        <f>IFERROR(__xludf.DUMMYFUNCTION("""COMPUTED_VALUE"""),235.99)</f>
        <v>235.99</v>
      </c>
    </row>
    <row r="120">
      <c r="A120" s="2">
        <f>IFERROR(__xludf.DUMMYFUNCTION("""COMPUTED_VALUE"""),44278.66666666667)</f>
        <v>44278.66667</v>
      </c>
      <c r="B120" s="1">
        <f>IFERROR(__xludf.DUMMYFUNCTION("""COMPUTED_VALUE"""),237.58)</f>
        <v>237.58</v>
      </c>
    </row>
    <row r="121">
      <c r="A121" s="2">
        <f>IFERROR(__xludf.DUMMYFUNCTION("""COMPUTED_VALUE"""),44279.66666666667)</f>
        <v>44279.66667</v>
      </c>
      <c r="B121" s="1">
        <f>IFERROR(__xludf.DUMMYFUNCTION("""COMPUTED_VALUE"""),235.46)</f>
        <v>235.46</v>
      </c>
    </row>
    <row r="122">
      <c r="A122" s="2">
        <f>IFERROR(__xludf.DUMMYFUNCTION("""COMPUTED_VALUE"""),44280.66666666667)</f>
        <v>44280.66667</v>
      </c>
      <c r="B122" s="1">
        <f>IFERROR(__xludf.DUMMYFUNCTION("""COMPUTED_VALUE"""),232.34)</f>
        <v>232.34</v>
      </c>
    </row>
    <row r="123">
      <c r="A123" s="2">
        <f>IFERROR(__xludf.DUMMYFUNCTION("""COMPUTED_VALUE"""),44281.66666666667)</f>
        <v>44281.66667</v>
      </c>
      <c r="B123" s="1">
        <f>IFERROR(__xludf.DUMMYFUNCTION("""COMPUTED_VALUE"""),236.48)</f>
        <v>236.48</v>
      </c>
    </row>
    <row r="124">
      <c r="A124" s="2">
        <f>IFERROR(__xludf.DUMMYFUNCTION("""COMPUTED_VALUE"""),44284.66666666667)</f>
        <v>44284.66667</v>
      </c>
      <c r="B124" s="1">
        <f>IFERROR(__xludf.DUMMYFUNCTION("""COMPUTED_VALUE"""),235.24)</f>
        <v>235.24</v>
      </c>
    </row>
    <row r="125">
      <c r="A125" s="2">
        <f>IFERROR(__xludf.DUMMYFUNCTION("""COMPUTED_VALUE"""),44285.66666666667)</f>
        <v>44285.66667</v>
      </c>
      <c r="B125" s="1">
        <f>IFERROR(__xludf.DUMMYFUNCTION("""COMPUTED_VALUE"""),231.85)</f>
        <v>231.85</v>
      </c>
    </row>
    <row r="126">
      <c r="A126" s="2">
        <f>IFERROR(__xludf.DUMMYFUNCTION("""COMPUTED_VALUE"""),44286.66666666667)</f>
        <v>44286.66667</v>
      </c>
      <c r="B126" s="1">
        <f>IFERROR(__xludf.DUMMYFUNCTION("""COMPUTED_VALUE"""),235.77)</f>
        <v>235.77</v>
      </c>
    </row>
    <row r="127">
      <c r="A127" s="2">
        <f>IFERROR(__xludf.DUMMYFUNCTION("""COMPUTED_VALUE"""),44287.66666666667)</f>
        <v>44287.66667</v>
      </c>
      <c r="B127" s="1">
        <f>IFERROR(__xludf.DUMMYFUNCTION("""COMPUTED_VALUE"""),242.35)</f>
        <v>242.35</v>
      </c>
    </row>
    <row r="128">
      <c r="A128" s="2">
        <f>IFERROR(__xludf.DUMMYFUNCTION("""COMPUTED_VALUE"""),44291.66666666667)</f>
        <v>44291.66667</v>
      </c>
      <c r="B128" s="1">
        <f>IFERROR(__xludf.DUMMYFUNCTION("""COMPUTED_VALUE"""),249.07)</f>
        <v>249.07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IFERROR(__xludf.DUMMYFUNCTION("""COMPUTED_VALUE"""),247.86)</f>
        <v>247.86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IFERROR(__xludf.DUMMYFUNCTION("""COMPUTED_VALUE"""),249.9)</f>
        <v>249.9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IFERROR(__xludf.DUMMYFUNCTION("""COMPUTED_VALUE"""),253.25)</f>
        <v>253.25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IFERROR(__xludf.DUMMYFUNCTION("""COMPUTED_VALUE"""),255.85)</f>
        <v>255.85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IFERROR(__xludf.DUMMYFUNCTION("""COMPUTED_VALUE"""),255.91)</f>
        <v>255.91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IFERROR(__xludf.DUMMYFUNCTION("""COMPUTED_VALUE"""),258.49)</f>
        <v>258.49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IFERROR(__xludf.DUMMYFUNCTION("""COMPUTED_VALUE"""),255.59)</f>
        <v>255.59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IFERROR(__xludf.DUMMYFUNCTION("""COMPUTED_VALUE"""),259.5)</f>
        <v>259.5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IFERROR(__xludf.DUMMYFUNCTION("""COMPUTED_VALUE"""),260.74)</f>
        <v>260.74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IFERROR(__xludf.DUMMYFUNCTION("""COMPUTED_VALUE"""),258.74)</f>
        <v>258.74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IFERROR(__xludf.DUMMYFUNCTION("""COMPUTED_VALUE"""),258.26)</f>
        <v>258.26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IFERROR(__xludf.DUMMYFUNCTION("""COMPUTED_VALUE"""),260.58)</f>
        <v>260.58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IFERROR(__xludf.DUMMYFUNCTION("""COMPUTED_VALUE"""),257.17)</f>
        <v>257.17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IFERROR(__xludf.DUMMYFUNCTION("""COMPUTED_VALUE"""),261.15)</f>
        <v>261.15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IFERROR(__xludf.DUMMYFUNCTION("""COMPUTED_VALUE"""),261.55)</f>
        <v>261.55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IFERROR(__xludf.DUMMYFUNCTION("""COMPUTED_VALUE"""),261.97)</f>
        <v>261.97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IFERROR(__xludf.DUMMYFUNCTION("""COMPUTED_VALUE"""),254.56)</f>
        <v>254.56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IFERROR(__xludf.DUMMYFUNCTION("""COMPUTED_VALUE"""),252.51)</f>
        <v>252.51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IFERROR(__xludf.DUMMYFUNCTION("""COMPUTED_VALUE"""),252.18)</f>
        <v>252.18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IFERROR(__xludf.DUMMYFUNCTION("""COMPUTED_VALUE"""),251.86)</f>
        <v>251.86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IFERROR(__xludf.DUMMYFUNCTION("""COMPUTED_VALUE"""),247.79)</f>
        <v>247.79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IFERROR(__xludf.DUMMYFUNCTION("""COMPUTED_VALUE"""),246.47)</f>
        <v>246.47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IFERROR(__xludf.DUMMYFUNCTION("""COMPUTED_VALUE"""),249.73)</f>
        <v>249.73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IFERROR(__xludf.DUMMYFUNCTION("""COMPUTED_VALUE"""),252.46)</f>
        <v>252.46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IFERROR(__xludf.DUMMYFUNCTION("""COMPUTED_VALUE"""),247.18)</f>
        <v>247.18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IFERROR(__xludf.DUMMYFUNCTION("""COMPUTED_VALUE"""),246.23)</f>
        <v>246.23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IFERROR(__xludf.DUMMYFUNCTION("""COMPUTED_VALUE"""),239.0)</f>
        <v>239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IFERROR(__xludf.DUMMYFUNCTION("""COMPUTED_VALUE"""),243.03)</f>
        <v>243.03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IFERROR(__xludf.DUMMYFUNCTION("""COMPUTED_VALUE"""),248.15)</f>
        <v>248.15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IFERROR(__xludf.DUMMYFUNCTION("""COMPUTED_VALUE"""),245.18)</f>
        <v>245.18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IFERROR(__xludf.DUMMYFUNCTION("""COMPUTED_VALUE"""),243.08)</f>
        <v>243.08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IFERROR(__xludf.DUMMYFUNCTION("""COMPUTED_VALUE"""),243.12)</f>
        <v>243.12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IFERROR(__xludf.DUMMYFUNCTION("""COMPUTED_VALUE"""),246.48)</f>
        <v>246.48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IFERROR(__xludf.DUMMYFUNCTION("""COMPUTED_VALUE"""),245.17)</f>
        <v>245.17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IFERROR(__xludf.DUMMYFUNCTION("""COMPUTED_VALUE"""),250.78)</f>
        <v>250.78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IFERROR(__xludf.DUMMYFUNCTION("""COMPUTED_VALUE"""),251.72)</f>
        <v>251.72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IFERROR(__xludf.DUMMYFUNCTION("""COMPUTED_VALUE"""),251.49)</f>
        <v>251.49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IFERROR(__xludf.DUMMYFUNCTION("""COMPUTED_VALUE"""),249.31)</f>
        <v>249.31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IFERROR(__xludf.DUMMYFUNCTION("""COMPUTED_VALUE"""),249.68)</f>
        <v>249.68</v>
      </c>
    </row>
    <row r="168">
      <c r="A168" s="2">
        <f>IFERROR(__xludf.DUMMYFUNCTION("""COMPUTED_VALUE"""),44348.66666666667)</f>
        <v>44348.66667</v>
      </c>
      <c r="B168" s="1">
        <f>IFERROR(__xludf.DUMMYFUNCTION("""COMPUTED_VALUE"""),247.4)</f>
        <v>247.4</v>
      </c>
    </row>
    <row r="169">
      <c r="A169" s="2">
        <f>IFERROR(__xludf.DUMMYFUNCTION("""COMPUTED_VALUE"""),44349.66666666667)</f>
        <v>44349.66667</v>
      </c>
      <c r="B169" s="1">
        <f>IFERROR(__xludf.DUMMYFUNCTION("""COMPUTED_VALUE"""),247.3)</f>
        <v>247.3</v>
      </c>
    </row>
    <row r="170">
      <c r="A170" s="2">
        <f>IFERROR(__xludf.DUMMYFUNCTION("""COMPUTED_VALUE"""),44350.66666666667)</f>
        <v>44350.66667</v>
      </c>
      <c r="B170" s="1">
        <f>IFERROR(__xludf.DUMMYFUNCTION("""COMPUTED_VALUE"""),245.71)</f>
        <v>245.71</v>
      </c>
    </row>
    <row r="171">
      <c r="A171" s="2">
        <f>IFERROR(__xludf.DUMMYFUNCTION("""COMPUTED_VALUE"""),44351.66666666667)</f>
        <v>44351.66667</v>
      </c>
      <c r="B171" s="1">
        <f>IFERROR(__xludf.DUMMYFUNCTION("""COMPUTED_VALUE"""),250.79)</f>
        <v>250.79</v>
      </c>
    </row>
    <row r="172">
      <c r="A172" s="2">
        <f>IFERROR(__xludf.DUMMYFUNCTION("""COMPUTED_VALUE"""),44354.66666666667)</f>
        <v>44354.66667</v>
      </c>
      <c r="B172" s="1">
        <f>IFERROR(__xludf.DUMMYFUNCTION("""COMPUTED_VALUE"""),253.81)</f>
        <v>253.81</v>
      </c>
    </row>
    <row r="173">
      <c r="A173" s="2">
        <f>IFERROR(__xludf.DUMMYFUNCTION("""COMPUTED_VALUE"""),44355.66666666667)</f>
        <v>44355.66667</v>
      </c>
      <c r="B173" s="1">
        <f>IFERROR(__xludf.DUMMYFUNCTION("""COMPUTED_VALUE"""),252.57)</f>
        <v>252.57</v>
      </c>
    </row>
    <row r="174">
      <c r="A174" s="2">
        <f>IFERROR(__xludf.DUMMYFUNCTION("""COMPUTED_VALUE"""),44356.66666666667)</f>
        <v>44356.66667</v>
      </c>
      <c r="B174" s="1">
        <f>IFERROR(__xludf.DUMMYFUNCTION("""COMPUTED_VALUE"""),253.59)</f>
        <v>253.59</v>
      </c>
    </row>
    <row r="175">
      <c r="A175" s="2">
        <f>IFERROR(__xludf.DUMMYFUNCTION("""COMPUTED_VALUE"""),44357.66666666667)</f>
        <v>44357.66667</v>
      </c>
      <c r="B175" s="1">
        <f>IFERROR(__xludf.DUMMYFUNCTION("""COMPUTED_VALUE"""),257.24)</f>
        <v>257.24</v>
      </c>
    </row>
    <row r="176">
      <c r="A176" s="2">
        <f>IFERROR(__xludf.DUMMYFUNCTION("""COMPUTED_VALUE"""),44358.66666666667)</f>
        <v>44358.66667</v>
      </c>
      <c r="B176" s="1">
        <f>IFERROR(__xludf.DUMMYFUNCTION("""COMPUTED_VALUE"""),257.89)</f>
        <v>257.89</v>
      </c>
    </row>
    <row r="177">
      <c r="A177" s="2">
        <f>IFERROR(__xludf.DUMMYFUNCTION("""COMPUTED_VALUE"""),44361.66666666667)</f>
        <v>44361.66667</v>
      </c>
      <c r="B177" s="1">
        <f>IFERROR(__xludf.DUMMYFUNCTION("""COMPUTED_VALUE"""),259.89)</f>
        <v>259.89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IFERROR(__xludf.DUMMYFUNCTION("""COMPUTED_VALUE"""),258.36)</f>
        <v>258.36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IFERROR(__xludf.DUMMYFUNCTION("""COMPUTED_VALUE"""),257.38)</f>
        <v>257.38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IFERROR(__xludf.DUMMYFUNCTION("""COMPUTED_VALUE"""),260.9)</f>
        <v>260.9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IFERROR(__xludf.DUMMYFUNCTION("""COMPUTED_VALUE"""),259.43)</f>
        <v>259.43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IFERROR(__xludf.DUMMYFUNCTION("""COMPUTED_VALUE"""),262.63)</f>
        <v>262.63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IFERROR(__xludf.DUMMYFUNCTION("""COMPUTED_VALUE"""),265.51)</f>
        <v>265.51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IFERROR(__xludf.DUMMYFUNCTION("""COMPUTED_VALUE"""),265.27)</f>
        <v>265.27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IFERROR(__xludf.DUMMYFUNCTION("""COMPUTED_VALUE"""),266.69)</f>
        <v>266.69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IFERROR(__xludf.DUMMYFUNCTION("""COMPUTED_VALUE"""),265.02)</f>
        <v>265.02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IFERROR(__xludf.DUMMYFUNCTION("""COMPUTED_VALUE"""),268.72)</f>
        <v>268.72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IFERROR(__xludf.DUMMYFUNCTION("""COMPUTED_VALUE"""),271.4)</f>
        <v>271.4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IFERROR(__xludf.DUMMYFUNCTION("""COMPUTED_VALUE"""),270.9)</f>
        <v>270.9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IFERROR(__xludf.DUMMYFUNCTION("""COMPUTED_VALUE"""),271.6)</f>
        <v>271.6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IFERROR(__xludf.DUMMYFUNCTION("""COMPUTED_VALUE"""),277.65)</f>
        <v>277.65</v>
      </c>
    </row>
    <row r="192">
      <c r="A192" s="2">
        <f>IFERROR(__xludf.DUMMYFUNCTION("""COMPUTED_VALUE"""),44383.66666666667)</f>
        <v>44383.66667</v>
      </c>
      <c r="B192" s="1">
        <f>IFERROR(__xludf.DUMMYFUNCTION("""COMPUTED_VALUE"""),277.66)</f>
        <v>277.66</v>
      </c>
    </row>
    <row r="193">
      <c r="A193" s="2">
        <f>IFERROR(__xludf.DUMMYFUNCTION("""COMPUTED_VALUE"""),44384.66666666667)</f>
        <v>44384.66667</v>
      </c>
      <c r="B193" s="1">
        <f>IFERROR(__xludf.DUMMYFUNCTION("""COMPUTED_VALUE"""),279.93)</f>
        <v>279.93</v>
      </c>
    </row>
    <row r="194">
      <c r="A194" s="2">
        <f>IFERROR(__xludf.DUMMYFUNCTION("""COMPUTED_VALUE"""),44385.66666666667)</f>
        <v>44385.66667</v>
      </c>
      <c r="B194" s="1">
        <f>IFERROR(__xludf.DUMMYFUNCTION("""COMPUTED_VALUE"""),277.42)</f>
        <v>277.42</v>
      </c>
    </row>
    <row r="195">
      <c r="A195" s="2">
        <f>IFERROR(__xludf.DUMMYFUNCTION("""COMPUTED_VALUE"""),44386.66666666667)</f>
        <v>44386.66667</v>
      </c>
      <c r="B195" s="1">
        <f>IFERROR(__xludf.DUMMYFUNCTION("""COMPUTED_VALUE"""),277.94)</f>
        <v>277.94</v>
      </c>
    </row>
    <row r="196">
      <c r="A196" s="2">
        <f>IFERROR(__xludf.DUMMYFUNCTION("""COMPUTED_VALUE"""),44389.66666666667)</f>
        <v>44389.66667</v>
      </c>
      <c r="B196" s="1">
        <f>IFERROR(__xludf.DUMMYFUNCTION("""COMPUTED_VALUE"""),277.32)</f>
        <v>277.32</v>
      </c>
    </row>
    <row r="197">
      <c r="A197" s="2">
        <f>IFERROR(__xludf.DUMMYFUNCTION("""COMPUTED_VALUE"""),44390.66666666667)</f>
        <v>44390.66667</v>
      </c>
      <c r="B197" s="1">
        <f>IFERROR(__xludf.DUMMYFUNCTION("""COMPUTED_VALUE"""),280.98)</f>
        <v>280.98</v>
      </c>
    </row>
    <row r="198">
      <c r="A198" s="2">
        <f>IFERROR(__xludf.DUMMYFUNCTION("""COMPUTED_VALUE"""),44391.66666666667)</f>
        <v>44391.66667</v>
      </c>
      <c r="B198" s="1">
        <f>IFERROR(__xludf.DUMMYFUNCTION("""COMPUTED_VALUE"""),282.51)</f>
        <v>282.51</v>
      </c>
    </row>
    <row r="199">
      <c r="A199" s="2">
        <f>IFERROR(__xludf.DUMMYFUNCTION("""COMPUTED_VALUE"""),44392.66666666667)</f>
        <v>44392.66667</v>
      </c>
      <c r="B199" s="1">
        <f>IFERROR(__xludf.DUMMYFUNCTION("""COMPUTED_VALUE"""),281.03)</f>
        <v>281.03</v>
      </c>
    </row>
    <row r="200">
      <c r="A200" s="2">
        <f>IFERROR(__xludf.DUMMYFUNCTION("""COMPUTED_VALUE"""),44393.66666666667)</f>
        <v>44393.66667</v>
      </c>
      <c r="B200" s="1">
        <f>IFERROR(__xludf.DUMMYFUNCTION("""COMPUTED_VALUE"""),280.75)</f>
        <v>280.75</v>
      </c>
    </row>
    <row r="201">
      <c r="A201" s="2">
        <f>IFERROR(__xludf.DUMMYFUNCTION("""COMPUTED_VALUE"""),44396.66666666667)</f>
        <v>44396.66667</v>
      </c>
      <c r="B201" s="1">
        <f>IFERROR(__xludf.DUMMYFUNCTION("""COMPUTED_VALUE"""),277.01)</f>
        <v>277.01</v>
      </c>
    </row>
    <row r="202">
      <c r="A202" s="2">
        <f>IFERROR(__xludf.DUMMYFUNCTION("""COMPUTED_VALUE"""),44397.66666666667)</f>
        <v>44397.66667</v>
      </c>
      <c r="B202" s="1">
        <f>IFERROR(__xludf.DUMMYFUNCTION("""COMPUTED_VALUE"""),279.32)</f>
        <v>279.32</v>
      </c>
    </row>
    <row r="203">
      <c r="A203" s="2">
        <f>IFERROR(__xludf.DUMMYFUNCTION("""COMPUTED_VALUE"""),44398.66666666667)</f>
        <v>44398.66667</v>
      </c>
      <c r="B203" s="1">
        <f>IFERROR(__xludf.DUMMYFUNCTION("""COMPUTED_VALUE"""),281.4)</f>
        <v>281.4</v>
      </c>
    </row>
    <row r="204">
      <c r="A204" s="2">
        <f>IFERROR(__xludf.DUMMYFUNCTION("""COMPUTED_VALUE"""),44399.66666666667)</f>
        <v>44399.66667</v>
      </c>
      <c r="B204" s="1">
        <f>IFERROR(__xludf.DUMMYFUNCTION("""COMPUTED_VALUE"""),286.14)</f>
        <v>286.14</v>
      </c>
    </row>
    <row r="205">
      <c r="A205" s="2">
        <f>IFERROR(__xludf.DUMMYFUNCTION("""COMPUTED_VALUE"""),44400.66666666667)</f>
        <v>44400.66667</v>
      </c>
      <c r="B205" s="1">
        <f>IFERROR(__xludf.DUMMYFUNCTION("""COMPUTED_VALUE"""),289.67)</f>
        <v>289.67</v>
      </c>
    </row>
    <row r="206">
      <c r="A206" s="2">
        <f>IFERROR(__xludf.DUMMYFUNCTION("""COMPUTED_VALUE"""),44403.66666666667)</f>
        <v>44403.66667</v>
      </c>
      <c r="B206" s="1">
        <f>IFERROR(__xludf.DUMMYFUNCTION("""COMPUTED_VALUE"""),289.05)</f>
        <v>289.05</v>
      </c>
    </row>
    <row r="207">
      <c r="A207" s="2">
        <f>IFERROR(__xludf.DUMMYFUNCTION("""COMPUTED_VALUE"""),44404.66666666667)</f>
        <v>44404.66667</v>
      </c>
      <c r="B207" s="1">
        <f>IFERROR(__xludf.DUMMYFUNCTION("""COMPUTED_VALUE"""),286.54)</f>
        <v>286.54</v>
      </c>
    </row>
    <row r="208">
      <c r="A208" s="2">
        <f>IFERROR(__xludf.DUMMYFUNCTION("""COMPUTED_VALUE"""),44405.66666666667)</f>
        <v>44405.66667</v>
      </c>
      <c r="B208" s="1">
        <f>IFERROR(__xludf.DUMMYFUNCTION("""COMPUTED_VALUE"""),286.22)</f>
        <v>286.22</v>
      </c>
    </row>
    <row r="209">
      <c r="A209" s="2">
        <f>IFERROR(__xludf.DUMMYFUNCTION("""COMPUTED_VALUE"""),44406.66666666667)</f>
        <v>44406.66667</v>
      </c>
      <c r="B209" s="1">
        <f>IFERROR(__xludf.DUMMYFUNCTION("""COMPUTED_VALUE"""),286.5)</f>
        <v>286.5</v>
      </c>
    </row>
    <row r="210">
      <c r="A210" s="2">
        <f>IFERROR(__xludf.DUMMYFUNCTION("""COMPUTED_VALUE"""),44407.66666666667)</f>
        <v>44407.66667</v>
      </c>
      <c r="B210" s="1">
        <f>IFERROR(__xludf.DUMMYFUNCTION("""COMPUTED_VALUE"""),284.91)</f>
        <v>284.91</v>
      </c>
    </row>
    <row r="211">
      <c r="A211" s="2">
        <f>IFERROR(__xludf.DUMMYFUNCTION("""COMPUTED_VALUE"""),44410.66666666667)</f>
        <v>44410.66667</v>
      </c>
      <c r="B211" s="1">
        <f>IFERROR(__xludf.DUMMYFUNCTION("""COMPUTED_VALUE"""),284.82)</f>
        <v>284.82</v>
      </c>
    </row>
    <row r="212">
      <c r="A212" s="2">
        <f>IFERROR(__xludf.DUMMYFUNCTION("""COMPUTED_VALUE"""),44411.66666666667)</f>
        <v>44411.66667</v>
      </c>
      <c r="B212" s="1">
        <f>IFERROR(__xludf.DUMMYFUNCTION("""COMPUTED_VALUE"""),287.12)</f>
        <v>287.12</v>
      </c>
    </row>
    <row r="213">
      <c r="A213" s="2">
        <f>IFERROR(__xludf.DUMMYFUNCTION("""COMPUTED_VALUE"""),44412.66666666667)</f>
        <v>44412.66667</v>
      </c>
      <c r="B213" s="1">
        <f>IFERROR(__xludf.DUMMYFUNCTION("""COMPUTED_VALUE"""),286.51)</f>
        <v>286.51</v>
      </c>
    </row>
    <row r="214">
      <c r="A214" s="2">
        <f>IFERROR(__xludf.DUMMYFUNCTION("""COMPUTED_VALUE"""),44413.66666666667)</f>
        <v>44413.66667</v>
      </c>
      <c r="B214" s="1">
        <f>IFERROR(__xludf.DUMMYFUNCTION("""COMPUTED_VALUE"""),289.52)</f>
        <v>289.52</v>
      </c>
    </row>
    <row r="215">
      <c r="A215" s="2">
        <f>IFERROR(__xludf.DUMMYFUNCTION("""COMPUTED_VALUE"""),44414.66666666667)</f>
        <v>44414.66667</v>
      </c>
      <c r="B215" s="1">
        <f>IFERROR(__xludf.DUMMYFUNCTION("""COMPUTED_VALUE"""),289.46)</f>
        <v>289.46</v>
      </c>
    </row>
    <row r="216">
      <c r="A216" s="2">
        <f>IFERROR(__xludf.DUMMYFUNCTION("""COMPUTED_VALUE"""),44417.66666666667)</f>
        <v>44417.66667</v>
      </c>
      <c r="B216" s="1">
        <f>IFERROR(__xludf.DUMMYFUNCTION("""COMPUTED_VALUE"""),288.33)</f>
        <v>288.33</v>
      </c>
    </row>
    <row r="217">
      <c r="A217" s="2">
        <f>IFERROR(__xludf.DUMMYFUNCTION("""COMPUTED_VALUE"""),44418.66666666667)</f>
        <v>44418.66667</v>
      </c>
      <c r="B217" s="1">
        <f>IFERROR(__xludf.DUMMYFUNCTION("""COMPUTED_VALUE"""),286.44)</f>
        <v>286.44</v>
      </c>
    </row>
    <row r="218">
      <c r="A218" s="2">
        <f>IFERROR(__xludf.DUMMYFUNCTION("""COMPUTED_VALUE"""),44419.66666666667)</f>
        <v>44419.66667</v>
      </c>
      <c r="B218" s="1">
        <f>IFERROR(__xludf.DUMMYFUNCTION("""COMPUTED_VALUE"""),286.95)</f>
        <v>286.95</v>
      </c>
    </row>
    <row r="219">
      <c r="A219" s="2">
        <f>IFERROR(__xludf.DUMMYFUNCTION("""COMPUTED_VALUE"""),44420.66666666667)</f>
        <v>44420.66667</v>
      </c>
      <c r="B219" s="1">
        <f>IFERROR(__xludf.DUMMYFUNCTION("""COMPUTED_VALUE"""),289.81)</f>
        <v>289.81</v>
      </c>
    </row>
    <row r="220">
      <c r="A220" s="2">
        <f>IFERROR(__xludf.DUMMYFUNCTION("""COMPUTED_VALUE"""),44421.66666666667)</f>
        <v>44421.66667</v>
      </c>
      <c r="B220" s="1">
        <f>IFERROR(__xludf.DUMMYFUNCTION("""COMPUTED_VALUE"""),292.85)</f>
        <v>292.85</v>
      </c>
    </row>
    <row r="221">
      <c r="A221" s="2">
        <f>IFERROR(__xludf.DUMMYFUNCTION("""COMPUTED_VALUE"""),44424.66666666667)</f>
        <v>44424.66667</v>
      </c>
      <c r="B221" s="1">
        <f>IFERROR(__xludf.DUMMYFUNCTION("""COMPUTED_VALUE"""),294.6)</f>
        <v>294.6</v>
      </c>
    </row>
    <row r="222">
      <c r="A222" s="2">
        <f>IFERROR(__xludf.DUMMYFUNCTION("""COMPUTED_VALUE"""),44425.66666666667)</f>
        <v>44425.66667</v>
      </c>
      <c r="B222" s="1">
        <f>IFERROR(__xludf.DUMMYFUNCTION("""COMPUTED_VALUE"""),293.08)</f>
        <v>293.08</v>
      </c>
    </row>
    <row r="223">
      <c r="A223" s="2">
        <f>IFERROR(__xludf.DUMMYFUNCTION("""COMPUTED_VALUE"""),44426.66666666667)</f>
        <v>44426.66667</v>
      </c>
      <c r="B223" s="1">
        <f>IFERROR(__xludf.DUMMYFUNCTION("""COMPUTED_VALUE"""),290.73)</f>
        <v>290.73</v>
      </c>
    </row>
    <row r="224">
      <c r="A224" s="2">
        <f>IFERROR(__xludf.DUMMYFUNCTION("""COMPUTED_VALUE"""),44427.66666666667)</f>
        <v>44427.66667</v>
      </c>
      <c r="B224" s="1">
        <f>IFERROR(__xludf.DUMMYFUNCTION("""COMPUTED_VALUE"""),296.77)</f>
        <v>296.77</v>
      </c>
    </row>
    <row r="225">
      <c r="A225" s="2">
        <f>IFERROR(__xludf.DUMMYFUNCTION("""COMPUTED_VALUE"""),44428.66666666667)</f>
        <v>44428.66667</v>
      </c>
      <c r="B225" s="1">
        <f>IFERROR(__xludf.DUMMYFUNCTION("""COMPUTED_VALUE"""),304.36)</f>
        <v>304.36</v>
      </c>
    </row>
    <row r="226">
      <c r="A226" s="2">
        <f>IFERROR(__xludf.DUMMYFUNCTION("""COMPUTED_VALUE"""),44431.66666666667)</f>
        <v>44431.66667</v>
      </c>
      <c r="B226" s="1">
        <f>IFERROR(__xludf.DUMMYFUNCTION("""COMPUTED_VALUE"""),304.65)</f>
        <v>304.65</v>
      </c>
    </row>
    <row r="227">
      <c r="A227" s="2">
        <f>IFERROR(__xludf.DUMMYFUNCTION("""COMPUTED_VALUE"""),44432.66666666667)</f>
        <v>44432.66667</v>
      </c>
      <c r="B227" s="1">
        <f>IFERROR(__xludf.DUMMYFUNCTION("""COMPUTED_VALUE"""),302.62)</f>
        <v>302.62</v>
      </c>
    </row>
    <row r="228">
      <c r="A228" s="2">
        <f>IFERROR(__xludf.DUMMYFUNCTION("""COMPUTED_VALUE"""),44433.66666666667)</f>
        <v>44433.66667</v>
      </c>
      <c r="B228" s="1">
        <f>IFERROR(__xludf.DUMMYFUNCTION("""COMPUTED_VALUE"""),302.01)</f>
        <v>302.01</v>
      </c>
    </row>
    <row r="229">
      <c r="A229" s="2">
        <f>IFERROR(__xludf.DUMMYFUNCTION("""COMPUTED_VALUE"""),44434.66666666667)</f>
        <v>44434.66667</v>
      </c>
      <c r="B229" s="1">
        <f>IFERROR(__xludf.DUMMYFUNCTION("""COMPUTED_VALUE"""),299.09)</f>
        <v>299.09</v>
      </c>
    </row>
    <row r="230">
      <c r="A230" s="2">
        <f>IFERROR(__xludf.DUMMYFUNCTION("""COMPUTED_VALUE"""),44435.66666666667)</f>
        <v>44435.66667</v>
      </c>
      <c r="B230" s="1">
        <f>IFERROR(__xludf.DUMMYFUNCTION("""COMPUTED_VALUE"""),299.72)</f>
        <v>299.72</v>
      </c>
    </row>
    <row r="231">
      <c r="A231" s="2">
        <f>IFERROR(__xludf.DUMMYFUNCTION("""COMPUTED_VALUE"""),44438.66666666667)</f>
        <v>44438.66667</v>
      </c>
      <c r="B231" s="1">
        <f>IFERROR(__xludf.DUMMYFUNCTION("""COMPUTED_VALUE"""),303.59)</f>
        <v>303.59</v>
      </c>
    </row>
    <row r="232">
      <c r="A232" s="2">
        <f>IFERROR(__xludf.DUMMYFUNCTION("""COMPUTED_VALUE"""),44439.66666666667)</f>
        <v>44439.66667</v>
      </c>
      <c r="B232" s="1">
        <f>IFERROR(__xludf.DUMMYFUNCTION("""COMPUTED_VALUE"""),301.88)</f>
        <v>301.88</v>
      </c>
    </row>
    <row r="233">
      <c r="A233" s="2">
        <f>IFERROR(__xludf.DUMMYFUNCTION("""COMPUTED_VALUE"""),44440.66666666667)</f>
        <v>44440.66667</v>
      </c>
      <c r="B233" s="1">
        <f>IFERROR(__xludf.DUMMYFUNCTION("""COMPUTED_VALUE"""),301.83)</f>
        <v>301.83</v>
      </c>
    </row>
    <row r="234">
      <c r="A234" s="2">
        <f>IFERROR(__xludf.DUMMYFUNCTION("""COMPUTED_VALUE"""),44441.66666666667)</f>
        <v>44441.66667</v>
      </c>
      <c r="B234" s="1">
        <f>IFERROR(__xludf.DUMMYFUNCTION("""COMPUTED_VALUE"""),301.15)</f>
        <v>301.15</v>
      </c>
    </row>
    <row r="235">
      <c r="A235" s="2">
        <f>IFERROR(__xludf.DUMMYFUNCTION("""COMPUTED_VALUE"""),44442.66666666667)</f>
        <v>44442.66667</v>
      </c>
      <c r="B235" s="1">
        <f>IFERROR(__xludf.DUMMYFUNCTION("""COMPUTED_VALUE"""),301.14)</f>
        <v>301.14</v>
      </c>
    </row>
    <row r="236">
      <c r="A236" s="2">
        <f>IFERROR(__xludf.DUMMYFUNCTION("""COMPUTED_VALUE"""),44446.66666666667)</f>
        <v>44446.66667</v>
      </c>
      <c r="B236" s="1">
        <f>IFERROR(__xludf.DUMMYFUNCTION("""COMPUTED_VALUE"""),300.18)</f>
        <v>300.18</v>
      </c>
    </row>
    <row r="237">
      <c r="A237" s="2">
        <f>IFERROR(__xludf.DUMMYFUNCTION("""COMPUTED_VALUE"""),44447.66666666667)</f>
        <v>44447.66667</v>
      </c>
      <c r="B237" s="1">
        <f>IFERROR(__xludf.DUMMYFUNCTION("""COMPUTED_VALUE"""),300.21)</f>
        <v>300.21</v>
      </c>
    </row>
    <row r="238">
      <c r="A238" s="2">
        <f>IFERROR(__xludf.DUMMYFUNCTION("""COMPUTED_VALUE"""),44448.66666666667)</f>
        <v>44448.66667</v>
      </c>
      <c r="B238" s="1">
        <f>IFERROR(__xludf.DUMMYFUNCTION("""COMPUTED_VALUE"""),297.25)</f>
        <v>297.25</v>
      </c>
    </row>
    <row r="239">
      <c r="A239" s="2">
        <f>IFERROR(__xludf.DUMMYFUNCTION("""COMPUTED_VALUE"""),44449.66666666667)</f>
        <v>44449.66667</v>
      </c>
      <c r="B239" s="1">
        <f>IFERROR(__xludf.DUMMYFUNCTION("""COMPUTED_VALUE"""),295.71)</f>
        <v>295.71</v>
      </c>
    </row>
    <row r="240">
      <c r="A240" s="2">
        <f>IFERROR(__xludf.DUMMYFUNCTION("""COMPUTED_VALUE"""),44452.66666666667)</f>
        <v>44452.66667</v>
      </c>
      <c r="B240" s="1">
        <f>IFERROR(__xludf.DUMMYFUNCTION("""COMPUTED_VALUE"""),296.99)</f>
        <v>296.99</v>
      </c>
    </row>
    <row r="241">
      <c r="A241" s="2">
        <f>IFERROR(__xludf.DUMMYFUNCTION("""COMPUTED_VALUE"""),44453.66666666667)</f>
        <v>44453.66667</v>
      </c>
      <c r="B241" s="1">
        <f>IFERROR(__xludf.DUMMYFUNCTION("""COMPUTED_VALUE"""),299.79)</f>
        <v>299.79</v>
      </c>
    </row>
    <row r="242">
      <c r="A242" s="2">
        <f>IFERROR(__xludf.DUMMYFUNCTION("""COMPUTED_VALUE"""),44454.66666666667)</f>
        <v>44454.66667</v>
      </c>
      <c r="B242" s="1">
        <f>IFERROR(__xludf.DUMMYFUNCTION("""COMPUTED_VALUE"""),304.82)</f>
        <v>304.82</v>
      </c>
    </row>
    <row r="243">
      <c r="A243" s="2">
        <f>IFERROR(__xludf.DUMMYFUNCTION("""COMPUTED_VALUE"""),44455.66666666667)</f>
        <v>44455.66667</v>
      </c>
      <c r="B243" s="1">
        <f>IFERROR(__xludf.DUMMYFUNCTION("""COMPUTED_VALUE"""),305.22)</f>
        <v>305.22</v>
      </c>
    </row>
    <row r="244">
      <c r="A244" s="2">
        <f>IFERROR(__xludf.DUMMYFUNCTION("""COMPUTED_VALUE"""),44456.66666666667)</f>
        <v>44456.66667</v>
      </c>
      <c r="B244" s="1">
        <f>IFERROR(__xludf.DUMMYFUNCTION("""COMPUTED_VALUE"""),299.87)</f>
        <v>299.87</v>
      </c>
    </row>
    <row r="245">
      <c r="A245" s="2">
        <f>IFERROR(__xludf.DUMMYFUNCTION("""COMPUTED_VALUE"""),44459.66666666667)</f>
        <v>44459.66667</v>
      </c>
      <c r="B245" s="1">
        <f>IFERROR(__xludf.DUMMYFUNCTION("""COMPUTED_VALUE"""),294.3)</f>
        <v>294.3</v>
      </c>
    </row>
    <row r="246">
      <c r="A246" s="2">
        <f>IFERROR(__xludf.DUMMYFUNCTION("""COMPUTED_VALUE"""),44460.66666666667)</f>
        <v>44460.66667</v>
      </c>
      <c r="B246" s="1">
        <f>IFERROR(__xludf.DUMMYFUNCTION("""COMPUTED_VALUE"""),294.8)</f>
        <v>294.8</v>
      </c>
    </row>
    <row r="247">
      <c r="A247" s="2">
        <f>IFERROR(__xludf.DUMMYFUNCTION("""COMPUTED_VALUE"""),44461.66666666667)</f>
        <v>44461.66667</v>
      </c>
      <c r="B247" s="1">
        <f>IFERROR(__xludf.DUMMYFUNCTION("""COMPUTED_VALUE"""),298.58)</f>
        <v>298.58</v>
      </c>
    </row>
    <row r="248">
      <c r="A248" s="2">
        <f>IFERROR(__xludf.DUMMYFUNCTION("""COMPUTED_VALUE"""),44462.66666666667)</f>
        <v>44462.66667</v>
      </c>
      <c r="B248" s="1">
        <f>IFERROR(__xludf.DUMMYFUNCTION("""COMPUTED_VALUE"""),299.56)</f>
        <v>299.56</v>
      </c>
    </row>
    <row r="249">
      <c r="A249" s="2">
        <f>IFERROR(__xludf.DUMMYFUNCTION("""COMPUTED_VALUE"""),44463.66666666667)</f>
        <v>44463.66667</v>
      </c>
      <c r="B249" s="1">
        <f>IFERROR(__xludf.DUMMYFUNCTION("""COMPUTED_VALUE"""),299.35)</f>
        <v>299.35</v>
      </c>
    </row>
    <row r="250">
      <c r="A250" s="2">
        <f>IFERROR(__xludf.DUMMYFUNCTION("""COMPUTED_VALUE"""),44466.66666666667)</f>
        <v>44466.66667</v>
      </c>
      <c r="B250" s="1">
        <f>IFERROR(__xludf.DUMMYFUNCTION("""COMPUTED_VALUE"""),294.17)</f>
        <v>294.17</v>
      </c>
    </row>
    <row r="251">
      <c r="A251" s="2">
        <f>IFERROR(__xludf.DUMMYFUNCTION("""COMPUTED_VALUE"""),44467.66666666667)</f>
        <v>44467.66667</v>
      </c>
      <c r="B251" s="1">
        <f>IFERROR(__xludf.DUMMYFUNCTION("""COMPUTED_VALUE"""),283.52)</f>
        <v>283.52</v>
      </c>
    </row>
    <row r="252">
      <c r="A252" s="2">
        <f>IFERROR(__xludf.DUMMYFUNCTION("""COMPUTED_VALUE"""),44468.66666666667)</f>
        <v>44468.66667</v>
      </c>
      <c r="B252" s="1">
        <f>IFERROR(__xludf.DUMMYFUNCTION("""COMPUTED_VALUE"""),284.0)</f>
        <v>284</v>
      </c>
    </row>
    <row r="253">
      <c r="A253" s="2">
        <f>IFERROR(__xludf.DUMMYFUNCTION("""COMPUTED_VALUE"""),44469.66666666667)</f>
        <v>44469.66667</v>
      </c>
      <c r="B253" s="1">
        <f>IFERROR(__xludf.DUMMYFUNCTION("""COMPUTED_VALUE"""),281.92)</f>
        <v>281.92</v>
      </c>
    </row>
    <row r="254">
      <c r="A254" s="2">
        <f>IFERROR(__xludf.DUMMYFUNCTION("""COMPUTED_VALUE"""),44470.66666666667)</f>
        <v>44470.66667</v>
      </c>
      <c r="B254" s="1">
        <f>IFERROR(__xludf.DUMMYFUNCTION("""COMPUTED_VALUE"""),289.1)</f>
        <v>289.1</v>
      </c>
    </row>
    <row r="255">
      <c r="A255" s="2">
        <f>IFERROR(__xludf.DUMMYFUNCTION("""COMPUTED_VALUE"""),44473.66666666667)</f>
        <v>44473.66667</v>
      </c>
      <c r="B255" s="1">
        <f>IFERROR(__xludf.DUMMYFUNCTION("""COMPUTED_VALUE"""),283.11)</f>
        <v>283.11</v>
      </c>
    </row>
    <row r="256">
      <c r="A256" s="2">
        <f>IFERROR(__xludf.DUMMYFUNCTION("""COMPUTED_VALUE"""),44474.66666666667)</f>
        <v>44474.66667</v>
      </c>
      <c r="B256" s="1">
        <f>IFERROR(__xludf.DUMMYFUNCTION("""COMPUTED_VALUE"""),288.76)</f>
        <v>288.76</v>
      </c>
    </row>
    <row r="257">
      <c r="A257" s="2">
        <f>IFERROR(__xludf.DUMMYFUNCTION("""COMPUTED_VALUE"""),44475.66666666667)</f>
        <v>44475.66667</v>
      </c>
      <c r="B257" s="1">
        <f>IFERROR(__xludf.DUMMYFUNCTION("""COMPUTED_VALUE"""),293.11)</f>
        <v>293.11</v>
      </c>
    </row>
    <row r="258">
      <c r="A258" s="2">
        <f>IFERROR(__xludf.DUMMYFUNCTION("""COMPUTED_VALUE"""),44476.66666666667)</f>
        <v>44476.66667</v>
      </c>
      <c r="B258" s="1">
        <f>IFERROR(__xludf.DUMMYFUNCTION("""COMPUTED_VALUE"""),294.85)</f>
        <v>294.85</v>
      </c>
    </row>
    <row r="259">
      <c r="A259" s="2">
        <f>IFERROR(__xludf.DUMMYFUNCTION("""COMPUTED_VALUE"""),44477.66666666667)</f>
        <v>44477.66667</v>
      </c>
      <c r="B259" s="1">
        <f>IFERROR(__xludf.DUMMYFUNCTION("""COMPUTED_VALUE"""),294.85)</f>
        <v>294.85</v>
      </c>
    </row>
    <row r="260">
      <c r="A260" s="2">
        <f>IFERROR(__xludf.DUMMYFUNCTION("""COMPUTED_VALUE"""),44480.66666666667)</f>
        <v>44480.66667</v>
      </c>
      <c r="B260" s="1">
        <f>IFERROR(__xludf.DUMMYFUNCTION("""COMPUTED_VALUE"""),294.23)</f>
        <v>294.23</v>
      </c>
    </row>
    <row r="261">
      <c r="A261" s="2">
        <f>IFERROR(__xludf.DUMMYFUNCTION("""COMPUTED_VALUE"""),44481.66666666667)</f>
        <v>44481.66667</v>
      </c>
      <c r="B261" s="1">
        <f>IFERROR(__xludf.DUMMYFUNCTION("""COMPUTED_VALUE"""),292.88)</f>
        <v>292.88</v>
      </c>
    </row>
    <row r="262">
      <c r="A262" s="2">
        <f>IFERROR(__xludf.DUMMYFUNCTION("""COMPUTED_VALUE"""),44482.66666666667)</f>
        <v>44482.66667</v>
      </c>
      <c r="B262" s="1">
        <f>IFERROR(__xludf.DUMMYFUNCTION("""COMPUTED_VALUE"""),296.31)</f>
        <v>296.31</v>
      </c>
    </row>
    <row r="263">
      <c r="A263" s="2">
        <f>IFERROR(__xludf.DUMMYFUNCTION("""COMPUTED_VALUE"""),44483.66666666667)</f>
        <v>44483.66667</v>
      </c>
      <c r="B263" s="1">
        <f>IFERROR(__xludf.DUMMYFUNCTION("""COMPUTED_VALUE"""),302.75)</f>
        <v>302.75</v>
      </c>
    </row>
    <row r="264">
      <c r="A264" s="2">
        <f>IFERROR(__xludf.DUMMYFUNCTION("""COMPUTED_VALUE"""),44484.66666666667)</f>
        <v>44484.66667</v>
      </c>
      <c r="B264" s="1">
        <f>IFERROR(__xludf.DUMMYFUNCTION("""COMPUTED_VALUE"""),304.21)</f>
        <v>304.21</v>
      </c>
    </row>
    <row r="265">
      <c r="A265" s="2">
        <f>IFERROR(__xludf.DUMMYFUNCTION("""COMPUTED_VALUE"""),44487.66666666667)</f>
        <v>44487.66667</v>
      </c>
      <c r="B265" s="1">
        <f>IFERROR(__xludf.DUMMYFUNCTION("""COMPUTED_VALUE"""),307.29)</f>
        <v>307.29</v>
      </c>
    </row>
    <row r="266">
      <c r="A266" s="2">
        <f>IFERROR(__xludf.DUMMYFUNCTION("""COMPUTED_VALUE"""),44488.66666666667)</f>
        <v>44488.66667</v>
      </c>
      <c r="B266" s="1">
        <f>IFERROR(__xludf.DUMMYFUNCTION("""COMPUTED_VALUE"""),308.23)</f>
        <v>308.23</v>
      </c>
    </row>
    <row r="267">
      <c r="A267" s="2">
        <f>IFERROR(__xludf.DUMMYFUNCTION("""COMPUTED_VALUE"""),44489.66666666667)</f>
        <v>44489.66667</v>
      </c>
      <c r="B267" s="1">
        <f>IFERROR(__xludf.DUMMYFUNCTION("""COMPUTED_VALUE"""),307.41)</f>
        <v>307.41</v>
      </c>
    </row>
    <row r="268">
      <c r="A268" s="2">
        <f>IFERROR(__xludf.DUMMYFUNCTION("""COMPUTED_VALUE"""),44490.66666666667)</f>
        <v>44490.66667</v>
      </c>
      <c r="B268" s="1">
        <f>IFERROR(__xludf.DUMMYFUNCTION("""COMPUTED_VALUE"""),310.76)</f>
        <v>310.76</v>
      </c>
    </row>
    <row r="269">
      <c r="A269" s="2">
        <f>IFERROR(__xludf.DUMMYFUNCTION("""COMPUTED_VALUE"""),44491.66666666667)</f>
        <v>44491.66667</v>
      </c>
      <c r="B269" s="1">
        <f>IFERROR(__xludf.DUMMYFUNCTION("""COMPUTED_VALUE"""),309.16)</f>
        <v>309.16</v>
      </c>
    </row>
    <row r="270">
      <c r="A270" s="2">
        <f>IFERROR(__xludf.DUMMYFUNCTION("""COMPUTED_VALUE"""),44494.66666666667)</f>
        <v>44494.66667</v>
      </c>
      <c r="B270" s="1">
        <f>IFERROR(__xludf.DUMMYFUNCTION("""COMPUTED_VALUE"""),308.13)</f>
        <v>308.13</v>
      </c>
    </row>
    <row r="271">
      <c r="A271" s="2">
        <f>IFERROR(__xludf.DUMMYFUNCTION("""COMPUTED_VALUE"""),44495.66666666667)</f>
        <v>44495.66667</v>
      </c>
      <c r="B271" s="1">
        <f>IFERROR(__xludf.DUMMYFUNCTION("""COMPUTED_VALUE"""),310.11)</f>
        <v>310.11</v>
      </c>
    </row>
    <row r="272">
      <c r="A272" s="2">
        <f>IFERROR(__xludf.DUMMYFUNCTION("""COMPUTED_VALUE"""),44496.66666666667)</f>
        <v>44496.66667</v>
      </c>
      <c r="B272" s="1">
        <f>IFERROR(__xludf.DUMMYFUNCTION("""COMPUTED_VALUE"""),323.17)</f>
        <v>323.17</v>
      </c>
    </row>
    <row r="273">
      <c r="A273" s="2">
        <f>IFERROR(__xludf.DUMMYFUNCTION("""COMPUTED_VALUE"""),44497.66666666667)</f>
        <v>44497.66667</v>
      </c>
      <c r="B273" s="1">
        <f>IFERROR(__xludf.DUMMYFUNCTION("""COMPUTED_VALUE"""),324.35)</f>
        <v>324.35</v>
      </c>
    </row>
    <row r="274">
      <c r="A274" s="2">
        <f>IFERROR(__xludf.DUMMYFUNCTION("""COMPUTED_VALUE"""),44498.66666666667)</f>
        <v>44498.66667</v>
      </c>
      <c r="B274" s="1">
        <f>IFERROR(__xludf.DUMMYFUNCTION("""COMPUTED_VALUE"""),331.62)</f>
        <v>331.62</v>
      </c>
    </row>
    <row r="275">
      <c r="A275" s="2">
        <f>IFERROR(__xludf.DUMMYFUNCTION("""COMPUTED_VALUE"""),44501.66666666667)</f>
        <v>44501.66667</v>
      </c>
      <c r="B275" s="1">
        <f>IFERROR(__xludf.DUMMYFUNCTION("""COMPUTED_VALUE"""),329.37)</f>
        <v>329.37</v>
      </c>
    </row>
    <row r="276">
      <c r="A276" s="2">
        <f>IFERROR(__xludf.DUMMYFUNCTION("""COMPUTED_VALUE"""),44502.66666666667)</f>
        <v>44502.66667</v>
      </c>
      <c r="B276" s="1">
        <f>IFERROR(__xludf.DUMMYFUNCTION("""COMPUTED_VALUE"""),333.13)</f>
        <v>333.13</v>
      </c>
    </row>
    <row r="277">
      <c r="A277" s="2">
        <f>IFERROR(__xludf.DUMMYFUNCTION("""COMPUTED_VALUE"""),44503.66666666667)</f>
        <v>44503.66667</v>
      </c>
      <c r="B277" s="1">
        <f>IFERROR(__xludf.DUMMYFUNCTION("""COMPUTED_VALUE"""),334.0)</f>
        <v>334</v>
      </c>
    </row>
    <row r="278">
      <c r="A278" s="2">
        <f>IFERROR(__xludf.DUMMYFUNCTION("""COMPUTED_VALUE"""),44504.66666666667)</f>
        <v>44504.66667</v>
      </c>
      <c r="B278" s="1">
        <f>IFERROR(__xludf.DUMMYFUNCTION("""COMPUTED_VALUE"""),336.44)</f>
        <v>336.44</v>
      </c>
    </row>
    <row r="279">
      <c r="A279" s="2">
        <f>IFERROR(__xludf.DUMMYFUNCTION("""COMPUTED_VALUE"""),44505.66666666667)</f>
        <v>44505.66667</v>
      </c>
      <c r="B279" s="1">
        <f>IFERROR(__xludf.DUMMYFUNCTION("""COMPUTED_VALUE"""),336.06)</f>
        <v>336.06</v>
      </c>
    </row>
    <row r="280">
      <c r="A280" s="2">
        <f>IFERROR(__xludf.DUMMYFUNCTION("""COMPUTED_VALUE"""),44508.66666666667)</f>
        <v>44508.66667</v>
      </c>
      <c r="B280" s="1">
        <f>IFERROR(__xludf.DUMMYFUNCTION("""COMPUTED_VALUE"""),336.99)</f>
        <v>336.99</v>
      </c>
    </row>
    <row r="281">
      <c r="A281" s="2">
        <f>IFERROR(__xludf.DUMMYFUNCTION("""COMPUTED_VALUE"""),44509.66666666667)</f>
        <v>44509.66667</v>
      </c>
      <c r="B281" s="1">
        <f>IFERROR(__xludf.DUMMYFUNCTION("""COMPUTED_VALUE"""),335.95)</f>
        <v>335.95</v>
      </c>
    </row>
    <row r="282">
      <c r="A282" s="2">
        <f>IFERROR(__xludf.DUMMYFUNCTION("""COMPUTED_VALUE"""),44510.66666666667)</f>
        <v>44510.66667</v>
      </c>
      <c r="B282" s="1">
        <f>IFERROR(__xludf.DUMMYFUNCTION("""COMPUTED_VALUE"""),330.8)</f>
        <v>330.8</v>
      </c>
    </row>
    <row r="283">
      <c r="A283" s="2">
        <f>IFERROR(__xludf.DUMMYFUNCTION("""COMPUTED_VALUE"""),44511.66666666667)</f>
        <v>44511.66667</v>
      </c>
      <c r="B283" s="1">
        <f>IFERROR(__xludf.DUMMYFUNCTION("""COMPUTED_VALUE"""),332.43)</f>
        <v>332.43</v>
      </c>
    </row>
    <row r="284">
      <c r="A284" s="2">
        <f>IFERROR(__xludf.DUMMYFUNCTION("""COMPUTED_VALUE"""),44512.66666666667)</f>
        <v>44512.66667</v>
      </c>
      <c r="B284" s="1">
        <f>IFERROR(__xludf.DUMMYFUNCTION("""COMPUTED_VALUE"""),336.72)</f>
        <v>336.72</v>
      </c>
    </row>
    <row r="285">
      <c r="A285" s="2">
        <f>IFERROR(__xludf.DUMMYFUNCTION("""COMPUTED_VALUE"""),44515.66666666667)</f>
        <v>44515.66667</v>
      </c>
      <c r="B285" s="1">
        <f>IFERROR(__xludf.DUMMYFUNCTION("""COMPUTED_VALUE"""),336.07)</f>
        <v>336.07</v>
      </c>
    </row>
    <row r="286">
      <c r="A286" s="2">
        <f>IFERROR(__xludf.DUMMYFUNCTION("""COMPUTED_VALUE"""),44516.66666666667)</f>
        <v>44516.66667</v>
      </c>
      <c r="B286" s="1">
        <f>IFERROR(__xludf.DUMMYFUNCTION("""COMPUTED_VALUE"""),339.51)</f>
        <v>339.51</v>
      </c>
    </row>
    <row r="287">
      <c r="A287" s="2">
        <f>IFERROR(__xludf.DUMMYFUNCTION("""COMPUTED_VALUE"""),44517.66666666667)</f>
        <v>44517.66667</v>
      </c>
      <c r="B287" s="1">
        <f>IFERROR(__xludf.DUMMYFUNCTION("""COMPUTED_VALUE"""),339.12)</f>
        <v>339.12</v>
      </c>
    </row>
    <row r="288">
      <c r="A288" s="2">
        <f>IFERROR(__xludf.DUMMYFUNCTION("""COMPUTED_VALUE"""),44518.66666666667)</f>
        <v>44518.66667</v>
      </c>
      <c r="B288" s="1">
        <f>IFERROR(__xludf.DUMMYFUNCTION("""COMPUTED_VALUE"""),341.27)</f>
        <v>341.27</v>
      </c>
    </row>
    <row r="289">
      <c r="A289" s="2">
        <f>IFERROR(__xludf.DUMMYFUNCTION("""COMPUTED_VALUE"""),44519.66666666667)</f>
        <v>44519.66667</v>
      </c>
      <c r="B289" s="1">
        <f>IFERROR(__xludf.DUMMYFUNCTION("""COMPUTED_VALUE"""),343.11)</f>
        <v>343.11</v>
      </c>
    </row>
    <row r="290">
      <c r="A290" s="2">
        <f>IFERROR(__xludf.DUMMYFUNCTION("""COMPUTED_VALUE"""),44522.66666666667)</f>
        <v>44522.66667</v>
      </c>
      <c r="B290" s="1">
        <f>IFERROR(__xludf.DUMMYFUNCTION("""COMPUTED_VALUE"""),339.83)</f>
        <v>339.83</v>
      </c>
    </row>
    <row r="291">
      <c r="A291" s="2">
        <f>IFERROR(__xludf.DUMMYFUNCTION("""COMPUTED_VALUE"""),44523.66666666667)</f>
        <v>44523.66667</v>
      </c>
      <c r="B291" s="1">
        <f>IFERROR(__xludf.DUMMYFUNCTION("""COMPUTED_VALUE"""),337.68)</f>
        <v>337.68</v>
      </c>
    </row>
    <row r="292">
      <c r="A292" s="2">
        <f>IFERROR(__xludf.DUMMYFUNCTION("""COMPUTED_VALUE"""),44524.66666666667)</f>
        <v>44524.66667</v>
      </c>
      <c r="B292" s="1">
        <f>IFERROR(__xludf.DUMMYFUNCTION("""COMPUTED_VALUE"""),337.91)</f>
        <v>337.91</v>
      </c>
    </row>
    <row r="293">
      <c r="A293" s="2">
        <f>IFERROR(__xludf.DUMMYFUNCTION("""COMPUTED_VALUE"""),44526.54166666667)</f>
        <v>44526.54167</v>
      </c>
      <c r="B293" s="1">
        <f>IFERROR(__xludf.DUMMYFUNCTION("""COMPUTED_VALUE"""),329.68)</f>
        <v>329.68</v>
      </c>
    </row>
    <row r="294">
      <c r="A294" s="2">
        <f>IFERROR(__xludf.DUMMYFUNCTION("""COMPUTED_VALUE"""),44529.66666666667)</f>
        <v>44529.66667</v>
      </c>
      <c r="B294" s="1">
        <f>IFERROR(__xludf.DUMMYFUNCTION("""COMPUTED_VALUE"""),336.63)</f>
        <v>336.63</v>
      </c>
    </row>
    <row r="295">
      <c r="A295" s="2">
        <f>IFERROR(__xludf.DUMMYFUNCTION("""COMPUTED_VALUE"""),44530.66666666667)</f>
        <v>44530.66667</v>
      </c>
      <c r="B295" s="1">
        <f>IFERROR(__xludf.DUMMYFUNCTION("""COMPUTED_VALUE"""),330.59)</f>
        <v>330.59</v>
      </c>
    </row>
    <row r="296">
      <c r="A296" s="2">
        <f>IFERROR(__xludf.DUMMYFUNCTION("""COMPUTED_VALUE"""),44531.66666666667)</f>
        <v>44531.66667</v>
      </c>
      <c r="B296" s="1">
        <f>IFERROR(__xludf.DUMMYFUNCTION("""COMPUTED_VALUE"""),330.08)</f>
        <v>330.08</v>
      </c>
    </row>
    <row r="297">
      <c r="A297" s="2">
        <f>IFERROR(__xludf.DUMMYFUNCTION("""COMPUTED_VALUE"""),44532.66666666667)</f>
        <v>44532.66667</v>
      </c>
      <c r="B297" s="1">
        <f>IFERROR(__xludf.DUMMYFUNCTION("""COMPUTED_VALUE"""),329.49)</f>
        <v>329.49</v>
      </c>
    </row>
    <row r="298">
      <c r="A298" s="2">
        <f>IFERROR(__xludf.DUMMYFUNCTION("""COMPUTED_VALUE"""),44533.66666666667)</f>
        <v>44533.66667</v>
      </c>
      <c r="B298" s="1">
        <f>IFERROR(__xludf.DUMMYFUNCTION("""COMPUTED_VALUE"""),323.01)</f>
        <v>323.01</v>
      </c>
    </row>
    <row r="299">
      <c r="A299" s="2">
        <f>IFERROR(__xludf.DUMMYFUNCTION("""COMPUTED_VALUE"""),44536.66666666667)</f>
        <v>44536.66667</v>
      </c>
      <c r="B299" s="1">
        <f>IFERROR(__xludf.DUMMYFUNCTION("""COMPUTED_VALUE"""),326.19)</f>
        <v>326.19</v>
      </c>
    </row>
    <row r="300">
      <c r="A300" s="2">
        <f>IFERROR(__xludf.DUMMYFUNCTION("""COMPUTED_VALUE"""),44537.66666666667)</f>
        <v>44537.66667</v>
      </c>
      <c r="B300" s="1">
        <f>IFERROR(__xludf.DUMMYFUNCTION("""COMPUTED_VALUE"""),334.92)</f>
        <v>334.92</v>
      </c>
    </row>
    <row r="301">
      <c r="A301" s="2">
        <f>IFERROR(__xludf.DUMMYFUNCTION("""COMPUTED_VALUE"""),44538.66666666667)</f>
        <v>44538.66667</v>
      </c>
      <c r="B301" s="1">
        <f>IFERROR(__xludf.DUMMYFUNCTION("""COMPUTED_VALUE"""),334.97)</f>
        <v>334.97</v>
      </c>
    </row>
    <row r="302">
      <c r="A302" s="2">
        <f>IFERROR(__xludf.DUMMYFUNCTION("""COMPUTED_VALUE"""),44539.66666666667)</f>
        <v>44539.66667</v>
      </c>
      <c r="B302" s="1">
        <f>IFERROR(__xludf.DUMMYFUNCTION("""COMPUTED_VALUE"""),333.1)</f>
        <v>333.1</v>
      </c>
    </row>
    <row r="303">
      <c r="A303" s="2">
        <f>IFERROR(__xludf.DUMMYFUNCTION("""COMPUTED_VALUE"""),44540.66666666667)</f>
        <v>44540.66667</v>
      </c>
      <c r="B303" s="1">
        <f>IFERROR(__xludf.DUMMYFUNCTION("""COMPUTED_VALUE"""),342.54)</f>
        <v>342.54</v>
      </c>
    </row>
    <row r="304">
      <c r="A304" s="2">
        <f>IFERROR(__xludf.DUMMYFUNCTION("""COMPUTED_VALUE"""),44543.66666666667)</f>
        <v>44543.66667</v>
      </c>
      <c r="B304" s="1">
        <f>IFERROR(__xludf.DUMMYFUNCTION("""COMPUTED_VALUE"""),339.4)</f>
        <v>339.4</v>
      </c>
    </row>
    <row r="305">
      <c r="A305" s="2">
        <f>IFERROR(__xludf.DUMMYFUNCTION("""COMPUTED_VALUE"""),44544.66666666667)</f>
        <v>44544.66667</v>
      </c>
      <c r="B305" s="1">
        <f>IFERROR(__xludf.DUMMYFUNCTION("""COMPUTED_VALUE"""),328.34)</f>
        <v>328.34</v>
      </c>
    </row>
    <row r="306">
      <c r="A306" s="2">
        <f>IFERROR(__xludf.DUMMYFUNCTION("""COMPUTED_VALUE"""),44545.66666666667)</f>
        <v>44545.66667</v>
      </c>
      <c r="B306" s="1">
        <f>IFERROR(__xludf.DUMMYFUNCTION("""COMPUTED_VALUE"""),334.65)</f>
        <v>334.65</v>
      </c>
    </row>
    <row r="307">
      <c r="A307" s="2">
        <f>IFERROR(__xludf.DUMMYFUNCTION("""COMPUTED_VALUE"""),44546.66666666667)</f>
        <v>44546.66667</v>
      </c>
      <c r="B307" s="1">
        <f>IFERROR(__xludf.DUMMYFUNCTION("""COMPUTED_VALUE"""),324.9)</f>
        <v>324.9</v>
      </c>
    </row>
    <row r="308">
      <c r="A308" s="2">
        <f>IFERROR(__xludf.DUMMYFUNCTION("""COMPUTED_VALUE"""),44547.66666666667)</f>
        <v>44547.66667</v>
      </c>
      <c r="B308" s="1">
        <f>IFERROR(__xludf.DUMMYFUNCTION("""COMPUTED_VALUE"""),323.8)</f>
        <v>323.8</v>
      </c>
    </row>
    <row r="309">
      <c r="A309" s="2">
        <f>IFERROR(__xludf.DUMMYFUNCTION("""COMPUTED_VALUE"""),44550.66666666667)</f>
        <v>44550.66667</v>
      </c>
      <c r="B309" s="1">
        <f>IFERROR(__xludf.DUMMYFUNCTION("""COMPUTED_VALUE"""),319.91)</f>
        <v>319.91</v>
      </c>
    </row>
    <row r="310">
      <c r="A310" s="2">
        <f>IFERROR(__xludf.DUMMYFUNCTION("""COMPUTED_VALUE"""),44551.66666666667)</f>
        <v>44551.66667</v>
      </c>
      <c r="B310" s="1">
        <f>IFERROR(__xludf.DUMMYFUNCTION("""COMPUTED_VALUE"""),327.29)</f>
        <v>327.29</v>
      </c>
    </row>
    <row r="311">
      <c r="A311" s="2">
        <f>IFERROR(__xludf.DUMMYFUNCTION("""COMPUTED_VALUE"""),44552.66666666667)</f>
        <v>44552.66667</v>
      </c>
      <c r="B311" s="1">
        <f>IFERROR(__xludf.DUMMYFUNCTION("""COMPUTED_VALUE"""),333.2)</f>
        <v>333.2</v>
      </c>
    </row>
    <row r="312">
      <c r="A312" s="2">
        <f>IFERROR(__xludf.DUMMYFUNCTION("""COMPUTED_VALUE"""),44553.66666666667)</f>
        <v>44553.66667</v>
      </c>
      <c r="B312" s="1">
        <f>IFERROR(__xludf.DUMMYFUNCTION("""COMPUTED_VALUE"""),334.69)</f>
        <v>334.69</v>
      </c>
    </row>
    <row r="313">
      <c r="A313" s="2">
        <f>IFERROR(__xludf.DUMMYFUNCTION("""COMPUTED_VALUE"""),44557.66666666667)</f>
        <v>44557.66667</v>
      </c>
      <c r="B313" s="1">
        <f>IFERROR(__xludf.DUMMYFUNCTION("""COMPUTED_VALUE"""),342.45)</f>
        <v>342.45</v>
      </c>
    </row>
    <row r="314">
      <c r="A314" s="2">
        <f>IFERROR(__xludf.DUMMYFUNCTION("""COMPUTED_VALUE"""),44558.66666666667)</f>
        <v>44558.66667</v>
      </c>
      <c r="B314" s="1">
        <f>IFERROR(__xludf.DUMMYFUNCTION("""COMPUTED_VALUE"""),341.25)</f>
        <v>341.25</v>
      </c>
    </row>
    <row r="315">
      <c r="A315" s="2">
        <f>IFERROR(__xludf.DUMMYFUNCTION("""COMPUTED_VALUE"""),44559.66666666667)</f>
        <v>44559.66667</v>
      </c>
      <c r="B315" s="1">
        <f>IFERROR(__xludf.DUMMYFUNCTION("""COMPUTED_VALUE"""),341.95)</f>
        <v>341.95</v>
      </c>
    </row>
    <row r="316">
      <c r="A316" s="2">
        <f>IFERROR(__xludf.DUMMYFUNCTION("""COMPUTED_VALUE"""),44560.66666666667)</f>
        <v>44560.66667</v>
      </c>
      <c r="B316" s="1">
        <f>IFERROR(__xludf.DUMMYFUNCTION("""COMPUTED_VALUE"""),339.32)</f>
        <v>339.32</v>
      </c>
    </row>
    <row r="317">
      <c r="A317" s="2">
        <f>IFERROR(__xludf.DUMMYFUNCTION("""COMPUTED_VALUE"""),44561.66666666667)</f>
        <v>44561.66667</v>
      </c>
      <c r="B317" s="1">
        <f>IFERROR(__xludf.DUMMYFUNCTION("""COMPUTED_VALUE"""),336.32)</f>
        <v>336.32</v>
      </c>
    </row>
    <row r="318">
      <c r="A318" s="2">
        <f>IFERROR(__xludf.DUMMYFUNCTION("""COMPUTED_VALUE"""),44564.66666666667)</f>
        <v>44564.66667</v>
      </c>
      <c r="B318" s="1">
        <f>IFERROR(__xludf.DUMMYFUNCTION("""COMPUTED_VALUE"""),334.75)</f>
        <v>334.75</v>
      </c>
    </row>
    <row r="319">
      <c r="A319" s="2">
        <f>IFERROR(__xludf.DUMMYFUNCTION("""COMPUTED_VALUE"""),44565.66666666667)</f>
        <v>44565.66667</v>
      </c>
      <c r="B319" s="1">
        <f>IFERROR(__xludf.DUMMYFUNCTION("""COMPUTED_VALUE"""),329.01)</f>
        <v>329.01</v>
      </c>
    </row>
    <row r="320">
      <c r="A320" s="2">
        <f>IFERROR(__xludf.DUMMYFUNCTION("""COMPUTED_VALUE"""),44566.66666666667)</f>
        <v>44566.66667</v>
      </c>
      <c r="B320" s="1">
        <f>IFERROR(__xludf.DUMMYFUNCTION("""COMPUTED_VALUE"""),316.38)</f>
        <v>316.38</v>
      </c>
    </row>
    <row r="321">
      <c r="A321" s="2">
        <f>IFERROR(__xludf.DUMMYFUNCTION("""COMPUTED_VALUE"""),44567.66666666667)</f>
        <v>44567.66667</v>
      </c>
      <c r="B321" s="1">
        <f>IFERROR(__xludf.DUMMYFUNCTION("""COMPUTED_VALUE"""),313.88)</f>
        <v>313.88</v>
      </c>
    </row>
    <row r="322">
      <c r="A322" s="2">
        <f>IFERROR(__xludf.DUMMYFUNCTION("""COMPUTED_VALUE"""),44568.66666666667)</f>
        <v>44568.66667</v>
      </c>
      <c r="B322" s="1">
        <f>IFERROR(__xludf.DUMMYFUNCTION("""COMPUTED_VALUE"""),314.04)</f>
        <v>314.04</v>
      </c>
    </row>
    <row r="323">
      <c r="A323" s="2">
        <f>IFERROR(__xludf.DUMMYFUNCTION("""COMPUTED_VALUE"""),44571.66666666667)</f>
        <v>44571.66667</v>
      </c>
      <c r="B323" s="1">
        <f>IFERROR(__xludf.DUMMYFUNCTION("""COMPUTED_VALUE"""),314.27)</f>
        <v>314.27</v>
      </c>
    </row>
    <row r="324">
      <c r="A324" s="2">
        <f>IFERROR(__xludf.DUMMYFUNCTION("""COMPUTED_VALUE"""),44572.66666666667)</f>
        <v>44572.66667</v>
      </c>
      <c r="B324" s="1">
        <f>IFERROR(__xludf.DUMMYFUNCTION("""COMPUTED_VALUE"""),314.98)</f>
        <v>314.98</v>
      </c>
    </row>
    <row r="325">
      <c r="A325" s="2">
        <f>IFERROR(__xludf.DUMMYFUNCTION("""COMPUTED_VALUE"""),44573.66666666667)</f>
        <v>44573.66667</v>
      </c>
      <c r="B325" s="1">
        <f>IFERROR(__xludf.DUMMYFUNCTION("""COMPUTED_VALUE"""),318.27)</f>
        <v>318.27</v>
      </c>
    </row>
    <row r="326">
      <c r="A326" s="2">
        <f>IFERROR(__xludf.DUMMYFUNCTION("""COMPUTED_VALUE"""),44574.66666666667)</f>
        <v>44574.66667</v>
      </c>
      <c r="B326" s="1">
        <f>IFERROR(__xludf.DUMMYFUNCTION("""COMPUTED_VALUE"""),304.8)</f>
        <v>304.8</v>
      </c>
    </row>
    <row r="327">
      <c r="A327" s="2">
        <f>IFERROR(__xludf.DUMMYFUNCTION("""COMPUTED_VALUE"""),44575.66666666667)</f>
        <v>44575.66667</v>
      </c>
      <c r="B327" s="1">
        <f>IFERROR(__xludf.DUMMYFUNCTION("""COMPUTED_VALUE"""),310.2)</f>
        <v>310.2</v>
      </c>
    </row>
    <row r="328">
      <c r="A328" s="2">
        <f>IFERROR(__xludf.DUMMYFUNCTION("""COMPUTED_VALUE"""),44579.66666666667)</f>
        <v>44579.66667</v>
      </c>
      <c r="B328" s="1">
        <f>IFERROR(__xludf.DUMMYFUNCTION("""COMPUTED_VALUE"""),302.65)</f>
        <v>302.65</v>
      </c>
    </row>
    <row r="329">
      <c r="A329" s="2">
        <f>IFERROR(__xludf.DUMMYFUNCTION("""COMPUTED_VALUE"""),44580.66666666667)</f>
        <v>44580.66667</v>
      </c>
      <c r="B329" s="1">
        <f>IFERROR(__xludf.DUMMYFUNCTION("""COMPUTED_VALUE"""),303.33)</f>
        <v>303.33</v>
      </c>
    </row>
    <row r="330">
      <c r="A330" s="2">
        <f>IFERROR(__xludf.DUMMYFUNCTION("""COMPUTED_VALUE"""),44581.66666666667)</f>
        <v>44581.66667</v>
      </c>
      <c r="B330" s="1">
        <f>IFERROR(__xludf.DUMMYFUNCTION("""COMPUTED_VALUE"""),301.6)</f>
        <v>301.6</v>
      </c>
    </row>
    <row r="331">
      <c r="A331" s="2">
        <f>IFERROR(__xludf.DUMMYFUNCTION("""COMPUTED_VALUE"""),44582.66666666667)</f>
        <v>44582.66667</v>
      </c>
      <c r="B331" s="1">
        <f>IFERROR(__xludf.DUMMYFUNCTION("""COMPUTED_VALUE"""),296.03)</f>
        <v>296.03</v>
      </c>
    </row>
    <row r="332">
      <c r="A332" s="2">
        <f>IFERROR(__xludf.DUMMYFUNCTION("""COMPUTED_VALUE"""),44585.66666666667)</f>
        <v>44585.66667</v>
      </c>
      <c r="B332" s="1">
        <f>IFERROR(__xludf.DUMMYFUNCTION("""COMPUTED_VALUE"""),296.37)</f>
        <v>296.37</v>
      </c>
    </row>
    <row r="333">
      <c r="A333" s="2">
        <f>IFERROR(__xludf.DUMMYFUNCTION("""COMPUTED_VALUE"""),44586.66666666667)</f>
        <v>44586.66667</v>
      </c>
      <c r="B333" s="1">
        <f>IFERROR(__xludf.DUMMYFUNCTION("""COMPUTED_VALUE"""),288.49)</f>
        <v>288.49</v>
      </c>
    </row>
    <row r="334">
      <c r="A334" s="2">
        <f>IFERROR(__xludf.DUMMYFUNCTION("""COMPUTED_VALUE"""),44587.66666666667)</f>
        <v>44587.66667</v>
      </c>
      <c r="B334" s="1">
        <f>IFERROR(__xludf.DUMMYFUNCTION("""COMPUTED_VALUE"""),296.71)</f>
        <v>296.71</v>
      </c>
    </row>
    <row r="335">
      <c r="A335" s="2">
        <f>IFERROR(__xludf.DUMMYFUNCTION("""COMPUTED_VALUE"""),44588.66666666667)</f>
        <v>44588.66667</v>
      </c>
      <c r="B335" s="1">
        <f>IFERROR(__xludf.DUMMYFUNCTION("""COMPUTED_VALUE"""),299.84)</f>
        <v>299.84</v>
      </c>
    </row>
    <row r="336">
      <c r="A336" s="2">
        <f>IFERROR(__xludf.DUMMYFUNCTION("""COMPUTED_VALUE"""),44589.66666666667)</f>
        <v>44589.66667</v>
      </c>
      <c r="B336" s="1">
        <f>IFERROR(__xludf.DUMMYFUNCTION("""COMPUTED_VALUE"""),308.26)</f>
        <v>308.26</v>
      </c>
    </row>
    <row r="337">
      <c r="A337" s="2">
        <f>IFERROR(__xludf.DUMMYFUNCTION("""COMPUTED_VALUE"""),44592.66666666667)</f>
        <v>44592.66667</v>
      </c>
      <c r="B337" s="1">
        <f>IFERROR(__xludf.DUMMYFUNCTION("""COMPUTED_VALUE"""),310.98)</f>
        <v>310.98</v>
      </c>
    </row>
    <row r="338">
      <c r="A338" s="2">
        <f>IFERROR(__xludf.DUMMYFUNCTION("""COMPUTED_VALUE"""),44593.66666666667)</f>
        <v>44593.66667</v>
      </c>
      <c r="B338" s="1">
        <f>IFERROR(__xludf.DUMMYFUNCTION("""COMPUTED_VALUE"""),308.76)</f>
        <v>308.76</v>
      </c>
    </row>
    <row r="339">
      <c r="A339" s="2">
        <f>IFERROR(__xludf.DUMMYFUNCTION("""COMPUTED_VALUE"""),44594.66666666667)</f>
        <v>44594.66667</v>
      </c>
      <c r="B339" s="1">
        <f>IFERROR(__xludf.DUMMYFUNCTION("""COMPUTED_VALUE"""),313.46)</f>
        <v>313.46</v>
      </c>
    </row>
    <row r="340">
      <c r="A340" s="2">
        <f>IFERROR(__xludf.DUMMYFUNCTION("""COMPUTED_VALUE"""),44595.66666666667)</f>
        <v>44595.66667</v>
      </c>
      <c r="B340" s="1">
        <f>IFERROR(__xludf.DUMMYFUNCTION("""COMPUTED_VALUE"""),301.25)</f>
        <v>301.25</v>
      </c>
    </row>
    <row r="341">
      <c r="A341" s="2">
        <f>IFERROR(__xludf.DUMMYFUNCTION("""COMPUTED_VALUE"""),44596.66666666667)</f>
        <v>44596.66667</v>
      </c>
      <c r="B341" s="1">
        <f>IFERROR(__xludf.DUMMYFUNCTION("""COMPUTED_VALUE"""),305.94)</f>
        <v>305.94</v>
      </c>
    </row>
    <row r="342">
      <c r="A342" s="2">
        <f>IFERROR(__xludf.DUMMYFUNCTION("""COMPUTED_VALUE"""),44599.66666666667)</f>
        <v>44599.66667</v>
      </c>
      <c r="B342" s="1">
        <f>IFERROR(__xludf.DUMMYFUNCTION("""COMPUTED_VALUE"""),300.95)</f>
        <v>300.95</v>
      </c>
    </row>
    <row r="343">
      <c r="A343" s="2">
        <f>IFERROR(__xludf.DUMMYFUNCTION("""COMPUTED_VALUE"""),44600.66666666667)</f>
        <v>44600.66667</v>
      </c>
      <c r="B343" s="1">
        <f>IFERROR(__xludf.DUMMYFUNCTION("""COMPUTED_VALUE"""),304.56)</f>
        <v>304.56</v>
      </c>
    </row>
    <row r="344">
      <c r="A344" s="2">
        <f>IFERROR(__xludf.DUMMYFUNCTION("""COMPUTED_VALUE"""),44601.66666666667)</f>
        <v>44601.66667</v>
      </c>
      <c r="B344" s="1">
        <f>IFERROR(__xludf.DUMMYFUNCTION("""COMPUTED_VALUE"""),311.21)</f>
        <v>311.21</v>
      </c>
    </row>
    <row r="345">
      <c r="A345" s="2">
        <f>IFERROR(__xludf.DUMMYFUNCTION("""COMPUTED_VALUE"""),44602.66666666667)</f>
        <v>44602.66667</v>
      </c>
      <c r="B345" s="1">
        <f>IFERROR(__xludf.DUMMYFUNCTION("""COMPUTED_VALUE"""),302.38)</f>
        <v>302.38</v>
      </c>
    </row>
    <row r="346">
      <c r="A346" s="2">
        <f>IFERROR(__xludf.DUMMYFUNCTION("""COMPUTED_VALUE"""),44603.66666666667)</f>
        <v>44603.66667</v>
      </c>
      <c r="B346" s="1">
        <f>IFERROR(__xludf.DUMMYFUNCTION("""COMPUTED_VALUE"""),295.04)</f>
        <v>295.04</v>
      </c>
    </row>
    <row r="347">
      <c r="A347" s="2">
        <f>IFERROR(__xludf.DUMMYFUNCTION("""COMPUTED_VALUE"""),44606.66666666667)</f>
        <v>44606.66667</v>
      </c>
      <c r="B347" s="1">
        <f>IFERROR(__xludf.DUMMYFUNCTION("""COMPUTED_VALUE"""),295.0)</f>
        <v>295</v>
      </c>
    </row>
    <row r="348">
      <c r="A348" s="2">
        <f>IFERROR(__xludf.DUMMYFUNCTION("""COMPUTED_VALUE"""),44607.66666666667)</f>
        <v>44607.66667</v>
      </c>
      <c r="B348" s="1">
        <f>IFERROR(__xludf.DUMMYFUNCTION("""COMPUTED_VALUE"""),300.47)</f>
        <v>300.47</v>
      </c>
    </row>
    <row r="349">
      <c r="A349" s="2">
        <f>IFERROR(__xludf.DUMMYFUNCTION("""COMPUTED_VALUE"""),44608.66666666667)</f>
        <v>44608.66667</v>
      </c>
      <c r="B349" s="1">
        <f>IFERROR(__xludf.DUMMYFUNCTION("""COMPUTED_VALUE"""),299.5)</f>
        <v>299.5</v>
      </c>
    </row>
    <row r="350">
      <c r="A350" s="2">
        <f>IFERROR(__xludf.DUMMYFUNCTION("""COMPUTED_VALUE"""),44609.66666666667)</f>
        <v>44609.66667</v>
      </c>
      <c r="B350" s="1">
        <f>IFERROR(__xludf.DUMMYFUNCTION("""COMPUTED_VALUE"""),290.73)</f>
        <v>290.73</v>
      </c>
    </row>
    <row r="351">
      <c r="A351" s="2">
        <f>IFERROR(__xludf.DUMMYFUNCTION("""COMPUTED_VALUE"""),44610.66666666667)</f>
        <v>44610.66667</v>
      </c>
      <c r="B351" s="1">
        <f>IFERROR(__xludf.DUMMYFUNCTION("""COMPUTED_VALUE"""),287.93)</f>
        <v>287.93</v>
      </c>
    </row>
    <row r="352">
      <c r="A352" s="2">
        <f>IFERROR(__xludf.DUMMYFUNCTION("""COMPUTED_VALUE"""),44614.66666666667)</f>
        <v>44614.66667</v>
      </c>
      <c r="B352" s="1">
        <f>IFERROR(__xludf.DUMMYFUNCTION("""COMPUTED_VALUE"""),287.72)</f>
        <v>287.72</v>
      </c>
    </row>
    <row r="353">
      <c r="A353" s="2">
        <f>IFERROR(__xludf.DUMMYFUNCTION("""COMPUTED_VALUE"""),44615.66666666667)</f>
        <v>44615.66667</v>
      </c>
      <c r="B353" s="1">
        <f>IFERROR(__xludf.DUMMYFUNCTION("""COMPUTED_VALUE"""),280.27)</f>
        <v>280.27</v>
      </c>
    </row>
    <row r="354">
      <c r="A354" s="2">
        <f>IFERROR(__xludf.DUMMYFUNCTION("""COMPUTED_VALUE"""),44616.66666666667)</f>
        <v>44616.66667</v>
      </c>
      <c r="B354" s="1">
        <f>IFERROR(__xludf.DUMMYFUNCTION("""COMPUTED_VALUE"""),294.59)</f>
        <v>294.59</v>
      </c>
    </row>
    <row r="355">
      <c r="A355" s="2">
        <f>IFERROR(__xludf.DUMMYFUNCTION("""COMPUTED_VALUE"""),44617.66666666667)</f>
        <v>44617.66667</v>
      </c>
      <c r="B355" s="1">
        <f>IFERROR(__xludf.DUMMYFUNCTION("""COMPUTED_VALUE"""),297.31)</f>
        <v>297.31</v>
      </c>
    </row>
    <row r="356">
      <c r="A356" s="2">
        <f>IFERROR(__xludf.DUMMYFUNCTION("""COMPUTED_VALUE"""),44620.66666666667)</f>
        <v>44620.66667</v>
      </c>
      <c r="B356" s="1">
        <f>IFERROR(__xludf.DUMMYFUNCTION("""COMPUTED_VALUE"""),298.79)</f>
        <v>298.79</v>
      </c>
    </row>
    <row r="357">
      <c r="A357" s="2">
        <f>IFERROR(__xludf.DUMMYFUNCTION("""COMPUTED_VALUE"""),44621.66666666667)</f>
        <v>44621.66667</v>
      </c>
      <c r="B357" s="1">
        <f>IFERROR(__xludf.DUMMYFUNCTION("""COMPUTED_VALUE"""),294.95)</f>
        <v>294.95</v>
      </c>
    </row>
    <row r="358">
      <c r="A358" s="2">
        <f>IFERROR(__xludf.DUMMYFUNCTION("""COMPUTED_VALUE"""),44622.66666666667)</f>
        <v>44622.66667</v>
      </c>
      <c r="B358" s="1">
        <f>IFERROR(__xludf.DUMMYFUNCTION("""COMPUTED_VALUE"""),300.19)</f>
        <v>300.19</v>
      </c>
    </row>
    <row r="359">
      <c r="A359" s="2">
        <f>IFERROR(__xludf.DUMMYFUNCTION("""COMPUTED_VALUE"""),44623.66666666667)</f>
        <v>44623.66667</v>
      </c>
      <c r="B359" s="1">
        <f>IFERROR(__xludf.DUMMYFUNCTION("""COMPUTED_VALUE"""),295.92)</f>
        <v>295.92</v>
      </c>
    </row>
    <row r="360">
      <c r="A360" s="2">
        <f>IFERROR(__xludf.DUMMYFUNCTION("""COMPUTED_VALUE"""),44624.66666666667)</f>
        <v>44624.66667</v>
      </c>
      <c r="B360" s="1">
        <f>IFERROR(__xludf.DUMMYFUNCTION("""COMPUTED_VALUE"""),289.86)</f>
        <v>289.86</v>
      </c>
    </row>
    <row r="361">
      <c r="A361" s="2">
        <f>IFERROR(__xludf.DUMMYFUNCTION("""COMPUTED_VALUE"""),44627.66666666667)</f>
        <v>44627.66667</v>
      </c>
      <c r="B361" s="1">
        <f>IFERROR(__xludf.DUMMYFUNCTION("""COMPUTED_VALUE"""),278.91)</f>
        <v>278.91</v>
      </c>
    </row>
    <row r="362">
      <c r="A362" s="2">
        <f>IFERROR(__xludf.DUMMYFUNCTION("""COMPUTED_VALUE"""),44628.66666666667)</f>
        <v>44628.66667</v>
      </c>
      <c r="B362" s="1">
        <f>IFERROR(__xludf.DUMMYFUNCTION("""COMPUTED_VALUE"""),275.85)</f>
        <v>275.85</v>
      </c>
    </row>
    <row r="363">
      <c r="A363" s="2">
        <f>IFERROR(__xludf.DUMMYFUNCTION("""COMPUTED_VALUE"""),44629.66666666667)</f>
        <v>44629.66667</v>
      </c>
      <c r="B363" s="1">
        <f>IFERROR(__xludf.DUMMYFUNCTION("""COMPUTED_VALUE"""),288.5)</f>
        <v>288.5</v>
      </c>
    </row>
    <row r="364">
      <c r="A364" s="2">
        <f>IFERROR(__xludf.DUMMYFUNCTION("""COMPUTED_VALUE"""),44630.66666666667)</f>
        <v>44630.66667</v>
      </c>
      <c r="B364" s="1">
        <f>IFERROR(__xludf.DUMMYFUNCTION("""COMPUTED_VALUE"""),285.59)</f>
        <v>285.59</v>
      </c>
    </row>
    <row r="365">
      <c r="A365" s="2">
        <f>IFERROR(__xludf.DUMMYFUNCTION("""COMPUTED_VALUE"""),44631.66666666667)</f>
        <v>44631.66667</v>
      </c>
      <c r="B365" s="1">
        <f>IFERROR(__xludf.DUMMYFUNCTION("""COMPUTED_VALUE"""),280.07)</f>
        <v>280.07</v>
      </c>
    </row>
    <row r="366">
      <c r="A366" s="2">
        <f>IFERROR(__xludf.DUMMYFUNCTION("""COMPUTED_VALUE"""),44634.66666666667)</f>
        <v>44634.66667</v>
      </c>
      <c r="B366" s="1">
        <f>IFERROR(__xludf.DUMMYFUNCTION("""COMPUTED_VALUE"""),276.44)</f>
        <v>276.44</v>
      </c>
    </row>
    <row r="367">
      <c r="A367" s="2">
        <f>IFERROR(__xludf.DUMMYFUNCTION("""COMPUTED_VALUE"""),44635.66666666667)</f>
        <v>44635.66667</v>
      </c>
      <c r="B367" s="1">
        <f>IFERROR(__xludf.DUMMYFUNCTION("""COMPUTED_VALUE"""),287.15)</f>
        <v>287.15</v>
      </c>
    </row>
    <row r="368">
      <c r="A368" s="2">
        <f>IFERROR(__xludf.DUMMYFUNCTION("""COMPUTED_VALUE"""),44636.66666666667)</f>
        <v>44636.66667</v>
      </c>
      <c r="B368" s="1">
        <f>IFERROR(__xludf.DUMMYFUNCTION("""COMPUTED_VALUE"""),294.39)</f>
        <v>294.39</v>
      </c>
    </row>
    <row r="369">
      <c r="A369" s="2">
        <f>IFERROR(__xludf.DUMMYFUNCTION("""COMPUTED_VALUE"""),44637.66666666667)</f>
        <v>44637.66667</v>
      </c>
      <c r="B369" s="1">
        <f>IFERROR(__xludf.DUMMYFUNCTION("""COMPUTED_VALUE"""),295.22)</f>
        <v>295.22</v>
      </c>
    </row>
    <row r="370">
      <c r="A370" s="2">
        <f>IFERROR(__xludf.DUMMYFUNCTION("""COMPUTED_VALUE"""),44638.66666666667)</f>
        <v>44638.66667</v>
      </c>
      <c r="B370" s="1">
        <f>IFERROR(__xludf.DUMMYFUNCTION("""COMPUTED_VALUE"""),300.43)</f>
        <v>300.43</v>
      </c>
    </row>
    <row r="371">
      <c r="A371" s="2">
        <f>IFERROR(__xludf.DUMMYFUNCTION("""COMPUTED_VALUE"""),44641.66666666667)</f>
        <v>44641.66667</v>
      </c>
      <c r="B371" s="1">
        <f>IFERROR(__xludf.DUMMYFUNCTION("""COMPUTED_VALUE"""),299.16)</f>
        <v>299.16</v>
      </c>
    </row>
    <row r="372">
      <c r="A372" s="2">
        <f>IFERROR(__xludf.DUMMYFUNCTION("""COMPUTED_VALUE"""),44642.66666666667)</f>
        <v>44642.66667</v>
      </c>
      <c r="B372" s="1">
        <f>IFERROR(__xludf.DUMMYFUNCTION("""COMPUTED_VALUE"""),304.06)</f>
        <v>304.06</v>
      </c>
    </row>
    <row r="373">
      <c r="A373" s="2">
        <f>IFERROR(__xludf.DUMMYFUNCTION("""COMPUTED_VALUE"""),44643.66666666667)</f>
        <v>44643.66667</v>
      </c>
      <c r="B373" s="1">
        <f>IFERROR(__xludf.DUMMYFUNCTION("""COMPUTED_VALUE"""),299.49)</f>
        <v>299.49</v>
      </c>
    </row>
    <row r="374">
      <c r="A374" s="2">
        <f>IFERROR(__xludf.DUMMYFUNCTION("""COMPUTED_VALUE"""),44644.66666666667)</f>
        <v>44644.66667</v>
      </c>
      <c r="B374" s="1">
        <f>IFERROR(__xludf.DUMMYFUNCTION("""COMPUTED_VALUE"""),304.1)</f>
        <v>304.1</v>
      </c>
    </row>
    <row r="375">
      <c r="A375" s="2">
        <f>IFERROR(__xludf.DUMMYFUNCTION("""COMPUTED_VALUE"""),44645.66666666667)</f>
        <v>44645.66667</v>
      </c>
      <c r="B375" s="1">
        <f>IFERROR(__xludf.DUMMYFUNCTION("""COMPUTED_VALUE"""),303.68)</f>
        <v>303.68</v>
      </c>
    </row>
    <row r="376">
      <c r="A376" s="2">
        <f>IFERROR(__xludf.DUMMYFUNCTION("""COMPUTED_VALUE"""),44648.66666666667)</f>
        <v>44648.66667</v>
      </c>
      <c r="B376" s="1">
        <f>IFERROR(__xludf.DUMMYFUNCTION("""COMPUTED_VALUE"""),310.7)</f>
        <v>310.7</v>
      </c>
    </row>
    <row r="377">
      <c r="A377" s="2">
        <f>IFERROR(__xludf.DUMMYFUNCTION("""COMPUTED_VALUE"""),44649.66666666667)</f>
        <v>44649.66667</v>
      </c>
      <c r="B377" s="1">
        <f>IFERROR(__xludf.DUMMYFUNCTION("""COMPUTED_VALUE"""),315.41)</f>
        <v>315.41</v>
      </c>
    </row>
    <row r="378">
      <c r="A378" s="2">
        <f>IFERROR(__xludf.DUMMYFUNCTION("""COMPUTED_VALUE"""),44650.66666666667)</f>
        <v>44650.66667</v>
      </c>
      <c r="B378" s="1">
        <f>IFERROR(__xludf.DUMMYFUNCTION("""COMPUTED_VALUE"""),313.86)</f>
        <v>313.86</v>
      </c>
    </row>
    <row r="379">
      <c r="A379" s="2">
        <f>IFERROR(__xludf.DUMMYFUNCTION("""COMPUTED_VALUE"""),44651.66666666667)</f>
        <v>44651.66667</v>
      </c>
      <c r="B379" s="1">
        <f>IFERROR(__xludf.DUMMYFUNCTION("""COMPUTED_VALUE"""),308.31)</f>
        <v>308.31</v>
      </c>
    </row>
    <row r="380">
      <c r="A380" s="2">
        <f>IFERROR(__xludf.DUMMYFUNCTION("""COMPUTED_VALUE"""),44652.66666666667)</f>
        <v>44652.66667</v>
      </c>
      <c r="B380" s="1">
        <f>IFERROR(__xludf.DUMMYFUNCTION("""COMPUTED_VALUE"""),309.42)</f>
        <v>309.42</v>
      </c>
    </row>
    <row r="381">
      <c r="A381" s="2">
        <f>IFERROR(__xludf.DUMMYFUNCTION("""COMPUTED_VALUE"""),44655.66666666667)</f>
        <v>44655.66667</v>
      </c>
      <c r="B381" s="1">
        <f>IFERROR(__xludf.DUMMYFUNCTION("""COMPUTED_VALUE"""),314.97)</f>
        <v>314.97</v>
      </c>
    </row>
    <row r="382">
      <c r="A382" s="2">
        <f>IFERROR(__xludf.DUMMYFUNCTION("""COMPUTED_VALUE"""),44656.66666666667)</f>
        <v>44656.66667</v>
      </c>
      <c r="B382" s="1">
        <f>IFERROR(__xludf.DUMMYFUNCTION("""COMPUTED_VALUE"""),310.88)</f>
        <v>310.88</v>
      </c>
    </row>
    <row r="383">
      <c r="A383" s="2">
        <f>IFERROR(__xludf.DUMMYFUNCTION("""COMPUTED_VALUE"""),44657.66666666667)</f>
        <v>44657.66667</v>
      </c>
      <c r="B383" s="1">
        <f>IFERROR(__xludf.DUMMYFUNCTION("""COMPUTED_VALUE"""),299.5)</f>
        <v>299.5</v>
      </c>
    </row>
    <row r="384">
      <c r="A384" s="2">
        <f>IFERROR(__xludf.DUMMYFUNCTION("""COMPUTED_VALUE"""),44658.66666666667)</f>
        <v>44658.66667</v>
      </c>
      <c r="B384" s="1">
        <f>IFERROR(__xludf.DUMMYFUNCTION("""COMPUTED_VALUE"""),301.37)</f>
        <v>301.37</v>
      </c>
    </row>
    <row r="385">
      <c r="A385" s="2">
        <f>IFERROR(__xludf.DUMMYFUNCTION("""COMPUTED_VALUE"""),44659.66666666667)</f>
        <v>44659.66667</v>
      </c>
      <c r="B385" s="1">
        <f>IFERROR(__xludf.DUMMYFUNCTION("""COMPUTED_VALUE"""),296.97)</f>
        <v>296.97</v>
      </c>
    </row>
    <row r="386">
      <c r="A386" s="2">
        <f>IFERROR(__xludf.DUMMYFUNCTION("""COMPUTED_VALUE"""),44662.66666666667)</f>
        <v>44662.66667</v>
      </c>
      <c r="B386" s="1">
        <f>IFERROR(__xludf.DUMMYFUNCTION("""COMPUTED_VALUE"""),285.26)</f>
        <v>285.26</v>
      </c>
    </row>
    <row r="387">
      <c r="A387" s="2">
        <f>IFERROR(__xludf.DUMMYFUNCTION("""COMPUTED_VALUE"""),44663.66666666667)</f>
        <v>44663.66667</v>
      </c>
      <c r="B387" s="1">
        <f>IFERROR(__xludf.DUMMYFUNCTION("""COMPUTED_VALUE"""),282.06)</f>
        <v>282.06</v>
      </c>
    </row>
    <row r="388">
      <c r="A388" s="2">
        <f>IFERROR(__xludf.DUMMYFUNCTION("""COMPUTED_VALUE"""),44664.66666666667)</f>
        <v>44664.66667</v>
      </c>
      <c r="B388" s="1">
        <f>IFERROR(__xludf.DUMMYFUNCTION("""COMPUTED_VALUE"""),287.62)</f>
        <v>287.62</v>
      </c>
    </row>
    <row r="389">
      <c r="A389" s="2">
        <f>IFERROR(__xludf.DUMMYFUNCTION("""COMPUTED_VALUE"""),44665.66666666667)</f>
        <v>44665.66667</v>
      </c>
      <c r="B389" s="1">
        <f>IFERROR(__xludf.DUMMYFUNCTION("""COMPUTED_VALUE"""),279.83)</f>
        <v>279.83</v>
      </c>
    </row>
    <row r="390">
      <c r="A390" s="2">
        <f>IFERROR(__xludf.DUMMYFUNCTION("""COMPUTED_VALUE"""),44669.66666666667)</f>
        <v>44669.66667</v>
      </c>
      <c r="B390" s="1">
        <f>IFERROR(__xludf.DUMMYFUNCTION("""COMPUTED_VALUE"""),280.52)</f>
        <v>280.52</v>
      </c>
    </row>
    <row r="391">
      <c r="A391" s="2">
        <f>IFERROR(__xludf.DUMMYFUNCTION("""COMPUTED_VALUE"""),44670.66666666667)</f>
        <v>44670.66667</v>
      </c>
      <c r="B391" s="1">
        <f>IFERROR(__xludf.DUMMYFUNCTION("""COMPUTED_VALUE"""),285.3)</f>
        <v>285.3</v>
      </c>
    </row>
    <row r="392">
      <c r="A392" s="2">
        <f>IFERROR(__xludf.DUMMYFUNCTION("""COMPUTED_VALUE"""),44671.66666666667)</f>
        <v>44671.66667</v>
      </c>
      <c r="B392" s="1">
        <f>IFERROR(__xludf.DUMMYFUNCTION("""COMPUTED_VALUE"""),286.36)</f>
        <v>286.36</v>
      </c>
    </row>
    <row r="393">
      <c r="A393" s="2">
        <f>IFERROR(__xludf.DUMMYFUNCTION("""COMPUTED_VALUE"""),44672.66666666667)</f>
        <v>44672.66667</v>
      </c>
      <c r="B393" s="1">
        <f>IFERROR(__xludf.DUMMYFUNCTION("""COMPUTED_VALUE"""),280.81)</f>
        <v>280.81</v>
      </c>
    </row>
    <row r="394">
      <c r="A394" s="2">
        <f>IFERROR(__xludf.DUMMYFUNCTION("""COMPUTED_VALUE"""),44673.66666666667)</f>
        <v>44673.66667</v>
      </c>
      <c r="B394" s="1">
        <f>IFERROR(__xludf.DUMMYFUNCTION("""COMPUTED_VALUE"""),274.03)</f>
        <v>274.03</v>
      </c>
    </row>
    <row r="395">
      <c r="A395" s="2">
        <f>IFERROR(__xludf.DUMMYFUNCTION("""COMPUTED_VALUE"""),44676.66666666667)</f>
        <v>44676.66667</v>
      </c>
      <c r="B395" s="1">
        <f>IFERROR(__xludf.DUMMYFUNCTION("""COMPUTED_VALUE"""),280.72)</f>
        <v>280.72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IFERROR(__xludf.DUMMYFUNCTION("""COMPUTED_VALUE"""),270.22)</f>
        <v>270.22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IFERROR(__xludf.DUMMYFUNCTION("""COMPUTED_VALUE"""),283.22)</f>
        <v>283.22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IFERROR(__xludf.DUMMYFUNCTION("""COMPUTED_VALUE"""),289.63)</f>
        <v>289.63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IFERROR(__xludf.DUMMYFUNCTION("""COMPUTED_VALUE"""),277.52)</f>
        <v>277.52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IFERROR(__xludf.DUMMYFUNCTION("""COMPUTED_VALUE"""),284.47)</f>
        <v>284.47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IFERROR(__xludf.DUMMYFUNCTION("""COMPUTED_VALUE"""),281.78)</f>
        <v>281.78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IFERROR(__xludf.DUMMYFUNCTION("""COMPUTED_VALUE"""),289.98)</f>
        <v>289.98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IFERROR(__xludf.DUMMYFUNCTION("""COMPUTED_VALUE"""),277.35)</f>
        <v>277.35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IFERROR(__xludf.DUMMYFUNCTION("""COMPUTED_VALUE"""),274.73)</f>
        <v>274.73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IFERROR(__xludf.DUMMYFUNCTION("""COMPUTED_VALUE"""),264.58)</f>
        <v>264.58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IFERROR(__xludf.DUMMYFUNCTION("""COMPUTED_VALUE"""),269.5)</f>
        <v>269.5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IFERROR(__xludf.DUMMYFUNCTION("""COMPUTED_VALUE"""),260.55)</f>
        <v>260.55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IFERROR(__xludf.DUMMYFUNCTION("""COMPUTED_VALUE"""),255.35)</f>
        <v>255.35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IFERROR(__xludf.DUMMYFUNCTION("""COMPUTED_VALUE"""),261.12)</f>
        <v>261.12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IFERROR(__xludf.DUMMYFUNCTION("""COMPUTED_VALUE"""),261.5)</f>
        <v>261.5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IFERROR(__xludf.DUMMYFUNCTION("""COMPUTED_VALUE"""),266.82)</f>
        <v>266.82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IFERROR(__xludf.DUMMYFUNCTION("""COMPUTED_VALUE"""),254.08)</f>
        <v>254.08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IFERROR(__xludf.DUMMYFUNCTION("""COMPUTED_VALUE"""),253.14)</f>
        <v>253.14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IFERROR(__xludf.DUMMYFUNCTION("""COMPUTED_VALUE"""),252.56)</f>
        <v>252.56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IFERROR(__xludf.DUMMYFUNCTION("""COMPUTED_VALUE"""),260.65)</f>
        <v>260.65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IFERROR(__xludf.DUMMYFUNCTION("""COMPUTED_VALUE"""),259.62)</f>
        <v>259.62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IFERROR(__xludf.DUMMYFUNCTION("""COMPUTED_VALUE"""),262.52)</f>
        <v>262.52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IFERROR(__xludf.DUMMYFUNCTION("""COMPUTED_VALUE"""),265.9)</f>
        <v>265.9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IFERROR(__xludf.DUMMYFUNCTION("""COMPUTED_VALUE"""),273.24)</f>
        <v>273.24</v>
      </c>
    </row>
    <row r="420">
      <c r="A420" s="2">
        <f>IFERROR(__xludf.DUMMYFUNCTION("""COMPUTED_VALUE"""),44712.66666666667)</f>
        <v>44712.66667</v>
      </c>
      <c r="B420" s="1">
        <f>IFERROR(__xludf.DUMMYFUNCTION("""COMPUTED_VALUE"""),271.87)</f>
        <v>271.87</v>
      </c>
    </row>
    <row r="421">
      <c r="A421" s="2">
        <f>IFERROR(__xludf.DUMMYFUNCTION("""COMPUTED_VALUE"""),44713.66666666667)</f>
        <v>44713.66667</v>
      </c>
      <c r="B421" s="1">
        <f>IFERROR(__xludf.DUMMYFUNCTION("""COMPUTED_VALUE"""),272.42)</f>
        <v>272.42</v>
      </c>
    </row>
    <row r="422">
      <c r="A422" s="2">
        <f>IFERROR(__xludf.DUMMYFUNCTION("""COMPUTED_VALUE"""),44714.66666666667)</f>
        <v>44714.66667</v>
      </c>
      <c r="B422" s="1">
        <f>IFERROR(__xludf.DUMMYFUNCTION("""COMPUTED_VALUE"""),274.58)</f>
        <v>274.58</v>
      </c>
    </row>
    <row r="423">
      <c r="A423" s="2">
        <f>IFERROR(__xludf.DUMMYFUNCTION("""COMPUTED_VALUE"""),44715.66666666667)</f>
        <v>44715.66667</v>
      </c>
      <c r="B423" s="1">
        <f>IFERROR(__xludf.DUMMYFUNCTION("""COMPUTED_VALUE"""),270.02)</f>
        <v>270.02</v>
      </c>
    </row>
    <row r="424">
      <c r="A424" s="2">
        <f>IFERROR(__xludf.DUMMYFUNCTION("""COMPUTED_VALUE"""),44718.66666666667)</f>
        <v>44718.66667</v>
      </c>
      <c r="B424" s="1">
        <f>IFERROR(__xludf.DUMMYFUNCTION("""COMPUTED_VALUE"""),268.75)</f>
        <v>268.75</v>
      </c>
    </row>
    <row r="425">
      <c r="A425" s="2">
        <f>IFERROR(__xludf.DUMMYFUNCTION("""COMPUTED_VALUE"""),44719.66666666667)</f>
        <v>44719.66667</v>
      </c>
      <c r="B425" s="1">
        <f>IFERROR(__xludf.DUMMYFUNCTION("""COMPUTED_VALUE"""),272.5)</f>
        <v>272.5</v>
      </c>
    </row>
    <row r="426">
      <c r="A426" s="2">
        <f>IFERROR(__xludf.DUMMYFUNCTION("""COMPUTED_VALUE"""),44720.66666666667)</f>
        <v>44720.66667</v>
      </c>
      <c r="B426" s="1">
        <f>IFERROR(__xludf.DUMMYFUNCTION("""COMPUTED_VALUE"""),270.41)</f>
        <v>270.41</v>
      </c>
    </row>
    <row r="427">
      <c r="A427" s="2">
        <f>IFERROR(__xludf.DUMMYFUNCTION("""COMPUTED_VALUE"""),44721.66666666667)</f>
        <v>44721.66667</v>
      </c>
      <c r="B427" s="1">
        <f>IFERROR(__xludf.DUMMYFUNCTION("""COMPUTED_VALUE"""),264.79)</f>
        <v>264.79</v>
      </c>
    </row>
    <row r="428">
      <c r="A428" s="2">
        <f>IFERROR(__xludf.DUMMYFUNCTION("""COMPUTED_VALUE"""),44722.66666666667)</f>
        <v>44722.66667</v>
      </c>
      <c r="B428" s="1">
        <f>IFERROR(__xludf.DUMMYFUNCTION("""COMPUTED_VALUE"""),252.99)</f>
        <v>252.99</v>
      </c>
    </row>
    <row r="429">
      <c r="A429" s="2">
        <f>IFERROR(__xludf.DUMMYFUNCTION("""COMPUTED_VALUE"""),44725.66666666667)</f>
        <v>44725.66667</v>
      </c>
      <c r="B429" s="1">
        <f>IFERROR(__xludf.DUMMYFUNCTION("""COMPUTED_VALUE"""),242.26)</f>
        <v>242.26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IFERROR(__xludf.DUMMYFUNCTION("""COMPUTED_VALUE"""),244.49)</f>
        <v>244.49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IFERROR(__xludf.DUMMYFUNCTION("""COMPUTED_VALUE"""),251.76)</f>
        <v>251.76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IFERROR(__xludf.DUMMYFUNCTION("""COMPUTED_VALUE"""),244.97)</f>
        <v>244.97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IFERROR(__xludf.DUMMYFUNCTION("""COMPUTED_VALUE"""),247.65)</f>
        <v>247.65</v>
      </c>
    </row>
    <row r="434">
      <c r="A434" s="2">
        <f>IFERROR(__xludf.DUMMYFUNCTION("""COMPUTED_VALUE"""),44733.66666666667)</f>
        <v>44733.66667</v>
      </c>
      <c r="B434" s="1">
        <f>IFERROR(__xludf.DUMMYFUNCTION("""COMPUTED_VALUE"""),253.74)</f>
        <v>253.74</v>
      </c>
    </row>
    <row r="435">
      <c r="A435" s="2">
        <f>IFERROR(__xludf.DUMMYFUNCTION("""COMPUTED_VALUE"""),44734.66666666667)</f>
        <v>44734.66667</v>
      </c>
      <c r="B435" s="1">
        <f>IFERROR(__xludf.DUMMYFUNCTION("""COMPUTED_VALUE"""),253.13)</f>
        <v>253.13</v>
      </c>
    </row>
    <row r="436">
      <c r="A436" s="2">
        <f>IFERROR(__xludf.DUMMYFUNCTION("""COMPUTED_VALUE"""),44735.66666666667)</f>
        <v>44735.66667</v>
      </c>
      <c r="B436" s="1">
        <f>IFERROR(__xludf.DUMMYFUNCTION("""COMPUTED_VALUE"""),258.86)</f>
        <v>258.86</v>
      </c>
    </row>
    <row r="437">
      <c r="A437" s="2">
        <f>IFERROR(__xludf.DUMMYFUNCTION("""COMPUTED_VALUE"""),44736.66666666667)</f>
        <v>44736.66667</v>
      </c>
      <c r="B437" s="1">
        <f>IFERROR(__xludf.DUMMYFUNCTION("""COMPUTED_VALUE"""),267.7)</f>
        <v>267.7</v>
      </c>
    </row>
    <row r="438">
      <c r="A438" s="2">
        <f>IFERROR(__xludf.DUMMYFUNCTION("""COMPUTED_VALUE"""),44739.66666666667)</f>
        <v>44739.66667</v>
      </c>
      <c r="B438" s="1">
        <f>IFERROR(__xludf.DUMMYFUNCTION("""COMPUTED_VALUE"""),264.89)</f>
        <v>264.89</v>
      </c>
    </row>
    <row r="439">
      <c r="A439" s="2">
        <f>IFERROR(__xludf.DUMMYFUNCTION("""COMPUTED_VALUE"""),44740.66666666667)</f>
        <v>44740.66667</v>
      </c>
      <c r="B439" s="1">
        <f>IFERROR(__xludf.DUMMYFUNCTION("""COMPUTED_VALUE"""),256.48)</f>
        <v>256.48</v>
      </c>
    </row>
    <row r="440">
      <c r="A440" s="2">
        <f>IFERROR(__xludf.DUMMYFUNCTION("""COMPUTED_VALUE"""),44741.66666666667)</f>
        <v>44741.66667</v>
      </c>
      <c r="B440" s="1">
        <f>IFERROR(__xludf.DUMMYFUNCTION("""COMPUTED_VALUE"""),260.26)</f>
        <v>260.26</v>
      </c>
    </row>
    <row r="441">
      <c r="A441" s="2">
        <f>IFERROR(__xludf.DUMMYFUNCTION("""COMPUTED_VALUE"""),44742.66666666667)</f>
        <v>44742.66667</v>
      </c>
      <c r="B441" s="1">
        <f>IFERROR(__xludf.DUMMYFUNCTION("""COMPUTED_VALUE"""),256.83)</f>
        <v>256.83</v>
      </c>
    </row>
    <row r="442">
      <c r="A442" s="2">
        <f>IFERROR(__xludf.DUMMYFUNCTION("""COMPUTED_VALUE"""),44743.66666666667)</f>
        <v>44743.66667</v>
      </c>
      <c r="B442" s="1">
        <f>IFERROR(__xludf.DUMMYFUNCTION("""COMPUTED_VALUE"""),259.58)</f>
        <v>259.58</v>
      </c>
    </row>
    <row r="443">
      <c r="A443" s="2">
        <f>IFERROR(__xludf.DUMMYFUNCTION("""COMPUTED_VALUE"""),44747.66666666667)</f>
        <v>44747.66667</v>
      </c>
      <c r="B443" s="1">
        <f>IFERROR(__xludf.DUMMYFUNCTION("""COMPUTED_VALUE"""),262.85)</f>
        <v>262.85</v>
      </c>
    </row>
    <row r="444">
      <c r="A444" s="2">
        <f>IFERROR(__xludf.DUMMYFUNCTION("""COMPUTED_VALUE"""),44748.66666666667)</f>
        <v>44748.66667</v>
      </c>
      <c r="B444" s="1">
        <f>IFERROR(__xludf.DUMMYFUNCTION("""COMPUTED_VALUE"""),266.21)</f>
        <v>266.21</v>
      </c>
    </row>
    <row r="445">
      <c r="A445" s="2">
        <f>IFERROR(__xludf.DUMMYFUNCTION("""COMPUTED_VALUE"""),44749.66666666667)</f>
        <v>44749.66667</v>
      </c>
      <c r="B445" s="1">
        <f>IFERROR(__xludf.DUMMYFUNCTION("""COMPUTED_VALUE"""),268.4)</f>
        <v>268.4</v>
      </c>
    </row>
    <row r="446">
      <c r="A446" s="2">
        <f>IFERROR(__xludf.DUMMYFUNCTION("""COMPUTED_VALUE"""),44750.66666666667)</f>
        <v>44750.66667</v>
      </c>
      <c r="B446" s="1">
        <f>IFERROR(__xludf.DUMMYFUNCTION("""COMPUTED_VALUE"""),267.66)</f>
        <v>267.66</v>
      </c>
    </row>
    <row r="447">
      <c r="A447" s="2">
        <f>IFERROR(__xludf.DUMMYFUNCTION("""COMPUTED_VALUE"""),44753.66666666667)</f>
        <v>44753.66667</v>
      </c>
      <c r="B447" s="1">
        <f>IFERROR(__xludf.DUMMYFUNCTION("""COMPUTED_VALUE"""),264.51)</f>
        <v>264.51</v>
      </c>
    </row>
    <row r="448">
      <c r="A448" s="2">
        <f>IFERROR(__xludf.DUMMYFUNCTION("""COMPUTED_VALUE"""),44754.66666666667)</f>
        <v>44754.66667</v>
      </c>
      <c r="B448" s="1">
        <f>IFERROR(__xludf.DUMMYFUNCTION("""COMPUTED_VALUE"""),253.67)</f>
        <v>253.67</v>
      </c>
    </row>
    <row r="449">
      <c r="A449" s="2">
        <f>IFERROR(__xludf.DUMMYFUNCTION("""COMPUTED_VALUE"""),44755.66666666667)</f>
        <v>44755.66667</v>
      </c>
      <c r="B449" s="1">
        <f>IFERROR(__xludf.DUMMYFUNCTION("""COMPUTED_VALUE"""),252.72)</f>
        <v>252.72</v>
      </c>
    </row>
    <row r="450">
      <c r="A450" s="2">
        <f>IFERROR(__xludf.DUMMYFUNCTION("""COMPUTED_VALUE"""),44756.66666666667)</f>
        <v>44756.66667</v>
      </c>
      <c r="B450" s="1">
        <f>IFERROR(__xludf.DUMMYFUNCTION("""COMPUTED_VALUE"""),254.08)</f>
        <v>254.08</v>
      </c>
    </row>
    <row r="451">
      <c r="A451" s="2">
        <f>IFERROR(__xludf.DUMMYFUNCTION("""COMPUTED_VALUE"""),44757.66666666667)</f>
        <v>44757.66667</v>
      </c>
      <c r="B451" s="1">
        <f>IFERROR(__xludf.DUMMYFUNCTION("""COMPUTED_VALUE"""),256.72)</f>
        <v>256.72</v>
      </c>
    </row>
    <row r="452">
      <c r="A452" s="2">
        <f>IFERROR(__xludf.DUMMYFUNCTION("""COMPUTED_VALUE"""),44760.66666666667)</f>
        <v>44760.66667</v>
      </c>
      <c r="B452" s="1">
        <f>IFERROR(__xludf.DUMMYFUNCTION("""COMPUTED_VALUE"""),254.25)</f>
        <v>254.25</v>
      </c>
    </row>
    <row r="453">
      <c r="A453" s="2">
        <f>IFERROR(__xludf.DUMMYFUNCTION("""COMPUTED_VALUE"""),44761.66666666667)</f>
        <v>44761.66667</v>
      </c>
      <c r="B453" s="1">
        <f>IFERROR(__xludf.DUMMYFUNCTION("""COMPUTED_VALUE"""),259.53)</f>
        <v>259.53</v>
      </c>
    </row>
    <row r="454">
      <c r="A454" s="2">
        <f>IFERROR(__xludf.DUMMYFUNCTION("""COMPUTED_VALUE"""),44762.66666666667)</f>
        <v>44762.66667</v>
      </c>
      <c r="B454" s="1">
        <f>IFERROR(__xludf.DUMMYFUNCTION("""COMPUTED_VALUE"""),262.27)</f>
        <v>262.27</v>
      </c>
    </row>
    <row r="455">
      <c r="A455" s="2">
        <f>IFERROR(__xludf.DUMMYFUNCTION("""COMPUTED_VALUE"""),44763.66666666667)</f>
        <v>44763.66667</v>
      </c>
      <c r="B455" s="1">
        <f>IFERROR(__xludf.DUMMYFUNCTION("""COMPUTED_VALUE"""),264.84)</f>
        <v>264.84</v>
      </c>
    </row>
    <row r="456">
      <c r="A456" s="2">
        <f>IFERROR(__xludf.DUMMYFUNCTION("""COMPUTED_VALUE"""),44764.66666666667)</f>
        <v>44764.66667</v>
      </c>
      <c r="B456" s="1">
        <f>IFERROR(__xludf.DUMMYFUNCTION("""COMPUTED_VALUE"""),260.36)</f>
        <v>260.36</v>
      </c>
    </row>
    <row r="457">
      <c r="A457" s="2">
        <f>IFERROR(__xludf.DUMMYFUNCTION("""COMPUTED_VALUE"""),44767.66666666667)</f>
        <v>44767.66667</v>
      </c>
      <c r="B457" s="1">
        <f>IFERROR(__xludf.DUMMYFUNCTION("""COMPUTED_VALUE"""),258.83)</f>
        <v>258.83</v>
      </c>
    </row>
    <row r="458">
      <c r="A458" s="2">
        <f>IFERROR(__xludf.DUMMYFUNCTION("""COMPUTED_VALUE"""),44768.66666666667)</f>
        <v>44768.66667</v>
      </c>
      <c r="B458" s="1">
        <f>IFERROR(__xludf.DUMMYFUNCTION("""COMPUTED_VALUE"""),251.9)</f>
        <v>251.9</v>
      </c>
    </row>
    <row r="459">
      <c r="A459" s="2">
        <f>IFERROR(__xludf.DUMMYFUNCTION("""COMPUTED_VALUE"""),44769.66666666667)</f>
        <v>44769.66667</v>
      </c>
      <c r="B459" s="1">
        <f>IFERROR(__xludf.DUMMYFUNCTION("""COMPUTED_VALUE"""),268.74)</f>
        <v>268.74</v>
      </c>
    </row>
    <row r="460">
      <c r="A460" s="2">
        <f>IFERROR(__xludf.DUMMYFUNCTION("""COMPUTED_VALUE"""),44770.66666666667)</f>
        <v>44770.66667</v>
      </c>
      <c r="B460" s="1">
        <f>IFERROR(__xludf.DUMMYFUNCTION("""COMPUTED_VALUE"""),276.41)</f>
        <v>276.41</v>
      </c>
    </row>
    <row r="461">
      <c r="A461" s="2">
        <f>IFERROR(__xludf.DUMMYFUNCTION("""COMPUTED_VALUE"""),44771.66666666667)</f>
        <v>44771.66667</v>
      </c>
      <c r="B461" s="1">
        <f>IFERROR(__xludf.DUMMYFUNCTION("""COMPUTED_VALUE"""),280.74)</f>
        <v>280.74</v>
      </c>
    </row>
    <row r="462">
      <c r="A462" s="2">
        <f>IFERROR(__xludf.DUMMYFUNCTION("""COMPUTED_VALUE"""),44774.66666666667)</f>
        <v>44774.66667</v>
      </c>
      <c r="B462" s="1">
        <f>IFERROR(__xludf.DUMMYFUNCTION("""COMPUTED_VALUE"""),278.01)</f>
        <v>278.01</v>
      </c>
    </row>
    <row r="463">
      <c r="A463" s="2">
        <f>IFERROR(__xludf.DUMMYFUNCTION("""COMPUTED_VALUE"""),44775.66666666667)</f>
        <v>44775.66667</v>
      </c>
      <c r="B463" s="1">
        <f>IFERROR(__xludf.DUMMYFUNCTION("""COMPUTED_VALUE"""),274.82)</f>
        <v>274.82</v>
      </c>
    </row>
    <row r="464">
      <c r="A464" s="2">
        <f>IFERROR(__xludf.DUMMYFUNCTION("""COMPUTED_VALUE"""),44776.66666666667)</f>
        <v>44776.66667</v>
      </c>
      <c r="B464" s="1">
        <f>IFERROR(__xludf.DUMMYFUNCTION("""COMPUTED_VALUE"""),282.47)</f>
        <v>282.47</v>
      </c>
    </row>
    <row r="465">
      <c r="A465" s="2">
        <f>IFERROR(__xludf.DUMMYFUNCTION("""COMPUTED_VALUE"""),44777.66666666667)</f>
        <v>44777.66667</v>
      </c>
      <c r="B465" s="1">
        <f>IFERROR(__xludf.DUMMYFUNCTION("""COMPUTED_VALUE"""),283.65)</f>
        <v>283.65</v>
      </c>
    </row>
    <row r="466">
      <c r="A466" s="2">
        <f>IFERROR(__xludf.DUMMYFUNCTION("""COMPUTED_VALUE"""),44778.66666666667)</f>
        <v>44778.66667</v>
      </c>
      <c r="B466" s="1">
        <f>IFERROR(__xludf.DUMMYFUNCTION("""COMPUTED_VALUE"""),282.91)</f>
        <v>282.91</v>
      </c>
    </row>
    <row r="467">
      <c r="A467" s="2">
        <f>IFERROR(__xludf.DUMMYFUNCTION("""COMPUTED_VALUE"""),44781.66666666667)</f>
        <v>44781.66667</v>
      </c>
      <c r="B467" s="1">
        <f>IFERROR(__xludf.DUMMYFUNCTION("""COMPUTED_VALUE"""),280.32)</f>
        <v>280.32</v>
      </c>
    </row>
    <row r="468">
      <c r="A468" s="2">
        <f>IFERROR(__xludf.DUMMYFUNCTION("""COMPUTED_VALUE"""),44782.66666666667)</f>
        <v>44782.66667</v>
      </c>
      <c r="B468" s="1">
        <f>IFERROR(__xludf.DUMMYFUNCTION("""COMPUTED_VALUE"""),282.3)</f>
        <v>282.3</v>
      </c>
    </row>
    <row r="469">
      <c r="A469" s="2">
        <f>IFERROR(__xludf.DUMMYFUNCTION("""COMPUTED_VALUE"""),44783.66666666667)</f>
        <v>44783.66667</v>
      </c>
      <c r="B469" s="1">
        <f>IFERROR(__xludf.DUMMYFUNCTION("""COMPUTED_VALUE"""),289.16)</f>
        <v>289.16</v>
      </c>
    </row>
    <row r="470">
      <c r="A470" s="2">
        <f>IFERROR(__xludf.DUMMYFUNCTION("""COMPUTED_VALUE"""),44784.66666666667)</f>
        <v>44784.66667</v>
      </c>
      <c r="B470" s="1">
        <f>IFERROR(__xludf.DUMMYFUNCTION("""COMPUTED_VALUE"""),287.02)</f>
        <v>287.02</v>
      </c>
    </row>
    <row r="471">
      <c r="A471" s="2">
        <f>IFERROR(__xludf.DUMMYFUNCTION("""COMPUTED_VALUE"""),44785.66666666667)</f>
        <v>44785.66667</v>
      </c>
      <c r="B471" s="1">
        <f>IFERROR(__xludf.DUMMYFUNCTION("""COMPUTED_VALUE"""),291.91)</f>
        <v>291.91</v>
      </c>
    </row>
    <row r="472">
      <c r="A472" s="2">
        <f>IFERROR(__xludf.DUMMYFUNCTION("""COMPUTED_VALUE"""),44788.66666666667)</f>
        <v>44788.66667</v>
      </c>
      <c r="B472" s="1">
        <f>IFERROR(__xludf.DUMMYFUNCTION("""COMPUTED_VALUE"""),293.47)</f>
        <v>293.47</v>
      </c>
    </row>
    <row r="473">
      <c r="A473" s="2">
        <f>IFERROR(__xludf.DUMMYFUNCTION("""COMPUTED_VALUE"""),44789.66666666667)</f>
        <v>44789.66667</v>
      </c>
      <c r="B473" s="1">
        <f>IFERROR(__xludf.DUMMYFUNCTION("""COMPUTED_VALUE"""),292.71)</f>
        <v>292.71</v>
      </c>
    </row>
    <row r="474">
      <c r="A474" s="2">
        <f>IFERROR(__xludf.DUMMYFUNCTION("""COMPUTED_VALUE"""),44790.66666666667)</f>
        <v>44790.66667</v>
      </c>
      <c r="B474" s="1">
        <f>IFERROR(__xludf.DUMMYFUNCTION("""COMPUTED_VALUE"""),291.32)</f>
        <v>291.32</v>
      </c>
    </row>
    <row r="475">
      <c r="A475" s="2">
        <f>IFERROR(__xludf.DUMMYFUNCTION("""COMPUTED_VALUE"""),44791.66666666667)</f>
        <v>44791.66667</v>
      </c>
      <c r="B475" s="1">
        <f>IFERROR(__xludf.DUMMYFUNCTION("""COMPUTED_VALUE"""),290.17)</f>
        <v>290.17</v>
      </c>
    </row>
    <row r="476">
      <c r="A476" s="2">
        <f>IFERROR(__xludf.DUMMYFUNCTION("""COMPUTED_VALUE"""),44792.66666666667)</f>
        <v>44792.66667</v>
      </c>
      <c r="B476" s="1">
        <f>IFERROR(__xludf.DUMMYFUNCTION("""COMPUTED_VALUE"""),286.15)</f>
        <v>286.15</v>
      </c>
    </row>
    <row r="477">
      <c r="A477" s="2">
        <f>IFERROR(__xludf.DUMMYFUNCTION("""COMPUTED_VALUE"""),44795.66666666667)</f>
        <v>44795.66667</v>
      </c>
      <c r="B477" s="1">
        <f>IFERROR(__xludf.DUMMYFUNCTION("""COMPUTED_VALUE"""),277.75)</f>
        <v>277.75</v>
      </c>
    </row>
    <row r="478">
      <c r="A478" s="2">
        <f>IFERROR(__xludf.DUMMYFUNCTION("""COMPUTED_VALUE"""),44796.66666666667)</f>
        <v>44796.66667</v>
      </c>
      <c r="B478" s="1">
        <f>IFERROR(__xludf.DUMMYFUNCTION("""COMPUTED_VALUE"""),276.44)</f>
        <v>276.44</v>
      </c>
    </row>
    <row r="479">
      <c r="A479" s="2">
        <f>IFERROR(__xludf.DUMMYFUNCTION("""COMPUTED_VALUE"""),44797.66666666667)</f>
        <v>44797.66667</v>
      </c>
      <c r="B479" s="1">
        <f>IFERROR(__xludf.DUMMYFUNCTION("""COMPUTED_VALUE"""),275.79)</f>
        <v>275.79</v>
      </c>
    </row>
    <row r="480">
      <c r="A480" s="2">
        <f>IFERROR(__xludf.DUMMYFUNCTION("""COMPUTED_VALUE"""),44798.66666666667)</f>
        <v>44798.66667</v>
      </c>
      <c r="B480" s="1">
        <f>IFERROR(__xludf.DUMMYFUNCTION("""COMPUTED_VALUE"""),278.85)</f>
        <v>278.85</v>
      </c>
    </row>
    <row r="481">
      <c r="A481" s="2">
        <f>IFERROR(__xludf.DUMMYFUNCTION("""COMPUTED_VALUE"""),44799.66666666667)</f>
        <v>44799.66667</v>
      </c>
      <c r="B481" s="1">
        <f>IFERROR(__xludf.DUMMYFUNCTION("""COMPUTED_VALUE"""),268.09)</f>
        <v>268.09</v>
      </c>
    </row>
    <row r="482">
      <c r="A482" s="2">
        <f>IFERROR(__xludf.DUMMYFUNCTION("""COMPUTED_VALUE"""),44802.66666666667)</f>
        <v>44802.66667</v>
      </c>
      <c r="B482" s="1">
        <f>IFERROR(__xludf.DUMMYFUNCTION("""COMPUTED_VALUE"""),265.23)</f>
        <v>265.23</v>
      </c>
    </row>
    <row r="483">
      <c r="A483" s="2">
        <f>IFERROR(__xludf.DUMMYFUNCTION("""COMPUTED_VALUE"""),44803.66666666667)</f>
        <v>44803.66667</v>
      </c>
      <c r="B483" s="1">
        <f>IFERROR(__xludf.DUMMYFUNCTION("""COMPUTED_VALUE"""),262.97)</f>
        <v>262.97</v>
      </c>
    </row>
    <row r="484">
      <c r="A484" s="2">
        <f>IFERROR(__xludf.DUMMYFUNCTION("""COMPUTED_VALUE"""),44804.66666666667)</f>
        <v>44804.66667</v>
      </c>
      <c r="B484" s="1">
        <f>IFERROR(__xludf.DUMMYFUNCTION("""COMPUTED_VALUE"""),261.47)</f>
        <v>261.47</v>
      </c>
    </row>
    <row r="485">
      <c r="A485" s="2">
        <f>IFERROR(__xludf.DUMMYFUNCTION("""COMPUTED_VALUE"""),44805.66666666667)</f>
        <v>44805.66667</v>
      </c>
      <c r="B485" s="1">
        <f>IFERROR(__xludf.DUMMYFUNCTION("""COMPUTED_VALUE"""),260.4)</f>
        <v>260.4</v>
      </c>
    </row>
    <row r="486">
      <c r="A486" s="2">
        <f>IFERROR(__xludf.DUMMYFUNCTION("""COMPUTED_VALUE"""),44806.66666666667)</f>
        <v>44806.66667</v>
      </c>
      <c r="B486" s="1">
        <f>IFERROR(__xludf.DUMMYFUNCTION("""COMPUTED_VALUE"""),256.06)</f>
        <v>256.06</v>
      </c>
    </row>
    <row r="487">
      <c r="A487" s="2">
        <f>IFERROR(__xludf.DUMMYFUNCTION("""COMPUTED_VALUE"""),44810.66666666667)</f>
        <v>44810.66667</v>
      </c>
      <c r="B487" s="1">
        <f>IFERROR(__xludf.DUMMYFUNCTION("""COMPUTED_VALUE"""),253.25)</f>
        <v>253.25</v>
      </c>
    </row>
    <row r="488">
      <c r="A488" s="2">
        <f>IFERROR(__xludf.DUMMYFUNCTION("""COMPUTED_VALUE"""),44811.66666666667)</f>
        <v>44811.66667</v>
      </c>
      <c r="B488" s="1">
        <f>IFERROR(__xludf.DUMMYFUNCTION("""COMPUTED_VALUE"""),258.09)</f>
        <v>258.09</v>
      </c>
    </row>
    <row r="489">
      <c r="A489" s="2">
        <f>IFERROR(__xludf.DUMMYFUNCTION("""COMPUTED_VALUE"""),44812.66666666667)</f>
        <v>44812.66667</v>
      </c>
      <c r="B489" s="1">
        <f>IFERROR(__xludf.DUMMYFUNCTION("""COMPUTED_VALUE"""),258.52)</f>
        <v>258.52</v>
      </c>
    </row>
    <row r="490">
      <c r="A490" s="2">
        <f>IFERROR(__xludf.DUMMYFUNCTION("""COMPUTED_VALUE"""),44813.66666666667)</f>
        <v>44813.66667</v>
      </c>
      <c r="B490" s="1">
        <f>IFERROR(__xludf.DUMMYFUNCTION("""COMPUTED_VALUE"""),264.46)</f>
        <v>264.46</v>
      </c>
    </row>
    <row r="491">
      <c r="A491" s="2">
        <f>IFERROR(__xludf.DUMMYFUNCTION("""COMPUTED_VALUE"""),44816.66666666667)</f>
        <v>44816.66667</v>
      </c>
      <c r="B491" s="1">
        <f>IFERROR(__xludf.DUMMYFUNCTION("""COMPUTED_VALUE"""),266.65)</f>
        <v>266.65</v>
      </c>
    </row>
    <row r="492">
      <c r="A492" s="2">
        <f>IFERROR(__xludf.DUMMYFUNCTION("""COMPUTED_VALUE"""),44817.66666666667)</f>
        <v>44817.66667</v>
      </c>
      <c r="B492" s="1">
        <f>IFERROR(__xludf.DUMMYFUNCTION("""COMPUTED_VALUE"""),251.99)</f>
        <v>251.99</v>
      </c>
    </row>
    <row r="493">
      <c r="A493" s="2">
        <f>IFERROR(__xludf.DUMMYFUNCTION("""COMPUTED_VALUE"""),44818.66666666667)</f>
        <v>44818.66667</v>
      </c>
      <c r="B493" s="1">
        <f>IFERROR(__xludf.DUMMYFUNCTION("""COMPUTED_VALUE"""),252.22)</f>
        <v>252.22</v>
      </c>
    </row>
    <row r="494">
      <c r="A494" s="2">
        <f>IFERROR(__xludf.DUMMYFUNCTION("""COMPUTED_VALUE"""),44819.66666666667)</f>
        <v>44819.66667</v>
      </c>
      <c r="B494" s="1">
        <f>IFERROR(__xludf.DUMMYFUNCTION("""COMPUTED_VALUE"""),245.38)</f>
        <v>245.38</v>
      </c>
    </row>
    <row r="495">
      <c r="A495" s="2">
        <f>IFERROR(__xludf.DUMMYFUNCTION("""COMPUTED_VALUE"""),44820.66666666667)</f>
        <v>44820.66667</v>
      </c>
      <c r="B495" s="1">
        <f>IFERROR(__xludf.DUMMYFUNCTION("""COMPUTED_VALUE"""),244.74)</f>
        <v>244.74</v>
      </c>
    </row>
    <row r="496">
      <c r="A496" s="2">
        <f>IFERROR(__xludf.DUMMYFUNCTION("""COMPUTED_VALUE"""),44823.66666666667)</f>
        <v>44823.66667</v>
      </c>
      <c r="B496" s="1">
        <f>IFERROR(__xludf.DUMMYFUNCTION("""COMPUTED_VALUE"""),244.52)</f>
        <v>244.52</v>
      </c>
    </row>
    <row r="497">
      <c r="A497" s="2">
        <f>IFERROR(__xludf.DUMMYFUNCTION("""COMPUTED_VALUE"""),44824.66666666667)</f>
        <v>44824.66667</v>
      </c>
      <c r="B497" s="1">
        <f>IFERROR(__xludf.DUMMYFUNCTION("""COMPUTED_VALUE"""),242.45)</f>
        <v>242.45</v>
      </c>
    </row>
    <row r="498">
      <c r="A498" s="2">
        <f>IFERROR(__xludf.DUMMYFUNCTION("""COMPUTED_VALUE"""),44825.66666666667)</f>
        <v>44825.66667</v>
      </c>
      <c r="B498" s="1">
        <f>IFERROR(__xludf.DUMMYFUNCTION("""COMPUTED_VALUE"""),238.95)</f>
        <v>238.95</v>
      </c>
    </row>
    <row r="499">
      <c r="A499" s="2">
        <f>IFERROR(__xludf.DUMMYFUNCTION("""COMPUTED_VALUE"""),44826.66666666667)</f>
        <v>44826.66667</v>
      </c>
      <c r="B499" s="1">
        <f>IFERROR(__xludf.DUMMYFUNCTION("""COMPUTED_VALUE"""),240.98)</f>
        <v>240.98</v>
      </c>
    </row>
    <row r="500">
      <c r="A500" s="2">
        <f>IFERROR(__xludf.DUMMYFUNCTION("""COMPUTED_VALUE"""),44827.66666666667)</f>
        <v>44827.66667</v>
      </c>
      <c r="B500" s="1">
        <f>IFERROR(__xludf.DUMMYFUNCTION("""COMPUTED_VALUE"""),237.92)</f>
        <v>237.92</v>
      </c>
    </row>
    <row r="501">
      <c r="A501" s="2">
        <f>IFERROR(__xludf.DUMMYFUNCTION("""COMPUTED_VALUE"""),44830.66666666667)</f>
        <v>44830.66667</v>
      </c>
      <c r="B501" s="1">
        <f>IFERROR(__xludf.DUMMYFUNCTION("""COMPUTED_VALUE"""),237.45)</f>
        <v>237.45</v>
      </c>
    </row>
    <row r="502">
      <c r="A502" s="2">
        <f>IFERROR(__xludf.DUMMYFUNCTION("""COMPUTED_VALUE"""),44831.66666666667)</f>
        <v>44831.66667</v>
      </c>
      <c r="B502" s="1">
        <f>IFERROR(__xludf.DUMMYFUNCTION("""COMPUTED_VALUE"""),236.41)</f>
        <v>236.41</v>
      </c>
    </row>
    <row r="503">
      <c r="A503" s="2">
        <f>IFERROR(__xludf.DUMMYFUNCTION("""COMPUTED_VALUE"""),44832.66666666667)</f>
        <v>44832.66667</v>
      </c>
      <c r="B503" s="1">
        <f>IFERROR(__xludf.DUMMYFUNCTION("""COMPUTED_VALUE"""),241.07)</f>
        <v>241.07</v>
      </c>
    </row>
    <row r="504">
      <c r="A504" s="2">
        <f>IFERROR(__xludf.DUMMYFUNCTION("""COMPUTED_VALUE"""),44833.66666666667)</f>
        <v>44833.66667</v>
      </c>
      <c r="B504" s="1">
        <f>IFERROR(__xludf.DUMMYFUNCTION("""COMPUTED_VALUE"""),237.5)</f>
        <v>237.5</v>
      </c>
    </row>
    <row r="505">
      <c r="A505" s="2">
        <f>IFERROR(__xludf.DUMMYFUNCTION("""COMPUTED_VALUE"""),44834.66666666667)</f>
        <v>44834.66667</v>
      </c>
      <c r="B505" s="1">
        <f>IFERROR(__xludf.DUMMYFUNCTION("""COMPUTED_VALUE"""),232.9)</f>
        <v>232.9</v>
      </c>
    </row>
    <row r="506">
      <c r="A506" s="2">
        <f>IFERROR(__xludf.DUMMYFUNCTION("""COMPUTED_VALUE"""),44837.66666666667)</f>
        <v>44837.66667</v>
      </c>
      <c r="B506" s="1">
        <f>IFERROR(__xludf.DUMMYFUNCTION("""COMPUTED_VALUE"""),240.74)</f>
        <v>240.74</v>
      </c>
    </row>
    <row r="507">
      <c r="A507" s="2">
        <f>IFERROR(__xludf.DUMMYFUNCTION("""COMPUTED_VALUE"""),44838.66666666667)</f>
        <v>44838.66667</v>
      </c>
      <c r="B507" s="1">
        <f>IFERROR(__xludf.DUMMYFUNCTION("""COMPUTED_VALUE"""),248.88)</f>
        <v>248.88</v>
      </c>
    </row>
    <row r="508">
      <c r="A508" s="2">
        <f>IFERROR(__xludf.DUMMYFUNCTION("""COMPUTED_VALUE"""),44839.66666666667)</f>
        <v>44839.66667</v>
      </c>
      <c r="B508" s="1">
        <f>IFERROR(__xludf.DUMMYFUNCTION("""COMPUTED_VALUE"""),249.2)</f>
        <v>249.2</v>
      </c>
    </row>
    <row r="509">
      <c r="A509" s="2">
        <f>IFERROR(__xludf.DUMMYFUNCTION("""COMPUTED_VALUE"""),44840.66666666667)</f>
        <v>44840.66667</v>
      </c>
      <c r="B509" s="1">
        <f>IFERROR(__xludf.DUMMYFUNCTION("""COMPUTED_VALUE"""),246.79)</f>
        <v>246.79</v>
      </c>
    </row>
    <row r="510">
      <c r="A510" s="2">
        <f>IFERROR(__xludf.DUMMYFUNCTION("""COMPUTED_VALUE"""),44841.66666666667)</f>
        <v>44841.66667</v>
      </c>
      <c r="B510" s="1">
        <f>IFERROR(__xludf.DUMMYFUNCTION("""COMPUTED_VALUE"""),234.24)</f>
        <v>234.24</v>
      </c>
    </row>
    <row r="511">
      <c r="A511" s="2">
        <f>IFERROR(__xludf.DUMMYFUNCTION("""COMPUTED_VALUE"""),44844.66666666667)</f>
        <v>44844.66667</v>
      </c>
      <c r="B511" s="1">
        <f>IFERROR(__xludf.DUMMYFUNCTION("""COMPUTED_VALUE"""),229.25)</f>
        <v>229.25</v>
      </c>
    </row>
    <row r="512">
      <c r="A512" s="2">
        <f>IFERROR(__xludf.DUMMYFUNCTION("""COMPUTED_VALUE"""),44845.66666666667)</f>
        <v>44845.66667</v>
      </c>
      <c r="B512" s="1">
        <f>IFERROR(__xludf.DUMMYFUNCTION("""COMPUTED_VALUE"""),225.41)</f>
        <v>225.41</v>
      </c>
    </row>
    <row r="513">
      <c r="A513" s="2">
        <f>IFERROR(__xludf.DUMMYFUNCTION("""COMPUTED_VALUE"""),44846.66666666667)</f>
        <v>44846.66667</v>
      </c>
      <c r="B513" s="1">
        <f>IFERROR(__xludf.DUMMYFUNCTION("""COMPUTED_VALUE"""),225.75)</f>
        <v>225.75</v>
      </c>
    </row>
    <row r="514">
      <c r="A514" s="2">
        <f>IFERROR(__xludf.DUMMYFUNCTION("""COMPUTED_VALUE"""),44847.66666666667)</f>
        <v>44847.66667</v>
      </c>
      <c r="B514" s="1">
        <f>IFERROR(__xludf.DUMMYFUNCTION("""COMPUTED_VALUE"""),234.24)</f>
        <v>234.24</v>
      </c>
    </row>
    <row r="515">
      <c r="A515" s="2">
        <f>IFERROR(__xludf.DUMMYFUNCTION("""COMPUTED_VALUE"""),44848.66666666667)</f>
        <v>44848.66667</v>
      </c>
      <c r="B515" s="1">
        <f>IFERROR(__xludf.DUMMYFUNCTION("""COMPUTED_VALUE"""),228.56)</f>
        <v>228.56</v>
      </c>
    </row>
    <row r="516">
      <c r="A516" s="2">
        <f>IFERROR(__xludf.DUMMYFUNCTION("""COMPUTED_VALUE"""),44851.66666666667)</f>
        <v>44851.66667</v>
      </c>
      <c r="B516" s="1">
        <f>IFERROR(__xludf.DUMMYFUNCTION("""COMPUTED_VALUE"""),237.53)</f>
        <v>237.53</v>
      </c>
    </row>
    <row r="517">
      <c r="A517" s="2">
        <f>IFERROR(__xludf.DUMMYFUNCTION("""COMPUTED_VALUE"""),44852.66666666667)</f>
        <v>44852.66667</v>
      </c>
      <c r="B517" s="1">
        <f>IFERROR(__xludf.DUMMYFUNCTION("""COMPUTED_VALUE"""),238.5)</f>
        <v>238.5</v>
      </c>
    </row>
    <row r="518">
      <c r="A518" s="2">
        <f>IFERROR(__xludf.DUMMYFUNCTION("""COMPUTED_VALUE"""),44853.66666666667)</f>
        <v>44853.66667</v>
      </c>
      <c r="B518" s="1">
        <f>IFERROR(__xludf.DUMMYFUNCTION("""COMPUTED_VALUE"""),236.48)</f>
        <v>236.48</v>
      </c>
    </row>
    <row r="519">
      <c r="A519" s="2">
        <f>IFERROR(__xludf.DUMMYFUNCTION("""COMPUTED_VALUE"""),44854.66666666667)</f>
        <v>44854.66667</v>
      </c>
      <c r="B519" s="1">
        <f>IFERROR(__xludf.DUMMYFUNCTION("""COMPUTED_VALUE"""),236.15)</f>
        <v>236.15</v>
      </c>
    </row>
    <row r="520">
      <c r="A520" s="2">
        <f>IFERROR(__xludf.DUMMYFUNCTION("""COMPUTED_VALUE"""),44855.66666666667)</f>
        <v>44855.66667</v>
      </c>
      <c r="B520" s="1">
        <f>IFERROR(__xludf.DUMMYFUNCTION("""COMPUTED_VALUE"""),242.12)</f>
        <v>242.12</v>
      </c>
    </row>
    <row r="521">
      <c r="A521" s="2">
        <f>IFERROR(__xludf.DUMMYFUNCTION("""COMPUTED_VALUE"""),44858.66666666667)</f>
        <v>44858.66667</v>
      </c>
      <c r="B521" s="1">
        <f>IFERROR(__xludf.DUMMYFUNCTION("""COMPUTED_VALUE"""),247.25)</f>
        <v>247.25</v>
      </c>
    </row>
    <row r="522">
      <c r="A522" s="2">
        <f>IFERROR(__xludf.DUMMYFUNCTION("""COMPUTED_VALUE"""),44859.66666666667)</f>
        <v>44859.66667</v>
      </c>
      <c r="B522" s="1">
        <f>IFERROR(__xludf.DUMMYFUNCTION("""COMPUTED_VALUE"""),250.66)</f>
        <v>250.66</v>
      </c>
    </row>
    <row r="523">
      <c r="A523" s="2">
        <f>IFERROR(__xludf.DUMMYFUNCTION("""COMPUTED_VALUE"""),44860.66666666667)</f>
        <v>44860.66667</v>
      </c>
      <c r="B523" s="1">
        <f>IFERROR(__xludf.DUMMYFUNCTION("""COMPUTED_VALUE"""),231.32)</f>
        <v>231.32</v>
      </c>
    </row>
    <row r="524">
      <c r="A524" s="2">
        <f>IFERROR(__xludf.DUMMYFUNCTION("""COMPUTED_VALUE"""),44861.66666666667)</f>
        <v>44861.66667</v>
      </c>
      <c r="B524" s="1">
        <f>IFERROR(__xludf.DUMMYFUNCTION("""COMPUTED_VALUE"""),226.75)</f>
        <v>226.75</v>
      </c>
    </row>
    <row r="525">
      <c r="A525" s="2">
        <f>IFERROR(__xludf.DUMMYFUNCTION("""COMPUTED_VALUE"""),44862.66666666667)</f>
        <v>44862.66667</v>
      </c>
      <c r="B525" s="1">
        <f>IFERROR(__xludf.DUMMYFUNCTION("""COMPUTED_VALUE"""),235.87)</f>
        <v>235.87</v>
      </c>
    </row>
    <row r="526">
      <c r="A526" s="2">
        <f>IFERROR(__xludf.DUMMYFUNCTION("""COMPUTED_VALUE"""),44865.66666666667)</f>
        <v>44865.66667</v>
      </c>
      <c r="B526" s="1">
        <f>IFERROR(__xludf.DUMMYFUNCTION("""COMPUTED_VALUE"""),232.13)</f>
        <v>232.13</v>
      </c>
    </row>
    <row r="527">
      <c r="A527" s="2">
        <f>IFERROR(__xludf.DUMMYFUNCTION("""COMPUTED_VALUE"""),44866.66666666667)</f>
        <v>44866.66667</v>
      </c>
      <c r="B527" s="1">
        <f>IFERROR(__xludf.DUMMYFUNCTION("""COMPUTED_VALUE"""),228.17)</f>
        <v>228.17</v>
      </c>
    </row>
    <row r="528">
      <c r="A528" s="2">
        <f>IFERROR(__xludf.DUMMYFUNCTION("""COMPUTED_VALUE"""),44867.66666666667)</f>
        <v>44867.66667</v>
      </c>
      <c r="B528" s="1">
        <f>IFERROR(__xludf.DUMMYFUNCTION("""COMPUTED_VALUE"""),220.1)</f>
        <v>220.1</v>
      </c>
    </row>
    <row r="529">
      <c r="A529" s="2">
        <f>IFERROR(__xludf.DUMMYFUNCTION("""COMPUTED_VALUE"""),44868.66666666667)</f>
        <v>44868.66667</v>
      </c>
      <c r="B529" s="1">
        <f>IFERROR(__xludf.DUMMYFUNCTION("""COMPUTED_VALUE"""),214.25)</f>
        <v>214.25</v>
      </c>
    </row>
    <row r="530">
      <c r="A530" s="2">
        <f>IFERROR(__xludf.DUMMYFUNCTION("""COMPUTED_VALUE"""),44869.66666666667)</f>
        <v>44869.66667</v>
      </c>
      <c r="B530" s="1">
        <f>IFERROR(__xludf.DUMMYFUNCTION("""COMPUTED_VALUE"""),221.39)</f>
        <v>221.39</v>
      </c>
    </row>
    <row r="531">
      <c r="A531" s="2">
        <f>IFERROR(__xludf.DUMMYFUNCTION("""COMPUTED_VALUE"""),44872.66666666667)</f>
        <v>44872.66667</v>
      </c>
      <c r="B531" s="1">
        <f>IFERROR(__xludf.DUMMYFUNCTION("""COMPUTED_VALUE"""),227.87)</f>
        <v>227.87</v>
      </c>
    </row>
    <row r="532">
      <c r="A532" s="2">
        <f>IFERROR(__xludf.DUMMYFUNCTION("""COMPUTED_VALUE"""),44873.66666666667)</f>
        <v>44873.66667</v>
      </c>
      <c r="B532" s="1">
        <f>IFERROR(__xludf.DUMMYFUNCTION("""COMPUTED_VALUE"""),228.87)</f>
        <v>228.87</v>
      </c>
    </row>
    <row r="533">
      <c r="A533" s="2">
        <f>IFERROR(__xludf.DUMMYFUNCTION("""COMPUTED_VALUE"""),44874.66666666667)</f>
        <v>44874.66667</v>
      </c>
      <c r="B533" s="1">
        <f>IFERROR(__xludf.DUMMYFUNCTION("""COMPUTED_VALUE"""),224.51)</f>
        <v>224.51</v>
      </c>
    </row>
    <row r="534">
      <c r="A534" s="2">
        <f>IFERROR(__xludf.DUMMYFUNCTION("""COMPUTED_VALUE"""),44875.66666666667)</f>
        <v>44875.66667</v>
      </c>
      <c r="B534" s="1">
        <f>IFERROR(__xludf.DUMMYFUNCTION("""COMPUTED_VALUE"""),242.98)</f>
        <v>242.98</v>
      </c>
    </row>
    <row r="535">
      <c r="A535" s="2">
        <f>IFERROR(__xludf.DUMMYFUNCTION("""COMPUTED_VALUE"""),44876.66666666667)</f>
        <v>44876.66667</v>
      </c>
      <c r="B535" s="1">
        <f>IFERROR(__xludf.DUMMYFUNCTION("""COMPUTED_VALUE"""),247.11)</f>
        <v>247.11</v>
      </c>
    </row>
    <row r="536">
      <c r="A536" s="2">
        <f>IFERROR(__xludf.DUMMYFUNCTION("""COMPUTED_VALUE"""),44879.66666666667)</f>
        <v>44879.66667</v>
      </c>
      <c r="B536" s="1">
        <f>IFERROR(__xludf.DUMMYFUNCTION("""COMPUTED_VALUE"""),241.55)</f>
        <v>241.55</v>
      </c>
    </row>
    <row r="537">
      <c r="A537" s="2">
        <f>IFERROR(__xludf.DUMMYFUNCTION("""COMPUTED_VALUE"""),44880.66666666667)</f>
        <v>44880.66667</v>
      </c>
      <c r="B537" s="1">
        <f>IFERROR(__xludf.DUMMYFUNCTION("""COMPUTED_VALUE"""),241.97)</f>
        <v>241.97</v>
      </c>
    </row>
    <row r="538">
      <c r="A538" s="2">
        <f>IFERROR(__xludf.DUMMYFUNCTION("""COMPUTED_VALUE"""),44881.66666666667)</f>
        <v>44881.66667</v>
      </c>
      <c r="B538" s="1">
        <f>IFERROR(__xludf.DUMMYFUNCTION("""COMPUTED_VALUE"""),241.73)</f>
        <v>241.73</v>
      </c>
    </row>
    <row r="539">
      <c r="A539" s="2">
        <f>IFERROR(__xludf.DUMMYFUNCTION("""COMPUTED_VALUE"""),44882.66666666667)</f>
        <v>44882.66667</v>
      </c>
      <c r="B539" s="1">
        <f>IFERROR(__xludf.DUMMYFUNCTION("""COMPUTED_VALUE"""),241.68)</f>
        <v>241.68</v>
      </c>
    </row>
    <row r="540">
      <c r="A540" s="2">
        <f>IFERROR(__xludf.DUMMYFUNCTION("""COMPUTED_VALUE"""),44883.66666666667)</f>
        <v>44883.66667</v>
      </c>
      <c r="B540" s="1">
        <f>IFERROR(__xludf.DUMMYFUNCTION("""COMPUTED_VALUE"""),241.22)</f>
        <v>241.22</v>
      </c>
    </row>
    <row r="541">
      <c r="A541" s="2">
        <f>IFERROR(__xludf.DUMMYFUNCTION("""COMPUTED_VALUE"""),44886.66666666667)</f>
        <v>44886.66667</v>
      </c>
      <c r="B541" s="1">
        <f>IFERROR(__xludf.DUMMYFUNCTION("""COMPUTED_VALUE"""),242.05)</f>
        <v>242.05</v>
      </c>
    </row>
    <row r="542">
      <c r="A542" s="2">
        <f>IFERROR(__xludf.DUMMYFUNCTION("""COMPUTED_VALUE"""),44887.66666666667)</f>
        <v>44887.66667</v>
      </c>
      <c r="B542" s="1">
        <f>IFERROR(__xludf.DUMMYFUNCTION("""COMPUTED_VALUE"""),245.03)</f>
        <v>245.03</v>
      </c>
    </row>
    <row r="543">
      <c r="A543" s="2">
        <f>IFERROR(__xludf.DUMMYFUNCTION("""COMPUTED_VALUE"""),44888.66666666667)</f>
        <v>44888.66667</v>
      </c>
      <c r="B543" s="1">
        <f>IFERROR(__xludf.DUMMYFUNCTION("""COMPUTED_VALUE"""),247.58)</f>
        <v>247.58</v>
      </c>
    </row>
    <row r="544">
      <c r="A544" s="2">
        <f>IFERROR(__xludf.DUMMYFUNCTION("""COMPUTED_VALUE"""),44890.54513888889)</f>
        <v>44890.54514</v>
      </c>
      <c r="B544" s="1">
        <f>IFERROR(__xludf.DUMMYFUNCTION("""COMPUTED_VALUE"""),247.49)</f>
        <v>247.49</v>
      </c>
    </row>
    <row r="545">
      <c r="A545" s="2">
        <f>IFERROR(__xludf.DUMMYFUNCTION("""COMPUTED_VALUE"""),44893.66666666667)</f>
        <v>44893.66667</v>
      </c>
      <c r="B545" s="1">
        <f>IFERROR(__xludf.DUMMYFUNCTION("""COMPUTED_VALUE"""),241.76)</f>
        <v>241.76</v>
      </c>
    </row>
    <row r="546">
      <c r="A546" s="2">
        <f>IFERROR(__xludf.DUMMYFUNCTION("""COMPUTED_VALUE"""),44894.66666666667)</f>
        <v>44894.66667</v>
      </c>
      <c r="B546" s="1">
        <f>IFERROR(__xludf.DUMMYFUNCTION("""COMPUTED_VALUE"""),240.33)</f>
        <v>240.33</v>
      </c>
    </row>
    <row r="547">
      <c r="A547" s="2">
        <f>IFERROR(__xludf.DUMMYFUNCTION("""COMPUTED_VALUE"""),44895.66666666667)</f>
        <v>44895.66667</v>
      </c>
      <c r="B547" s="1">
        <f>IFERROR(__xludf.DUMMYFUNCTION("""COMPUTED_VALUE"""),255.14)</f>
        <v>255.14</v>
      </c>
    </row>
    <row r="548">
      <c r="A548" s="2">
        <f>IFERROR(__xludf.DUMMYFUNCTION("""COMPUTED_VALUE"""),44896.66666666667)</f>
        <v>44896.66667</v>
      </c>
      <c r="B548" s="1">
        <f>IFERROR(__xludf.DUMMYFUNCTION("""COMPUTED_VALUE"""),254.69)</f>
        <v>254.69</v>
      </c>
    </row>
    <row r="549">
      <c r="A549" s="2">
        <f>IFERROR(__xludf.DUMMYFUNCTION("""COMPUTED_VALUE"""),44897.66666666667)</f>
        <v>44897.66667</v>
      </c>
      <c r="B549" s="1">
        <f>IFERROR(__xludf.DUMMYFUNCTION("""COMPUTED_VALUE"""),255.02)</f>
        <v>255.02</v>
      </c>
    </row>
    <row r="550">
      <c r="A550" s="2">
        <f>IFERROR(__xludf.DUMMYFUNCTION("""COMPUTED_VALUE"""),44900.66666666667)</f>
        <v>44900.66667</v>
      </c>
      <c r="B550" s="1">
        <f>IFERROR(__xludf.DUMMYFUNCTION("""COMPUTED_VALUE"""),250.2)</f>
        <v>250.2</v>
      </c>
    </row>
    <row r="551">
      <c r="A551" s="2">
        <f>IFERROR(__xludf.DUMMYFUNCTION("""COMPUTED_VALUE"""),44901.66666666667)</f>
        <v>44901.66667</v>
      </c>
      <c r="B551" s="1">
        <f>IFERROR(__xludf.DUMMYFUNCTION("""COMPUTED_VALUE"""),245.12)</f>
        <v>245.12</v>
      </c>
    </row>
    <row r="552">
      <c r="A552" s="2">
        <f>IFERROR(__xludf.DUMMYFUNCTION("""COMPUTED_VALUE"""),44902.66666666667)</f>
        <v>44902.66667</v>
      </c>
      <c r="B552" s="1">
        <f>IFERROR(__xludf.DUMMYFUNCTION("""COMPUTED_VALUE"""),244.37)</f>
        <v>244.37</v>
      </c>
    </row>
    <row r="553">
      <c r="A553" s="2">
        <f>IFERROR(__xludf.DUMMYFUNCTION("""COMPUTED_VALUE"""),44903.66666666667)</f>
        <v>44903.66667</v>
      </c>
      <c r="B553" s="1">
        <f>IFERROR(__xludf.DUMMYFUNCTION("""COMPUTED_VALUE"""),247.4)</f>
        <v>247.4</v>
      </c>
    </row>
    <row r="554">
      <c r="A554" s="2">
        <f>IFERROR(__xludf.DUMMYFUNCTION("""COMPUTED_VALUE"""),44904.66666666667)</f>
        <v>44904.66667</v>
      </c>
      <c r="B554" s="1">
        <f>IFERROR(__xludf.DUMMYFUNCTION("""COMPUTED_VALUE"""),245.42)</f>
        <v>245.42</v>
      </c>
    </row>
    <row r="555">
      <c r="A555" s="2">
        <f>IFERROR(__xludf.DUMMYFUNCTION("""COMPUTED_VALUE"""),44907.66666666667)</f>
        <v>44907.66667</v>
      </c>
      <c r="B555" s="1">
        <f>IFERROR(__xludf.DUMMYFUNCTION("""COMPUTED_VALUE"""),252.51)</f>
        <v>252.51</v>
      </c>
    </row>
    <row r="556">
      <c r="A556" s="2">
        <f>IFERROR(__xludf.DUMMYFUNCTION("""COMPUTED_VALUE"""),44908.66666666667)</f>
        <v>44908.66667</v>
      </c>
      <c r="B556" s="1">
        <f>IFERROR(__xludf.DUMMYFUNCTION("""COMPUTED_VALUE"""),256.92)</f>
        <v>256.92</v>
      </c>
    </row>
    <row r="557">
      <c r="A557" s="2">
        <f>IFERROR(__xludf.DUMMYFUNCTION("""COMPUTED_VALUE"""),44909.66666666667)</f>
        <v>44909.66667</v>
      </c>
      <c r="B557" s="1">
        <f>IFERROR(__xludf.DUMMYFUNCTION("""COMPUTED_VALUE"""),257.22)</f>
        <v>257.22</v>
      </c>
    </row>
    <row r="558">
      <c r="A558" s="2">
        <f>IFERROR(__xludf.DUMMYFUNCTION("""COMPUTED_VALUE"""),44910.66666666667)</f>
        <v>44910.66667</v>
      </c>
      <c r="B558" s="1">
        <f>IFERROR(__xludf.DUMMYFUNCTION("""COMPUTED_VALUE"""),249.01)</f>
        <v>249.01</v>
      </c>
    </row>
    <row r="559">
      <c r="A559" s="2">
        <f>IFERROR(__xludf.DUMMYFUNCTION("""COMPUTED_VALUE"""),44911.66666666667)</f>
        <v>44911.66667</v>
      </c>
      <c r="B559" s="1">
        <f>IFERROR(__xludf.DUMMYFUNCTION("""COMPUTED_VALUE"""),244.69)</f>
        <v>244.69</v>
      </c>
    </row>
    <row r="560">
      <c r="A560" s="2">
        <f>IFERROR(__xludf.DUMMYFUNCTION("""COMPUTED_VALUE"""),44914.66666666667)</f>
        <v>44914.66667</v>
      </c>
      <c r="B560" s="1">
        <f>IFERROR(__xludf.DUMMYFUNCTION("""COMPUTED_VALUE"""),240.45)</f>
        <v>240.45</v>
      </c>
    </row>
    <row r="561">
      <c r="A561" s="2">
        <f>IFERROR(__xludf.DUMMYFUNCTION("""COMPUTED_VALUE"""),44915.66666666667)</f>
        <v>44915.66667</v>
      </c>
      <c r="B561" s="1">
        <f>IFERROR(__xludf.DUMMYFUNCTION("""COMPUTED_VALUE"""),241.8)</f>
        <v>241.8</v>
      </c>
    </row>
    <row r="562">
      <c r="A562" s="2">
        <f>IFERROR(__xludf.DUMMYFUNCTION("""COMPUTED_VALUE"""),44916.66666666667)</f>
        <v>44916.66667</v>
      </c>
      <c r="B562" s="1">
        <f>IFERROR(__xludf.DUMMYFUNCTION("""COMPUTED_VALUE"""),244.43)</f>
        <v>244.43</v>
      </c>
    </row>
    <row r="563">
      <c r="A563" s="2">
        <f>IFERROR(__xludf.DUMMYFUNCTION("""COMPUTED_VALUE"""),44917.66666666667)</f>
        <v>44917.66667</v>
      </c>
      <c r="B563" s="1">
        <f>IFERROR(__xludf.DUMMYFUNCTION("""COMPUTED_VALUE"""),238.19)</f>
        <v>238.19</v>
      </c>
    </row>
    <row r="564">
      <c r="A564" s="2">
        <f>IFERROR(__xludf.DUMMYFUNCTION("""COMPUTED_VALUE"""),44918.66666666667)</f>
        <v>44918.66667</v>
      </c>
      <c r="B564" s="1">
        <f>IFERROR(__xludf.DUMMYFUNCTION("""COMPUTED_VALUE"""),238.73)</f>
        <v>238.73</v>
      </c>
    </row>
    <row r="565">
      <c r="A565" s="2">
        <f>IFERROR(__xludf.DUMMYFUNCTION("""COMPUTED_VALUE"""),44922.66666666667)</f>
        <v>44922.66667</v>
      </c>
      <c r="B565" s="1">
        <f>IFERROR(__xludf.DUMMYFUNCTION("""COMPUTED_VALUE"""),236.96)</f>
        <v>236.96</v>
      </c>
    </row>
    <row r="566">
      <c r="A566" s="2">
        <f>IFERROR(__xludf.DUMMYFUNCTION("""COMPUTED_VALUE"""),44923.66666666667)</f>
        <v>44923.66667</v>
      </c>
      <c r="B566" s="1">
        <f>IFERROR(__xludf.DUMMYFUNCTION("""COMPUTED_VALUE"""),234.53)</f>
        <v>234.53</v>
      </c>
    </row>
    <row r="567">
      <c r="A567" s="2">
        <f>IFERROR(__xludf.DUMMYFUNCTION("""COMPUTED_VALUE"""),44924.66666666667)</f>
        <v>44924.66667</v>
      </c>
      <c r="B567" s="1">
        <f>IFERROR(__xludf.DUMMYFUNCTION("""COMPUTED_VALUE"""),241.01)</f>
        <v>241.01</v>
      </c>
    </row>
    <row r="568">
      <c r="A568" s="2">
        <f>IFERROR(__xludf.DUMMYFUNCTION("""COMPUTED_VALUE"""),44925.66666666667)</f>
        <v>44925.66667</v>
      </c>
      <c r="B568" s="1">
        <f>IFERROR(__xludf.DUMMYFUNCTION("""COMPUTED_VALUE"""),239.82)</f>
        <v>239.82</v>
      </c>
    </row>
    <row r="569">
      <c r="A569" s="2">
        <f>IFERROR(__xludf.DUMMYFUNCTION("""COMPUTED_VALUE"""),44929.66666666667)</f>
        <v>44929.66667</v>
      </c>
      <c r="B569" s="1">
        <f>IFERROR(__xludf.DUMMYFUNCTION("""COMPUTED_VALUE"""),239.58)</f>
        <v>239.58</v>
      </c>
    </row>
    <row r="570">
      <c r="A570" s="2">
        <f>IFERROR(__xludf.DUMMYFUNCTION("""COMPUTED_VALUE"""),44930.66666666667)</f>
        <v>44930.66667</v>
      </c>
      <c r="B570" s="1">
        <f>IFERROR(__xludf.DUMMYFUNCTION("""COMPUTED_VALUE"""),229.1)</f>
        <v>229.1</v>
      </c>
    </row>
    <row r="571">
      <c r="A571" s="2">
        <f>IFERROR(__xludf.DUMMYFUNCTION("""COMPUTED_VALUE"""),44931.66666666667)</f>
        <v>44931.66667</v>
      </c>
      <c r="B571" s="1">
        <f>IFERROR(__xludf.DUMMYFUNCTION("""COMPUTED_VALUE"""),222.31)</f>
        <v>222.31</v>
      </c>
    </row>
    <row r="572">
      <c r="A572" s="2">
        <f>IFERROR(__xludf.DUMMYFUNCTION("""COMPUTED_VALUE"""),44932.66666666667)</f>
        <v>44932.66667</v>
      </c>
      <c r="B572" s="1">
        <f>IFERROR(__xludf.DUMMYFUNCTION("""COMPUTED_VALUE"""),224.93)</f>
        <v>224.93</v>
      </c>
    </row>
    <row r="573">
      <c r="A573" s="2">
        <f>IFERROR(__xludf.DUMMYFUNCTION("""COMPUTED_VALUE"""),44935.66666666667)</f>
        <v>44935.66667</v>
      </c>
      <c r="B573" s="1">
        <f>IFERROR(__xludf.DUMMYFUNCTION("""COMPUTED_VALUE"""),227.12)</f>
        <v>227.12</v>
      </c>
    </row>
    <row r="574">
      <c r="A574" s="2">
        <f>IFERROR(__xludf.DUMMYFUNCTION("""COMPUTED_VALUE"""),44936.66666666667)</f>
        <v>44936.66667</v>
      </c>
      <c r="B574" s="1">
        <f>IFERROR(__xludf.DUMMYFUNCTION("""COMPUTED_VALUE"""),228.85)</f>
        <v>228.85</v>
      </c>
    </row>
    <row r="575">
      <c r="A575" s="2">
        <f>IFERROR(__xludf.DUMMYFUNCTION("""COMPUTED_VALUE"""),44937.66666666667)</f>
        <v>44937.66667</v>
      </c>
      <c r="B575" s="1">
        <f>IFERROR(__xludf.DUMMYFUNCTION("""COMPUTED_VALUE"""),235.77)</f>
        <v>235.77</v>
      </c>
    </row>
    <row r="576">
      <c r="A576" s="2">
        <f>IFERROR(__xludf.DUMMYFUNCTION("""COMPUTED_VALUE"""),44938.66666666667)</f>
        <v>44938.66667</v>
      </c>
      <c r="B576" s="1">
        <f>IFERROR(__xludf.DUMMYFUNCTION("""COMPUTED_VALUE"""),238.51)</f>
        <v>238.51</v>
      </c>
    </row>
    <row r="577">
      <c r="A577" s="2">
        <f>IFERROR(__xludf.DUMMYFUNCTION("""COMPUTED_VALUE"""),44939.66666666667)</f>
        <v>44939.66667</v>
      </c>
      <c r="B577" s="1">
        <f>IFERROR(__xludf.DUMMYFUNCTION("""COMPUTED_VALUE"""),239.23)</f>
        <v>239.23</v>
      </c>
    </row>
    <row r="578">
      <c r="A578" s="2">
        <f>IFERROR(__xludf.DUMMYFUNCTION("""COMPUTED_VALUE"""),44943.66666666667)</f>
        <v>44943.66667</v>
      </c>
      <c r="B578" s="1">
        <f>IFERROR(__xludf.DUMMYFUNCTION("""COMPUTED_VALUE"""),240.35)</f>
        <v>240.35</v>
      </c>
    </row>
    <row r="579">
      <c r="A579" s="2">
        <f>IFERROR(__xludf.DUMMYFUNCTION("""COMPUTED_VALUE"""),44944.66666666667)</f>
        <v>44944.66667</v>
      </c>
      <c r="B579" s="1">
        <f>IFERROR(__xludf.DUMMYFUNCTION("""COMPUTED_VALUE"""),235.81)</f>
        <v>235.81</v>
      </c>
    </row>
    <row r="580">
      <c r="A580" s="2">
        <f>IFERROR(__xludf.DUMMYFUNCTION("""COMPUTED_VALUE"""),44945.66666666667)</f>
        <v>44945.66667</v>
      </c>
      <c r="B580" s="1">
        <f>IFERROR(__xludf.DUMMYFUNCTION("""COMPUTED_VALUE"""),231.93)</f>
        <v>231.93</v>
      </c>
    </row>
    <row r="581">
      <c r="A581" s="2">
        <f>IFERROR(__xludf.DUMMYFUNCTION("""COMPUTED_VALUE"""),44946.66666666667)</f>
        <v>44946.66667</v>
      </c>
      <c r="B581" s="1">
        <f>IFERROR(__xludf.DUMMYFUNCTION("""COMPUTED_VALUE"""),240.22)</f>
        <v>240.22</v>
      </c>
    </row>
    <row r="582">
      <c r="A582" s="2">
        <f>IFERROR(__xludf.DUMMYFUNCTION("""COMPUTED_VALUE"""),44949.66666666667)</f>
        <v>44949.66667</v>
      </c>
      <c r="B582" s="1">
        <f>IFERROR(__xludf.DUMMYFUNCTION("""COMPUTED_VALUE"""),242.58)</f>
        <v>242.58</v>
      </c>
    </row>
    <row r="583">
      <c r="A583" s="2">
        <f>IFERROR(__xludf.DUMMYFUNCTION("""COMPUTED_VALUE"""),44950.66666666667)</f>
        <v>44950.66667</v>
      </c>
      <c r="B583" s="1">
        <f>IFERROR(__xludf.DUMMYFUNCTION("""COMPUTED_VALUE"""),242.04)</f>
        <v>242.04</v>
      </c>
    </row>
    <row r="584">
      <c r="A584" s="2">
        <f>IFERROR(__xludf.DUMMYFUNCTION("""COMPUTED_VALUE"""),44951.66666666667)</f>
        <v>44951.66667</v>
      </c>
      <c r="B584" s="1">
        <f>IFERROR(__xludf.DUMMYFUNCTION("""COMPUTED_VALUE"""),240.61)</f>
        <v>240.61</v>
      </c>
    </row>
    <row r="585">
      <c r="A585" s="2">
        <f>IFERROR(__xludf.DUMMYFUNCTION("""COMPUTED_VALUE"""),44952.66666666667)</f>
        <v>44952.66667</v>
      </c>
      <c r="B585" s="1">
        <f>IFERROR(__xludf.DUMMYFUNCTION("""COMPUTED_VALUE"""),248.0)</f>
        <v>248</v>
      </c>
    </row>
    <row r="586">
      <c r="A586" s="2">
        <f>IFERROR(__xludf.DUMMYFUNCTION("""COMPUTED_VALUE"""),44953.66666666667)</f>
        <v>44953.66667</v>
      </c>
      <c r="B586" s="1">
        <f>IFERROR(__xludf.DUMMYFUNCTION("""COMPUTED_VALUE"""),248.16)</f>
        <v>248.16</v>
      </c>
    </row>
    <row r="587">
      <c r="A587" s="2">
        <f>IFERROR(__xludf.DUMMYFUNCTION("""COMPUTED_VALUE"""),44956.66666666667)</f>
        <v>44956.66667</v>
      </c>
      <c r="B587" s="1">
        <f>IFERROR(__xludf.DUMMYFUNCTION("""COMPUTED_VALUE"""),242.71)</f>
        <v>242.71</v>
      </c>
    </row>
    <row r="588">
      <c r="A588" s="2">
        <f>IFERROR(__xludf.DUMMYFUNCTION("""COMPUTED_VALUE"""),44957.66666666667)</f>
        <v>44957.66667</v>
      </c>
      <c r="B588" s="1">
        <f>IFERROR(__xludf.DUMMYFUNCTION("""COMPUTED_VALUE"""),247.81)</f>
        <v>247.81</v>
      </c>
    </row>
    <row r="589">
      <c r="A589" s="2">
        <f>IFERROR(__xludf.DUMMYFUNCTION("""COMPUTED_VALUE"""),44958.66666666667)</f>
        <v>44958.66667</v>
      </c>
      <c r="B589" s="1">
        <f>IFERROR(__xludf.DUMMYFUNCTION("""COMPUTED_VALUE"""),252.75)</f>
        <v>252.75</v>
      </c>
    </row>
    <row r="590">
      <c r="A590" s="2">
        <f>IFERROR(__xludf.DUMMYFUNCTION("""COMPUTED_VALUE"""),44959.66666666667)</f>
        <v>44959.66667</v>
      </c>
      <c r="B590" s="1">
        <f>IFERROR(__xludf.DUMMYFUNCTION("""COMPUTED_VALUE"""),264.6)</f>
        <v>264.6</v>
      </c>
    </row>
    <row r="591">
      <c r="A591" s="2">
        <f>IFERROR(__xludf.DUMMYFUNCTION("""COMPUTED_VALUE"""),44960.66666666667)</f>
        <v>44960.66667</v>
      </c>
      <c r="B591" s="1">
        <f>IFERROR(__xludf.DUMMYFUNCTION("""COMPUTED_VALUE"""),258.35)</f>
        <v>258.35</v>
      </c>
    </row>
    <row r="592">
      <c r="A592" s="2">
        <f>IFERROR(__xludf.DUMMYFUNCTION("""COMPUTED_VALUE"""),44963.66666666667)</f>
        <v>44963.66667</v>
      </c>
      <c r="B592" s="1">
        <f>IFERROR(__xludf.DUMMYFUNCTION("""COMPUTED_VALUE"""),256.77)</f>
        <v>256.77</v>
      </c>
    </row>
    <row r="593">
      <c r="A593" s="2">
        <f>IFERROR(__xludf.DUMMYFUNCTION("""COMPUTED_VALUE"""),44964.66666666667)</f>
        <v>44964.66667</v>
      </c>
      <c r="B593" s="1">
        <f>IFERROR(__xludf.DUMMYFUNCTION("""COMPUTED_VALUE"""),267.56)</f>
        <v>267.56</v>
      </c>
    </row>
    <row r="594">
      <c r="A594" s="2">
        <f>IFERROR(__xludf.DUMMYFUNCTION("""COMPUTED_VALUE"""),44965.66666666667)</f>
        <v>44965.66667</v>
      </c>
      <c r="B594" s="1">
        <f>IFERROR(__xludf.DUMMYFUNCTION("""COMPUTED_VALUE"""),266.73)</f>
        <v>266.73</v>
      </c>
    </row>
    <row r="595">
      <c r="A595" s="2">
        <f>IFERROR(__xludf.DUMMYFUNCTION("""COMPUTED_VALUE"""),44966.66666666667)</f>
        <v>44966.66667</v>
      </c>
      <c r="B595" s="1">
        <f>IFERROR(__xludf.DUMMYFUNCTION("""COMPUTED_VALUE"""),263.62)</f>
        <v>263.62</v>
      </c>
    </row>
    <row r="596">
      <c r="A596" s="2">
        <f>IFERROR(__xludf.DUMMYFUNCTION("""COMPUTED_VALUE"""),44967.66666666667)</f>
        <v>44967.66667</v>
      </c>
      <c r="B596" s="1">
        <f>IFERROR(__xludf.DUMMYFUNCTION("""COMPUTED_VALUE"""),263.1)</f>
        <v>263.1</v>
      </c>
    </row>
    <row r="597">
      <c r="A597" s="2">
        <f>IFERROR(__xludf.DUMMYFUNCTION("""COMPUTED_VALUE"""),44970.66666666667)</f>
        <v>44970.66667</v>
      </c>
      <c r="B597" s="1">
        <f>IFERROR(__xludf.DUMMYFUNCTION("""COMPUTED_VALUE"""),271.32)</f>
        <v>271.32</v>
      </c>
    </row>
    <row r="598">
      <c r="A598" s="2">
        <f>IFERROR(__xludf.DUMMYFUNCTION("""COMPUTED_VALUE"""),44971.66666666667)</f>
        <v>44971.66667</v>
      </c>
      <c r="B598" s="1">
        <f>IFERROR(__xludf.DUMMYFUNCTION("""COMPUTED_VALUE"""),272.17)</f>
        <v>272.17</v>
      </c>
    </row>
    <row r="599">
      <c r="A599" s="2">
        <f>IFERROR(__xludf.DUMMYFUNCTION("""COMPUTED_VALUE"""),44972.66666666667)</f>
        <v>44972.66667</v>
      </c>
      <c r="B599" s="1">
        <f>IFERROR(__xludf.DUMMYFUNCTION("""COMPUTED_VALUE"""),269.32)</f>
        <v>269.32</v>
      </c>
    </row>
    <row r="600">
      <c r="A600" s="2">
        <f>IFERROR(__xludf.DUMMYFUNCTION("""COMPUTED_VALUE"""),44973.66666666667)</f>
        <v>44973.66667</v>
      </c>
      <c r="B600" s="1">
        <f>IFERROR(__xludf.DUMMYFUNCTION("""COMPUTED_VALUE"""),262.15)</f>
        <v>262.15</v>
      </c>
    </row>
    <row r="601">
      <c r="A601" s="2">
        <f>IFERROR(__xludf.DUMMYFUNCTION("""COMPUTED_VALUE"""),44974.66666666667)</f>
        <v>44974.66667</v>
      </c>
      <c r="B601" s="1">
        <f>IFERROR(__xludf.DUMMYFUNCTION("""COMPUTED_VALUE"""),258.06)</f>
        <v>258.06</v>
      </c>
    </row>
    <row r="602">
      <c r="A602" s="2">
        <f>IFERROR(__xludf.DUMMYFUNCTION("""COMPUTED_VALUE"""),44978.66666666667)</f>
        <v>44978.66667</v>
      </c>
      <c r="B602" s="1">
        <f>IFERROR(__xludf.DUMMYFUNCTION("""COMPUTED_VALUE"""),252.67)</f>
        <v>252.67</v>
      </c>
    </row>
    <row r="603">
      <c r="A603" s="2">
        <f>IFERROR(__xludf.DUMMYFUNCTION("""COMPUTED_VALUE"""),44979.66666666667)</f>
        <v>44979.66667</v>
      </c>
      <c r="B603" s="1">
        <f>IFERROR(__xludf.DUMMYFUNCTION("""COMPUTED_VALUE"""),251.51)</f>
        <v>251.51</v>
      </c>
    </row>
    <row r="604">
      <c r="A604" s="2">
        <f>IFERROR(__xludf.DUMMYFUNCTION("""COMPUTED_VALUE"""),44980.66666666667)</f>
        <v>44980.66667</v>
      </c>
      <c r="B604" s="1">
        <f>IFERROR(__xludf.DUMMYFUNCTION("""COMPUTED_VALUE"""),254.77)</f>
        <v>254.77</v>
      </c>
    </row>
    <row r="605">
      <c r="A605" s="2">
        <f>IFERROR(__xludf.DUMMYFUNCTION("""COMPUTED_VALUE"""),44981.66666666667)</f>
        <v>44981.66667</v>
      </c>
      <c r="B605" s="1">
        <f>IFERROR(__xludf.DUMMYFUNCTION("""COMPUTED_VALUE"""),249.22)</f>
        <v>249.22</v>
      </c>
    </row>
    <row r="606">
      <c r="A606" s="2">
        <f>IFERROR(__xludf.DUMMYFUNCTION("""COMPUTED_VALUE"""),44984.66666666667)</f>
        <v>44984.66667</v>
      </c>
      <c r="B606" s="1">
        <f>IFERROR(__xludf.DUMMYFUNCTION("""COMPUTED_VALUE"""),250.16)</f>
        <v>250.16</v>
      </c>
    </row>
    <row r="607">
      <c r="A607" s="2">
        <f>IFERROR(__xludf.DUMMYFUNCTION("""COMPUTED_VALUE"""),44985.66666666667)</f>
        <v>44985.66667</v>
      </c>
      <c r="B607" s="1">
        <f>IFERROR(__xludf.DUMMYFUNCTION("""COMPUTED_VALUE"""),249.42)</f>
        <v>249.42</v>
      </c>
    </row>
    <row r="608">
      <c r="A608" s="2">
        <f>IFERROR(__xludf.DUMMYFUNCTION("""COMPUTED_VALUE"""),44986.66666666667)</f>
        <v>44986.66667</v>
      </c>
      <c r="B608" s="1">
        <f>IFERROR(__xludf.DUMMYFUNCTION("""COMPUTED_VALUE"""),246.27)</f>
        <v>246.27</v>
      </c>
    </row>
    <row r="609">
      <c r="A609" s="2">
        <f>IFERROR(__xludf.DUMMYFUNCTION("""COMPUTED_VALUE"""),44987.66666666667)</f>
        <v>44987.66667</v>
      </c>
      <c r="B609" s="1">
        <f>IFERROR(__xludf.DUMMYFUNCTION("""COMPUTED_VALUE"""),251.11)</f>
        <v>251.11</v>
      </c>
    </row>
    <row r="610">
      <c r="A610" s="2">
        <f>IFERROR(__xludf.DUMMYFUNCTION("""COMPUTED_VALUE"""),44988.66666666667)</f>
        <v>44988.66667</v>
      </c>
      <c r="B610" s="1">
        <f>IFERROR(__xludf.DUMMYFUNCTION("""COMPUTED_VALUE"""),255.29)</f>
        <v>255.29</v>
      </c>
    </row>
    <row r="611">
      <c r="A611" s="2">
        <f>IFERROR(__xludf.DUMMYFUNCTION("""COMPUTED_VALUE"""),44991.66666666667)</f>
        <v>44991.66667</v>
      </c>
      <c r="B611" s="1">
        <f>IFERROR(__xludf.DUMMYFUNCTION("""COMPUTED_VALUE"""),256.87)</f>
        <v>256.87</v>
      </c>
    </row>
    <row r="612">
      <c r="A612" s="2">
        <f>IFERROR(__xludf.DUMMYFUNCTION("""COMPUTED_VALUE"""),44992.66666666667)</f>
        <v>44992.66667</v>
      </c>
      <c r="B612" s="1">
        <f>IFERROR(__xludf.DUMMYFUNCTION("""COMPUTED_VALUE"""),254.15)</f>
        <v>254.15</v>
      </c>
    </row>
    <row r="613">
      <c r="A613" s="2">
        <f>IFERROR(__xludf.DUMMYFUNCTION("""COMPUTED_VALUE"""),44993.66666666667)</f>
        <v>44993.66667</v>
      </c>
      <c r="B613" s="1">
        <f>IFERROR(__xludf.DUMMYFUNCTION("""COMPUTED_VALUE"""),253.7)</f>
        <v>253.7</v>
      </c>
    </row>
    <row r="614">
      <c r="A614" s="2">
        <f>IFERROR(__xludf.DUMMYFUNCTION("""COMPUTED_VALUE"""),44994.66666666667)</f>
        <v>44994.66667</v>
      </c>
      <c r="B614" s="1">
        <f>IFERROR(__xludf.DUMMYFUNCTION("""COMPUTED_VALUE"""),252.32)</f>
        <v>252.32</v>
      </c>
    </row>
    <row r="615">
      <c r="A615" s="2">
        <f>IFERROR(__xludf.DUMMYFUNCTION("""COMPUTED_VALUE"""),44995.66666666667)</f>
        <v>44995.66667</v>
      </c>
      <c r="B615" s="1">
        <f>IFERROR(__xludf.DUMMYFUNCTION("""COMPUTED_VALUE"""),248.59)</f>
        <v>248.59</v>
      </c>
    </row>
    <row r="616">
      <c r="A616" s="2">
        <f>IFERROR(__xludf.DUMMYFUNCTION("""COMPUTED_VALUE"""),44998.66666666667)</f>
        <v>44998.66667</v>
      </c>
      <c r="B616" s="1">
        <f>IFERROR(__xludf.DUMMYFUNCTION("""COMPUTED_VALUE"""),253.92)</f>
        <v>253.92</v>
      </c>
    </row>
    <row r="617">
      <c r="A617" s="2">
        <f>IFERROR(__xludf.DUMMYFUNCTION("""COMPUTED_VALUE"""),44999.66666666667)</f>
        <v>44999.66667</v>
      </c>
      <c r="B617" s="1">
        <f>IFERROR(__xludf.DUMMYFUNCTION("""COMPUTED_VALUE"""),260.79)</f>
        <v>260.79</v>
      </c>
    </row>
    <row r="618">
      <c r="A618" s="2">
        <f>IFERROR(__xludf.DUMMYFUNCTION("""COMPUTED_VALUE"""),45000.66666666667)</f>
        <v>45000.66667</v>
      </c>
      <c r="B618" s="1">
        <f>IFERROR(__xludf.DUMMYFUNCTION("""COMPUTED_VALUE"""),265.44)</f>
        <v>265.44</v>
      </c>
    </row>
    <row r="619">
      <c r="A619" s="2">
        <f>IFERROR(__xludf.DUMMYFUNCTION("""COMPUTED_VALUE"""),45001.66666666667)</f>
        <v>45001.66667</v>
      </c>
      <c r="B619" s="1">
        <f>IFERROR(__xludf.DUMMYFUNCTION("""COMPUTED_VALUE"""),276.2)</f>
        <v>276.2</v>
      </c>
    </row>
    <row r="620">
      <c r="A620" s="2">
        <f>IFERROR(__xludf.DUMMYFUNCTION("""COMPUTED_VALUE"""),45002.66666666667)</f>
        <v>45002.66667</v>
      </c>
      <c r="B620" s="1">
        <f>IFERROR(__xludf.DUMMYFUNCTION("""COMPUTED_VALUE"""),279.43)</f>
        <v>279.43</v>
      </c>
    </row>
    <row r="621">
      <c r="A621" s="2">
        <f>IFERROR(__xludf.DUMMYFUNCTION("""COMPUTED_VALUE"""),45005.66666666667)</f>
        <v>45005.66667</v>
      </c>
      <c r="B621" s="1">
        <f>IFERROR(__xludf.DUMMYFUNCTION("""COMPUTED_VALUE"""),272.23)</f>
        <v>272.23</v>
      </c>
    </row>
    <row r="622">
      <c r="A622" s="2">
        <f>IFERROR(__xludf.DUMMYFUNCTION("""COMPUTED_VALUE"""),45006.66666666667)</f>
        <v>45006.66667</v>
      </c>
      <c r="B622" s="1">
        <f>IFERROR(__xludf.DUMMYFUNCTION("""COMPUTED_VALUE"""),273.78)</f>
        <v>273.78</v>
      </c>
    </row>
    <row r="623">
      <c r="A623" s="2">
        <f>IFERROR(__xludf.DUMMYFUNCTION("""COMPUTED_VALUE"""),45007.66666666667)</f>
        <v>45007.66667</v>
      </c>
      <c r="B623" s="1">
        <f>IFERROR(__xludf.DUMMYFUNCTION("""COMPUTED_VALUE"""),272.29)</f>
        <v>272.29</v>
      </c>
    </row>
    <row r="624">
      <c r="A624" s="2">
        <f>IFERROR(__xludf.DUMMYFUNCTION("""COMPUTED_VALUE"""),45008.66666666667)</f>
        <v>45008.66667</v>
      </c>
      <c r="B624" s="1">
        <f>IFERROR(__xludf.DUMMYFUNCTION("""COMPUTED_VALUE"""),277.66)</f>
        <v>277.66</v>
      </c>
    </row>
    <row r="625">
      <c r="A625" s="2">
        <f>IFERROR(__xludf.DUMMYFUNCTION("""COMPUTED_VALUE"""),45009.66666666667)</f>
        <v>45009.66667</v>
      </c>
      <c r="B625" s="1">
        <f>IFERROR(__xludf.DUMMYFUNCTION("""COMPUTED_VALUE"""),280.57)</f>
        <v>280.57</v>
      </c>
    </row>
    <row r="626">
      <c r="A626" s="2">
        <f>IFERROR(__xludf.DUMMYFUNCTION("""COMPUTED_VALUE"""),45012.66666666667)</f>
        <v>45012.66667</v>
      </c>
      <c r="B626" s="1">
        <f>IFERROR(__xludf.DUMMYFUNCTION("""COMPUTED_VALUE"""),276.38)</f>
        <v>276.38</v>
      </c>
    </row>
    <row r="627">
      <c r="A627" s="2">
        <f>IFERROR(__xludf.DUMMYFUNCTION("""COMPUTED_VALUE"""),45013.66666666667)</f>
        <v>45013.66667</v>
      </c>
      <c r="B627" s="1">
        <f>IFERROR(__xludf.DUMMYFUNCTION("""COMPUTED_VALUE"""),275.23)</f>
        <v>275.23</v>
      </c>
    </row>
    <row r="628">
      <c r="A628" s="2">
        <f>IFERROR(__xludf.DUMMYFUNCTION("""COMPUTED_VALUE"""),45014.66666666667)</f>
        <v>45014.66667</v>
      </c>
      <c r="B628" s="1">
        <f>IFERROR(__xludf.DUMMYFUNCTION("""COMPUTED_VALUE"""),280.51)</f>
        <v>280.51</v>
      </c>
    </row>
    <row r="629">
      <c r="A629" s="2">
        <f>IFERROR(__xludf.DUMMYFUNCTION("""COMPUTED_VALUE"""),45015.66666666667)</f>
        <v>45015.66667</v>
      </c>
      <c r="B629" s="1">
        <f>IFERROR(__xludf.DUMMYFUNCTION("""COMPUTED_VALUE"""),284.05)</f>
        <v>284.05</v>
      </c>
    </row>
    <row r="630">
      <c r="A630" s="2">
        <f>IFERROR(__xludf.DUMMYFUNCTION("""COMPUTED_VALUE"""),45016.66666666667)</f>
        <v>45016.66667</v>
      </c>
      <c r="B630" s="1">
        <f>IFERROR(__xludf.DUMMYFUNCTION("""COMPUTED_VALUE"""),288.3)</f>
        <v>288.3</v>
      </c>
    </row>
    <row r="631">
      <c r="A631" s="2">
        <f>IFERROR(__xludf.DUMMYFUNCTION("""COMPUTED_VALUE"""),45019.66666666667)</f>
        <v>45019.66667</v>
      </c>
      <c r="B631" s="1">
        <f>IFERROR(__xludf.DUMMYFUNCTION("""COMPUTED_VALUE"""),287.23)</f>
        <v>287.23</v>
      </c>
    </row>
    <row r="632">
      <c r="A632" s="2">
        <f>IFERROR(__xludf.DUMMYFUNCTION("""COMPUTED_VALUE"""),45020.66666666667)</f>
        <v>45020.66667</v>
      </c>
      <c r="B632" s="1">
        <f>IFERROR(__xludf.DUMMYFUNCTION("""COMPUTED_VALUE"""),287.18)</f>
        <v>287.18</v>
      </c>
    </row>
    <row r="633">
      <c r="A633" s="2">
        <f>IFERROR(__xludf.DUMMYFUNCTION("""COMPUTED_VALUE"""),45021.66666666667)</f>
        <v>45021.66667</v>
      </c>
      <c r="B633" s="1">
        <f>IFERROR(__xludf.DUMMYFUNCTION("""COMPUTED_VALUE"""),284.34)</f>
        <v>284.34</v>
      </c>
    </row>
    <row r="634">
      <c r="A634" s="2">
        <f>IFERROR(__xludf.DUMMYFUNCTION("""COMPUTED_VALUE"""),45022.66666666667)</f>
        <v>45022.66667</v>
      </c>
      <c r="B634" s="1">
        <f>IFERROR(__xludf.DUMMYFUNCTION("""COMPUTED_VALUE"""),291.6)</f>
        <v>291.6</v>
      </c>
    </row>
    <row r="635">
      <c r="A635" s="2">
        <f>IFERROR(__xludf.DUMMYFUNCTION("""COMPUTED_VALUE"""),45026.66666666667)</f>
        <v>45026.66667</v>
      </c>
      <c r="B635" s="1">
        <f>IFERROR(__xludf.DUMMYFUNCTION("""COMPUTED_VALUE"""),289.39)</f>
        <v>289.39</v>
      </c>
    </row>
    <row r="636">
      <c r="A636" s="2">
        <f>IFERROR(__xludf.DUMMYFUNCTION("""COMPUTED_VALUE"""),45027.66666666667)</f>
        <v>45027.66667</v>
      </c>
      <c r="B636" s="1">
        <f>IFERROR(__xludf.DUMMYFUNCTION("""COMPUTED_VALUE"""),282.83)</f>
        <v>282.83</v>
      </c>
    </row>
    <row r="637">
      <c r="A637" s="2">
        <f>IFERROR(__xludf.DUMMYFUNCTION("""COMPUTED_VALUE"""),45028.66666666667)</f>
        <v>45028.66667</v>
      </c>
      <c r="B637" s="1">
        <f>IFERROR(__xludf.DUMMYFUNCTION("""COMPUTED_VALUE"""),283.49)</f>
        <v>283.49</v>
      </c>
    </row>
    <row r="638">
      <c r="A638" s="2">
        <f>IFERROR(__xludf.DUMMYFUNCTION("""COMPUTED_VALUE"""),45029.66666666667)</f>
        <v>45029.66667</v>
      </c>
      <c r="B638" s="1">
        <f>IFERROR(__xludf.DUMMYFUNCTION("""COMPUTED_VALUE"""),289.84)</f>
        <v>289.84</v>
      </c>
    </row>
    <row r="639">
      <c r="A639" s="2">
        <f>IFERROR(__xludf.DUMMYFUNCTION("""COMPUTED_VALUE"""),45030.66666666667)</f>
        <v>45030.66667</v>
      </c>
      <c r="B639" s="1">
        <f>IFERROR(__xludf.DUMMYFUNCTION("""COMPUTED_VALUE"""),286.14)</f>
        <v>286.14</v>
      </c>
    </row>
    <row r="640">
      <c r="A640" s="2">
        <f>IFERROR(__xludf.DUMMYFUNCTION("""COMPUTED_VALUE"""),45033.66666666667)</f>
        <v>45033.66667</v>
      </c>
      <c r="B640" s="1">
        <f>IFERROR(__xludf.DUMMYFUNCTION("""COMPUTED_VALUE"""),288.8)</f>
        <v>288.8</v>
      </c>
    </row>
    <row r="641">
      <c r="A641" s="2">
        <f>IFERROR(__xludf.DUMMYFUNCTION("""COMPUTED_VALUE"""),45034.66666666667)</f>
        <v>45034.66667</v>
      </c>
      <c r="B641" s="1">
        <f>IFERROR(__xludf.DUMMYFUNCTION("""COMPUTED_VALUE"""),288.37)</f>
        <v>288.37</v>
      </c>
    </row>
    <row r="642">
      <c r="A642" s="2">
        <f>IFERROR(__xludf.DUMMYFUNCTION("""COMPUTED_VALUE"""),45035.66666666667)</f>
        <v>45035.66667</v>
      </c>
      <c r="B642" s="1">
        <f>IFERROR(__xludf.DUMMYFUNCTION("""COMPUTED_VALUE"""),288.45)</f>
        <v>288.45</v>
      </c>
    </row>
    <row r="643">
      <c r="A643" s="2">
        <f>IFERROR(__xludf.DUMMYFUNCTION("""COMPUTED_VALUE"""),45036.66666666667)</f>
        <v>45036.66667</v>
      </c>
      <c r="B643" s="1">
        <f>IFERROR(__xludf.DUMMYFUNCTION("""COMPUTED_VALUE"""),286.11)</f>
        <v>286.11</v>
      </c>
    </row>
    <row r="644">
      <c r="A644" s="2">
        <f>IFERROR(__xludf.DUMMYFUNCTION("""COMPUTED_VALUE"""),45037.66666666667)</f>
        <v>45037.66667</v>
      </c>
      <c r="B644" s="1">
        <f>IFERROR(__xludf.DUMMYFUNCTION("""COMPUTED_VALUE"""),285.76)</f>
        <v>285.76</v>
      </c>
    </row>
    <row r="645">
      <c r="A645" s="2">
        <f>IFERROR(__xludf.DUMMYFUNCTION("""COMPUTED_VALUE"""),45040.66666666667)</f>
        <v>45040.66667</v>
      </c>
      <c r="B645" s="1">
        <f>IFERROR(__xludf.DUMMYFUNCTION("""COMPUTED_VALUE"""),281.77)</f>
        <v>281.77</v>
      </c>
    </row>
    <row r="646">
      <c r="A646" s="2">
        <f>IFERROR(__xludf.DUMMYFUNCTION("""COMPUTED_VALUE"""),45041.66666666667)</f>
        <v>45041.66667</v>
      </c>
      <c r="B646" s="1">
        <f>IFERROR(__xludf.DUMMYFUNCTION("""COMPUTED_VALUE"""),275.42)</f>
        <v>275.42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IFERROR(__xludf.DUMMYFUNCTION("""COMPUTED_VALUE"""),295.37)</f>
        <v>295.37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IFERROR(__xludf.DUMMYFUNCTION("""COMPUTED_VALUE"""),304.83)</f>
        <v>304.83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IFERROR(__xludf.DUMMYFUNCTION("""COMPUTED_VALUE"""),307.26)</f>
        <v>307.26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IFERROR(__xludf.DUMMYFUNCTION("""COMPUTED_VALUE"""),305.56)</f>
        <v>305.56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IFERROR(__xludf.DUMMYFUNCTION("""COMPUTED_VALUE"""),305.41)</f>
        <v>305.41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IFERROR(__xludf.DUMMYFUNCTION("""COMPUTED_VALUE"""),304.4)</f>
        <v>304.4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IFERROR(__xludf.DUMMYFUNCTION("""COMPUTED_VALUE"""),305.41)</f>
        <v>305.41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IFERROR(__xludf.DUMMYFUNCTION("""COMPUTED_VALUE"""),310.65)</f>
        <v>310.65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IFERROR(__xludf.DUMMYFUNCTION("""COMPUTED_VALUE"""),308.65)</f>
        <v>308.65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IFERROR(__xludf.DUMMYFUNCTION("""COMPUTED_VALUE"""),307.0)</f>
        <v>307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IFERROR(__xludf.DUMMYFUNCTION("""COMPUTED_VALUE"""),312.31)</f>
        <v>312.31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IFERROR(__xludf.DUMMYFUNCTION("""COMPUTED_VALUE"""),310.11)</f>
        <v>310.11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IFERROR(__xludf.DUMMYFUNCTION("""COMPUTED_VALUE"""),308.97)</f>
        <v>308.97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IFERROR(__xludf.DUMMYFUNCTION("""COMPUTED_VALUE"""),309.46)</f>
        <v>309.46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IFERROR(__xludf.DUMMYFUNCTION("""COMPUTED_VALUE"""),311.74)</f>
        <v>311.74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IFERROR(__xludf.DUMMYFUNCTION("""COMPUTED_VALUE"""),314.0)</f>
        <v>314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IFERROR(__xludf.DUMMYFUNCTION("""COMPUTED_VALUE"""),318.52)</f>
        <v>318.52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IFERROR(__xludf.DUMMYFUNCTION("""COMPUTED_VALUE"""),318.34)</f>
        <v>318.34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IFERROR(__xludf.DUMMYFUNCTION("""COMPUTED_VALUE"""),321.18)</f>
        <v>321.18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IFERROR(__xludf.DUMMYFUNCTION("""COMPUTED_VALUE"""),315.26)</f>
        <v>315.26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IFERROR(__xludf.DUMMYFUNCTION("""COMPUTED_VALUE"""),313.85)</f>
        <v>313.85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IFERROR(__xludf.DUMMYFUNCTION("""COMPUTED_VALUE"""),325.92)</f>
        <v>325.92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IFERROR(__xludf.DUMMYFUNCTION("""COMPUTED_VALUE"""),332.89)</f>
        <v>332.89</v>
      </c>
    </row>
    <row r="670">
      <c r="A670" s="2">
        <f>IFERROR(__xludf.DUMMYFUNCTION("""COMPUTED_VALUE"""),45076.66666666667)</f>
        <v>45076.66667</v>
      </c>
      <c r="B670" s="1">
        <f>IFERROR(__xludf.DUMMYFUNCTION("""COMPUTED_VALUE"""),331.21)</f>
        <v>331.21</v>
      </c>
    </row>
    <row r="671">
      <c r="A671" s="2">
        <f>IFERROR(__xludf.DUMMYFUNCTION("""COMPUTED_VALUE"""),45077.66666666667)</f>
        <v>45077.66667</v>
      </c>
      <c r="B671" s="1">
        <f>IFERROR(__xludf.DUMMYFUNCTION("""COMPUTED_VALUE"""),328.39)</f>
        <v>328.39</v>
      </c>
    </row>
    <row r="672">
      <c r="A672" s="2">
        <f>IFERROR(__xludf.DUMMYFUNCTION("""COMPUTED_VALUE"""),45078.66666666667)</f>
        <v>45078.66667</v>
      </c>
      <c r="B672" s="1">
        <f>IFERROR(__xludf.DUMMYFUNCTION("""COMPUTED_VALUE"""),332.58)</f>
        <v>332.58</v>
      </c>
    </row>
    <row r="673">
      <c r="A673" s="2">
        <f>IFERROR(__xludf.DUMMYFUNCTION("""COMPUTED_VALUE"""),45079.66666666667)</f>
        <v>45079.66667</v>
      </c>
      <c r="B673" s="1">
        <f>IFERROR(__xludf.DUMMYFUNCTION("""COMPUTED_VALUE"""),335.4)</f>
        <v>335.4</v>
      </c>
    </row>
    <row r="674">
      <c r="A674" s="2">
        <f>IFERROR(__xludf.DUMMYFUNCTION("""COMPUTED_VALUE"""),45082.66666666667)</f>
        <v>45082.66667</v>
      </c>
      <c r="B674" s="1">
        <f>IFERROR(__xludf.DUMMYFUNCTION("""COMPUTED_VALUE"""),335.94)</f>
        <v>335.94</v>
      </c>
    </row>
    <row r="675">
      <c r="A675" s="2">
        <f>IFERROR(__xludf.DUMMYFUNCTION("""COMPUTED_VALUE"""),45083.66666666667)</f>
        <v>45083.66667</v>
      </c>
      <c r="B675" s="1">
        <f>IFERROR(__xludf.DUMMYFUNCTION("""COMPUTED_VALUE"""),333.68)</f>
        <v>333.68</v>
      </c>
    </row>
    <row r="676">
      <c r="A676" s="2">
        <f>IFERROR(__xludf.DUMMYFUNCTION("""COMPUTED_VALUE"""),45084.66666666667)</f>
        <v>45084.66667</v>
      </c>
      <c r="B676" s="1">
        <f>IFERROR(__xludf.DUMMYFUNCTION("""COMPUTED_VALUE"""),323.38)</f>
        <v>323.38</v>
      </c>
    </row>
    <row r="677">
      <c r="A677" s="2">
        <f>IFERROR(__xludf.DUMMYFUNCTION("""COMPUTED_VALUE"""),45085.66666666667)</f>
        <v>45085.66667</v>
      </c>
      <c r="B677" s="1">
        <f>IFERROR(__xludf.DUMMYFUNCTION("""COMPUTED_VALUE"""),325.26)</f>
        <v>325.26</v>
      </c>
    </row>
    <row r="678">
      <c r="A678" s="2">
        <f>IFERROR(__xludf.DUMMYFUNCTION("""COMPUTED_VALUE"""),45086.66666666667)</f>
        <v>45086.66667</v>
      </c>
      <c r="B678" s="1">
        <f>IFERROR(__xludf.DUMMYFUNCTION("""COMPUTED_VALUE"""),326.79)</f>
        <v>326.79</v>
      </c>
    </row>
    <row r="679">
      <c r="A679" s="2">
        <f>IFERROR(__xludf.DUMMYFUNCTION("""COMPUTED_VALUE"""),45089.66666666667)</f>
        <v>45089.66667</v>
      </c>
      <c r="B679" s="1">
        <f>IFERROR(__xludf.DUMMYFUNCTION("""COMPUTED_VALUE"""),331.85)</f>
        <v>331.85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IFERROR(__xludf.DUMMYFUNCTION("""COMPUTED_VALUE"""),334.29)</f>
        <v>334.29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IFERROR(__xludf.DUMMYFUNCTION("""COMPUTED_VALUE"""),337.34)</f>
        <v>337.34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IFERROR(__xludf.DUMMYFUNCTION("""COMPUTED_VALUE"""),348.1)</f>
        <v>348.1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IFERROR(__xludf.DUMMYFUNCTION("""COMPUTED_VALUE"""),342.33)</f>
        <v>342.33</v>
      </c>
    </row>
    <row r="684">
      <c r="A684" s="2">
        <f>IFERROR(__xludf.DUMMYFUNCTION("""COMPUTED_VALUE"""),45097.66666666667)</f>
        <v>45097.66667</v>
      </c>
      <c r="B684" s="1">
        <f>IFERROR(__xludf.DUMMYFUNCTION("""COMPUTED_VALUE"""),338.05)</f>
        <v>338.05</v>
      </c>
    </row>
    <row r="685">
      <c r="A685" s="2">
        <f>IFERROR(__xludf.DUMMYFUNCTION("""COMPUTED_VALUE"""),45098.66666666667)</f>
        <v>45098.66667</v>
      </c>
      <c r="B685" s="1">
        <f>IFERROR(__xludf.DUMMYFUNCTION("""COMPUTED_VALUE"""),333.56)</f>
        <v>333.56</v>
      </c>
    </row>
    <row r="686">
      <c r="A686" s="2">
        <f>IFERROR(__xludf.DUMMYFUNCTION("""COMPUTED_VALUE"""),45099.66666666667)</f>
        <v>45099.66667</v>
      </c>
      <c r="B686" s="1">
        <f>IFERROR(__xludf.DUMMYFUNCTION("""COMPUTED_VALUE"""),339.71)</f>
        <v>339.71</v>
      </c>
    </row>
    <row r="687">
      <c r="A687" s="2">
        <f>IFERROR(__xludf.DUMMYFUNCTION("""COMPUTED_VALUE"""),45100.66666666667)</f>
        <v>45100.66667</v>
      </c>
      <c r="B687" s="1">
        <f>IFERROR(__xludf.DUMMYFUNCTION("""COMPUTED_VALUE"""),335.02)</f>
        <v>335.02</v>
      </c>
    </row>
    <row r="688">
      <c r="A688" s="2">
        <f>IFERROR(__xludf.DUMMYFUNCTION("""COMPUTED_VALUE"""),45103.66666666667)</f>
        <v>45103.66667</v>
      </c>
      <c r="B688" s="1">
        <f>IFERROR(__xludf.DUMMYFUNCTION("""COMPUTED_VALUE"""),328.6)</f>
        <v>328.6</v>
      </c>
    </row>
    <row r="689">
      <c r="A689" s="2">
        <f>IFERROR(__xludf.DUMMYFUNCTION("""COMPUTED_VALUE"""),45104.66666666667)</f>
        <v>45104.66667</v>
      </c>
      <c r="B689" s="1">
        <f>IFERROR(__xludf.DUMMYFUNCTION("""COMPUTED_VALUE"""),334.57)</f>
        <v>334.57</v>
      </c>
    </row>
    <row r="690">
      <c r="A690" s="2">
        <f>IFERROR(__xludf.DUMMYFUNCTION("""COMPUTED_VALUE"""),45105.66666666667)</f>
        <v>45105.66667</v>
      </c>
      <c r="B690" s="1">
        <f>IFERROR(__xludf.DUMMYFUNCTION("""COMPUTED_VALUE"""),335.85)</f>
        <v>335.85</v>
      </c>
    </row>
    <row r="691">
      <c r="A691" s="2">
        <f>IFERROR(__xludf.DUMMYFUNCTION("""COMPUTED_VALUE"""),45106.66666666667)</f>
        <v>45106.66667</v>
      </c>
      <c r="B691" s="1">
        <f>IFERROR(__xludf.DUMMYFUNCTION("""COMPUTED_VALUE"""),335.05)</f>
        <v>335.05</v>
      </c>
    </row>
    <row r="692">
      <c r="A692" s="2">
        <f>IFERROR(__xludf.DUMMYFUNCTION("""COMPUTED_VALUE"""),45107.66666666667)</f>
        <v>45107.66667</v>
      </c>
      <c r="B692" s="1">
        <f>IFERROR(__xludf.DUMMYFUNCTION("""COMPUTED_VALUE"""),340.54)</f>
        <v>340.54</v>
      </c>
    </row>
    <row r="693">
      <c r="A693" s="2">
        <f>IFERROR(__xludf.DUMMYFUNCTION("""COMPUTED_VALUE"""),45110.54513888889)</f>
        <v>45110.54514</v>
      </c>
      <c r="B693" s="1">
        <f>IFERROR(__xludf.DUMMYFUNCTION("""COMPUTED_VALUE"""),337.99)</f>
        <v>337.99</v>
      </c>
    </row>
    <row r="694">
      <c r="A694" s="2">
        <f>IFERROR(__xludf.DUMMYFUNCTION("""COMPUTED_VALUE"""),45112.66666666667)</f>
        <v>45112.66667</v>
      </c>
      <c r="B694" s="1">
        <f>IFERROR(__xludf.DUMMYFUNCTION("""COMPUTED_VALUE"""),338.15)</f>
        <v>338.15</v>
      </c>
    </row>
    <row r="695">
      <c r="A695" s="2">
        <f>IFERROR(__xludf.DUMMYFUNCTION("""COMPUTED_VALUE"""),45113.66666666667)</f>
        <v>45113.66667</v>
      </c>
      <c r="B695" s="1">
        <f>IFERROR(__xludf.DUMMYFUNCTION("""COMPUTED_VALUE"""),341.27)</f>
        <v>341.27</v>
      </c>
    </row>
    <row r="696">
      <c r="A696" s="2">
        <f>IFERROR(__xludf.DUMMYFUNCTION("""COMPUTED_VALUE"""),45114.66666666667)</f>
        <v>45114.66667</v>
      </c>
      <c r="B696" s="1">
        <f>IFERROR(__xludf.DUMMYFUNCTION("""COMPUTED_VALUE"""),337.22)</f>
        <v>337.22</v>
      </c>
    </row>
    <row r="697">
      <c r="A697" s="2">
        <f>IFERROR(__xludf.DUMMYFUNCTION("""COMPUTED_VALUE"""),45117.66666666667)</f>
        <v>45117.66667</v>
      </c>
      <c r="B697" s="1">
        <f>IFERROR(__xludf.DUMMYFUNCTION("""COMPUTED_VALUE"""),331.83)</f>
        <v>331.83</v>
      </c>
    </row>
    <row r="698">
      <c r="A698" s="2">
        <f>IFERROR(__xludf.DUMMYFUNCTION("""COMPUTED_VALUE"""),45118.66666666667)</f>
        <v>45118.66667</v>
      </c>
      <c r="B698" s="1">
        <f>IFERROR(__xludf.DUMMYFUNCTION("""COMPUTED_VALUE"""),332.47)</f>
        <v>332.47</v>
      </c>
    </row>
    <row r="699">
      <c r="A699" s="2">
        <f>IFERROR(__xludf.DUMMYFUNCTION("""COMPUTED_VALUE"""),45119.66666666667)</f>
        <v>45119.66667</v>
      </c>
      <c r="B699" s="1">
        <f>IFERROR(__xludf.DUMMYFUNCTION("""COMPUTED_VALUE"""),337.2)</f>
        <v>337.2</v>
      </c>
    </row>
    <row r="700">
      <c r="A700" s="2">
        <f>IFERROR(__xludf.DUMMYFUNCTION("""COMPUTED_VALUE"""),45120.66666666667)</f>
        <v>45120.66667</v>
      </c>
      <c r="B700" s="1">
        <f>IFERROR(__xludf.DUMMYFUNCTION("""COMPUTED_VALUE"""),342.66)</f>
        <v>342.66</v>
      </c>
    </row>
    <row r="701">
      <c r="A701" s="2">
        <f>IFERROR(__xludf.DUMMYFUNCTION("""COMPUTED_VALUE"""),45121.66666666667)</f>
        <v>45121.66667</v>
      </c>
      <c r="B701" s="1">
        <f>IFERROR(__xludf.DUMMYFUNCTION("""COMPUTED_VALUE"""),345.24)</f>
        <v>345.24</v>
      </c>
    </row>
    <row r="702">
      <c r="A702" s="2">
        <f>IFERROR(__xludf.DUMMYFUNCTION("""COMPUTED_VALUE"""),45124.66666666667)</f>
        <v>45124.66667</v>
      </c>
      <c r="B702" s="1">
        <f>IFERROR(__xludf.DUMMYFUNCTION("""COMPUTED_VALUE"""),345.73)</f>
        <v>345.73</v>
      </c>
    </row>
    <row r="703">
      <c r="A703" s="2">
        <f>IFERROR(__xludf.DUMMYFUNCTION("""COMPUTED_VALUE"""),45125.66666666667)</f>
        <v>45125.66667</v>
      </c>
      <c r="B703" s="1">
        <f>IFERROR(__xludf.DUMMYFUNCTION("""COMPUTED_VALUE"""),359.49)</f>
        <v>359.49</v>
      </c>
    </row>
    <row r="704">
      <c r="A704" s="2">
        <f>IFERROR(__xludf.DUMMYFUNCTION("""COMPUTED_VALUE"""),45126.66666666667)</f>
        <v>45126.66667</v>
      </c>
      <c r="B704" s="1">
        <f>IFERROR(__xludf.DUMMYFUNCTION("""COMPUTED_VALUE"""),355.08)</f>
        <v>355.08</v>
      </c>
    </row>
    <row r="705">
      <c r="A705" s="2">
        <f>IFERROR(__xludf.DUMMYFUNCTION("""COMPUTED_VALUE"""),45127.66666666667)</f>
        <v>45127.66667</v>
      </c>
      <c r="B705" s="1">
        <f>IFERROR(__xludf.DUMMYFUNCTION("""COMPUTED_VALUE"""),346.87)</f>
        <v>346.87</v>
      </c>
    </row>
    <row r="706">
      <c r="A706" s="2">
        <f>IFERROR(__xludf.DUMMYFUNCTION("""COMPUTED_VALUE"""),45128.66666666667)</f>
        <v>45128.66667</v>
      </c>
      <c r="B706" s="1">
        <f>IFERROR(__xludf.DUMMYFUNCTION("""COMPUTED_VALUE"""),343.77)</f>
        <v>343.77</v>
      </c>
    </row>
    <row r="707">
      <c r="A707" s="2">
        <f>IFERROR(__xludf.DUMMYFUNCTION("""COMPUTED_VALUE"""),45131.66666666667)</f>
        <v>45131.66667</v>
      </c>
      <c r="B707" s="1">
        <f>IFERROR(__xludf.DUMMYFUNCTION("""COMPUTED_VALUE"""),345.11)</f>
        <v>345.11</v>
      </c>
    </row>
    <row r="708">
      <c r="A708" s="2">
        <f>IFERROR(__xludf.DUMMYFUNCTION("""COMPUTED_VALUE"""),45132.66666666667)</f>
        <v>45132.66667</v>
      </c>
      <c r="B708" s="1">
        <f>IFERROR(__xludf.DUMMYFUNCTION("""COMPUTED_VALUE"""),350.98)</f>
        <v>350.98</v>
      </c>
    </row>
    <row r="709">
      <c r="A709" s="2">
        <f>IFERROR(__xludf.DUMMYFUNCTION("""COMPUTED_VALUE"""),45133.66666666667)</f>
        <v>45133.66667</v>
      </c>
      <c r="B709" s="1">
        <f>IFERROR(__xludf.DUMMYFUNCTION("""COMPUTED_VALUE"""),337.77)</f>
        <v>337.77</v>
      </c>
    </row>
    <row r="710">
      <c r="A710" s="2">
        <f>IFERROR(__xludf.DUMMYFUNCTION("""COMPUTED_VALUE"""),45134.66666666667)</f>
        <v>45134.66667</v>
      </c>
      <c r="B710" s="1">
        <f>IFERROR(__xludf.DUMMYFUNCTION("""COMPUTED_VALUE"""),330.72)</f>
        <v>330.72</v>
      </c>
    </row>
    <row r="711">
      <c r="A711" s="2">
        <f>IFERROR(__xludf.DUMMYFUNCTION("""COMPUTED_VALUE"""),45135.66666666667)</f>
        <v>45135.66667</v>
      </c>
      <c r="B711" s="1">
        <f>IFERROR(__xludf.DUMMYFUNCTION("""COMPUTED_VALUE"""),338.37)</f>
        <v>338.37</v>
      </c>
    </row>
    <row r="712">
      <c r="A712" s="2">
        <f>IFERROR(__xludf.DUMMYFUNCTION("""COMPUTED_VALUE"""),45138.66666666667)</f>
        <v>45138.66667</v>
      </c>
      <c r="B712" s="1">
        <f>IFERROR(__xludf.DUMMYFUNCTION("""COMPUTED_VALUE"""),335.92)</f>
        <v>335.92</v>
      </c>
    </row>
    <row r="713">
      <c r="A713" s="2">
        <f>IFERROR(__xludf.DUMMYFUNCTION("""COMPUTED_VALUE"""),45139.66666666667)</f>
        <v>45139.66667</v>
      </c>
      <c r="B713" s="1">
        <f>IFERROR(__xludf.DUMMYFUNCTION("""COMPUTED_VALUE"""),336.34)</f>
        <v>336.34</v>
      </c>
    </row>
    <row r="714">
      <c r="A714" s="2">
        <f>IFERROR(__xludf.DUMMYFUNCTION("""COMPUTED_VALUE"""),45140.66666666667)</f>
        <v>45140.66667</v>
      </c>
      <c r="B714" s="1">
        <f>IFERROR(__xludf.DUMMYFUNCTION("""COMPUTED_VALUE"""),327.5)</f>
        <v>327.5</v>
      </c>
    </row>
    <row r="715">
      <c r="A715" s="2">
        <f>IFERROR(__xludf.DUMMYFUNCTION("""COMPUTED_VALUE"""),45141.66666666667)</f>
        <v>45141.66667</v>
      </c>
      <c r="B715" s="1">
        <f>IFERROR(__xludf.DUMMYFUNCTION("""COMPUTED_VALUE"""),326.66)</f>
        <v>326.66</v>
      </c>
    </row>
    <row r="716">
      <c r="A716" s="2">
        <f>IFERROR(__xludf.DUMMYFUNCTION("""COMPUTED_VALUE"""),45142.66666666667)</f>
        <v>45142.66667</v>
      </c>
      <c r="B716" s="1">
        <f>IFERROR(__xludf.DUMMYFUNCTION("""COMPUTED_VALUE"""),327.78)</f>
        <v>327.78</v>
      </c>
    </row>
    <row r="717">
      <c r="A717" s="2">
        <f>IFERROR(__xludf.DUMMYFUNCTION("""COMPUTED_VALUE"""),45145.66666666667)</f>
        <v>45145.66667</v>
      </c>
      <c r="B717" s="1">
        <f>IFERROR(__xludf.DUMMYFUNCTION("""COMPUTED_VALUE"""),330.11)</f>
        <v>330.11</v>
      </c>
    </row>
    <row r="718">
      <c r="A718" s="2">
        <f>IFERROR(__xludf.DUMMYFUNCTION("""COMPUTED_VALUE"""),45146.66666666667)</f>
        <v>45146.66667</v>
      </c>
      <c r="B718" s="1">
        <f>IFERROR(__xludf.DUMMYFUNCTION("""COMPUTED_VALUE"""),326.05)</f>
        <v>326.05</v>
      </c>
    </row>
    <row r="719">
      <c r="A719" s="2">
        <f>IFERROR(__xludf.DUMMYFUNCTION("""COMPUTED_VALUE"""),45147.66666666667)</f>
        <v>45147.66667</v>
      </c>
      <c r="B719" s="1">
        <f>IFERROR(__xludf.DUMMYFUNCTION("""COMPUTED_VALUE"""),322.23)</f>
        <v>322.23</v>
      </c>
    </row>
    <row r="720">
      <c r="A720" s="2">
        <f>IFERROR(__xludf.DUMMYFUNCTION("""COMPUTED_VALUE"""),45148.66666666667)</f>
        <v>45148.66667</v>
      </c>
      <c r="B720" s="1">
        <f>IFERROR(__xludf.DUMMYFUNCTION("""COMPUTED_VALUE"""),322.93)</f>
        <v>322.93</v>
      </c>
    </row>
    <row r="721">
      <c r="A721" s="2">
        <f>IFERROR(__xludf.DUMMYFUNCTION("""COMPUTED_VALUE"""),45149.66666666667)</f>
        <v>45149.66667</v>
      </c>
      <c r="B721" s="1">
        <f>IFERROR(__xludf.DUMMYFUNCTION("""COMPUTED_VALUE"""),321.01)</f>
        <v>321.01</v>
      </c>
    </row>
    <row r="722">
      <c r="A722" s="2">
        <f>IFERROR(__xludf.DUMMYFUNCTION("""COMPUTED_VALUE"""),45152.66666666667)</f>
        <v>45152.66667</v>
      </c>
      <c r="B722" s="1">
        <f>IFERROR(__xludf.DUMMYFUNCTION("""COMPUTED_VALUE"""),324.04)</f>
        <v>324.04</v>
      </c>
    </row>
    <row r="723">
      <c r="A723" s="2">
        <f>IFERROR(__xludf.DUMMYFUNCTION("""COMPUTED_VALUE"""),45153.66666666667)</f>
        <v>45153.66667</v>
      </c>
      <c r="B723" s="1">
        <f>IFERROR(__xludf.DUMMYFUNCTION("""COMPUTED_VALUE"""),321.86)</f>
        <v>321.86</v>
      </c>
    </row>
    <row r="724">
      <c r="A724" s="2">
        <f>IFERROR(__xludf.DUMMYFUNCTION("""COMPUTED_VALUE"""),45154.66666666667)</f>
        <v>45154.66667</v>
      </c>
      <c r="B724" s="1">
        <f>IFERROR(__xludf.DUMMYFUNCTION("""COMPUTED_VALUE"""),320.4)</f>
        <v>320.4</v>
      </c>
    </row>
    <row r="725">
      <c r="A725" s="2">
        <f>IFERROR(__xludf.DUMMYFUNCTION("""COMPUTED_VALUE"""),45155.66666666667)</f>
        <v>45155.66667</v>
      </c>
      <c r="B725" s="1">
        <f>IFERROR(__xludf.DUMMYFUNCTION("""COMPUTED_VALUE"""),316.88)</f>
        <v>316.88</v>
      </c>
    </row>
    <row r="726">
      <c r="A726" s="2">
        <f>IFERROR(__xludf.DUMMYFUNCTION("""COMPUTED_VALUE"""),45156.66666666667)</f>
        <v>45156.66667</v>
      </c>
      <c r="B726" s="1">
        <f>IFERROR(__xludf.DUMMYFUNCTION("""COMPUTED_VALUE"""),316.48)</f>
        <v>316.48</v>
      </c>
    </row>
    <row r="727">
      <c r="A727" s="2">
        <f>IFERROR(__xludf.DUMMYFUNCTION("""COMPUTED_VALUE"""),45159.66666666667)</f>
        <v>45159.66667</v>
      </c>
      <c r="B727" s="1">
        <f>IFERROR(__xludf.DUMMYFUNCTION("""COMPUTED_VALUE"""),321.88)</f>
        <v>321.88</v>
      </c>
    </row>
    <row r="728">
      <c r="A728" s="2">
        <f>IFERROR(__xludf.DUMMYFUNCTION("""COMPUTED_VALUE"""),45160.66666666667)</f>
        <v>45160.66667</v>
      </c>
      <c r="B728" s="1">
        <f>IFERROR(__xludf.DUMMYFUNCTION("""COMPUTED_VALUE"""),322.46)</f>
        <v>322.46</v>
      </c>
    </row>
    <row r="729">
      <c r="A729" s="2">
        <f>IFERROR(__xludf.DUMMYFUNCTION("""COMPUTED_VALUE"""),45161.66666666667)</f>
        <v>45161.66667</v>
      </c>
      <c r="B729" s="1">
        <f>IFERROR(__xludf.DUMMYFUNCTION("""COMPUTED_VALUE"""),327.0)</f>
        <v>327</v>
      </c>
    </row>
    <row r="730">
      <c r="A730" s="2">
        <f>IFERROR(__xludf.DUMMYFUNCTION("""COMPUTED_VALUE"""),45162.66666666667)</f>
        <v>45162.66667</v>
      </c>
      <c r="B730" s="1">
        <f>IFERROR(__xludf.DUMMYFUNCTION("""COMPUTED_VALUE"""),319.97)</f>
        <v>319.97</v>
      </c>
    </row>
    <row r="731">
      <c r="A731" s="2">
        <f>IFERROR(__xludf.DUMMYFUNCTION("""COMPUTED_VALUE"""),45163.66666666667)</f>
        <v>45163.66667</v>
      </c>
      <c r="B731" s="1">
        <f>IFERROR(__xludf.DUMMYFUNCTION("""COMPUTED_VALUE"""),322.98)</f>
        <v>322.98</v>
      </c>
    </row>
    <row r="732">
      <c r="A732" s="2">
        <f>IFERROR(__xludf.DUMMYFUNCTION("""COMPUTED_VALUE"""),45166.66666666667)</f>
        <v>45166.66667</v>
      </c>
      <c r="B732" s="1">
        <f>IFERROR(__xludf.DUMMYFUNCTION("""COMPUTED_VALUE"""),323.7)</f>
        <v>323.7</v>
      </c>
    </row>
    <row r="733">
      <c r="A733" s="2">
        <f>IFERROR(__xludf.DUMMYFUNCTION("""COMPUTED_VALUE"""),45167.66666666667)</f>
        <v>45167.66667</v>
      </c>
      <c r="B733" s="1">
        <f>IFERROR(__xludf.DUMMYFUNCTION("""COMPUTED_VALUE"""),328.41)</f>
        <v>328.41</v>
      </c>
    </row>
    <row r="734">
      <c r="A734" s="2">
        <f>IFERROR(__xludf.DUMMYFUNCTION("""COMPUTED_VALUE"""),45168.66666666667)</f>
        <v>45168.66667</v>
      </c>
      <c r="B734" s="1">
        <f>IFERROR(__xludf.DUMMYFUNCTION("""COMPUTED_VALUE"""),328.79)</f>
        <v>328.79</v>
      </c>
    </row>
    <row r="735">
      <c r="A735" s="2">
        <f>IFERROR(__xludf.DUMMYFUNCTION("""COMPUTED_VALUE"""),45169.66666666667)</f>
        <v>45169.66667</v>
      </c>
      <c r="B735" s="1">
        <f>IFERROR(__xludf.DUMMYFUNCTION("""COMPUTED_VALUE"""),327.76)</f>
        <v>327.76</v>
      </c>
    </row>
    <row r="736">
      <c r="A736" s="2">
        <f>IFERROR(__xludf.DUMMYFUNCTION("""COMPUTED_VALUE"""),45170.66666666667)</f>
        <v>45170.66667</v>
      </c>
      <c r="B736" s="1">
        <f>IFERROR(__xludf.DUMMYFUNCTION("""COMPUTED_VALUE"""),328.66)</f>
        <v>328.66</v>
      </c>
    </row>
    <row r="737">
      <c r="A737" s="2">
        <f>IFERROR(__xludf.DUMMYFUNCTION("""COMPUTED_VALUE"""),45174.66666666667)</f>
        <v>45174.66667</v>
      </c>
      <c r="B737" s="1">
        <f>IFERROR(__xludf.DUMMYFUNCTION("""COMPUTED_VALUE"""),333.55)</f>
        <v>333.55</v>
      </c>
    </row>
    <row r="738">
      <c r="A738" s="2">
        <f>IFERROR(__xludf.DUMMYFUNCTION("""COMPUTED_VALUE"""),45175.66666666667)</f>
        <v>45175.66667</v>
      </c>
      <c r="B738" s="1">
        <f>IFERROR(__xludf.DUMMYFUNCTION("""COMPUTED_VALUE"""),332.88)</f>
        <v>332.88</v>
      </c>
    </row>
    <row r="739">
      <c r="A739" s="2">
        <f>IFERROR(__xludf.DUMMYFUNCTION("""COMPUTED_VALUE"""),45176.66666666667)</f>
        <v>45176.66667</v>
      </c>
      <c r="B739" s="1">
        <f>IFERROR(__xludf.DUMMYFUNCTION("""COMPUTED_VALUE"""),329.91)</f>
        <v>329.91</v>
      </c>
    </row>
    <row r="740">
      <c r="A740" s="2">
        <f>IFERROR(__xludf.DUMMYFUNCTION("""COMPUTED_VALUE"""),45177.66666666667)</f>
        <v>45177.66667</v>
      </c>
      <c r="B740" s="1">
        <f>IFERROR(__xludf.DUMMYFUNCTION("""COMPUTED_VALUE"""),334.27)</f>
        <v>334.27</v>
      </c>
    </row>
    <row r="741">
      <c r="A741" s="2">
        <f>IFERROR(__xludf.DUMMYFUNCTION("""COMPUTED_VALUE"""),45180.66666666667)</f>
        <v>45180.66667</v>
      </c>
      <c r="B741" s="1">
        <f>IFERROR(__xludf.DUMMYFUNCTION("""COMPUTED_VALUE"""),337.94)</f>
        <v>337.94</v>
      </c>
    </row>
    <row r="742">
      <c r="A742" s="2">
        <f>IFERROR(__xludf.DUMMYFUNCTION("""COMPUTED_VALUE"""),45181.66666666667)</f>
        <v>45181.66667</v>
      </c>
      <c r="B742" s="1">
        <f>IFERROR(__xludf.DUMMYFUNCTION("""COMPUTED_VALUE"""),331.77)</f>
        <v>331.77</v>
      </c>
    </row>
    <row r="743">
      <c r="A743" s="2">
        <f>IFERROR(__xludf.DUMMYFUNCTION("""COMPUTED_VALUE"""),45182.66666666667)</f>
        <v>45182.66667</v>
      </c>
      <c r="B743" s="1">
        <f>IFERROR(__xludf.DUMMYFUNCTION("""COMPUTED_VALUE"""),336.06)</f>
        <v>336.06</v>
      </c>
    </row>
    <row r="744">
      <c r="A744" s="2">
        <f>IFERROR(__xludf.DUMMYFUNCTION("""COMPUTED_VALUE"""),45183.66666666667)</f>
        <v>45183.66667</v>
      </c>
      <c r="B744" s="1">
        <f>IFERROR(__xludf.DUMMYFUNCTION("""COMPUTED_VALUE"""),338.7)</f>
        <v>338.7</v>
      </c>
    </row>
    <row r="745">
      <c r="A745" s="2">
        <f>IFERROR(__xludf.DUMMYFUNCTION("""COMPUTED_VALUE"""),45184.66666666667)</f>
        <v>45184.66667</v>
      </c>
      <c r="B745" s="1">
        <f>IFERROR(__xludf.DUMMYFUNCTION("""COMPUTED_VALUE"""),330.22)</f>
        <v>330.22</v>
      </c>
    </row>
    <row r="746">
      <c r="A746" s="2">
        <f>IFERROR(__xludf.DUMMYFUNCTION("""COMPUTED_VALUE"""),45187.66666666667)</f>
        <v>45187.66667</v>
      </c>
      <c r="B746" s="1">
        <f>IFERROR(__xludf.DUMMYFUNCTION("""COMPUTED_VALUE"""),329.06)</f>
        <v>329.06</v>
      </c>
    </row>
    <row r="747">
      <c r="A747" s="2">
        <f>IFERROR(__xludf.DUMMYFUNCTION("""COMPUTED_VALUE"""),45188.66666666667)</f>
        <v>45188.66667</v>
      </c>
      <c r="B747" s="1">
        <f>IFERROR(__xludf.DUMMYFUNCTION("""COMPUTED_VALUE"""),328.65)</f>
        <v>328.65</v>
      </c>
    </row>
    <row r="748">
      <c r="A748" s="2">
        <f>IFERROR(__xludf.DUMMYFUNCTION("""COMPUTED_VALUE"""),45189.66666666667)</f>
        <v>45189.66667</v>
      </c>
      <c r="B748" s="1">
        <f>IFERROR(__xludf.DUMMYFUNCTION("""COMPUTED_VALUE"""),320.77)</f>
        <v>320.77</v>
      </c>
    </row>
    <row r="749">
      <c r="A749" s="2">
        <f>IFERROR(__xludf.DUMMYFUNCTION("""COMPUTED_VALUE"""),45190.66666666667)</f>
        <v>45190.66667</v>
      </c>
      <c r="B749" s="1">
        <f>IFERROR(__xludf.DUMMYFUNCTION("""COMPUTED_VALUE"""),319.53)</f>
        <v>319.53</v>
      </c>
    </row>
    <row r="750">
      <c r="A750" s="2">
        <f>IFERROR(__xludf.DUMMYFUNCTION("""COMPUTED_VALUE"""),45191.66666666667)</f>
        <v>45191.66667</v>
      </c>
      <c r="B750" s="1">
        <f>IFERROR(__xludf.DUMMYFUNCTION("""COMPUTED_VALUE"""),317.01)</f>
        <v>317.01</v>
      </c>
    </row>
    <row r="751">
      <c r="A751" s="2">
        <f>IFERROR(__xludf.DUMMYFUNCTION("""COMPUTED_VALUE"""),45194.66666666667)</f>
        <v>45194.66667</v>
      </c>
      <c r="B751" s="1">
        <f>IFERROR(__xludf.DUMMYFUNCTION("""COMPUTED_VALUE"""),317.54)</f>
        <v>317.54</v>
      </c>
    </row>
    <row r="752">
      <c r="A752" s="2">
        <f>IFERROR(__xludf.DUMMYFUNCTION("""COMPUTED_VALUE"""),45195.66666666667)</f>
        <v>45195.66667</v>
      </c>
      <c r="B752" s="1">
        <f>IFERROR(__xludf.DUMMYFUNCTION("""COMPUTED_VALUE"""),312.14)</f>
        <v>312.14</v>
      </c>
    </row>
    <row r="753">
      <c r="A753" s="2">
        <f>IFERROR(__xludf.DUMMYFUNCTION("""COMPUTED_VALUE"""),45196.66666666667)</f>
        <v>45196.66667</v>
      </c>
      <c r="B753" s="1">
        <f>IFERROR(__xludf.DUMMYFUNCTION("""COMPUTED_VALUE"""),312.79)</f>
        <v>312.79</v>
      </c>
    </row>
    <row r="754">
      <c r="A754" s="2">
        <f>IFERROR(__xludf.DUMMYFUNCTION("""COMPUTED_VALUE"""),45197.66666666667)</f>
        <v>45197.66667</v>
      </c>
      <c r="B754" s="1">
        <f>IFERROR(__xludf.DUMMYFUNCTION("""COMPUTED_VALUE"""),313.64)</f>
        <v>313.64</v>
      </c>
    </row>
    <row r="755">
      <c r="A755" s="2">
        <f>IFERROR(__xludf.DUMMYFUNCTION("""COMPUTED_VALUE"""),45198.66666666667)</f>
        <v>45198.66667</v>
      </c>
      <c r="B755" s="1">
        <f>IFERROR(__xludf.DUMMYFUNCTION("""COMPUTED_VALUE"""),315.75)</f>
        <v>315.75</v>
      </c>
    </row>
    <row r="756">
      <c r="A756" s="2">
        <f>IFERROR(__xludf.DUMMYFUNCTION("""COMPUTED_VALUE"""),45201.66666666667)</f>
        <v>45201.66667</v>
      </c>
      <c r="B756" s="1">
        <f>IFERROR(__xludf.DUMMYFUNCTION("""COMPUTED_VALUE"""),321.8)</f>
        <v>321.8</v>
      </c>
    </row>
    <row r="757">
      <c r="A757" s="2">
        <f>IFERROR(__xludf.DUMMYFUNCTION("""COMPUTED_VALUE"""),45202.66666666667)</f>
        <v>45202.66667</v>
      </c>
      <c r="B757" s="1">
        <f>IFERROR(__xludf.DUMMYFUNCTION("""COMPUTED_VALUE"""),313.39)</f>
        <v>313.39</v>
      </c>
    </row>
    <row r="758">
      <c r="A758" s="2">
        <f>IFERROR(__xludf.DUMMYFUNCTION("""COMPUTED_VALUE"""),45203.66666666667)</f>
        <v>45203.66667</v>
      </c>
      <c r="B758" s="1">
        <f>IFERROR(__xludf.DUMMYFUNCTION("""COMPUTED_VALUE"""),318.96)</f>
        <v>318.96</v>
      </c>
    </row>
    <row r="759">
      <c r="A759" s="2">
        <f>IFERROR(__xludf.DUMMYFUNCTION("""COMPUTED_VALUE"""),45204.66666666667)</f>
        <v>45204.66667</v>
      </c>
      <c r="B759" s="1">
        <f>IFERROR(__xludf.DUMMYFUNCTION("""COMPUTED_VALUE"""),319.36)</f>
        <v>319.36</v>
      </c>
    </row>
    <row r="760">
      <c r="A760" s="2">
        <f>IFERROR(__xludf.DUMMYFUNCTION("""COMPUTED_VALUE"""),45205.66666666667)</f>
        <v>45205.66667</v>
      </c>
      <c r="B760" s="1">
        <f>IFERROR(__xludf.DUMMYFUNCTION("""COMPUTED_VALUE"""),327.26)</f>
        <v>327.26</v>
      </c>
    </row>
    <row r="761">
      <c r="A761" s="2">
        <f>IFERROR(__xludf.DUMMYFUNCTION("""COMPUTED_VALUE"""),45208.66666666667)</f>
        <v>45208.66667</v>
      </c>
      <c r="B761" s="1">
        <f>IFERROR(__xludf.DUMMYFUNCTION("""COMPUTED_VALUE"""),329.82)</f>
        <v>329.82</v>
      </c>
    </row>
    <row r="762">
      <c r="A762" s="2">
        <f>IFERROR(__xludf.DUMMYFUNCTION("""COMPUTED_VALUE"""),45209.66666666667)</f>
        <v>45209.66667</v>
      </c>
      <c r="B762" s="1">
        <f>IFERROR(__xludf.DUMMYFUNCTION("""COMPUTED_VALUE"""),328.39)</f>
        <v>328.39</v>
      </c>
    </row>
    <row r="763">
      <c r="A763" s="2">
        <f>IFERROR(__xludf.DUMMYFUNCTION("""COMPUTED_VALUE"""),45210.66666666667)</f>
        <v>45210.66667</v>
      </c>
      <c r="B763" s="1">
        <f>IFERROR(__xludf.DUMMYFUNCTION("""COMPUTED_VALUE"""),332.42)</f>
        <v>332.42</v>
      </c>
    </row>
    <row r="764">
      <c r="A764" s="2">
        <f>IFERROR(__xludf.DUMMYFUNCTION("""COMPUTED_VALUE"""),45211.66666666667)</f>
        <v>45211.66667</v>
      </c>
      <c r="B764" s="1">
        <f>IFERROR(__xludf.DUMMYFUNCTION("""COMPUTED_VALUE"""),331.16)</f>
        <v>331.16</v>
      </c>
    </row>
    <row r="765">
      <c r="A765" s="2">
        <f>IFERROR(__xludf.DUMMYFUNCTION("""COMPUTED_VALUE"""),45212.66666666667)</f>
        <v>45212.66667</v>
      </c>
      <c r="B765" s="1">
        <f>IFERROR(__xludf.DUMMYFUNCTION("""COMPUTED_VALUE"""),327.73)</f>
        <v>327.73</v>
      </c>
    </row>
    <row r="766">
      <c r="A766" s="2">
        <f>IFERROR(__xludf.DUMMYFUNCTION("""COMPUTED_VALUE"""),45215.66666666667)</f>
        <v>45215.66667</v>
      </c>
      <c r="B766" s="1">
        <f>IFERROR(__xludf.DUMMYFUNCTION("""COMPUTED_VALUE"""),332.64)</f>
        <v>332.64</v>
      </c>
    </row>
    <row r="767">
      <c r="A767" s="2">
        <f>IFERROR(__xludf.DUMMYFUNCTION("""COMPUTED_VALUE"""),45216.66666666667)</f>
        <v>45216.66667</v>
      </c>
      <c r="B767" s="1">
        <f>IFERROR(__xludf.DUMMYFUNCTION("""COMPUTED_VALUE"""),332.06)</f>
        <v>332.06</v>
      </c>
    </row>
    <row r="768">
      <c r="A768" s="2">
        <f>IFERROR(__xludf.DUMMYFUNCTION("""COMPUTED_VALUE"""),45217.66666666667)</f>
        <v>45217.66667</v>
      </c>
      <c r="B768" s="1">
        <f>IFERROR(__xludf.DUMMYFUNCTION("""COMPUTED_VALUE"""),330.11)</f>
        <v>330.11</v>
      </c>
    </row>
    <row r="769">
      <c r="A769" s="2">
        <f>IFERROR(__xludf.DUMMYFUNCTION("""COMPUTED_VALUE"""),45218.66666666667)</f>
        <v>45218.66667</v>
      </c>
      <c r="B769" s="1">
        <f>IFERROR(__xludf.DUMMYFUNCTION("""COMPUTED_VALUE"""),331.32)</f>
        <v>331.32</v>
      </c>
    </row>
    <row r="770">
      <c r="A770" s="2">
        <f>IFERROR(__xludf.DUMMYFUNCTION("""COMPUTED_VALUE"""),45219.66666666667)</f>
        <v>45219.66667</v>
      </c>
      <c r="B770" s="1">
        <f>IFERROR(__xludf.DUMMYFUNCTION("""COMPUTED_VALUE"""),326.67)</f>
        <v>326.67</v>
      </c>
    </row>
    <row r="771">
      <c r="A771" s="2">
        <f>IFERROR(__xludf.DUMMYFUNCTION("""COMPUTED_VALUE"""),45222.66666666667)</f>
        <v>45222.66667</v>
      </c>
      <c r="B771" s="1">
        <f>IFERROR(__xludf.DUMMYFUNCTION("""COMPUTED_VALUE"""),329.32)</f>
        <v>329.32</v>
      </c>
    </row>
    <row r="772">
      <c r="A772" s="2">
        <f>IFERROR(__xludf.DUMMYFUNCTION("""COMPUTED_VALUE"""),45223.66666666667)</f>
        <v>45223.66667</v>
      </c>
      <c r="B772" s="1">
        <f>IFERROR(__xludf.DUMMYFUNCTION("""COMPUTED_VALUE"""),330.53)</f>
        <v>330.53</v>
      </c>
    </row>
    <row r="773">
      <c r="A773" s="2">
        <f>IFERROR(__xludf.DUMMYFUNCTION("""COMPUTED_VALUE"""),45224.66666666667)</f>
        <v>45224.66667</v>
      </c>
      <c r="B773" s="1">
        <f>IFERROR(__xludf.DUMMYFUNCTION("""COMPUTED_VALUE"""),340.67)</f>
        <v>340.67</v>
      </c>
    </row>
    <row r="774">
      <c r="A774" s="2">
        <f>IFERROR(__xludf.DUMMYFUNCTION("""COMPUTED_VALUE"""),45225.66666666667)</f>
        <v>45225.66667</v>
      </c>
      <c r="B774" s="1">
        <f>IFERROR(__xludf.DUMMYFUNCTION("""COMPUTED_VALUE"""),327.89)</f>
        <v>327.89</v>
      </c>
    </row>
    <row r="775">
      <c r="A775" s="2">
        <f>IFERROR(__xludf.DUMMYFUNCTION("""COMPUTED_VALUE"""),45226.66666666667)</f>
        <v>45226.66667</v>
      </c>
      <c r="B775" s="1">
        <f>IFERROR(__xludf.DUMMYFUNCTION("""COMPUTED_VALUE"""),329.81)</f>
        <v>329.81</v>
      </c>
    </row>
    <row r="776">
      <c r="A776" s="2">
        <f>IFERROR(__xludf.DUMMYFUNCTION("""COMPUTED_VALUE"""),45229.66666666667)</f>
        <v>45229.66667</v>
      </c>
      <c r="B776" s="1">
        <f>IFERROR(__xludf.DUMMYFUNCTION("""COMPUTED_VALUE"""),337.31)</f>
        <v>337.31</v>
      </c>
    </row>
    <row r="777">
      <c r="A777" s="2">
        <f>IFERROR(__xludf.DUMMYFUNCTION("""COMPUTED_VALUE"""),45230.66666666667)</f>
        <v>45230.66667</v>
      </c>
      <c r="B777" s="1">
        <f>IFERROR(__xludf.DUMMYFUNCTION("""COMPUTED_VALUE"""),338.11)</f>
        <v>338.11</v>
      </c>
    </row>
    <row r="778">
      <c r="A778" s="2">
        <f>IFERROR(__xludf.DUMMYFUNCTION("""COMPUTED_VALUE"""),45231.66666666667)</f>
        <v>45231.66667</v>
      </c>
      <c r="B778" s="1">
        <f>IFERROR(__xludf.DUMMYFUNCTION("""COMPUTED_VALUE"""),346.07)</f>
        <v>346.07</v>
      </c>
    </row>
    <row r="779">
      <c r="A779" s="2">
        <f>IFERROR(__xludf.DUMMYFUNCTION("""COMPUTED_VALUE"""),45232.66666666667)</f>
        <v>45232.66667</v>
      </c>
      <c r="B779" s="1">
        <f>IFERROR(__xludf.DUMMYFUNCTION("""COMPUTED_VALUE"""),348.32)</f>
        <v>348.32</v>
      </c>
    </row>
    <row r="780">
      <c r="A780" s="2">
        <f>IFERROR(__xludf.DUMMYFUNCTION("""COMPUTED_VALUE"""),45233.66666666667)</f>
        <v>45233.66667</v>
      </c>
      <c r="B780" s="1">
        <f>IFERROR(__xludf.DUMMYFUNCTION("""COMPUTED_VALUE"""),352.8)</f>
        <v>352.8</v>
      </c>
    </row>
    <row r="781">
      <c r="A781" s="2">
        <f>IFERROR(__xludf.DUMMYFUNCTION("""COMPUTED_VALUE"""),45236.66666666667)</f>
        <v>45236.66667</v>
      </c>
      <c r="B781" s="1">
        <f>IFERROR(__xludf.DUMMYFUNCTION("""COMPUTED_VALUE"""),356.53)</f>
        <v>356.53</v>
      </c>
    </row>
    <row r="782">
      <c r="A782" s="2">
        <f>IFERROR(__xludf.DUMMYFUNCTION("""COMPUTED_VALUE"""),45237.66666666667)</f>
        <v>45237.66667</v>
      </c>
      <c r="B782" s="1">
        <f>IFERROR(__xludf.DUMMYFUNCTION("""COMPUTED_VALUE"""),360.53)</f>
        <v>360.53</v>
      </c>
    </row>
    <row r="783">
      <c r="A783" s="2">
        <f>IFERROR(__xludf.DUMMYFUNCTION("""COMPUTED_VALUE"""),45238.66666666667)</f>
        <v>45238.66667</v>
      </c>
      <c r="B783" s="1">
        <f>IFERROR(__xludf.DUMMYFUNCTION("""COMPUTED_VALUE"""),363.2)</f>
        <v>363.2</v>
      </c>
    </row>
    <row r="784">
      <c r="A784" s="2">
        <f>IFERROR(__xludf.DUMMYFUNCTION("""COMPUTED_VALUE"""),45239.66666666667)</f>
        <v>45239.66667</v>
      </c>
      <c r="B784" s="1">
        <f>IFERROR(__xludf.DUMMYFUNCTION("""COMPUTED_VALUE"""),360.69)</f>
        <v>360.69</v>
      </c>
    </row>
    <row r="785">
      <c r="A785" s="2">
        <f>IFERROR(__xludf.DUMMYFUNCTION("""COMPUTED_VALUE"""),45240.66666666667)</f>
        <v>45240.66667</v>
      </c>
      <c r="B785" s="1">
        <f>IFERROR(__xludf.DUMMYFUNCTION("""COMPUTED_VALUE"""),369.67)</f>
        <v>369.67</v>
      </c>
    </row>
    <row r="786">
      <c r="A786" s="2">
        <f>IFERROR(__xludf.DUMMYFUNCTION("""COMPUTED_VALUE"""),45243.66666666667)</f>
        <v>45243.66667</v>
      </c>
      <c r="B786" s="1">
        <f>IFERROR(__xludf.DUMMYFUNCTION("""COMPUTED_VALUE"""),366.68)</f>
        <v>366.68</v>
      </c>
    </row>
    <row r="787">
      <c r="A787" s="2">
        <f>IFERROR(__xludf.DUMMYFUNCTION("""COMPUTED_VALUE"""),45244.66666666667)</f>
        <v>45244.66667</v>
      </c>
      <c r="B787" s="1">
        <f>IFERROR(__xludf.DUMMYFUNCTION("""COMPUTED_VALUE"""),370.27)</f>
        <v>370.27</v>
      </c>
    </row>
    <row r="788">
      <c r="A788" s="2">
        <f>IFERROR(__xludf.DUMMYFUNCTION("""COMPUTED_VALUE"""),45245.66666666667)</f>
        <v>45245.66667</v>
      </c>
      <c r="B788" s="1">
        <f>IFERROR(__xludf.DUMMYFUNCTION("""COMPUTED_VALUE"""),369.67)</f>
        <v>369.67</v>
      </c>
    </row>
    <row r="789">
      <c r="A789" s="2">
        <f>IFERROR(__xludf.DUMMYFUNCTION("""COMPUTED_VALUE"""),45246.66666666667)</f>
        <v>45246.66667</v>
      </c>
      <c r="B789" s="1">
        <f>IFERROR(__xludf.DUMMYFUNCTION("""COMPUTED_VALUE"""),376.17)</f>
        <v>376.17</v>
      </c>
    </row>
    <row r="790">
      <c r="A790" s="2">
        <f>IFERROR(__xludf.DUMMYFUNCTION("""COMPUTED_VALUE"""),45247.66666666667)</f>
        <v>45247.66667</v>
      </c>
      <c r="B790" s="1">
        <f>IFERROR(__xludf.DUMMYFUNCTION("""COMPUTED_VALUE"""),369.85)</f>
        <v>369.85</v>
      </c>
    </row>
    <row r="791">
      <c r="A791" s="2">
        <f>IFERROR(__xludf.DUMMYFUNCTION("""COMPUTED_VALUE"""),45250.66666666667)</f>
        <v>45250.66667</v>
      </c>
      <c r="B791" s="1">
        <f>IFERROR(__xludf.DUMMYFUNCTION("""COMPUTED_VALUE"""),377.44)</f>
        <v>377.44</v>
      </c>
    </row>
    <row r="792">
      <c r="A792" s="2">
        <f>IFERROR(__xludf.DUMMYFUNCTION("""COMPUTED_VALUE"""),45251.66666666667)</f>
        <v>45251.66667</v>
      </c>
      <c r="B792" s="1">
        <f>IFERROR(__xludf.DUMMYFUNCTION("""COMPUTED_VALUE"""),373.07)</f>
        <v>373.07</v>
      </c>
    </row>
    <row r="793">
      <c r="A793" s="2">
        <f>IFERROR(__xludf.DUMMYFUNCTION("""COMPUTED_VALUE"""),45252.66666666667)</f>
        <v>45252.66667</v>
      </c>
      <c r="B793" s="1">
        <f>IFERROR(__xludf.DUMMYFUNCTION("""COMPUTED_VALUE"""),377.85)</f>
        <v>377.85</v>
      </c>
    </row>
    <row r="794">
      <c r="A794" s="2">
        <f>IFERROR(__xludf.DUMMYFUNCTION("""COMPUTED_VALUE"""),45254.54513888889)</f>
        <v>45254.54514</v>
      </c>
      <c r="B794" s="1">
        <f>IFERROR(__xludf.DUMMYFUNCTION("""COMPUTED_VALUE"""),377.43)</f>
        <v>377.43</v>
      </c>
    </row>
    <row r="795">
      <c r="A795" s="2">
        <f>IFERROR(__xludf.DUMMYFUNCTION("""COMPUTED_VALUE"""),45257.66666666667)</f>
        <v>45257.66667</v>
      </c>
      <c r="B795" s="1">
        <f>IFERROR(__xludf.DUMMYFUNCTION("""COMPUTED_VALUE"""),378.61)</f>
        <v>378.61</v>
      </c>
    </row>
    <row r="796">
      <c r="A796" s="2">
        <f>IFERROR(__xludf.DUMMYFUNCTION("""COMPUTED_VALUE"""),45258.66666666667)</f>
        <v>45258.66667</v>
      </c>
      <c r="B796" s="1">
        <f>IFERROR(__xludf.DUMMYFUNCTION("""COMPUTED_VALUE"""),382.7)</f>
        <v>382.7</v>
      </c>
    </row>
    <row r="797">
      <c r="A797" s="2">
        <f>IFERROR(__xludf.DUMMYFUNCTION("""COMPUTED_VALUE"""),45259.66666666667)</f>
        <v>45259.66667</v>
      </c>
      <c r="B797" s="1">
        <f>IFERROR(__xludf.DUMMYFUNCTION("""COMPUTED_VALUE"""),378.85)</f>
        <v>378.85</v>
      </c>
    </row>
    <row r="798">
      <c r="A798" s="2">
        <f>IFERROR(__xludf.DUMMYFUNCTION("""COMPUTED_VALUE"""),45260.66666666667)</f>
        <v>45260.66667</v>
      </c>
      <c r="B798" s="1">
        <f>IFERROR(__xludf.DUMMYFUNCTION("""COMPUTED_VALUE"""),378.91)</f>
        <v>378.91</v>
      </c>
    </row>
    <row r="799">
      <c r="A799" s="2">
        <f>IFERROR(__xludf.DUMMYFUNCTION("""COMPUTED_VALUE"""),45261.66666666667)</f>
        <v>45261.66667</v>
      </c>
      <c r="B799" s="1">
        <f>IFERROR(__xludf.DUMMYFUNCTION("""COMPUTED_VALUE"""),374.51)</f>
        <v>374.51</v>
      </c>
    </row>
    <row r="800">
      <c r="A800" s="2">
        <f>IFERROR(__xludf.DUMMYFUNCTION("""COMPUTED_VALUE"""),45264.66666666667)</f>
        <v>45264.66667</v>
      </c>
      <c r="B800" s="1">
        <f>IFERROR(__xludf.DUMMYFUNCTION("""COMPUTED_VALUE"""),369.14)</f>
        <v>369.14</v>
      </c>
    </row>
    <row r="801">
      <c r="A801" s="2">
        <f>IFERROR(__xludf.DUMMYFUNCTION("""COMPUTED_VALUE"""),45265.66666666667)</f>
        <v>45265.66667</v>
      </c>
      <c r="B801" s="1">
        <f>IFERROR(__xludf.DUMMYFUNCTION("""COMPUTED_VALUE"""),372.52)</f>
        <v>372.52</v>
      </c>
    </row>
    <row r="802">
      <c r="A802" s="2">
        <f>IFERROR(__xludf.DUMMYFUNCTION("""COMPUTED_VALUE"""),45266.66666666667)</f>
        <v>45266.66667</v>
      </c>
      <c r="B802" s="1">
        <f>IFERROR(__xludf.DUMMYFUNCTION("""COMPUTED_VALUE"""),368.8)</f>
        <v>368.8</v>
      </c>
    </row>
    <row r="803">
      <c r="A803" s="2">
        <f>IFERROR(__xludf.DUMMYFUNCTION("""COMPUTED_VALUE"""),45267.66666666667)</f>
        <v>45267.66667</v>
      </c>
      <c r="B803" s="1">
        <f>IFERROR(__xludf.DUMMYFUNCTION("""COMPUTED_VALUE"""),370.95)</f>
        <v>370.95</v>
      </c>
    </row>
    <row r="804">
      <c r="A804" s="2">
        <f>IFERROR(__xludf.DUMMYFUNCTION("""COMPUTED_VALUE"""),45268.66666666667)</f>
        <v>45268.66667</v>
      </c>
      <c r="B804" s="1">
        <f>IFERROR(__xludf.DUMMYFUNCTION("""COMPUTED_VALUE"""),374.23)</f>
        <v>374.23</v>
      </c>
    </row>
    <row r="805">
      <c r="A805" s="2">
        <f>IFERROR(__xludf.DUMMYFUNCTION("""COMPUTED_VALUE"""),45271.66666666667)</f>
        <v>45271.66667</v>
      </c>
      <c r="B805" s="1">
        <f>IFERROR(__xludf.DUMMYFUNCTION("""COMPUTED_VALUE"""),371.3)</f>
        <v>371.3</v>
      </c>
    </row>
    <row r="806">
      <c r="A806" s="2">
        <f>IFERROR(__xludf.DUMMYFUNCTION("""COMPUTED_VALUE"""),45272.66666666667)</f>
        <v>45272.66667</v>
      </c>
      <c r="B806" s="1">
        <f>IFERROR(__xludf.DUMMYFUNCTION("""COMPUTED_VALUE"""),374.38)</f>
        <v>374.38</v>
      </c>
    </row>
    <row r="807">
      <c r="A807" s="2">
        <f>IFERROR(__xludf.DUMMYFUNCTION("""COMPUTED_VALUE"""),45273.66666666667)</f>
        <v>45273.66667</v>
      </c>
      <c r="B807" s="1">
        <f>IFERROR(__xludf.DUMMYFUNCTION("""COMPUTED_VALUE"""),374.37)</f>
        <v>374.37</v>
      </c>
    </row>
    <row r="808">
      <c r="A808" s="2">
        <f>IFERROR(__xludf.DUMMYFUNCTION("""COMPUTED_VALUE"""),45274.66666666667)</f>
        <v>45274.66667</v>
      </c>
      <c r="B808" s="1">
        <f>IFERROR(__xludf.DUMMYFUNCTION("""COMPUTED_VALUE"""),365.93)</f>
        <v>365.93</v>
      </c>
    </row>
    <row r="809">
      <c r="A809" s="2">
        <f>IFERROR(__xludf.DUMMYFUNCTION("""COMPUTED_VALUE"""),45275.66666666667)</f>
        <v>45275.66667</v>
      </c>
      <c r="B809" s="1">
        <f>IFERROR(__xludf.DUMMYFUNCTION("""COMPUTED_VALUE"""),370.73)</f>
        <v>370.73</v>
      </c>
    </row>
    <row r="810">
      <c r="A810" s="2">
        <f>IFERROR(__xludf.DUMMYFUNCTION("""COMPUTED_VALUE"""),45278.66666666667)</f>
        <v>45278.66667</v>
      </c>
      <c r="B810" s="1">
        <f>IFERROR(__xludf.DUMMYFUNCTION("""COMPUTED_VALUE"""),372.65)</f>
        <v>372.65</v>
      </c>
    </row>
    <row r="811">
      <c r="A811" s="2">
        <f>IFERROR(__xludf.DUMMYFUNCTION("""COMPUTED_VALUE"""),45279.66666666667)</f>
        <v>45279.66667</v>
      </c>
      <c r="B811" s="1">
        <f>IFERROR(__xludf.DUMMYFUNCTION("""COMPUTED_VALUE"""),373.26)</f>
        <v>373.26</v>
      </c>
    </row>
    <row r="812">
      <c r="A812" s="2">
        <f>IFERROR(__xludf.DUMMYFUNCTION("""COMPUTED_VALUE"""),45280.66666666667)</f>
        <v>45280.66667</v>
      </c>
      <c r="B812" s="1">
        <f>IFERROR(__xludf.DUMMYFUNCTION("""COMPUTED_VALUE"""),370.62)</f>
        <v>370.62</v>
      </c>
    </row>
    <row r="813">
      <c r="A813" s="2">
        <f>IFERROR(__xludf.DUMMYFUNCTION("""COMPUTED_VALUE"""),45281.66666666667)</f>
        <v>45281.66667</v>
      </c>
      <c r="B813" s="1">
        <f>IFERROR(__xludf.DUMMYFUNCTION("""COMPUTED_VALUE"""),373.54)</f>
        <v>373.54</v>
      </c>
    </row>
    <row r="814">
      <c r="A814" s="2">
        <f>IFERROR(__xludf.DUMMYFUNCTION("""COMPUTED_VALUE"""),45282.66666666667)</f>
        <v>45282.66667</v>
      </c>
      <c r="B814" s="1">
        <f>IFERROR(__xludf.DUMMYFUNCTION("""COMPUTED_VALUE"""),374.58)</f>
        <v>374.58</v>
      </c>
    </row>
    <row r="815">
      <c r="A815" s="2">
        <f>IFERROR(__xludf.DUMMYFUNCTION("""COMPUTED_VALUE"""),45286.66666666667)</f>
        <v>45286.66667</v>
      </c>
      <c r="B815" s="1">
        <f>IFERROR(__xludf.DUMMYFUNCTION("""COMPUTED_VALUE"""),374.66)</f>
        <v>374.66</v>
      </c>
    </row>
    <row r="816">
      <c r="A816" s="2">
        <f>IFERROR(__xludf.DUMMYFUNCTION("""COMPUTED_VALUE"""),45287.66666666667)</f>
        <v>45287.66667</v>
      </c>
      <c r="B816" s="1">
        <f>IFERROR(__xludf.DUMMYFUNCTION("""COMPUTED_VALUE"""),374.07)</f>
        <v>374.07</v>
      </c>
    </row>
    <row r="817">
      <c r="A817" s="2">
        <f>IFERROR(__xludf.DUMMYFUNCTION("""COMPUTED_VALUE"""),45288.66666666667)</f>
        <v>45288.66667</v>
      </c>
      <c r="B817" s="1">
        <f>IFERROR(__xludf.DUMMYFUNCTION("""COMPUTED_VALUE"""),375.28)</f>
        <v>375.28</v>
      </c>
    </row>
    <row r="818">
      <c r="A818" s="2">
        <f>IFERROR(__xludf.DUMMYFUNCTION("""COMPUTED_VALUE"""),45289.66666666667)</f>
        <v>45289.66667</v>
      </c>
      <c r="B818" s="1">
        <f>IFERROR(__xludf.DUMMYFUNCTION("""COMPUTED_VALUE"""),376.04)</f>
        <v>376.04</v>
      </c>
    </row>
    <row r="819">
      <c r="A819" s="2">
        <f>IFERROR(__xludf.DUMMYFUNCTION("""COMPUTED_VALUE"""),45293.66666666667)</f>
        <v>45293.66667</v>
      </c>
      <c r="B819" s="1">
        <f>IFERROR(__xludf.DUMMYFUNCTION("""COMPUTED_VALUE"""),370.87)</f>
        <v>370.87</v>
      </c>
    </row>
    <row r="820">
      <c r="A820" s="2">
        <f>IFERROR(__xludf.DUMMYFUNCTION("""COMPUTED_VALUE"""),45294.66666666667)</f>
        <v>45294.66667</v>
      </c>
      <c r="B820" s="1">
        <f>IFERROR(__xludf.DUMMYFUNCTION("""COMPUTED_VALUE"""),370.6)</f>
        <v>370.6</v>
      </c>
    </row>
    <row r="821">
      <c r="A821" s="2">
        <f>IFERROR(__xludf.DUMMYFUNCTION("""COMPUTED_VALUE"""),45295.66666666667)</f>
        <v>45295.66667</v>
      </c>
      <c r="B821" s="1">
        <f>IFERROR(__xludf.DUMMYFUNCTION("""COMPUTED_VALUE"""),367.94)</f>
        <v>367.94</v>
      </c>
    </row>
    <row r="822">
      <c r="A822" s="2">
        <f>IFERROR(__xludf.DUMMYFUNCTION("""COMPUTED_VALUE"""),45296.66666666667)</f>
        <v>45296.66667</v>
      </c>
      <c r="B822" s="1">
        <f>IFERROR(__xludf.DUMMYFUNCTION("""COMPUTED_VALUE"""),367.75)</f>
        <v>367.75</v>
      </c>
    </row>
    <row r="823">
      <c r="A823" s="2">
        <f>IFERROR(__xludf.DUMMYFUNCTION("""COMPUTED_VALUE"""),45299.66666666667)</f>
        <v>45299.66667</v>
      </c>
      <c r="B823" s="1">
        <f>IFERROR(__xludf.DUMMYFUNCTION("""COMPUTED_VALUE"""),374.69)</f>
        <v>374.69</v>
      </c>
    </row>
    <row r="824">
      <c r="A824" s="2">
        <f>IFERROR(__xludf.DUMMYFUNCTION("""COMPUTED_VALUE"""),45300.66666666667)</f>
        <v>45300.66667</v>
      </c>
      <c r="B824" s="1">
        <f>IFERROR(__xludf.DUMMYFUNCTION("""COMPUTED_VALUE"""),375.79)</f>
        <v>375.79</v>
      </c>
    </row>
    <row r="825">
      <c r="A825" s="2">
        <f>IFERROR(__xludf.DUMMYFUNCTION("""COMPUTED_VALUE"""),45301.66666666667)</f>
        <v>45301.66667</v>
      </c>
      <c r="B825" s="1">
        <f>IFERROR(__xludf.DUMMYFUNCTION("""COMPUTED_VALUE"""),382.77)</f>
        <v>382.77</v>
      </c>
    </row>
    <row r="826">
      <c r="A826" s="2">
        <f>IFERROR(__xludf.DUMMYFUNCTION("""COMPUTED_VALUE"""),45302.66666666667)</f>
        <v>45302.66667</v>
      </c>
      <c r="B826" s="1">
        <f>IFERROR(__xludf.DUMMYFUNCTION("""COMPUTED_VALUE"""),384.63)</f>
        <v>384.63</v>
      </c>
    </row>
    <row r="827">
      <c r="A827" s="2">
        <f>IFERROR(__xludf.DUMMYFUNCTION("""COMPUTED_VALUE"""),45303.66666666667)</f>
        <v>45303.66667</v>
      </c>
      <c r="B827" s="1">
        <f>IFERROR(__xludf.DUMMYFUNCTION("""COMPUTED_VALUE"""),388.47)</f>
        <v>388.47</v>
      </c>
    </row>
    <row r="828">
      <c r="A828" s="2">
        <f>IFERROR(__xludf.DUMMYFUNCTION("""COMPUTED_VALUE"""),45307.66666666667)</f>
        <v>45307.66667</v>
      </c>
      <c r="B828" s="1">
        <f>IFERROR(__xludf.DUMMYFUNCTION("""COMPUTED_VALUE"""),390.27)</f>
        <v>390.27</v>
      </c>
    </row>
    <row r="829">
      <c r="A829" s="2">
        <f>IFERROR(__xludf.DUMMYFUNCTION("""COMPUTED_VALUE"""),45308.66666666667)</f>
        <v>45308.66667</v>
      </c>
      <c r="B829" s="1">
        <f>IFERROR(__xludf.DUMMYFUNCTION("""COMPUTED_VALUE"""),389.47)</f>
        <v>389.47</v>
      </c>
    </row>
    <row r="830">
      <c r="A830" s="2">
        <f>IFERROR(__xludf.DUMMYFUNCTION("""COMPUTED_VALUE"""),45309.66666666667)</f>
        <v>45309.66667</v>
      </c>
      <c r="B830" s="1">
        <f>IFERROR(__xludf.DUMMYFUNCTION("""COMPUTED_VALUE"""),393.87)</f>
        <v>393.87</v>
      </c>
    </row>
    <row r="831">
      <c r="A831" s="2">
        <f>IFERROR(__xludf.DUMMYFUNCTION("""COMPUTED_VALUE"""),45310.66666666667)</f>
        <v>45310.66667</v>
      </c>
      <c r="B831" s="1">
        <f>IFERROR(__xludf.DUMMYFUNCTION("""COMPUTED_VALUE"""),398.67)</f>
        <v>398.67</v>
      </c>
    </row>
    <row r="832">
      <c r="A832" s="2">
        <f>IFERROR(__xludf.DUMMYFUNCTION("""COMPUTED_VALUE"""),45313.66666666667)</f>
        <v>45313.66667</v>
      </c>
      <c r="B832" s="1">
        <f>IFERROR(__xludf.DUMMYFUNCTION("""COMPUTED_VALUE"""),396.51)</f>
        <v>396.51</v>
      </c>
    </row>
    <row r="833">
      <c r="A833" s="2">
        <f>IFERROR(__xludf.DUMMYFUNCTION("""COMPUTED_VALUE"""),45314.66666666667)</f>
        <v>45314.66667</v>
      </c>
      <c r="B833" s="1">
        <f>IFERROR(__xludf.DUMMYFUNCTION("""COMPUTED_VALUE"""),398.9)</f>
        <v>398.9</v>
      </c>
    </row>
    <row r="834">
      <c r="A834" s="2">
        <f>IFERROR(__xludf.DUMMYFUNCTION("""COMPUTED_VALUE"""),45315.66666666667)</f>
        <v>45315.66667</v>
      </c>
      <c r="B834" s="1">
        <f>IFERROR(__xludf.DUMMYFUNCTION("""COMPUTED_VALUE"""),402.56)</f>
        <v>402.56</v>
      </c>
    </row>
    <row r="835">
      <c r="A835" s="2">
        <f>IFERROR(__xludf.DUMMYFUNCTION("""COMPUTED_VALUE"""),45316.66666666667)</f>
        <v>45316.66667</v>
      </c>
      <c r="B835" s="1">
        <f>IFERROR(__xludf.DUMMYFUNCTION("""COMPUTED_VALUE"""),404.87)</f>
        <v>404.87</v>
      </c>
    </row>
    <row r="836">
      <c r="A836" s="2">
        <f>IFERROR(__xludf.DUMMYFUNCTION("""COMPUTED_VALUE"""),45317.66666666667)</f>
        <v>45317.66667</v>
      </c>
      <c r="B836" s="1">
        <f>IFERROR(__xludf.DUMMYFUNCTION("""COMPUTED_VALUE"""),403.93)</f>
        <v>403.93</v>
      </c>
    </row>
    <row r="837">
      <c r="A837" s="2">
        <f>IFERROR(__xludf.DUMMYFUNCTION("""COMPUTED_VALUE"""),45320.66666666667)</f>
        <v>45320.66667</v>
      </c>
      <c r="B837" s="1">
        <f>IFERROR(__xludf.DUMMYFUNCTION("""COMPUTED_VALUE"""),409.72)</f>
        <v>409.72</v>
      </c>
    </row>
    <row r="838">
      <c r="A838" s="2">
        <f>IFERROR(__xludf.DUMMYFUNCTION("""COMPUTED_VALUE"""),45321.66666666667)</f>
        <v>45321.66667</v>
      </c>
      <c r="B838" s="1">
        <f>IFERROR(__xludf.DUMMYFUNCTION("""COMPUTED_VALUE"""),408.59)</f>
        <v>408.59</v>
      </c>
    </row>
    <row r="839">
      <c r="A839" s="2">
        <f>IFERROR(__xludf.DUMMYFUNCTION("""COMPUTED_VALUE"""),45322.66666666667)</f>
        <v>45322.66667</v>
      </c>
      <c r="B839" s="1">
        <f>IFERROR(__xludf.DUMMYFUNCTION("""COMPUTED_VALUE"""),397.58)</f>
        <v>397.58</v>
      </c>
    </row>
    <row r="840">
      <c r="A840" s="2">
        <f>IFERROR(__xludf.DUMMYFUNCTION("""COMPUTED_VALUE"""),45323.66666666667)</f>
        <v>45323.66667</v>
      </c>
      <c r="B840" s="1">
        <f>IFERROR(__xludf.DUMMYFUNCTION("""COMPUTED_VALUE"""),403.78)</f>
        <v>403.78</v>
      </c>
    </row>
    <row r="841">
      <c r="A841" s="2">
        <f>IFERROR(__xludf.DUMMYFUNCTION("""COMPUTED_VALUE"""),45324.66666666667)</f>
        <v>45324.66667</v>
      </c>
      <c r="B841" s="1">
        <f>IFERROR(__xludf.DUMMYFUNCTION("""COMPUTED_VALUE"""),411.22)</f>
        <v>411.22</v>
      </c>
    </row>
    <row r="842">
      <c r="A842" s="2">
        <f>IFERROR(__xludf.DUMMYFUNCTION("""COMPUTED_VALUE"""),45327.66666666667)</f>
        <v>45327.66667</v>
      </c>
      <c r="B842" s="1">
        <f>IFERROR(__xludf.DUMMYFUNCTION("""COMPUTED_VALUE"""),405.65)</f>
        <v>405.65</v>
      </c>
    </row>
    <row r="843">
      <c r="A843" s="2">
        <f>IFERROR(__xludf.DUMMYFUNCTION("""COMPUTED_VALUE"""),45328.66666666667)</f>
        <v>45328.66667</v>
      </c>
      <c r="B843" s="1">
        <f>IFERROR(__xludf.DUMMYFUNCTION("""COMPUTED_VALUE"""),405.49)</f>
        <v>405.49</v>
      </c>
    </row>
    <row r="844">
      <c r="A844" s="2">
        <f>IFERROR(__xludf.DUMMYFUNCTION("""COMPUTED_VALUE"""),45329.66666666667)</f>
        <v>45329.66667</v>
      </c>
      <c r="B844" s="1">
        <f>IFERROR(__xludf.DUMMYFUNCTION("""COMPUTED_VALUE"""),414.05)</f>
        <v>414.05</v>
      </c>
    </row>
    <row r="845">
      <c r="A845" s="2">
        <f>IFERROR(__xludf.DUMMYFUNCTION("""COMPUTED_VALUE"""),45330.66666666667)</f>
        <v>45330.66667</v>
      </c>
      <c r="B845" s="1">
        <f>IFERROR(__xludf.DUMMYFUNCTION("""COMPUTED_VALUE"""),414.11)</f>
        <v>414.11</v>
      </c>
    </row>
    <row r="846">
      <c r="A846" s="2">
        <f>IFERROR(__xludf.DUMMYFUNCTION("""COMPUTED_VALUE"""),45331.66666666667)</f>
        <v>45331.66667</v>
      </c>
      <c r="B846" s="1">
        <f>IFERROR(__xludf.DUMMYFUNCTION("""COMPUTED_VALUE"""),420.55)</f>
        <v>420.55</v>
      </c>
    </row>
    <row r="847">
      <c r="A847" s="2">
        <f>IFERROR(__xludf.DUMMYFUNCTION("""COMPUTED_VALUE"""),45334.66666666667)</f>
        <v>45334.66667</v>
      </c>
      <c r="B847" s="1">
        <f>IFERROR(__xludf.DUMMYFUNCTION("""COMPUTED_VALUE"""),415.26)</f>
        <v>415.26</v>
      </c>
    </row>
    <row r="848">
      <c r="A848" s="2">
        <f>IFERROR(__xludf.DUMMYFUNCTION("""COMPUTED_VALUE"""),45335.66666666667)</f>
        <v>45335.66667</v>
      </c>
      <c r="B848" s="1">
        <f>IFERROR(__xludf.DUMMYFUNCTION("""COMPUTED_VALUE"""),406.32)</f>
        <v>406.32</v>
      </c>
    </row>
    <row r="849">
      <c r="A849" s="2">
        <f>IFERROR(__xludf.DUMMYFUNCTION("""COMPUTED_VALUE"""),45336.66666666667)</f>
        <v>45336.66667</v>
      </c>
      <c r="B849" s="1">
        <f>IFERROR(__xludf.DUMMYFUNCTION("""COMPUTED_VALUE"""),409.49)</f>
        <v>409.49</v>
      </c>
    </row>
    <row r="850">
      <c r="A850" s="2">
        <f>IFERROR(__xludf.DUMMYFUNCTION("""COMPUTED_VALUE"""),45337.66666666667)</f>
        <v>45337.66667</v>
      </c>
      <c r="B850" s="1">
        <f>IFERROR(__xludf.DUMMYFUNCTION("""COMPUTED_VALUE"""),406.56)</f>
        <v>406.56</v>
      </c>
    </row>
    <row r="851">
      <c r="A851" s="2">
        <f>IFERROR(__xludf.DUMMYFUNCTION("""COMPUTED_VALUE"""),45338.66666666667)</f>
        <v>45338.66667</v>
      </c>
      <c r="B851" s="1">
        <f>IFERROR(__xludf.DUMMYFUNCTION("""COMPUTED_VALUE"""),404.06)</f>
        <v>404.06</v>
      </c>
    </row>
    <row r="852">
      <c r="A852" s="2">
        <f>IFERROR(__xludf.DUMMYFUNCTION("""COMPUTED_VALUE"""),45342.66666666667)</f>
        <v>45342.66667</v>
      </c>
      <c r="B852" s="1">
        <f>IFERROR(__xludf.DUMMYFUNCTION("""COMPUTED_VALUE"""),402.79)</f>
        <v>402.79</v>
      </c>
    </row>
    <row r="853">
      <c r="A853" s="2">
        <f>IFERROR(__xludf.DUMMYFUNCTION("""COMPUTED_VALUE"""),45343.66666666667)</f>
        <v>45343.66667</v>
      </c>
      <c r="B853" s="1">
        <f>IFERROR(__xludf.DUMMYFUNCTION("""COMPUTED_VALUE"""),402.18)</f>
        <v>402.18</v>
      </c>
    </row>
    <row r="854">
      <c r="A854" s="2">
        <f>IFERROR(__xludf.DUMMYFUNCTION("""COMPUTED_VALUE"""),45344.66666666667)</f>
        <v>45344.66667</v>
      </c>
      <c r="B854" s="1">
        <f>IFERROR(__xludf.DUMMYFUNCTION("""COMPUTED_VALUE"""),411.65)</f>
        <v>411.65</v>
      </c>
    </row>
    <row r="855">
      <c r="A855" s="2">
        <f>IFERROR(__xludf.DUMMYFUNCTION("""COMPUTED_VALUE"""),45345.66666666667)</f>
        <v>45345.66667</v>
      </c>
      <c r="B855" s="1">
        <f>IFERROR(__xludf.DUMMYFUNCTION("""COMPUTED_VALUE"""),410.34)</f>
        <v>410.34</v>
      </c>
    </row>
    <row r="856">
      <c r="A856" s="2">
        <f>IFERROR(__xludf.DUMMYFUNCTION("""COMPUTED_VALUE"""),45348.66666666667)</f>
        <v>45348.66667</v>
      </c>
      <c r="B856" s="1">
        <f>IFERROR(__xludf.DUMMYFUNCTION("""COMPUTED_VALUE"""),407.54)</f>
        <v>407.54</v>
      </c>
    </row>
    <row r="857">
      <c r="A857" s="2">
        <f>IFERROR(__xludf.DUMMYFUNCTION("""COMPUTED_VALUE"""),45349.66666666667)</f>
        <v>45349.66667</v>
      </c>
      <c r="B857" s="1">
        <f>IFERROR(__xludf.DUMMYFUNCTION("""COMPUTED_VALUE"""),407.48)</f>
        <v>407.48</v>
      </c>
    </row>
    <row r="858">
      <c r="A858" s="2">
        <f>IFERROR(__xludf.DUMMYFUNCTION("""COMPUTED_VALUE"""),45350.66666666667)</f>
        <v>45350.66667</v>
      </c>
      <c r="B858" s="1">
        <f>IFERROR(__xludf.DUMMYFUNCTION("""COMPUTED_VALUE"""),407.72)</f>
        <v>407.72</v>
      </c>
    </row>
    <row r="859">
      <c r="A859" s="2">
        <f>IFERROR(__xludf.DUMMYFUNCTION("""COMPUTED_VALUE"""),45351.66666666667)</f>
        <v>45351.66667</v>
      </c>
      <c r="B859" s="1">
        <f>IFERROR(__xludf.DUMMYFUNCTION("""COMPUTED_VALUE"""),413.64)</f>
        <v>413.64</v>
      </c>
    </row>
    <row r="860">
      <c r="A860" s="2">
        <f>IFERROR(__xludf.DUMMYFUNCTION("""COMPUTED_VALUE"""),45352.66666666667)</f>
        <v>45352.66667</v>
      </c>
      <c r="B860" s="1">
        <f>IFERROR(__xludf.DUMMYFUNCTION("""COMPUTED_VALUE"""),415.5)</f>
        <v>415.5</v>
      </c>
    </row>
    <row r="861">
      <c r="A861" s="2">
        <f>IFERROR(__xludf.DUMMYFUNCTION("""COMPUTED_VALUE"""),45355.66666666667)</f>
        <v>45355.66667</v>
      </c>
      <c r="B861" s="1">
        <f>IFERROR(__xludf.DUMMYFUNCTION("""COMPUTED_VALUE"""),414.92)</f>
        <v>414.92</v>
      </c>
    </row>
    <row r="862">
      <c r="A862" s="2">
        <f>IFERROR(__xludf.DUMMYFUNCTION("""COMPUTED_VALUE"""),45356.66666666667)</f>
        <v>45356.66667</v>
      </c>
      <c r="B862" s="1">
        <f>IFERROR(__xludf.DUMMYFUNCTION("""COMPUTED_VALUE"""),402.65)</f>
        <v>402.65</v>
      </c>
    </row>
    <row r="863">
      <c r="A863" s="2">
        <f>IFERROR(__xludf.DUMMYFUNCTION("""COMPUTED_VALUE"""),45357.66666666667)</f>
        <v>45357.66667</v>
      </c>
      <c r="B863" s="1">
        <f>IFERROR(__xludf.DUMMYFUNCTION("""COMPUTED_VALUE"""),402.09)</f>
        <v>402.09</v>
      </c>
    </row>
    <row r="864">
      <c r="A864" s="2">
        <f>IFERROR(__xludf.DUMMYFUNCTION("""COMPUTED_VALUE"""),45358.66666666667)</f>
        <v>45358.66667</v>
      </c>
      <c r="B864" s="1">
        <f>IFERROR(__xludf.DUMMYFUNCTION("""COMPUTED_VALUE"""),409.14)</f>
        <v>409.14</v>
      </c>
    </row>
    <row r="865">
      <c r="A865" s="2">
        <f>IFERROR(__xludf.DUMMYFUNCTION("""COMPUTED_VALUE"""),45359.66666666667)</f>
        <v>45359.66667</v>
      </c>
      <c r="B865" s="1">
        <f>IFERROR(__xludf.DUMMYFUNCTION("""COMPUTED_VALUE"""),406.22)</f>
        <v>406.22</v>
      </c>
    </row>
    <row r="866">
      <c r="A866" s="2">
        <f>IFERROR(__xludf.DUMMYFUNCTION("""COMPUTED_VALUE"""),45362.66666666667)</f>
        <v>45362.66667</v>
      </c>
      <c r="B866" s="1">
        <f>IFERROR(__xludf.DUMMYFUNCTION("""COMPUTED_VALUE"""),404.52)</f>
        <v>404.52</v>
      </c>
    </row>
    <row r="867">
      <c r="A867" s="2">
        <f>IFERROR(__xludf.DUMMYFUNCTION("""COMPUTED_VALUE"""),45363.66666666667)</f>
        <v>45363.66667</v>
      </c>
      <c r="B867" s="1">
        <f>IFERROR(__xludf.DUMMYFUNCTION("""COMPUTED_VALUE"""),415.28)</f>
        <v>415.28</v>
      </c>
    </row>
    <row r="868">
      <c r="A868" s="2">
        <f>IFERROR(__xludf.DUMMYFUNCTION("""COMPUTED_VALUE"""),45364.66666666667)</f>
        <v>45364.66667</v>
      </c>
      <c r="B868" s="1">
        <f>IFERROR(__xludf.DUMMYFUNCTION("""COMPUTED_VALUE"""),415.1)</f>
        <v>415.1</v>
      </c>
    </row>
    <row r="869">
      <c r="A869" s="2">
        <f>IFERROR(__xludf.DUMMYFUNCTION("""COMPUTED_VALUE"""),45365.66666666667)</f>
        <v>45365.66667</v>
      </c>
      <c r="B869" s="1">
        <f>IFERROR(__xludf.DUMMYFUNCTION("""COMPUTED_VALUE"""),425.22)</f>
        <v>425.22</v>
      </c>
    </row>
    <row r="870">
      <c r="A870" s="2">
        <f>IFERROR(__xludf.DUMMYFUNCTION("""COMPUTED_VALUE"""),45366.66666666667)</f>
        <v>45366.66667</v>
      </c>
      <c r="B870" s="1">
        <f>IFERROR(__xludf.DUMMYFUNCTION("""COMPUTED_VALUE"""),416.42)</f>
        <v>416.42</v>
      </c>
    </row>
    <row r="871">
      <c r="A871" s="2">
        <f>IFERROR(__xludf.DUMMYFUNCTION("""COMPUTED_VALUE"""),45369.66666666667)</f>
        <v>45369.66667</v>
      </c>
      <c r="B871" s="1">
        <f>IFERROR(__xludf.DUMMYFUNCTION("""COMPUTED_VALUE"""),417.32)</f>
        <v>417.32</v>
      </c>
    </row>
    <row r="872">
      <c r="A872" s="2">
        <f>IFERROR(__xludf.DUMMYFUNCTION("""COMPUTED_VALUE"""),45370.66666666667)</f>
        <v>45370.66667</v>
      </c>
      <c r="B872" s="1">
        <f>IFERROR(__xludf.DUMMYFUNCTION("""COMPUTED_VALUE"""),421.41)</f>
        <v>421.41</v>
      </c>
    </row>
    <row r="873">
      <c r="A873" s="2">
        <f>IFERROR(__xludf.DUMMYFUNCTION("""COMPUTED_VALUE"""),45371.66666666667)</f>
        <v>45371.66667</v>
      </c>
      <c r="B873" s="1">
        <f>IFERROR(__xludf.DUMMYFUNCTION("""COMPUTED_VALUE"""),425.23)</f>
        <v>425.23</v>
      </c>
    </row>
    <row r="874">
      <c r="A874" s="2">
        <f>IFERROR(__xludf.DUMMYFUNCTION("""COMPUTED_VALUE"""),45372.66666666667)</f>
        <v>45372.66667</v>
      </c>
      <c r="B874" s="1">
        <f>IFERROR(__xludf.DUMMYFUNCTION("""COMPUTED_VALUE"""),429.37)</f>
        <v>429.37</v>
      </c>
    </row>
    <row r="875">
      <c r="A875" s="2">
        <f>IFERROR(__xludf.DUMMYFUNCTION("""COMPUTED_VALUE"""),45373.66666666667)</f>
        <v>45373.66667</v>
      </c>
      <c r="B875" s="1">
        <f>IFERROR(__xludf.DUMMYFUNCTION("""COMPUTED_VALUE"""),428.74)</f>
        <v>428.74</v>
      </c>
    </row>
    <row r="876">
      <c r="A876" s="2">
        <f>IFERROR(__xludf.DUMMYFUNCTION("""COMPUTED_VALUE"""),45376.66666666667)</f>
        <v>45376.66667</v>
      </c>
      <c r="B876" s="1">
        <f>IFERROR(__xludf.DUMMYFUNCTION("""COMPUTED_VALUE"""),422.86)</f>
        <v>422.86</v>
      </c>
    </row>
    <row r="877">
      <c r="A877" s="2">
        <f>IFERROR(__xludf.DUMMYFUNCTION("""COMPUTED_VALUE"""),45377.66666666667)</f>
        <v>45377.66667</v>
      </c>
      <c r="B877" s="1">
        <f>IFERROR(__xludf.DUMMYFUNCTION("""COMPUTED_VALUE"""),421.65)</f>
        <v>421.65</v>
      </c>
    </row>
    <row r="878">
      <c r="A878" s="2">
        <f>IFERROR(__xludf.DUMMYFUNCTION("""COMPUTED_VALUE"""),45378.66666666667)</f>
        <v>45378.66667</v>
      </c>
      <c r="B878" s="1">
        <f>IFERROR(__xludf.DUMMYFUNCTION("""COMPUTED_VALUE"""),421.43)</f>
        <v>421.43</v>
      </c>
    </row>
    <row r="879">
      <c r="A879" s="2">
        <f>IFERROR(__xludf.DUMMYFUNCTION("""COMPUTED_VALUE"""),45379.66666666667)</f>
        <v>45379.66667</v>
      </c>
      <c r="B879" s="1">
        <f>IFERROR(__xludf.DUMMYFUNCTION("""COMPUTED_VALUE"""),420.72)</f>
        <v>420.72</v>
      </c>
    </row>
    <row r="880">
      <c r="A880" s="2">
        <f>IFERROR(__xludf.DUMMYFUNCTION("""COMPUTED_VALUE"""),45383.66666666667)</f>
        <v>45383.66667</v>
      </c>
      <c r="B880" s="1">
        <f>IFERROR(__xludf.DUMMYFUNCTION("""COMPUTED_VALUE"""),424.57)</f>
        <v>424.57</v>
      </c>
    </row>
    <row r="881">
      <c r="A881" s="2">
        <f>IFERROR(__xludf.DUMMYFUNCTION("""COMPUTED_VALUE"""),45384.66666666667)</f>
        <v>45384.66667</v>
      </c>
      <c r="B881" s="1">
        <f>IFERROR(__xludf.DUMMYFUNCTION("""COMPUTED_VALUE"""),421.44)</f>
        <v>421.44</v>
      </c>
    </row>
    <row r="882">
      <c r="A882" s="2">
        <f>IFERROR(__xludf.DUMMYFUNCTION("""COMPUTED_VALUE"""),45385.66666666667)</f>
        <v>45385.66667</v>
      </c>
      <c r="B882" s="1">
        <f>IFERROR(__xludf.DUMMYFUNCTION("""COMPUTED_VALUE"""),420.45)</f>
        <v>420.45</v>
      </c>
    </row>
    <row r="883">
      <c r="A883" s="2">
        <f>IFERROR(__xludf.DUMMYFUNCTION("""COMPUTED_VALUE"""),45386.66666666667)</f>
        <v>45386.66667</v>
      </c>
      <c r="B883" s="1">
        <f>IFERROR(__xludf.DUMMYFUNCTION("""COMPUTED_VALUE"""),417.88)</f>
        <v>417.88</v>
      </c>
    </row>
    <row r="884">
      <c r="A884" s="2">
        <f>IFERROR(__xludf.DUMMYFUNCTION("""COMPUTED_VALUE"""),45387.66666666667)</f>
        <v>45387.66667</v>
      </c>
      <c r="B884" s="1">
        <f>IFERROR(__xludf.DUMMYFUNCTION("""COMPUTED_VALUE"""),425.52)</f>
        <v>425.52</v>
      </c>
    </row>
    <row r="885">
      <c r="A885" s="2">
        <f>IFERROR(__xludf.DUMMYFUNCTION("""COMPUTED_VALUE"""),45390.66666666667)</f>
        <v>45390.66667</v>
      </c>
      <c r="B885" s="1">
        <f>IFERROR(__xludf.DUMMYFUNCTION("""COMPUTED_VALUE"""),424.59)</f>
        <v>424.59</v>
      </c>
    </row>
    <row r="886">
      <c r="A886" s="2">
        <f>IFERROR(__xludf.DUMMYFUNCTION("""COMPUTED_VALUE"""),45391.66666666667)</f>
        <v>45391.66667</v>
      </c>
      <c r="B886" s="1">
        <f>IFERROR(__xludf.DUMMYFUNCTION("""COMPUTED_VALUE"""),426.28)</f>
        <v>426.28</v>
      </c>
    </row>
    <row r="887">
      <c r="A887" s="2">
        <f>IFERROR(__xludf.DUMMYFUNCTION("""COMPUTED_VALUE"""),45392.66666666667)</f>
        <v>45392.66667</v>
      </c>
      <c r="B887" s="1">
        <f>IFERROR(__xludf.DUMMYFUNCTION("""COMPUTED_VALUE"""),423.26)</f>
        <v>423.26</v>
      </c>
    </row>
    <row r="888">
      <c r="A888" s="2">
        <f>IFERROR(__xludf.DUMMYFUNCTION("""COMPUTED_VALUE"""),45393.66666666667)</f>
        <v>45393.66667</v>
      </c>
      <c r="B888" s="1">
        <f>IFERROR(__xludf.DUMMYFUNCTION("""COMPUTED_VALUE"""),427.93)</f>
        <v>427.93</v>
      </c>
    </row>
    <row r="889">
      <c r="A889" s="2">
        <f>IFERROR(__xludf.DUMMYFUNCTION("""COMPUTED_VALUE"""),45394.66666666667)</f>
        <v>45394.66667</v>
      </c>
      <c r="B889" s="1">
        <f>IFERROR(__xludf.DUMMYFUNCTION("""COMPUTED_VALUE"""),421.9)</f>
        <v>421.9</v>
      </c>
    </row>
    <row r="890">
      <c r="A890" s="2">
        <f>IFERROR(__xludf.DUMMYFUNCTION("""COMPUTED_VALUE"""),45397.66666666667)</f>
        <v>45397.66667</v>
      </c>
      <c r="B890" s="1">
        <f>IFERROR(__xludf.DUMMYFUNCTION("""COMPUTED_VALUE"""),413.64)</f>
        <v>413.64</v>
      </c>
    </row>
    <row r="891">
      <c r="A891" s="2">
        <f>IFERROR(__xludf.DUMMYFUNCTION("""COMPUTED_VALUE"""),45398.66666666667)</f>
        <v>45398.66667</v>
      </c>
      <c r="B891" s="1">
        <f>IFERROR(__xludf.DUMMYFUNCTION("""COMPUTED_VALUE"""),414.58)</f>
        <v>414.58</v>
      </c>
    </row>
    <row r="892">
      <c r="A892" s="2">
        <f>IFERROR(__xludf.DUMMYFUNCTION("""COMPUTED_VALUE"""),45399.66666666667)</f>
        <v>45399.66667</v>
      </c>
      <c r="B892" s="1">
        <f>IFERROR(__xludf.DUMMYFUNCTION("""COMPUTED_VALUE"""),411.84)</f>
        <v>411.84</v>
      </c>
    </row>
    <row r="893">
      <c r="A893" s="2">
        <f>IFERROR(__xludf.DUMMYFUNCTION("""COMPUTED_VALUE"""),45400.66666666667)</f>
        <v>45400.66667</v>
      </c>
      <c r="B893" s="1">
        <f>IFERROR(__xludf.DUMMYFUNCTION("""COMPUTED_VALUE"""),404.27)</f>
        <v>404.27</v>
      </c>
    </row>
    <row r="894">
      <c r="A894" s="2">
        <f>IFERROR(__xludf.DUMMYFUNCTION("""COMPUTED_VALUE"""),45401.66666666667)</f>
        <v>45401.66667</v>
      </c>
      <c r="B894" s="1">
        <f>IFERROR(__xludf.DUMMYFUNCTION("""COMPUTED_VALUE"""),399.12)</f>
        <v>399.12</v>
      </c>
    </row>
    <row r="895">
      <c r="A895" s="2">
        <f>IFERROR(__xludf.DUMMYFUNCTION("""COMPUTED_VALUE"""),45404.66666666667)</f>
        <v>45404.66667</v>
      </c>
      <c r="B895" s="1">
        <f>IFERROR(__xludf.DUMMYFUNCTION("""COMPUTED_VALUE"""),400.96)</f>
        <v>400.96</v>
      </c>
    </row>
    <row r="896">
      <c r="A896" s="2">
        <f>IFERROR(__xludf.DUMMYFUNCTION("""COMPUTED_VALUE"""),45405.66666666667)</f>
        <v>45405.66667</v>
      </c>
      <c r="B896" s="1">
        <f>IFERROR(__xludf.DUMMYFUNCTION("""COMPUTED_VALUE"""),407.57)</f>
        <v>407.57</v>
      </c>
    </row>
    <row r="897">
      <c r="A897" s="2">
        <f>IFERROR(__xludf.DUMMYFUNCTION("""COMPUTED_VALUE"""),45406.66666666667)</f>
        <v>45406.66667</v>
      </c>
      <c r="B897" s="1">
        <f>IFERROR(__xludf.DUMMYFUNCTION("""COMPUTED_VALUE"""),409.06)</f>
        <v>409.06</v>
      </c>
    </row>
    <row r="898">
      <c r="A898" s="2">
        <f>IFERROR(__xludf.DUMMYFUNCTION("""COMPUTED_VALUE"""),45407.66666666667)</f>
        <v>45407.66667</v>
      </c>
      <c r="B898" s="1">
        <f>IFERROR(__xludf.DUMMYFUNCTION("""COMPUTED_VALUE"""),399.04)</f>
        <v>399.04</v>
      </c>
    </row>
    <row r="899">
      <c r="A899" s="2">
        <f>IFERROR(__xludf.DUMMYFUNCTION("""COMPUTED_VALUE"""),45408.66666666667)</f>
        <v>45408.66667</v>
      </c>
      <c r="B899" s="1">
        <f>IFERROR(__xludf.DUMMYFUNCTION("""COMPUTED_VALUE"""),406.32)</f>
        <v>406.32</v>
      </c>
    </row>
    <row r="900">
      <c r="A900" s="2">
        <f>IFERROR(__xludf.DUMMYFUNCTION("""COMPUTED_VALUE"""),45411.66666666667)</f>
        <v>45411.66667</v>
      </c>
      <c r="B900" s="1">
        <f>IFERROR(__xludf.DUMMYFUNCTION("""COMPUTED_VALUE"""),402.25)</f>
        <v>402.25</v>
      </c>
    </row>
    <row r="901">
      <c r="A901" s="2">
        <f>IFERROR(__xludf.DUMMYFUNCTION("""COMPUTED_VALUE"""),45412.66666666667)</f>
        <v>45412.66667</v>
      </c>
      <c r="B901" s="1">
        <f>IFERROR(__xludf.DUMMYFUNCTION("""COMPUTED_VALUE"""),389.33)</f>
        <v>389.33</v>
      </c>
    </row>
    <row r="902">
      <c r="A902" s="2">
        <f>IFERROR(__xludf.DUMMYFUNCTION("""COMPUTED_VALUE"""),45413.66666666667)</f>
        <v>45413.66667</v>
      </c>
      <c r="B902" s="1">
        <f>IFERROR(__xludf.DUMMYFUNCTION("""COMPUTED_VALUE"""),394.94)</f>
        <v>394.94</v>
      </c>
    </row>
    <row r="903">
      <c r="A903" s="2">
        <f>IFERROR(__xludf.DUMMYFUNCTION("""COMPUTED_VALUE"""),45414.66666666667)</f>
        <v>45414.66667</v>
      </c>
      <c r="B903" s="1">
        <f>IFERROR(__xludf.DUMMYFUNCTION("""COMPUTED_VALUE"""),397.84)</f>
        <v>397.84</v>
      </c>
    </row>
    <row r="904">
      <c r="A904" s="2">
        <f>IFERROR(__xludf.DUMMYFUNCTION("""COMPUTED_VALUE"""),45415.66666666667)</f>
        <v>45415.66667</v>
      </c>
      <c r="B904" s="1">
        <f>IFERROR(__xludf.DUMMYFUNCTION("""COMPUTED_VALUE"""),406.66)</f>
        <v>406.66</v>
      </c>
    </row>
    <row r="905">
      <c r="A905" s="2">
        <f>IFERROR(__xludf.DUMMYFUNCTION("""COMPUTED_VALUE"""),45418.66666666667)</f>
        <v>45418.66667</v>
      </c>
      <c r="B905" s="1">
        <f>IFERROR(__xludf.DUMMYFUNCTION("""COMPUTED_VALUE"""),413.54)</f>
        <v>413.54</v>
      </c>
    </row>
    <row r="906">
      <c r="A906" s="2">
        <f>IFERROR(__xludf.DUMMYFUNCTION("""COMPUTED_VALUE"""),45419.66666666667)</f>
        <v>45419.66667</v>
      </c>
      <c r="B906" s="1">
        <f>IFERROR(__xludf.DUMMYFUNCTION("""COMPUTED_VALUE"""),409.34)</f>
        <v>409.34</v>
      </c>
    </row>
    <row r="907">
      <c r="A907" s="2">
        <f>IFERROR(__xludf.DUMMYFUNCTION("""COMPUTED_VALUE"""),45420.66666666667)</f>
        <v>45420.66667</v>
      </c>
      <c r="B907" s="1">
        <f>IFERROR(__xludf.DUMMYFUNCTION("""COMPUTED_VALUE"""),410.54)</f>
        <v>410.54</v>
      </c>
    </row>
    <row r="908">
      <c r="A908" s="2">
        <f>IFERROR(__xludf.DUMMYFUNCTION("""COMPUTED_VALUE"""),45421.66666666667)</f>
        <v>45421.66667</v>
      </c>
      <c r="B908" s="1">
        <f>IFERROR(__xludf.DUMMYFUNCTION("""COMPUTED_VALUE"""),412.32)</f>
        <v>412.32</v>
      </c>
    </row>
    <row r="909">
      <c r="A909" s="2">
        <f>IFERROR(__xludf.DUMMYFUNCTION("""COMPUTED_VALUE"""),45422.66666666667)</f>
        <v>45422.66667</v>
      </c>
      <c r="B909" s="1">
        <f>IFERROR(__xludf.DUMMYFUNCTION("""COMPUTED_VALUE"""),414.74)</f>
        <v>414.74</v>
      </c>
    </row>
    <row r="910">
      <c r="A910" s="2">
        <f>IFERROR(__xludf.DUMMYFUNCTION("""COMPUTED_VALUE"""),45425.66666666667)</f>
        <v>45425.66667</v>
      </c>
      <c r="B910" s="1">
        <f>IFERROR(__xludf.DUMMYFUNCTION("""COMPUTED_VALUE"""),413.72)</f>
        <v>413.72</v>
      </c>
    </row>
    <row r="911">
      <c r="A911" s="2">
        <f>IFERROR(__xludf.DUMMYFUNCTION("""COMPUTED_VALUE"""),45426.66666666667)</f>
        <v>45426.66667</v>
      </c>
      <c r="B911" s="1">
        <f>IFERROR(__xludf.DUMMYFUNCTION("""COMPUTED_VALUE"""),416.56)</f>
        <v>416.56</v>
      </c>
    </row>
    <row r="912">
      <c r="A912" s="2">
        <f>IFERROR(__xludf.DUMMYFUNCTION("""COMPUTED_VALUE"""),45427.66666666667)</f>
        <v>45427.66667</v>
      </c>
      <c r="B912" s="1">
        <f>IFERROR(__xludf.DUMMYFUNCTION("""COMPUTED_VALUE"""),423.08)</f>
        <v>423.08</v>
      </c>
    </row>
    <row r="913">
      <c r="A913" s="2">
        <f>IFERROR(__xludf.DUMMYFUNCTION("""COMPUTED_VALUE"""),45428.66666666667)</f>
        <v>45428.66667</v>
      </c>
      <c r="B913" s="1">
        <f>IFERROR(__xludf.DUMMYFUNCTION("""COMPUTED_VALUE"""),420.99)</f>
        <v>420.99</v>
      </c>
    </row>
    <row r="914">
      <c r="A914" s="2">
        <f>IFERROR(__xludf.DUMMYFUNCTION("""COMPUTED_VALUE"""),45429.66666666667)</f>
        <v>45429.66667</v>
      </c>
      <c r="B914" s="1">
        <f>IFERROR(__xludf.DUMMYFUNCTION("""COMPUTED_VALUE"""),420.21)</f>
        <v>420.21</v>
      </c>
    </row>
    <row r="915">
      <c r="A915" s="2">
        <f>IFERROR(__xludf.DUMMYFUNCTION("""COMPUTED_VALUE"""),45432.66666666667)</f>
        <v>45432.66667</v>
      </c>
      <c r="B915" s="1">
        <f>IFERROR(__xludf.DUMMYFUNCTION("""COMPUTED_VALUE"""),425.34)</f>
        <v>425.34</v>
      </c>
    </row>
    <row r="916">
      <c r="A916" s="2">
        <f>IFERROR(__xludf.DUMMYFUNCTION("""COMPUTED_VALUE"""),45433.66666666667)</f>
        <v>45433.66667</v>
      </c>
      <c r="B916" s="1">
        <f>IFERROR(__xludf.DUMMYFUNCTION("""COMPUTED_VALUE"""),429.04)</f>
        <v>429.04</v>
      </c>
    </row>
    <row r="917">
      <c r="A917" s="2">
        <f>IFERROR(__xludf.DUMMYFUNCTION("""COMPUTED_VALUE"""),45434.66666666667)</f>
        <v>45434.66667</v>
      </c>
      <c r="B917" s="1">
        <f>IFERROR(__xludf.DUMMYFUNCTION("""COMPUTED_VALUE"""),430.52)</f>
        <v>430.52</v>
      </c>
    </row>
    <row r="918">
      <c r="A918" s="2">
        <f>IFERROR(__xludf.DUMMYFUNCTION("""COMPUTED_VALUE"""),45435.66666666667)</f>
        <v>45435.66667</v>
      </c>
      <c r="B918" s="1">
        <f>IFERROR(__xludf.DUMMYFUNCTION("""COMPUTED_VALUE"""),427.0)</f>
        <v>427</v>
      </c>
    </row>
    <row r="919">
      <c r="A919" s="2">
        <f>IFERROR(__xludf.DUMMYFUNCTION("""COMPUTED_VALUE"""),45436.66666666667)</f>
        <v>45436.66667</v>
      </c>
      <c r="B919" s="1">
        <f>IFERROR(__xludf.DUMMYFUNCTION("""COMPUTED_VALUE"""),430.16)</f>
        <v>430.16</v>
      </c>
    </row>
    <row r="920">
      <c r="A920" s="2">
        <f>IFERROR(__xludf.DUMMYFUNCTION("""COMPUTED_VALUE"""),45440.66666666667)</f>
        <v>45440.66667</v>
      </c>
      <c r="B920" s="1">
        <f>IFERROR(__xludf.DUMMYFUNCTION("""COMPUTED_VALUE"""),430.32)</f>
        <v>430.32</v>
      </c>
    </row>
    <row r="921">
      <c r="A921" s="2">
        <f>IFERROR(__xludf.DUMMYFUNCTION("""COMPUTED_VALUE"""),45441.66666666667)</f>
        <v>45441.66667</v>
      </c>
      <c r="B921" s="1">
        <f>IFERROR(__xludf.DUMMYFUNCTION("""COMPUTED_VALUE"""),429.17)</f>
        <v>429.17</v>
      </c>
    </row>
    <row r="922">
      <c r="A922" s="2">
        <f>IFERROR(__xludf.DUMMYFUNCTION("""COMPUTED_VALUE"""),45442.66666666667)</f>
        <v>45442.66667</v>
      </c>
      <c r="B922" s="1">
        <f>IFERROR(__xludf.DUMMYFUNCTION("""COMPUTED_VALUE"""),414.67)</f>
        <v>414.67</v>
      </c>
    </row>
    <row r="923">
      <c r="A923" s="2">
        <f>IFERROR(__xludf.DUMMYFUNCTION("""COMPUTED_VALUE"""),45443.66666666667)</f>
        <v>45443.66667</v>
      </c>
      <c r="B923" s="1">
        <f>IFERROR(__xludf.DUMMYFUNCTION("""COMPUTED_VALUE"""),415.13)</f>
        <v>415.13</v>
      </c>
    </row>
    <row r="924">
      <c r="A924" s="2">
        <f>IFERROR(__xludf.DUMMYFUNCTION("""COMPUTED_VALUE"""),45446.66666666667)</f>
        <v>45446.66667</v>
      </c>
      <c r="B924" s="1">
        <f>IFERROR(__xludf.DUMMYFUNCTION("""COMPUTED_VALUE"""),413.52)</f>
        <v>413.52</v>
      </c>
    </row>
    <row r="925">
      <c r="A925" s="2">
        <f>IFERROR(__xludf.DUMMYFUNCTION("""COMPUTED_VALUE"""),45447.66666666667)</f>
        <v>45447.66667</v>
      </c>
      <c r="B925" s="1">
        <f>IFERROR(__xludf.DUMMYFUNCTION("""COMPUTED_VALUE"""),416.07)</f>
        <v>416.07</v>
      </c>
    </row>
    <row r="926">
      <c r="A926" s="2">
        <f>IFERROR(__xludf.DUMMYFUNCTION("""COMPUTED_VALUE"""),45448.66666666667)</f>
        <v>45448.66667</v>
      </c>
      <c r="B926" s="1">
        <f>IFERROR(__xludf.DUMMYFUNCTION("""COMPUTED_VALUE"""),424.01)</f>
        <v>424.01</v>
      </c>
    </row>
    <row r="927">
      <c r="A927" s="2">
        <f>IFERROR(__xludf.DUMMYFUNCTION("""COMPUTED_VALUE"""),45449.66666666667)</f>
        <v>45449.66667</v>
      </c>
      <c r="B927" s="1">
        <f>IFERROR(__xludf.DUMMYFUNCTION("""COMPUTED_VALUE"""),424.52)</f>
        <v>424.52</v>
      </c>
    </row>
    <row r="928">
      <c r="A928" s="2">
        <f>IFERROR(__xludf.DUMMYFUNCTION("""COMPUTED_VALUE"""),45450.66666666667)</f>
        <v>45450.66667</v>
      </c>
      <c r="B928" s="1">
        <f>IFERROR(__xludf.DUMMYFUNCTION("""COMPUTED_VALUE"""),423.85)</f>
        <v>423.85</v>
      </c>
    </row>
    <row r="929">
      <c r="A929" s="2">
        <f>IFERROR(__xludf.DUMMYFUNCTION("""COMPUTED_VALUE"""),45453.66666666667)</f>
        <v>45453.66667</v>
      </c>
      <c r="B929" s="1">
        <f>IFERROR(__xludf.DUMMYFUNCTION("""COMPUTED_VALUE"""),427.87)</f>
        <v>427.87</v>
      </c>
    </row>
    <row r="930">
      <c r="A930" s="2">
        <f>IFERROR(__xludf.DUMMYFUNCTION("""COMPUTED_VALUE"""),45454.66666666667)</f>
        <v>45454.66667</v>
      </c>
      <c r="B930" s="1">
        <f>IFERROR(__xludf.DUMMYFUNCTION("""COMPUTED_VALUE"""),432.68)</f>
        <v>432.68</v>
      </c>
    </row>
    <row r="931">
      <c r="A931" s="2">
        <f>IFERROR(__xludf.DUMMYFUNCTION("""COMPUTED_VALUE"""),45455.66666666667)</f>
        <v>45455.66667</v>
      </c>
      <c r="B931" s="1">
        <f>IFERROR(__xludf.DUMMYFUNCTION("""COMPUTED_VALUE"""),441.06)</f>
        <v>441.06</v>
      </c>
    </row>
    <row r="932">
      <c r="A932" s="2">
        <f>IFERROR(__xludf.DUMMYFUNCTION("""COMPUTED_VALUE"""),45456.66666666667)</f>
        <v>45456.66667</v>
      </c>
      <c r="B932" s="1">
        <f>IFERROR(__xludf.DUMMYFUNCTION("""COMPUTED_VALUE"""),441.58)</f>
        <v>441.58</v>
      </c>
    </row>
    <row r="933">
      <c r="A933" s="2">
        <f>IFERROR(__xludf.DUMMYFUNCTION("""COMPUTED_VALUE"""),45457.66666666667)</f>
        <v>45457.66667</v>
      </c>
      <c r="B933" s="1">
        <f>IFERROR(__xludf.DUMMYFUNCTION("""COMPUTED_VALUE"""),442.57)</f>
        <v>442.57</v>
      </c>
    </row>
    <row r="934">
      <c r="A934" s="2">
        <f>IFERROR(__xludf.DUMMYFUNCTION("""COMPUTED_VALUE"""),45460.66666666667)</f>
        <v>45460.66667</v>
      </c>
      <c r="B934" s="1">
        <f>IFERROR(__xludf.DUMMYFUNCTION("""COMPUTED_VALUE"""),448.37)</f>
        <v>448.37</v>
      </c>
    </row>
    <row r="935">
      <c r="A935" s="2">
        <f>IFERROR(__xludf.DUMMYFUNCTION("""COMPUTED_VALUE"""),45461.66666666667)</f>
        <v>45461.66667</v>
      </c>
      <c r="B935" s="1">
        <f>IFERROR(__xludf.DUMMYFUNCTION("""COMPUTED_VALUE"""),446.34)</f>
        <v>446.34</v>
      </c>
    </row>
    <row r="936">
      <c r="A936" s="2">
        <f>IFERROR(__xludf.DUMMYFUNCTION("""COMPUTED_VALUE"""),45463.66666666667)</f>
        <v>45463.66667</v>
      </c>
      <c r="B936" s="1">
        <f>IFERROR(__xludf.DUMMYFUNCTION("""COMPUTED_VALUE"""),445.7)</f>
        <v>445.7</v>
      </c>
    </row>
    <row r="937">
      <c r="A937" s="2">
        <f>IFERROR(__xludf.DUMMYFUNCTION("""COMPUTED_VALUE"""),45464.66666666667)</f>
        <v>45464.66667</v>
      </c>
      <c r="B937" s="1">
        <f>IFERROR(__xludf.DUMMYFUNCTION("""COMPUTED_VALUE"""),449.78)</f>
        <v>449.78</v>
      </c>
    </row>
    <row r="938">
      <c r="A938" s="2">
        <f>IFERROR(__xludf.DUMMYFUNCTION("""COMPUTED_VALUE"""),45467.66666666667)</f>
        <v>45467.66667</v>
      </c>
      <c r="B938" s="1">
        <f>IFERROR(__xludf.DUMMYFUNCTION("""COMPUTED_VALUE"""),447.67)</f>
        <v>447.67</v>
      </c>
    </row>
    <row r="939">
      <c r="A939" s="2">
        <f>IFERROR(__xludf.DUMMYFUNCTION("""COMPUTED_VALUE"""),45468.66666666667)</f>
        <v>45468.66667</v>
      </c>
      <c r="B939" s="1">
        <f>IFERROR(__xludf.DUMMYFUNCTION("""COMPUTED_VALUE"""),450.95)</f>
        <v>450.95</v>
      </c>
    </row>
    <row r="940">
      <c r="A940" s="2">
        <f>IFERROR(__xludf.DUMMYFUNCTION("""COMPUTED_VALUE"""),45469.66666666667)</f>
        <v>45469.66667</v>
      </c>
      <c r="B940" s="1">
        <f>IFERROR(__xludf.DUMMYFUNCTION("""COMPUTED_VALUE"""),452.16)</f>
        <v>452.16</v>
      </c>
    </row>
    <row r="941">
      <c r="A941" s="2">
        <f>IFERROR(__xludf.DUMMYFUNCTION("""COMPUTED_VALUE"""),45470.66666666667)</f>
        <v>45470.66667</v>
      </c>
      <c r="B941" s="1">
        <f>IFERROR(__xludf.DUMMYFUNCTION("""COMPUTED_VALUE"""),452.85)</f>
        <v>452.85</v>
      </c>
    </row>
    <row r="942">
      <c r="A942" s="2">
        <f>IFERROR(__xludf.DUMMYFUNCTION("""COMPUTED_VALUE"""),45471.66666666667)</f>
        <v>45471.66667</v>
      </c>
      <c r="B942" s="1">
        <f>IFERROR(__xludf.DUMMYFUNCTION("""COMPUTED_VALUE"""),446.95)</f>
        <v>446.95</v>
      </c>
    </row>
    <row r="943">
      <c r="A943" s="2">
        <f>IFERROR(__xludf.DUMMYFUNCTION("""COMPUTED_VALUE"""),45474.66666666667)</f>
        <v>45474.66667</v>
      </c>
      <c r="B943" s="1">
        <f>IFERROR(__xludf.DUMMYFUNCTION("""COMPUTED_VALUE"""),456.73)</f>
        <v>456.73</v>
      </c>
    </row>
    <row r="944">
      <c r="A944" s="2">
        <f>IFERROR(__xludf.DUMMYFUNCTION("""COMPUTED_VALUE"""),45475.66666666667)</f>
        <v>45475.66667</v>
      </c>
      <c r="B944" s="1">
        <f>IFERROR(__xludf.DUMMYFUNCTION("""COMPUTED_VALUE"""),459.28)</f>
        <v>459.28</v>
      </c>
    </row>
    <row r="945">
      <c r="A945" s="2">
        <f>IFERROR(__xludf.DUMMYFUNCTION("""COMPUTED_VALUE"""),45476.54513888889)</f>
        <v>45476.54514</v>
      </c>
      <c r="B945" s="1">
        <f>IFERROR(__xludf.DUMMYFUNCTION("""COMPUTED_VALUE"""),460.77)</f>
        <v>460.77</v>
      </c>
    </row>
    <row r="946">
      <c r="A946" s="2">
        <f>IFERROR(__xludf.DUMMYFUNCTION("""COMPUTED_VALUE"""),45478.66666666667)</f>
        <v>45478.66667</v>
      </c>
      <c r="B946" s="1">
        <f>IFERROR(__xludf.DUMMYFUNCTION("""COMPUTED_VALUE"""),467.56)</f>
        <v>467.56</v>
      </c>
    </row>
    <row r="947">
      <c r="A947" s="2">
        <f>IFERROR(__xludf.DUMMYFUNCTION("""COMPUTED_VALUE"""),45481.66666666667)</f>
        <v>45481.66667</v>
      </c>
      <c r="B947" s="1">
        <f>IFERROR(__xludf.DUMMYFUNCTION("""COMPUTED_VALUE"""),466.24)</f>
        <v>466.24</v>
      </c>
    </row>
    <row r="948">
      <c r="A948" s="2">
        <f>IFERROR(__xludf.DUMMYFUNCTION("""COMPUTED_VALUE"""),45482.66666666667)</f>
        <v>45482.66667</v>
      </c>
      <c r="B948" s="1">
        <f>IFERROR(__xludf.DUMMYFUNCTION("""COMPUTED_VALUE"""),459.54)</f>
        <v>459.54</v>
      </c>
    </row>
    <row r="949">
      <c r="A949" s="2">
        <f>IFERROR(__xludf.DUMMYFUNCTION("""COMPUTED_VALUE"""),45483.66666666667)</f>
        <v>45483.66667</v>
      </c>
      <c r="B949" s="1">
        <f>IFERROR(__xludf.DUMMYFUNCTION("""COMPUTED_VALUE"""),466.25)</f>
        <v>466.25</v>
      </c>
    </row>
    <row r="950">
      <c r="A950" s="2">
        <f>IFERROR(__xludf.DUMMYFUNCTION("""COMPUTED_VALUE"""),45484.66666666667)</f>
        <v>45484.66667</v>
      </c>
      <c r="B950" s="1">
        <f>IFERROR(__xludf.DUMMYFUNCTION("""COMPUTED_VALUE"""),454.7)</f>
        <v>454.7</v>
      </c>
    </row>
    <row r="951">
      <c r="A951" s="2">
        <f>IFERROR(__xludf.DUMMYFUNCTION("""COMPUTED_VALUE"""),45485.66666666667)</f>
        <v>45485.66667</v>
      </c>
      <c r="B951" s="1">
        <f>IFERROR(__xludf.DUMMYFUNCTION("""COMPUTED_VALUE"""),453.55)</f>
        <v>453.55</v>
      </c>
    </row>
    <row r="952">
      <c r="A952" s="2">
        <f>IFERROR(__xludf.DUMMYFUNCTION("""COMPUTED_VALUE"""),45488.66666666667)</f>
        <v>45488.66667</v>
      </c>
      <c r="B952" s="1">
        <f>IFERROR(__xludf.DUMMYFUNCTION("""COMPUTED_VALUE"""),453.96)</f>
        <v>453.96</v>
      </c>
    </row>
    <row r="953">
      <c r="A953" s="2">
        <f>IFERROR(__xludf.DUMMYFUNCTION("""COMPUTED_VALUE"""),45489.66666666667)</f>
        <v>45489.66667</v>
      </c>
      <c r="B953" s="1">
        <f>IFERROR(__xludf.DUMMYFUNCTION("""COMPUTED_VALUE"""),449.52)</f>
        <v>449.52</v>
      </c>
    </row>
    <row r="954">
      <c r="A954" s="2">
        <f>IFERROR(__xludf.DUMMYFUNCTION("""COMPUTED_VALUE"""),45490.66666666667)</f>
        <v>45490.66667</v>
      </c>
      <c r="B954" s="1">
        <f>IFERROR(__xludf.DUMMYFUNCTION("""COMPUTED_VALUE"""),443.52)</f>
        <v>443.52</v>
      </c>
    </row>
    <row r="955">
      <c r="A955" s="2">
        <f>IFERROR(__xludf.DUMMYFUNCTION("""COMPUTED_VALUE"""),45491.66666666667)</f>
        <v>45491.66667</v>
      </c>
      <c r="B955" s="1">
        <f>IFERROR(__xludf.DUMMYFUNCTION("""COMPUTED_VALUE"""),440.37)</f>
        <v>440.37</v>
      </c>
    </row>
    <row r="956">
      <c r="A956" s="2">
        <f>IFERROR(__xludf.DUMMYFUNCTION("""COMPUTED_VALUE"""),45492.66666666667)</f>
        <v>45492.66667</v>
      </c>
      <c r="B956" s="1">
        <f>IFERROR(__xludf.DUMMYFUNCTION("""COMPUTED_VALUE"""),437.11)</f>
        <v>437.11</v>
      </c>
    </row>
    <row r="957">
      <c r="A957" s="2">
        <f>IFERROR(__xludf.DUMMYFUNCTION("""COMPUTED_VALUE"""),45495.66666666667)</f>
        <v>45495.66667</v>
      </c>
      <c r="B957" s="1">
        <f>IFERROR(__xludf.DUMMYFUNCTION("""COMPUTED_VALUE"""),442.94)</f>
        <v>442.94</v>
      </c>
    </row>
    <row r="958">
      <c r="A958" s="2">
        <f>IFERROR(__xludf.DUMMYFUNCTION("""COMPUTED_VALUE"""),45496.66666666667)</f>
        <v>45496.66667</v>
      </c>
      <c r="B958" s="1">
        <f>IFERROR(__xludf.DUMMYFUNCTION("""COMPUTED_VALUE"""),444.85)</f>
        <v>444.85</v>
      </c>
    </row>
    <row r="959">
      <c r="A959" s="2">
        <f>IFERROR(__xludf.DUMMYFUNCTION("""COMPUTED_VALUE"""),45497.66666666667)</f>
        <v>45497.66667</v>
      </c>
      <c r="B959" s="1">
        <f>IFERROR(__xludf.DUMMYFUNCTION("""COMPUTED_VALUE"""),428.9)</f>
        <v>428.9</v>
      </c>
    </row>
    <row r="960">
      <c r="A960" s="2">
        <f>IFERROR(__xludf.DUMMYFUNCTION("""COMPUTED_VALUE"""),45498.66666666667)</f>
        <v>45498.66667</v>
      </c>
      <c r="B960" s="1">
        <f>IFERROR(__xludf.DUMMYFUNCTION("""COMPUTED_VALUE"""),418.4)</f>
        <v>418.4</v>
      </c>
    </row>
    <row r="961">
      <c r="A961" s="2">
        <f>IFERROR(__xludf.DUMMYFUNCTION("""COMPUTED_VALUE"""),45499.66666666667)</f>
        <v>45499.66667</v>
      </c>
      <c r="B961" s="1">
        <f>IFERROR(__xludf.DUMMYFUNCTION("""COMPUTED_VALUE"""),425.27)</f>
        <v>425.27</v>
      </c>
    </row>
    <row r="962">
      <c r="A962" s="2">
        <f>IFERROR(__xludf.DUMMYFUNCTION("""COMPUTED_VALUE"""),45502.66666666667)</f>
        <v>45502.66667</v>
      </c>
      <c r="B962" s="1">
        <f>IFERROR(__xludf.DUMMYFUNCTION("""COMPUTED_VALUE"""),426.73)</f>
        <v>426.73</v>
      </c>
    </row>
    <row r="963">
      <c r="A963" s="2">
        <f>IFERROR(__xludf.DUMMYFUNCTION("""COMPUTED_VALUE"""),45503.66666666667)</f>
        <v>45503.66667</v>
      </c>
      <c r="B963" s="1">
        <f>IFERROR(__xludf.DUMMYFUNCTION("""COMPUTED_VALUE"""),422.92)</f>
        <v>422.92</v>
      </c>
    </row>
    <row r="964">
      <c r="A964" s="2">
        <f>IFERROR(__xludf.DUMMYFUNCTION("""COMPUTED_VALUE"""),45504.66666666667)</f>
        <v>45504.66667</v>
      </c>
      <c r="B964" s="1">
        <f>IFERROR(__xludf.DUMMYFUNCTION("""COMPUTED_VALUE"""),418.35)</f>
        <v>418.35</v>
      </c>
    </row>
    <row r="965">
      <c r="A965" s="2">
        <f>IFERROR(__xludf.DUMMYFUNCTION("""COMPUTED_VALUE"""),45505.66666666667)</f>
        <v>45505.66667</v>
      </c>
      <c r="B965" s="1">
        <f>IFERROR(__xludf.DUMMYFUNCTION("""COMPUTED_VALUE"""),417.11)</f>
        <v>417.11</v>
      </c>
    </row>
    <row r="966">
      <c r="A966" s="2">
        <f>IFERROR(__xludf.DUMMYFUNCTION("""COMPUTED_VALUE"""),45506.66666666667)</f>
        <v>45506.66667</v>
      </c>
      <c r="B966" s="1">
        <f>IFERROR(__xludf.DUMMYFUNCTION("""COMPUTED_VALUE"""),408.49)</f>
        <v>408.49</v>
      </c>
    </row>
    <row r="967">
      <c r="A967" s="2">
        <f>IFERROR(__xludf.DUMMYFUNCTION("""COMPUTED_VALUE"""),45509.66666666667)</f>
        <v>45509.66667</v>
      </c>
      <c r="B967" s="1">
        <f>IFERROR(__xludf.DUMMYFUNCTION("""COMPUTED_VALUE"""),395.15)</f>
        <v>395.15</v>
      </c>
    </row>
    <row r="968">
      <c r="A968" s="2">
        <f>IFERROR(__xludf.DUMMYFUNCTION("""COMPUTED_VALUE"""),45510.66666666667)</f>
        <v>45510.66667</v>
      </c>
      <c r="B968" s="1">
        <f>IFERROR(__xludf.DUMMYFUNCTION("""COMPUTED_VALUE"""),399.61)</f>
        <v>399.61</v>
      </c>
    </row>
    <row r="969">
      <c r="A969" s="2">
        <f>IFERROR(__xludf.DUMMYFUNCTION("""COMPUTED_VALUE"""),45511.66666666667)</f>
        <v>45511.66667</v>
      </c>
      <c r="B969" s="1">
        <f>IFERROR(__xludf.DUMMYFUNCTION("""COMPUTED_VALUE"""),398.43)</f>
        <v>398.43</v>
      </c>
    </row>
    <row r="970">
      <c r="A970" s="2">
        <f>IFERROR(__xludf.DUMMYFUNCTION("""COMPUTED_VALUE"""),45512.66666666667)</f>
        <v>45512.66667</v>
      </c>
      <c r="B970" s="1">
        <f>IFERROR(__xludf.DUMMYFUNCTION("""COMPUTED_VALUE"""),402.69)</f>
        <v>402.69</v>
      </c>
    </row>
    <row r="971">
      <c r="A971" s="2">
        <f>IFERROR(__xludf.DUMMYFUNCTION("""COMPUTED_VALUE"""),45513.66666666667)</f>
        <v>45513.66667</v>
      </c>
      <c r="B971" s="1">
        <f>IFERROR(__xludf.DUMMYFUNCTION("""COMPUTED_VALUE"""),406.02)</f>
        <v>406.02</v>
      </c>
    </row>
    <row r="972">
      <c r="A972" s="2">
        <f>IFERROR(__xludf.DUMMYFUNCTION("""COMPUTED_VALUE"""),45516.66666666667)</f>
        <v>45516.66667</v>
      </c>
      <c r="B972" s="1">
        <f>IFERROR(__xludf.DUMMYFUNCTION("""COMPUTED_VALUE"""),406.81)</f>
        <v>406.81</v>
      </c>
    </row>
    <row r="973">
      <c r="A973" s="2">
        <f>IFERROR(__xludf.DUMMYFUNCTION("""COMPUTED_VALUE"""),45517.66666666667)</f>
        <v>45517.66667</v>
      </c>
      <c r="B973" s="1">
        <f>IFERROR(__xludf.DUMMYFUNCTION("""COMPUTED_VALUE"""),414.01)</f>
        <v>414.01</v>
      </c>
    </row>
    <row r="974">
      <c r="A974" s="2">
        <f>IFERROR(__xludf.DUMMYFUNCTION("""COMPUTED_VALUE"""),45518.66666666667)</f>
        <v>45518.66667</v>
      </c>
      <c r="B974" s="1">
        <f>IFERROR(__xludf.DUMMYFUNCTION("""COMPUTED_VALUE"""),416.86)</f>
        <v>416.86</v>
      </c>
    </row>
    <row r="975">
      <c r="A975" s="2">
        <f>IFERROR(__xludf.DUMMYFUNCTION("""COMPUTED_VALUE"""),45519.66666666667)</f>
        <v>45519.66667</v>
      </c>
      <c r="B975" s="1">
        <f>IFERROR(__xludf.DUMMYFUNCTION("""COMPUTED_VALUE"""),421.03)</f>
        <v>421.03</v>
      </c>
    </row>
    <row r="976">
      <c r="A976" s="2">
        <f>IFERROR(__xludf.DUMMYFUNCTION("""COMPUTED_VALUE"""),45520.66666666667)</f>
        <v>45520.66667</v>
      </c>
      <c r="B976" s="1">
        <f>IFERROR(__xludf.DUMMYFUNCTION("""COMPUTED_VALUE"""),418.47)</f>
        <v>418.47</v>
      </c>
    </row>
    <row r="977">
      <c r="A977" s="2">
        <f>IFERROR(__xludf.DUMMYFUNCTION("""COMPUTED_VALUE"""),45523.66666666667)</f>
        <v>45523.66667</v>
      </c>
      <c r="B977" s="1">
        <f>IFERROR(__xludf.DUMMYFUNCTION("""COMPUTED_VALUE"""),421.53)</f>
        <v>421.53</v>
      </c>
    </row>
    <row r="978">
      <c r="A978" s="2">
        <f>IFERROR(__xludf.DUMMYFUNCTION("""COMPUTED_VALUE"""),45524.66666666667)</f>
        <v>45524.66667</v>
      </c>
      <c r="B978" s="1">
        <f>IFERROR(__xludf.DUMMYFUNCTION("""COMPUTED_VALUE"""),424.8)</f>
        <v>424.8</v>
      </c>
    </row>
    <row r="979">
      <c r="A979" s="2">
        <f>IFERROR(__xludf.DUMMYFUNCTION("""COMPUTED_VALUE"""),45525.66666666667)</f>
        <v>45525.66667</v>
      </c>
      <c r="B979" s="1">
        <f>IFERROR(__xludf.DUMMYFUNCTION("""COMPUTED_VALUE"""),424.14)</f>
        <v>424.14</v>
      </c>
    </row>
    <row r="980">
      <c r="A980" s="2">
        <f>IFERROR(__xludf.DUMMYFUNCTION("""COMPUTED_VALUE"""),45526.66666666667)</f>
        <v>45526.66667</v>
      </c>
      <c r="B980" s="1">
        <f>IFERROR(__xludf.DUMMYFUNCTION("""COMPUTED_VALUE"""),415.55)</f>
        <v>415.55</v>
      </c>
    </row>
    <row r="981">
      <c r="A981" s="2">
        <f>IFERROR(__xludf.DUMMYFUNCTION("""COMPUTED_VALUE"""),45527.66666666667)</f>
        <v>45527.66667</v>
      </c>
      <c r="B981" s="1">
        <f>IFERROR(__xludf.DUMMYFUNCTION("""COMPUTED_VALUE"""),416.79)</f>
        <v>416.79</v>
      </c>
    </row>
    <row r="982">
      <c r="A982" s="2">
        <f>IFERROR(__xludf.DUMMYFUNCTION("""COMPUTED_VALUE"""),45530.66666666667)</f>
        <v>45530.66667</v>
      </c>
      <c r="B982" s="1">
        <f>IFERROR(__xludf.DUMMYFUNCTION("""COMPUTED_VALUE"""),413.49)</f>
        <v>413.49</v>
      </c>
    </row>
    <row r="983">
      <c r="A983" s="2">
        <f>IFERROR(__xludf.DUMMYFUNCTION("""COMPUTED_VALUE"""),45531.66666666667)</f>
        <v>45531.66667</v>
      </c>
      <c r="B983" s="1">
        <f>IFERROR(__xludf.DUMMYFUNCTION("""COMPUTED_VALUE"""),413.84)</f>
        <v>413.84</v>
      </c>
    </row>
    <row r="984">
      <c r="A984" s="2">
        <f>IFERROR(__xludf.DUMMYFUNCTION("""COMPUTED_VALUE"""),45532.66666666667)</f>
        <v>45532.66667</v>
      </c>
      <c r="B984" s="1">
        <f>IFERROR(__xludf.DUMMYFUNCTION("""COMPUTED_VALUE"""),410.6)</f>
        <v>410.6</v>
      </c>
    </row>
    <row r="985">
      <c r="A985" s="2">
        <f>IFERROR(__xludf.DUMMYFUNCTION("""COMPUTED_VALUE"""),45533.66666666667)</f>
        <v>45533.66667</v>
      </c>
      <c r="B985" s="1">
        <f>IFERROR(__xludf.DUMMYFUNCTION("""COMPUTED_VALUE"""),413.12)</f>
        <v>413.12</v>
      </c>
    </row>
    <row r="986">
      <c r="A986" s="2">
        <f>IFERROR(__xludf.DUMMYFUNCTION("""COMPUTED_VALUE"""),45534.66666666667)</f>
        <v>45534.66667</v>
      </c>
      <c r="B986" s="1">
        <f>IFERROR(__xludf.DUMMYFUNCTION("""COMPUTED_VALUE"""),417.14)</f>
        <v>417.14</v>
      </c>
    </row>
    <row r="987">
      <c r="A987" s="2">
        <f>IFERROR(__xludf.DUMMYFUNCTION("""COMPUTED_VALUE"""),45538.66666666667)</f>
        <v>45538.66667</v>
      </c>
      <c r="B987" s="1">
        <f>IFERROR(__xludf.DUMMYFUNCTION("""COMPUTED_VALUE"""),409.44)</f>
        <v>409.44</v>
      </c>
    </row>
    <row r="988">
      <c r="A988" s="2">
        <f>IFERROR(__xludf.DUMMYFUNCTION("""COMPUTED_VALUE"""),45539.66666666667)</f>
        <v>45539.66667</v>
      </c>
      <c r="B988" s="1">
        <f>IFERROR(__xludf.DUMMYFUNCTION("""COMPUTED_VALUE"""),408.9)</f>
        <v>408.9</v>
      </c>
    </row>
    <row r="989">
      <c r="A989" s="2">
        <f>IFERROR(__xludf.DUMMYFUNCTION("""COMPUTED_VALUE"""),45540.66666666667)</f>
        <v>45540.66667</v>
      </c>
      <c r="B989" s="1">
        <f>IFERROR(__xludf.DUMMYFUNCTION("""COMPUTED_VALUE"""),408.39)</f>
        <v>408.39</v>
      </c>
    </row>
    <row r="990">
      <c r="A990" s="2">
        <f>IFERROR(__xludf.DUMMYFUNCTION("""COMPUTED_VALUE"""),45541.66666666667)</f>
        <v>45541.66667</v>
      </c>
      <c r="B990" s="1">
        <f>IFERROR(__xludf.DUMMYFUNCTION("""COMPUTED_VALUE"""),401.7)</f>
        <v>401.7</v>
      </c>
    </row>
    <row r="991">
      <c r="A991" s="2">
        <f>IFERROR(__xludf.DUMMYFUNCTION("""COMPUTED_VALUE"""),45544.66666666667)</f>
        <v>45544.66667</v>
      </c>
      <c r="B991" s="1">
        <f>IFERROR(__xludf.DUMMYFUNCTION("""COMPUTED_VALUE"""),405.72)</f>
        <v>405.72</v>
      </c>
    </row>
    <row r="992">
      <c r="A992" s="2">
        <f>IFERROR(__xludf.DUMMYFUNCTION("""COMPUTED_VALUE"""),45545.66666666667)</f>
        <v>45545.66667</v>
      </c>
      <c r="B992" s="1">
        <f>IFERROR(__xludf.DUMMYFUNCTION("""COMPUTED_VALUE"""),414.2)</f>
        <v>414.2</v>
      </c>
    </row>
    <row r="993">
      <c r="A993" s="2">
        <f>IFERROR(__xludf.DUMMYFUNCTION("""COMPUTED_VALUE"""),45546.66666666667)</f>
        <v>45546.66667</v>
      </c>
      <c r="B993" s="1">
        <f>IFERROR(__xludf.DUMMYFUNCTION("""COMPUTED_VALUE"""),423.04)</f>
        <v>423.04</v>
      </c>
    </row>
    <row r="994">
      <c r="A994" s="2">
        <f>IFERROR(__xludf.DUMMYFUNCTION("""COMPUTED_VALUE"""),45547.66666666667)</f>
        <v>45547.66667</v>
      </c>
      <c r="B994" s="1">
        <f>IFERROR(__xludf.DUMMYFUNCTION("""COMPUTED_VALUE"""),427.0)</f>
        <v>427</v>
      </c>
    </row>
    <row r="995">
      <c r="A995" s="2">
        <f>IFERROR(__xludf.DUMMYFUNCTION("""COMPUTED_VALUE"""),45548.66666666667)</f>
        <v>45548.66667</v>
      </c>
      <c r="B995" s="1">
        <f>IFERROR(__xludf.DUMMYFUNCTION("""COMPUTED_VALUE"""),430.59)</f>
        <v>430.59</v>
      </c>
    </row>
    <row r="996">
      <c r="A996" s="2">
        <f>IFERROR(__xludf.DUMMYFUNCTION("""COMPUTED_VALUE"""),45551.66666666667)</f>
        <v>45551.66667</v>
      </c>
      <c r="B996" s="1">
        <f>IFERROR(__xludf.DUMMYFUNCTION("""COMPUTED_VALUE"""),431.34)</f>
        <v>431.34</v>
      </c>
    </row>
    <row r="997">
      <c r="A997" s="2">
        <f>IFERROR(__xludf.DUMMYFUNCTION("""COMPUTED_VALUE"""),45552.66666666667)</f>
        <v>45552.66667</v>
      </c>
      <c r="B997" s="1">
        <f>IFERROR(__xludf.DUMMYFUNCTION("""COMPUTED_VALUE"""),435.15)</f>
        <v>435.15</v>
      </c>
    </row>
    <row r="998">
      <c r="A998" s="2">
        <f>IFERROR(__xludf.DUMMYFUNCTION("""COMPUTED_VALUE"""),45553.66666666667)</f>
        <v>45553.66667</v>
      </c>
      <c r="B998" s="1">
        <f>IFERROR(__xludf.DUMMYFUNCTION("""COMPUTED_VALUE"""),430.81)</f>
        <v>430.81</v>
      </c>
    </row>
    <row r="999">
      <c r="A999" s="2">
        <f>IFERROR(__xludf.DUMMYFUNCTION("""COMPUTED_VALUE"""),45554.66666666667)</f>
        <v>45554.66667</v>
      </c>
      <c r="B999" s="1">
        <f>IFERROR(__xludf.DUMMYFUNCTION("""COMPUTED_VALUE"""),438.69)</f>
        <v>438.69</v>
      </c>
    </row>
    <row r="1000">
      <c r="A1000" s="2">
        <f>IFERROR(__xludf.DUMMYFUNCTION("""COMPUTED_VALUE"""),45555.66666666667)</f>
        <v>45555.66667</v>
      </c>
      <c r="B1000" s="1">
        <f>IFERROR(__xludf.DUMMYFUNCTION("""COMPUTED_VALUE"""),435.27)</f>
        <v>435.27</v>
      </c>
    </row>
    <row r="1001">
      <c r="A1001" s="2">
        <f>IFERROR(__xludf.DUMMYFUNCTION("""COMPUTED_VALUE"""),45558.66666666667)</f>
        <v>45558.66667</v>
      </c>
      <c r="B1001" s="1">
        <f>IFERROR(__xludf.DUMMYFUNCTION("""COMPUTED_VALUE"""),433.51)</f>
        <v>433.51</v>
      </c>
    </row>
    <row r="1002">
      <c r="A1002" s="2">
        <f>IFERROR(__xludf.DUMMYFUNCTION("""COMPUTED_VALUE"""),45559.66666666667)</f>
        <v>45559.66667</v>
      </c>
      <c r="B1002" s="1">
        <f>IFERROR(__xludf.DUMMYFUNCTION("""COMPUTED_VALUE"""),429.17)</f>
        <v>429.17</v>
      </c>
    </row>
    <row r="1003">
      <c r="A1003" s="2">
        <f>IFERROR(__xludf.DUMMYFUNCTION("""COMPUTED_VALUE"""),45560.66666666667)</f>
        <v>45560.66667</v>
      </c>
      <c r="B1003" s="1">
        <f>IFERROR(__xludf.DUMMYFUNCTION("""COMPUTED_VALUE"""),432.11)</f>
        <v>432.11</v>
      </c>
    </row>
    <row r="1004">
      <c r="A1004" s="2">
        <f>IFERROR(__xludf.DUMMYFUNCTION("""COMPUTED_VALUE"""),45561.66666666667)</f>
        <v>45561.66667</v>
      </c>
      <c r="B1004" s="1">
        <f>IFERROR(__xludf.DUMMYFUNCTION("""COMPUTED_VALUE"""),431.31)</f>
        <v>431.31</v>
      </c>
    </row>
    <row r="1005">
      <c r="A1005" s="2">
        <f>IFERROR(__xludf.DUMMYFUNCTION("""COMPUTED_VALUE"""),45562.66666666667)</f>
        <v>45562.66667</v>
      </c>
      <c r="B1005" s="1">
        <f>IFERROR(__xludf.DUMMYFUNCTION("""COMPUTED_VALUE"""),428.02)</f>
        <v>428.02</v>
      </c>
    </row>
    <row r="1006">
      <c r="A1006" s="2">
        <f>IFERROR(__xludf.DUMMYFUNCTION("""COMPUTED_VALUE"""),45565.66666666667)</f>
        <v>45565.66667</v>
      </c>
      <c r="B1006" s="1">
        <f>IFERROR(__xludf.DUMMYFUNCTION("""COMPUTED_VALUE"""),430.3)</f>
        <v>430.3</v>
      </c>
    </row>
    <row r="1007">
      <c r="A1007" s="2">
        <f>IFERROR(__xludf.DUMMYFUNCTION("""COMPUTED_VALUE"""),45566.66666666667)</f>
        <v>45566.66667</v>
      </c>
      <c r="B1007" s="1">
        <f>IFERROR(__xludf.DUMMYFUNCTION("""COMPUTED_VALUE"""),420.69)</f>
        <v>420.69</v>
      </c>
    </row>
    <row r="1008">
      <c r="A1008" s="2">
        <f>IFERROR(__xludf.DUMMYFUNCTION("""COMPUTED_VALUE"""),45567.66666666667)</f>
        <v>45567.66667</v>
      </c>
      <c r="B1008" s="1">
        <f>IFERROR(__xludf.DUMMYFUNCTION("""COMPUTED_VALUE"""),417.13)</f>
        <v>417.13</v>
      </c>
    </row>
    <row r="1009">
      <c r="A1009" s="2">
        <f>IFERROR(__xludf.DUMMYFUNCTION("""COMPUTED_VALUE"""),45568.66666666667)</f>
        <v>45568.66667</v>
      </c>
      <c r="B1009" s="1">
        <f>IFERROR(__xludf.DUMMYFUNCTION("""COMPUTED_VALUE"""),416.54)</f>
        <v>416.54</v>
      </c>
    </row>
    <row r="1010">
      <c r="A1010" s="2">
        <f>IFERROR(__xludf.DUMMYFUNCTION("""COMPUTED_VALUE"""),45569.66666666667)</f>
        <v>45569.66667</v>
      </c>
      <c r="B1010" s="1">
        <f>IFERROR(__xludf.DUMMYFUNCTION("""COMPUTED_VALUE"""),416.06)</f>
        <v>416.06</v>
      </c>
    </row>
    <row r="1011">
      <c r="A1011" s="2">
        <f>IFERROR(__xludf.DUMMYFUNCTION("""COMPUTED_VALUE"""),45572.66666666667)</f>
        <v>45572.66667</v>
      </c>
      <c r="B1011" s="1">
        <f>IFERROR(__xludf.DUMMYFUNCTION("""COMPUTED_VALUE"""),409.54)</f>
        <v>409.54</v>
      </c>
    </row>
    <row r="1012">
      <c r="A1012" s="2">
        <f>IFERROR(__xludf.DUMMYFUNCTION("""COMPUTED_VALUE"""),45573.66666666667)</f>
        <v>45573.66667</v>
      </c>
      <c r="B1012" s="1">
        <f>IFERROR(__xludf.DUMMYFUNCTION("""COMPUTED_VALUE"""),414.71)</f>
        <v>414.71</v>
      </c>
    </row>
    <row r="1013">
      <c r="A1013" s="2">
        <f>IFERROR(__xludf.DUMMYFUNCTION("""COMPUTED_VALUE"""),45574.66666666667)</f>
        <v>45574.66667</v>
      </c>
      <c r="B1013" s="1">
        <f>IFERROR(__xludf.DUMMYFUNCTION("""COMPUTED_VALUE"""),417.46)</f>
        <v>417.46</v>
      </c>
    </row>
    <row r="1014">
      <c r="A1014" s="2">
        <f>IFERROR(__xludf.DUMMYFUNCTION("""COMPUTED_VALUE"""),45575.66666666667)</f>
        <v>45575.66667</v>
      </c>
      <c r="B1014" s="1">
        <f>IFERROR(__xludf.DUMMYFUNCTION("""COMPUTED_VALUE"""),415.84)</f>
        <v>415.84</v>
      </c>
    </row>
    <row r="1015">
      <c r="A1015" s="2">
        <f>IFERROR(__xludf.DUMMYFUNCTION("""COMPUTED_VALUE"""),45576.66666666667)</f>
        <v>45576.66667</v>
      </c>
      <c r="B1015" s="1">
        <f>IFERROR(__xludf.DUMMYFUNCTION("""COMPUTED_VALUE"""),416.32)</f>
        <v>416.32</v>
      </c>
    </row>
    <row r="1016">
      <c r="A1016" s="2">
        <f>IFERROR(__xludf.DUMMYFUNCTION("""COMPUTED_VALUE"""),45579.66666666667)</f>
        <v>45579.66667</v>
      </c>
      <c r="B1016" s="1">
        <f>IFERROR(__xludf.DUMMYFUNCTION("""COMPUTED_VALUE"""),419.14)</f>
        <v>419.14</v>
      </c>
    </row>
    <row r="1017">
      <c r="A1017" s="2">
        <f>IFERROR(__xludf.DUMMYFUNCTION("""COMPUTED_VALUE"""),45580.66666666667)</f>
        <v>45580.66667</v>
      </c>
      <c r="B1017" s="1">
        <f>IFERROR(__xludf.DUMMYFUNCTION("""COMPUTED_VALUE"""),418.74)</f>
        <v>418.74</v>
      </c>
    </row>
    <row r="1018">
      <c r="A1018" s="2">
        <f>IFERROR(__xludf.DUMMYFUNCTION("""COMPUTED_VALUE"""),45581.66666666667)</f>
        <v>45581.66667</v>
      </c>
      <c r="B1018" s="1">
        <f>IFERROR(__xludf.DUMMYFUNCTION("""COMPUTED_VALUE"""),416.12)</f>
        <v>416.12</v>
      </c>
    </row>
    <row r="1019">
      <c r="A1019" s="2">
        <f>IFERROR(__xludf.DUMMYFUNCTION("""COMPUTED_VALUE"""),45582.66666666667)</f>
        <v>45582.66667</v>
      </c>
      <c r="B1019" s="1">
        <f>IFERROR(__xludf.DUMMYFUNCTION("""COMPUTED_VALUE"""),416.72)</f>
        <v>416.72</v>
      </c>
    </row>
    <row r="1020">
      <c r="A1020" s="2">
        <f>IFERROR(__xludf.DUMMYFUNCTION("""COMPUTED_VALUE"""),45583.66666666667)</f>
        <v>45583.66667</v>
      </c>
      <c r="B1020" s="1">
        <f>IFERROR(__xludf.DUMMYFUNCTION("""COMPUTED_VALUE"""),418.16)</f>
        <v>418.16</v>
      </c>
    </row>
    <row r="1021">
      <c r="A1021" s="2">
        <f>IFERROR(__xludf.DUMMYFUNCTION("""COMPUTED_VALUE"""),45586.66666666667)</f>
        <v>45586.66667</v>
      </c>
      <c r="B1021" s="1">
        <f>IFERROR(__xludf.DUMMYFUNCTION("""COMPUTED_VALUE"""),418.78)</f>
        <v>418.78</v>
      </c>
    </row>
    <row r="1022">
      <c r="A1022" s="2">
        <f>IFERROR(__xludf.DUMMYFUNCTION("""COMPUTED_VALUE"""),45587.66666666667)</f>
        <v>45587.66667</v>
      </c>
      <c r="B1022" s="1">
        <f>IFERROR(__xludf.DUMMYFUNCTION("""COMPUTED_VALUE"""),427.51)</f>
        <v>427.51</v>
      </c>
    </row>
    <row r="1023">
      <c r="A1023" s="2">
        <f>IFERROR(__xludf.DUMMYFUNCTION("""COMPUTED_VALUE"""),45588.66666666667)</f>
        <v>45588.66667</v>
      </c>
      <c r="B1023" s="1">
        <f>IFERROR(__xludf.DUMMYFUNCTION("""COMPUTED_VALUE"""),424.6)</f>
        <v>424.6</v>
      </c>
    </row>
    <row r="1024">
      <c r="A1024" s="2">
        <f>IFERROR(__xludf.DUMMYFUNCTION("""COMPUTED_VALUE"""),45589.66666666667)</f>
        <v>45589.66667</v>
      </c>
      <c r="B1024" s="1">
        <f>IFERROR(__xludf.DUMMYFUNCTION("""COMPUTED_VALUE"""),424.73)</f>
        <v>424.73</v>
      </c>
    </row>
    <row r="1025">
      <c r="A1025" s="2">
        <f>IFERROR(__xludf.DUMMYFUNCTION("""COMPUTED_VALUE"""),45590.66666666667)</f>
        <v>45590.66667</v>
      </c>
      <c r="B1025" s="1">
        <f>IFERROR(__xludf.DUMMYFUNCTION("""COMPUTED_VALUE"""),428.15)</f>
        <v>428.15</v>
      </c>
    </row>
    <row r="1026">
      <c r="A1026" s="2">
        <f>IFERROR(__xludf.DUMMYFUNCTION("""COMPUTED_VALUE"""),45593.66666666667)</f>
        <v>45593.66667</v>
      </c>
      <c r="B1026" s="1">
        <f>IFERROR(__xludf.DUMMYFUNCTION("""COMPUTED_VALUE"""),426.59)</f>
        <v>426.59</v>
      </c>
    </row>
    <row r="1027">
      <c r="A1027" s="2">
        <f>IFERROR(__xludf.DUMMYFUNCTION("""COMPUTED_VALUE"""),45594.66666666667)</f>
        <v>45594.66667</v>
      </c>
      <c r="B1027" s="1">
        <f>IFERROR(__xludf.DUMMYFUNCTION("""COMPUTED_VALUE"""),431.95)</f>
        <v>431.95</v>
      </c>
    </row>
    <row r="1028">
      <c r="A1028" s="2">
        <f>IFERROR(__xludf.DUMMYFUNCTION("""COMPUTED_VALUE"""),45595.66666666667)</f>
        <v>45595.66667</v>
      </c>
      <c r="B1028" s="1">
        <f>IFERROR(__xludf.DUMMYFUNCTION("""COMPUTED_VALUE"""),432.53)</f>
        <v>432.53</v>
      </c>
    </row>
    <row r="1029">
      <c r="A1029" s="2">
        <f>IFERROR(__xludf.DUMMYFUNCTION("""COMPUTED_VALUE"""),45596.66666666667)</f>
        <v>45596.66667</v>
      </c>
      <c r="B1029" s="1">
        <f>IFERROR(__xludf.DUMMYFUNCTION("""COMPUTED_VALUE"""),406.35)</f>
        <v>406.35</v>
      </c>
    </row>
    <row r="1030">
      <c r="A1030" s="2">
        <f>IFERROR(__xludf.DUMMYFUNCTION("""COMPUTED_VALUE"""),45597.66666666667)</f>
        <v>45597.66667</v>
      </c>
      <c r="B1030" s="1">
        <f>IFERROR(__xludf.DUMMYFUNCTION("""COMPUTED_VALUE"""),410.37)</f>
        <v>410.37</v>
      </c>
    </row>
    <row r="1031">
      <c r="A1031" s="2">
        <f>IFERROR(__xludf.DUMMYFUNCTION("""COMPUTED_VALUE"""),45600.66666666667)</f>
        <v>45600.66667</v>
      </c>
      <c r="B1031" s="1">
        <f>IFERROR(__xludf.DUMMYFUNCTION("""COMPUTED_VALUE"""),408.46)</f>
        <v>408.46</v>
      </c>
    </row>
    <row r="1032">
      <c r="A1032" s="2">
        <f>IFERROR(__xludf.DUMMYFUNCTION("""COMPUTED_VALUE"""),45601.66666666667)</f>
        <v>45601.66667</v>
      </c>
      <c r="B1032" s="1">
        <f>IFERROR(__xludf.DUMMYFUNCTION("""COMPUTED_VALUE"""),411.46)</f>
        <v>411.46</v>
      </c>
    </row>
    <row r="1033">
      <c r="A1033" s="2">
        <f>IFERROR(__xludf.DUMMYFUNCTION("""COMPUTED_VALUE"""),45602.66666666667)</f>
        <v>45602.66667</v>
      </c>
      <c r="B1033" s="1">
        <f>IFERROR(__xludf.DUMMYFUNCTION("""COMPUTED_VALUE"""),420.18)</f>
        <v>420.18</v>
      </c>
    </row>
    <row r="1034">
      <c r="A1034" s="2">
        <f>IFERROR(__xludf.DUMMYFUNCTION("""COMPUTED_VALUE"""),45603.66666666667)</f>
        <v>45603.66667</v>
      </c>
      <c r="B1034" s="1">
        <f>IFERROR(__xludf.DUMMYFUNCTION("""COMPUTED_VALUE"""),425.43)</f>
        <v>425.43</v>
      </c>
    </row>
    <row r="1035">
      <c r="A1035" s="2">
        <f>IFERROR(__xludf.DUMMYFUNCTION("""COMPUTED_VALUE"""),45604.66666666667)</f>
        <v>45604.66667</v>
      </c>
      <c r="B1035" s="1">
        <f>IFERROR(__xludf.DUMMYFUNCTION("""COMPUTED_VALUE"""),422.54)</f>
        <v>422.54</v>
      </c>
    </row>
    <row r="1036">
      <c r="A1036" s="2">
        <f>IFERROR(__xludf.DUMMYFUNCTION("""COMPUTED_VALUE"""),45607.66666666667)</f>
        <v>45607.66667</v>
      </c>
      <c r="B1036" s="1">
        <f>IFERROR(__xludf.DUMMYFUNCTION("""COMPUTED_VALUE"""),418.01)</f>
        <v>418.01</v>
      </c>
    </row>
    <row r="1037">
      <c r="A1037" s="2">
        <f>IFERROR(__xludf.DUMMYFUNCTION("""COMPUTED_VALUE"""),45608.66666666667)</f>
        <v>45608.66667</v>
      </c>
      <c r="B1037" s="1">
        <f>IFERROR(__xludf.DUMMYFUNCTION("""COMPUTED_VALUE"""),423.03)</f>
        <v>423.03</v>
      </c>
    </row>
    <row r="1038">
      <c r="A1038" s="2">
        <f>IFERROR(__xludf.DUMMYFUNCTION("""COMPUTED_VALUE"""),45609.66666666667)</f>
        <v>45609.66667</v>
      </c>
      <c r="B1038" s="1">
        <f>IFERROR(__xludf.DUMMYFUNCTION("""COMPUTED_VALUE"""),425.2)</f>
        <v>425.2</v>
      </c>
    </row>
    <row r="1039">
      <c r="A1039" s="2">
        <f>IFERROR(__xludf.DUMMYFUNCTION("""COMPUTED_VALUE"""),45610.66666666667)</f>
        <v>45610.66667</v>
      </c>
      <c r="B1039" s="1">
        <f>IFERROR(__xludf.DUMMYFUNCTION("""COMPUTED_VALUE"""),426.89)</f>
        <v>426.89</v>
      </c>
    </row>
    <row r="1040">
      <c r="A1040" s="2">
        <f>IFERROR(__xludf.DUMMYFUNCTION("""COMPUTED_VALUE"""),45611.66666666667)</f>
        <v>45611.66667</v>
      </c>
      <c r="B1040" s="1">
        <f>IFERROR(__xludf.DUMMYFUNCTION("""COMPUTED_VALUE"""),415.0)</f>
        <v>415</v>
      </c>
    </row>
    <row r="1041">
      <c r="A1041" s="2">
        <f>IFERROR(__xludf.DUMMYFUNCTION("""COMPUTED_VALUE"""),45614.66666666667)</f>
        <v>45614.66667</v>
      </c>
      <c r="B1041" s="1">
        <f>IFERROR(__xludf.DUMMYFUNCTION("""COMPUTED_VALUE"""),415.76)</f>
        <v>415.76</v>
      </c>
    </row>
    <row r="1042">
      <c r="A1042" s="2">
        <f>IFERROR(__xludf.DUMMYFUNCTION("""COMPUTED_VALUE"""),45615.66666666667)</f>
        <v>45615.66667</v>
      </c>
      <c r="B1042" s="1">
        <f>IFERROR(__xludf.DUMMYFUNCTION("""COMPUTED_VALUE"""),417.79)</f>
        <v>417.79</v>
      </c>
    </row>
    <row r="1043">
      <c r="A1043" s="2">
        <f>IFERROR(__xludf.DUMMYFUNCTION("""COMPUTED_VALUE"""),45616.66666666667)</f>
        <v>45616.66667</v>
      </c>
      <c r="B1043" s="1">
        <f>IFERROR(__xludf.DUMMYFUNCTION("""COMPUTED_VALUE"""),415.49)</f>
        <v>415.49</v>
      </c>
    </row>
    <row r="1044">
      <c r="A1044" s="2">
        <f>IFERROR(__xludf.DUMMYFUNCTION("""COMPUTED_VALUE"""),45617.66666666667)</f>
        <v>45617.66667</v>
      </c>
      <c r="B1044" s="1">
        <f>IFERROR(__xludf.DUMMYFUNCTION("""COMPUTED_VALUE"""),412.87)</f>
        <v>412.87</v>
      </c>
    </row>
    <row r="1045">
      <c r="A1045" s="2">
        <f>IFERROR(__xludf.DUMMYFUNCTION("""COMPUTED_VALUE"""),45618.66666666667)</f>
        <v>45618.66667</v>
      </c>
      <c r="B1045" s="1">
        <f>IFERROR(__xludf.DUMMYFUNCTION("""COMPUTED_VALUE"""),417.0)</f>
        <v>417</v>
      </c>
    </row>
    <row r="1046">
      <c r="A1046" s="2">
        <f>IFERROR(__xludf.DUMMYFUNCTION("""COMPUTED_VALUE"""),45621.66666666667)</f>
        <v>45621.66667</v>
      </c>
      <c r="B1046" s="1">
        <f>IFERROR(__xludf.DUMMYFUNCTION("""COMPUTED_VALUE"""),418.79)</f>
        <v>418.79</v>
      </c>
    </row>
    <row r="1047">
      <c r="A1047" s="2">
        <f>IFERROR(__xludf.DUMMYFUNCTION("""COMPUTED_VALUE"""),45622.66666666667)</f>
        <v>45622.66667</v>
      </c>
      <c r="B1047" s="1">
        <f>IFERROR(__xludf.DUMMYFUNCTION("""COMPUTED_VALUE"""),427.99)</f>
        <v>427.99</v>
      </c>
    </row>
    <row r="1048">
      <c r="A1048" s="2">
        <f>IFERROR(__xludf.DUMMYFUNCTION("""COMPUTED_VALUE"""),45623.66666666667)</f>
        <v>45623.66667</v>
      </c>
      <c r="B1048" s="1">
        <f>IFERROR(__xludf.DUMMYFUNCTION("""COMPUTED_VALUE"""),422.99)</f>
        <v>422.99</v>
      </c>
    </row>
    <row r="1049">
      <c r="A1049" s="2">
        <f>IFERROR(__xludf.DUMMYFUNCTION("""COMPUTED_VALUE"""),45625.54513888889)</f>
        <v>45625.54514</v>
      </c>
      <c r="B1049" s="1">
        <f>IFERROR(__xludf.DUMMYFUNCTION("""COMPUTED_VALUE"""),423.46)</f>
        <v>423.46</v>
      </c>
    </row>
    <row r="1050">
      <c r="A1050" s="2">
        <f>IFERROR(__xludf.DUMMYFUNCTION("""COMPUTED_VALUE"""),45628.66666666667)</f>
        <v>45628.66667</v>
      </c>
      <c r="B1050" s="1">
        <f>IFERROR(__xludf.DUMMYFUNCTION("""COMPUTED_VALUE"""),430.98)</f>
        <v>430.98</v>
      </c>
    </row>
    <row r="1051">
      <c r="A1051" s="2">
        <f>IFERROR(__xludf.DUMMYFUNCTION("""COMPUTED_VALUE"""),45629.66666666667)</f>
        <v>45629.66667</v>
      </c>
      <c r="B1051" s="1">
        <f>IFERROR(__xludf.DUMMYFUNCTION("""COMPUTED_VALUE"""),431.2)</f>
        <v>431.2</v>
      </c>
    </row>
    <row r="1052">
      <c r="A1052" s="2">
        <f>IFERROR(__xludf.DUMMYFUNCTION("""COMPUTED_VALUE"""),45630.66666666667)</f>
        <v>45630.66667</v>
      </c>
      <c r="B1052" s="1">
        <f>IFERROR(__xludf.DUMMYFUNCTION("""COMPUTED_VALUE"""),437.42)</f>
        <v>437.42</v>
      </c>
    </row>
    <row r="1053">
      <c r="A1053" s="2">
        <f>IFERROR(__xludf.DUMMYFUNCTION("""COMPUTED_VALUE"""),45631.66666666667)</f>
        <v>45631.66667</v>
      </c>
      <c r="B1053" s="1">
        <f>IFERROR(__xludf.DUMMYFUNCTION("""COMPUTED_VALUE"""),442.62)</f>
        <v>442.62</v>
      </c>
    </row>
    <row r="1054">
      <c r="A1054" s="2">
        <f>IFERROR(__xludf.DUMMYFUNCTION("""COMPUTED_VALUE"""),45632.66666666667)</f>
        <v>45632.66667</v>
      </c>
      <c r="B1054" s="1">
        <f>IFERROR(__xludf.DUMMYFUNCTION("""COMPUTED_VALUE"""),443.57)</f>
        <v>443.57</v>
      </c>
    </row>
    <row r="1055">
      <c r="A1055" s="2">
        <f>IFERROR(__xludf.DUMMYFUNCTION("""COMPUTED_VALUE"""),45635.66666666667)</f>
        <v>45635.66667</v>
      </c>
      <c r="B1055" s="1">
        <f>IFERROR(__xludf.DUMMYFUNCTION("""COMPUTED_VALUE"""),446.02)</f>
        <v>446.02</v>
      </c>
    </row>
    <row r="1056">
      <c r="A1056" s="2">
        <f>IFERROR(__xludf.DUMMYFUNCTION("""COMPUTED_VALUE"""),45636.66666666667)</f>
        <v>45636.66667</v>
      </c>
      <c r="B1056" s="1">
        <f>IFERROR(__xludf.DUMMYFUNCTION("""COMPUTED_VALUE"""),443.33)</f>
        <v>443.33</v>
      </c>
    </row>
    <row r="1057">
      <c r="A1057" s="2">
        <f>IFERROR(__xludf.DUMMYFUNCTION("""COMPUTED_VALUE"""),45637.66666666667)</f>
        <v>45637.66667</v>
      </c>
      <c r="B1057" s="1">
        <f>IFERROR(__xludf.DUMMYFUNCTION("""COMPUTED_VALUE"""),448.99)</f>
        <v>448.99</v>
      </c>
    </row>
    <row r="1058">
      <c r="A1058" s="2">
        <f>IFERROR(__xludf.DUMMYFUNCTION("""COMPUTED_VALUE"""),45638.66666666667)</f>
        <v>45638.66667</v>
      </c>
      <c r="B1058" s="1">
        <f>IFERROR(__xludf.DUMMYFUNCTION("""COMPUTED_VALUE"""),449.56)</f>
        <v>449.56</v>
      </c>
    </row>
    <row r="1059">
      <c r="A1059" s="2">
        <f>IFERROR(__xludf.DUMMYFUNCTION("""COMPUTED_VALUE"""),45639.66666666667)</f>
        <v>45639.66667</v>
      </c>
      <c r="B1059" s="1">
        <f>IFERROR(__xludf.DUMMYFUNCTION("""COMPUTED_VALUE"""),447.27)</f>
        <v>447.27</v>
      </c>
    </row>
    <row r="1060">
      <c r="A1060" s="2">
        <f>IFERROR(__xludf.DUMMYFUNCTION("""COMPUTED_VALUE"""),45642.66666666667)</f>
        <v>45642.66667</v>
      </c>
      <c r="B1060" s="1">
        <f>IFERROR(__xludf.DUMMYFUNCTION("""COMPUTED_VALUE"""),451.59)</f>
        <v>451.59</v>
      </c>
    </row>
    <row r="1061">
      <c r="A1061" s="2">
        <f>IFERROR(__xludf.DUMMYFUNCTION("""COMPUTED_VALUE"""),45643.66666666667)</f>
        <v>45643.66667</v>
      </c>
      <c r="B1061" s="1">
        <f>IFERROR(__xludf.DUMMYFUNCTION("""COMPUTED_VALUE"""),454.46)</f>
        <v>454.46</v>
      </c>
    </row>
    <row r="1062">
      <c r="A1062" s="2">
        <f>IFERROR(__xludf.DUMMYFUNCTION("""COMPUTED_VALUE"""),45644.66666666667)</f>
        <v>45644.66667</v>
      </c>
      <c r="B1062" s="1">
        <f>IFERROR(__xludf.DUMMYFUNCTION("""COMPUTED_VALUE"""),437.39)</f>
        <v>437.39</v>
      </c>
    </row>
    <row r="1063">
      <c r="A1063" s="2">
        <f>IFERROR(__xludf.DUMMYFUNCTION("""COMPUTED_VALUE"""),45645.66666666667)</f>
        <v>45645.66667</v>
      </c>
      <c r="B1063" s="1">
        <f>IFERROR(__xludf.DUMMYFUNCTION("""COMPUTED_VALUE"""),437.03)</f>
        <v>437.03</v>
      </c>
    </row>
    <row r="1064">
      <c r="A1064" s="2">
        <f>IFERROR(__xludf.DUMMYFUNCTION("""COMPUTED_VALUE"""),45646.66666666667)</f>
        <v>45646.66667</v>
      </c>
      <c r="B1064" s="1">
        <f>IFERROR(__xludf.DUMMYFUNCTION("""COMPUTED_VALUE"""),436.6)</f>
        <v>436.6</v>
      </c>
    </row>
    <row r="1065">
      <c r="A1065" s="2">
        <f>IFERROR(__xludf.DUMMYFUNCTION("""COMPUTED_VALUE"""),45649.66666666667)</f>
        <v>45649.66667</v>
      </c>
      <c r="B1065" s="1">
        <f>IFERROR(__xludf.DUMMYFUNCTION("""COMPUTED_VALUE"""),435.25)</f>
        <v>435.25</v>
      </c>
    </row>
    <row r="1066">
      <c r="A1066" s="2">
        <f>IFERROR(__xludf.DUMMYFUNCTION("""COMPUTED_VALUE"""),45650.54513888889)</f>
        <v>45650.54514</v>
      </c>
      <c r="B1066" s="1">
        <f>IFERROR(__xludf.DUMMYFUNCTION("""COMPUTED_VALUE"""),439.33)</f>
        <v>439.33</v>
      </c>
    </row>
    <row r="1067">
      <c r="A1067" s="2">
        <f>IFERROR(__xludf.DUMMYFUNCTION("""COMPUTED_VALUE"""),45652.66666666667)</f>
        <v>45652.66667</v>
      </c>
      <c r="B1067" s="1">
        <f>IFERROR(__xludf.DUMMYFUNCTION("""COMPUTED_VALUE"""),438.11)</f>
        <v>438.11</v>
      </c>
    </row>
    <row r="1068">
      <c r="A1068" s="2">
        <f>IFERROR(__xludf.DUMMYFUNCTION("""COMPUTED_VALUE"""),45653.66666666667)</f>
        <v>45653.66667</v>
      </c>
      <c r="B1068" s="1">
        <f>IFERROR(__xludf.DUMMYFUNCTION("""COMPUTED_VALUE"""),430.53)</f>
        <v>430.53</v>
      </c>
    </row>
    <row r="1069">
      <c r="A1069" s="2">
        <f>IFERROR(__xludf.DUMMYFUNCTION("""COMPUTED_VALUE"""),45656.66666666667)</f>
        <v>45656.66667</v>
      </c>
      <c r="B1069" s="1">
        <f>IFERROR(__xludf.DUMMYFUNCTION("""COMPUTED_VALUE"""),424.83)</f>
        <v>424.83</v>
      </c>
    </row>
    <row r="1070">
      <c r="A1070" s="2">
        <f>IFERROR(__xludf.DUMMYFUNCTION("""COMPUTED_VALUE"""),45657.66666666667)</f>
        <v>45657.66667</v>
      </c>
      <c r="B1070" s="1">
        <f>IFERROR(__xludf.DUMMYFUNCTION("""COMPUTED_VALUE"""),421.5)</f>
        <v>421.5</v>
      </c>
    </row>
    <row r="1071">
      <c r="A1071" s="2">
        <f>IFERROR(__xludf.DUMMYFUNCTION("""COMPUTED_VALUE"""),45659.66666666667)</f>
        <v>45659.66667</v>
      </c>
      <c r="B1071" s="1">
        <f>IFERROR(__xludf.DUMMYFUNCTION("""COMPUTED_VALUE"""),418.58)</f>
        <v>418.58</v>
      </c>
    </row>
    <row r="1072">
      <c r="A1072" s="2">
        <f>IFERROR(__xludf.DUMMYFUNCTION("""COMPUTED_VALUE"""),45660.66666666667)</f>
        <v>45660.66667</v>
      </c>
      <c r="B1072" s="1">
        <f>IFERROR(__xludf.DUMMYFUNCTION("""COMPUTED_VALUE"""),423.35)</f>
        <v>423.35</v>
      </c>
    </row>
    <row r="1073">
      <c r="A1073" s="2">
        <f>IFERROR(__xludf.DUMMYFUNCTION("""COMPUTED_VALUE"""),45663.66666666667)</f>
        <v>45663.66667</v>
      </c>
      <c r="B1073" s="1">
        <f>IFERROR(__xludf.DUMMYFUNCTION("""COMPUTED_VALUE"""),427.85)</f>
        <v>427.85</v>
      </c>
    </row>
    <row r="1074">
      <c r="A1074" s="2">
        <f>IFERROR(__xludf.DUMMYFUNCTION("""COMPUTED_VALUE"""),45664.66666666667)</f>
        <v>45664.66667</v>
      </c>
      <c r="B1074" s="1">
        <f>IFERROR(__xludf.DUMMYFUNCTION("""COMPUTED_VALUE"""),422.37)</f>
        <v>422.37</v>
      </c>
    </row>
    <row r="1075">
      <c r="A1075" s="2">
        <f>IFERROR(__xludf.DUMMYFUNCTION("""COMPUTED_VALUE"""),45665.66666666667)</f>
        <v>45665.66667</v>
      </c>
      <c r="B1075" s="1">
        <f>IFERROR(__xludf.DUMMYFUNCTION("""COMPUTED_VALUE"""),424.56)</f>
        <v>424.56</v>
      </c>
    </row>
    <row r="1076">
      <c r="A1076" s="2">
        <f>IFERROR(__xludf.DUMMYFUNCTION("""COMPUTED_VALUE"""),45667.66666666667)</f>
        <v>45667.66667</v>
      </c>
      <c r="B1076" s="1">
        <f>IFERROR(__xludf.DUMMYFUNCTION("""COMPUTED_VALUE"""),418.95)</f>
        <v>418.95</v>
      </c>
    </row>
    <row r="1077">
      <c r="A1077" s="2">
        <f>IFERROR(__xludf.DUMMYFUNCTION("""COMPUTED_VALUE"""),45670.66666666667)</f>
        <v>45670.66667</v>
      </c>
      <c r="B1077" s="1">
        <f>IFERROR(__xludf.DUMMYFUNCTION("""COMPUTED_VALUE"""),417.19)</f>
        <v>417.19</v>
      </c>
    </row>
    <row r="1078">
      <c r="A1078" s="2">
        <f>IFERROR(__xludf.DUMMYFUNCTION("""COMPUTED_VALUE"""),45671.66666666667)</f>
        <v>45671.66667</v>
      </c>
      <c r="B1078" s="1">
        <f>IFERROR(__xludf.DUMMYFUNCTION("""COMPUTED_VALUE"""),415.67)</f>
        <v>415.67</v>
      </c>
    </row>
    <row r="1079">
      <c r="A1079" s="2">
        <f>IFERROR(__xludf.DUMMYFUNCTION("""COMPUTED_VALUE"""),45672.66666666667)</f>
        <v>45672.66667</v>
      </c>
      <c r="B1079" s="1">
        <f>IFERROR(__xludf.DUMMYFUNCTION("""COMPUTED_VALUE"""),426.31)</f>
        <v>426.31</v>
      </c>
    </row>
    <row r="1080">
      <c r="A1080" s="2">
        <f>IFERROR(__xludf.DUMMYFUNCTION("""COMPUTED_VALUE"""),45673.66666666667)</f>
        <v>45673.66667</v>
      </c>
      <c r="B1080" s="1">
        <f>IFERROR(__xludf.DUMMYFUNCTION("""COMPUTED_VALUE"""),424.58)</f>
        <v>424.58</v>
      </c>
    </row>
    <row r="1081">
      <c r="A1081" s="2">
        <f>IFERROR(__xludf.DUMMYFUNCTION("""COMPUTED_VALUE"""),45674.66666666667)</f>
        <v>45674.66667</v>
      </c>
      <c r="B1081" s="1">
        <f>IFERROR(__xludf.DUMMYFUNCTION("""COMPUTED_VALUE"""),429.03)</f>
        <v>429.03</v>
      </c>
    </row>
    <row r="1082">
      <c r="A1082" s="2">
        <f>IFERROR(__xludf.DUMMYFUNCTION("""COMPUTED_VALUE"""),45678.66666666667)</f>
        <v>45678.66667</v>
      </c>
      <c r="B1082" s="1">
        <f>IFERROR(__xludf.DUMMYFUNCTION("""COMPUTED_VALUE"""),428.5)</f>
        <v>428.5</v>
      </c>
    </row>
    <row r="1083">
      <c r="A1083" s="2">
        <f>IFERROR(__xludf.DUMMYFUNCTION("""COMPUTED_VALUE"""),45679.66666666667)</f>
        <v>45679.66667</v>
      </c>
      <c r="B1083" s="1">
        <f>IFERROR(__xludf.DUMMYFUNCTION("""COMPUTED_VALUE"""),446.2)</f>
        <v>446.2</v>
      </c>
    </row>
    <row r="1084">
      <c r="A1084" s="2">
        <f>IFERROR(__xludf.DUMMYFUNCTION("""COMPUTED_VALUE"""),45680.66666666667)</f>
        <v>45680.66667</v>
      </c>
      <c r="B1084" s="1">
        <f>IFERROR(__xludf.DUMMYFUNCTION("""COMPUTED_VALUE"""),446.71)</f>
        <v>446.71</v>
      </c>
    </row>
    <row r="1085">
      <c r="A1085" s="2">
        <f>IFERROR(__xludf.DUMMYFUNCTION("""COMPUTED_VALUE"""),45681.66666666667)</f>
        <v>45681.66667</v>
      </c>
      <c r="B1085" s="1">
        <f>IFERROR(__xludf.DUMMYFUNCTION("""COMPUTED_VALUE"""),444.06)</f>
        <v>444.06</v>
      </c>
    </row>
    <row r="1086">
      <c r="A1086" s="2">
        <f>IFERROR(__xludf.DUMMYFUNCTION("""COMPUTED_VALUE"""),45684.66666666667)</f>
        <v>45684.66667</v>
      </c>
      <c r="B1086" s="1">
        <f>IFERROR(__xludf.DUMMYFUNCTION("""COMPUTED_VALUE"""),434.56)</f>
        <v>434.56</v>
      </c>
    </row>
    <row r="1087">
      <c r="A1087" s="2">
        <f>IFERROR(__xludf.DUMMYFUNCTION("""COMPUTED_VALUE"""),45685.66666666667)</f>
        <v>45685.66667</v>
      </c>
      <c r="B1087" s="1">
        <f>IFERROR(__xludf.DUMMYFUNCTION("""COMPUTED_VALUE"""),447.2)</f>
        <v>447.2</v>
      </c>
    </row>
    <row r="1088">
      <c r="A1088" s="2">
        <f>IFERROR(__xludf.DUMMYFUNCTION("""COMPUTED_VALUE"""),45686.66666666667)</f>
        <v>45686.66667</v>
      </c>
      <c r="B1088" s="1">
        <f>IFERROR(__xludf.DUMMYFUNCTION("""COMPUTED_VALUE"""),442.33)</f>
        <v>442.33</v>
      </c>
    </row>
    <row r="1089">
      <c r="A1089" s="2">
        <f>IFERROR(__xludf.DUMMYFUNCTION("""COMPUTED_VALUE"""),45687.66666666667)</f>
        <v>45687.66667</v>
      </c>
      <c r="B1089" s="1">
        <f>IFERROR(__xludf.DUMMYFUNCTION("""COMPUTED_VALUE"""),414.99)</f>
        <v>414.99</v>
      </c>
    </row>
    <row r="1090">
      <c r="A1090" s="2">
        <f>IFERROR(__xludf.DUMMYFUNCTION("""COMPUTED_VALUE"""),45688.66666666667)</f>
        <v>45688.66667</v>
      </c>
      <c r="B1090" s="1">
        <f>IFERROR(__xludf.DUMMYFUNCTION("""COMPUTED_VALUE"""),415.06)</f>
        <v>415.06</v>
      </c>
    </row>
    <row r="1091">
      <c r="A1091" s="2">
        <f>IFERROR(__xludf.DUMMYFUNCTION("""COMPUTED_VALUE"""),45691.66666666667)</f>
        <v>45691.66667</v>
      </c>
      <c r="B1091" s="1">
        <f>IFERROR(__xludf.DUMMYFUNCTION("""COMPUTED_VALUE"""),410.92)</f>
        <v>410.92</v>
      </c>
    </row>
    <row r="1092">
      <c r="A1092" s="2">
        <f>IFERROR(__xludf.DUMMYFUNCTION("""COMPUTED_VALUE"""),45692.66666666667)</f>
        <v>45692.66667</v>
      </c>
      <c r="B1092" s="1">
        <f>IFERROR(__xludf.DUMMYFUNCTION("""COMPUTED_VALUE"""),412.37)</f>
        <v>412.37</v>
      </c>
    </row>
    <row r="1093">
      <c r="A1093" s="2">
        <f>IFERROR(__xludf.DUMMYFUNCTION("""COMPUTED_VALUE"""),45693.66666666667)</f>
        <v>45693.66667</v>
      </c>
      <c r="B1093" s="1">
        <f>IFERROR(__xludf.DUMMYFUNCTION("""COMPUTED_VALUE"""),413.29)</f>
        <v>413.29</v>
      </c>
    </row>
    <row r="1094">
      <c r="A1094" s="2">
        <f>IFERROR(__xludf.DUMMYFUNCTION("""COMPUTED_VALUE"""),45694.66666666667)</f>
        <v>45694.66667</v>
      </c>
      <c r="B1094" s="1">
        <f>IFERROR(__xludf.DUMMYFUNCTION("""COMPUTED_VALUE"""),415.82)</f>
        <v>415.82</v>
      </c>
    </row>
    <row r="1095">
      <c r="A1095" s="2">
        <f>IFERROR(__xludf.DUMMYFUNCTION("""COMPUTED_VALUE"""),45695.66666666667)</f>
        <v>45695.66667</v>
      </c>
      <c r="B1095" s="1">
        <f>IFERROR(__xludf.DUMMYFUNCTION("""COMPUTED_VALUE"""),409.75)</f>
        <v>409.75</v>
      </c>
    </row>
    <row r="1096">
      <c r="A1096" s="2">
        <f>IFERROR(__xludf.DUMMYFUNCTION("""COMPUTED_VALUE"""),45698.66666666667)</f>
        <v>45698.66667</v>
      </c>
      <c r="B1096" s="1">
        <f>IFERROR(__xludf.DUMMYFUNCTION("""COMPUTED_VALUE"""),412.22)</f>
        <v>412.22</v>
      </c>
    </row>
    <row r="1097">
      <c r="A1097" s="2">
        <f>IFERROR(__xludf.DUMMYFUNCTION("""COMPUTED_VALUE"""),45699.66666666667)</f>
        <v>45699.66667</v>
      </c>
      <c r="B1097" s="1">
        <f>IFERROR(__xludf.DUMMYFUNCTION("""COMPUTED_VALUE"""),411.44)</f>
        <v>411.44</v>
      </c>
    </row>
    <row r="1098">
      <c r="A1098" s="2">
        <f>IFERROR(__xludf.DUMMYFUNCTION("""COMPUTED_VALUE"""),45700.66666666667)</f>
        <v>45700.66667</v>
      </c>
      <c r="B1098" s="1">
        <f>IFERROR(__xludf.DUMMYFUNCTION("""COMPUTED_VALUE"""),409.04)</f>
        <v>409.04</v>
      </c>
    </row>
    <row r="1099">
      <c r="A1099" s="2">
        <f>IFERROR(__xludf.DUMMYFUNCTION("""COMPUTED_VALUE"""),45701.66666666667)</f>
        <v>45701.66667</v>
      </c>
      <c r="B1099" s="1">
        <f>IFERROR(__xludf.DUMMYFUNCTION("""COMPUTED_VALUE"""),410.54)</f>
        <v>410.54</v>
      </c>
    </row>
    <row r="1100">
      <c r="A1100" s="2">
        <f>IFERROR(__xludf.DUMMYFUNCTION("""COMPUTED_VALUE"""),45702.66666666667)</f>
        <v>45702.66667</v>
      </c>
      <c r="B1100" s="1">
        <f>IFERROR(__xludf.DUMMYFUNCTION("""COMPUTED_VALUE"""),408.43)</f>
        <v>408.43</v>
      </c>
    </row>
    <row r="1101">
      <c r="A1101" s="2">
        <f>IFERROR(__xludf.DUMMYFUNCTION("""COMPUTED_VALUE"""),45706.66666666667)</f>
        <v>45706.66667</v>
      </c>
      <c r="B1101" s="1">
        <f>IFERROR(__xludf.DUMMYFUNCTION("""COMPUTED_VALUE"""),409.64)</f>
        <v>409.64</v>
      </c>
    </row>
    <row r="1102">
      <c r="A1102" s="2">
        <f>IFERROR(__xludf.DUMMYFUNCTION("""COMPUTED_VALUE"""),45707.66666666667)</f>
        <v>45707.66667</v>
      </c>
      <c r="B1102" s="1">
        <f>IFERROR(__xludf.DUMMYFUNCTION("""COMPUTED_VALUE"""),414.77)</f>
        <v>414.77</v>
      </c>
    </row>
    <row r="1103">
      <c r="A1103" s="2">
        <f>IFERROR(__xludf.DUMMYFUNCTION("""COMPUTED_VALUE"""),45708.66666666667)</f>
        <v>45708.66667</v>
      </c>
      <c r="B1103" s="1">
        <f>IFERROR(__xludf.DUMMYFUNCTION("""COMPUTED_VALUE"""),416.13)</f>
        <v>416.13</v>
      </c>
    </row>
    <row r="1104">
      <c r="A1104" s="2">
        <f>IFERROR(__xludf.DUMMYFUNCTION("""COMPUTED_VALUE"""),45709.66666666667)</f>
        <v>45709.66667</v>
      </c>
      <c r="B1104" s="1">
        <f>IFERROR(__xludf.DUMMYFUNCTION("""COMPUTED_VALUE"""),408.21)</f>
        <v>408.21</v>
      </c>
    </row>
    <row r="1105">
      <c r="A1105" s="2">
        <f>IFERROR(__xludf.DUMMYFUNCTION("""COMPUTED_VALUE"""),45712.66666666667)</f>
        <v>45712.66667</v>
      </c>
      <c r="B1105" s="1">
        <f>IFERROR(__xludf.DUMMYFUNCTION("""COMPUTED_VALUE"""),404.0)</f>
        <v>404</v>
      </c>
    </row>
    <row r="1106">
      <c r="A1106" s="2">
        <f>IFERROR(__xludf.DUMMYFUNCTION("""COMPUTED_VALUE"""),45713.66666666667)</f>
        <v>45713.66667</v>
      </c>
      <c r="B1106" s="1">
        <f>IFERROR(__xludf.DUMMYFUNCTION("""COMPUTED_VALUE"""),397.9)</f>
        <v>397.9</v>
      </c>
    </row>
    <row r="1107">
      <c r="A1107" s="2">
        <f>IFERROR(__xludf.DUMMYFUNCTION("""COMPUTED_VALUE"""),45714.66666666667)</f>
        <v>45714.66667</v>
      </c>
      <c r="B1107" s="1">
        <f>IFERROR(__xludf.DUMMYFUNCTION("""COMPUTED_VALUE"""),399.73)</f>
        <v>399.73</v>
      </c>
    </row>
    <row r="1108">
      <c r="A1108" s="2">
        <f>IFERROR(__xludf.DUMMYFUNCTION("""COMPUTED_VALUE"""),45715.66666666667)</f>
        <v>45715.66667</v>
      </c>
      <c r="B1108" s="1">
        <f>IFERROR(__xludf.DUMMYFUNCTION("""COMPUTED_VALUE"""),392.53)</f>
        <v>392.53</v>
      </c>
    </row>
    <row r="1109">
      <c r="A1109" s="2">
        <f>IFERROR(__xludf.DUMMYFUNCTION("""COMPUTED_VALUE"""),45716.66666666667)</f>
        <v>45716.66667</v>
      </c>
      <c r="B1109" s="1">
        <f>IFERROR(__xludf.DUMMYFUNCTION("""COMPUTED_VALUE"""),396.99)</f>
        <v>396.99</v>
      </c>
    </row>
    <row r="1110">
      <c r="A1110" s="2">
        <f>IFERROR(__xludf.DUMMYFUNCTION("""COMPUTED_VALUE"""),45719.66666666667)</f>
        <v>45719.66667</v>
      </c>
      <c r="B1110" s="1">
        <f>IFERROR(__xludf.DUMMYFUNCTION("""COMPUTED_VALUE"""),388.49)</f>
        <v>388.49</v>
      </c>
    </row>
    <row r="1111">
      <c r="A1111" s="2">
        <f>IFERROR(__xludf.DUMMYFUNCTION("""COMPUTED_VALUE"""),45720.66666666667)</f>
        <v>45720.66667</v>
      </c>
      <c r="B1111" s="1">
        <f>IFERROR(__xludf.DUMMYFUNCTION("""COMPUTED_VALUE"""),388.61)</f>
        <v>388.61</v>
      </c>
    </row>
    <row r="1112">
      <c r="A1112" s="2">
        <f>IFERROR(__xludf.DUMMYFUNCTION("""COMPUTED_VALUE"""),45721.66666666667)</f>
        <v>45721.66667</v>
      </c>
      <c r="B1112" s="1">
        <f>IFERROR(__xludf.DUMMYFUNCTION("""COMPUTED_VALUE"""),401.02)</f>
        <v>401.02</v>
      </c>
    </row>
    <row r="1113">
      <c r="A1113" s="2">
        <f>IFERROR(__xludf.DUMMYFUNCTION("""COMPUTED_VALUE"""),45722.66666666667)</f>
        <v>45722.66667</v>
      </c>
      <c r="B1113" s="1">
        <f>IFERROR(__xludf.DUMMYFUNCTION("""COMPUTED_VALUE"""),396.89)</f>
        <v>396.89</v>
      </c>
    </row>
    <row r="1114">
      <c r="A1114" s="2">
        <f>IFERROR(__xludf.DUMMYFUNCTION("""COMPUTED_VALUE"""),45723.66666666667)</f>
        <v>45723.66667</v>
      </c>
      <c r="B1114" s="1">
        <f>IFERROR(__xludf.DUMMYFUNCTION("""COMPUTED_VALUE"""),393.31)</f>
        <v>393.31</v>
      </c>
    </row>
    <row r="1115">
      <c r="A1115" s="2">
        <f>IFERROR(__xludf.DUMMYFUNCTION("""COMPUTED_VALUE"""),45726.66666666667)</f>
        <v>45726.66667</v>
      </c>
      <c r="B1115" s="1">
        <f>IFERROR(__xludf.DUMMYFUNCTION("""COMPUTED_VALUE"""),380.16)</f>
        <v>380.16</v>
      </c>
    </row>
    <row r="1116">
      <c r="A1116" s="2">
        <f>IFERROR(__xludf.DUMMYFUNCTION("""COMPUTED_VALUE"""),45727.66666666667)</f>
        <v>45727.66667</v>
      </c>
      <c r="B1116" s="1">
        <f>IFERROR(__xludf.DUMMYFUNCTION("""COMPUTED_VALUE"""),380.45)</f>
        <v>380.45</v>
      </c>
    </row>
    <row r="1117">
      <c r="A1117" s="2">
        <f>IFERROR(__xludf.DUMMYFUNCTION("""COMPUTED_VALUE"""),45728.66666666667)</f>
        <v>45728.66667</v>
      </c>
      <c r="B1117" s="1">
        <f>IFERROR(__xludf.DUMMYFUNCTION("""COMPUTED_VALUE"""),383.27)</f>
        <v>383.27</v>
      </c>
    </row>
    <row r="1118">
      <c r="A1118" s="2">
        <f>IFERROR(__xludf.DUMMYFUNCTION("""COMPUTED_VALUE"""),45729.66666666667)</f>
        <v>45729.66667</v>
      </c>
      <c r="B1118" s="1">
        <f>IFERROR(__xludf.DUMMYFUNCTION("""COMPUTED_VALUE"""),378.77)</f>
        <v>378.77</v>
      </c>
    </row>
    <row r="1119">
      <c r="A1119" s="2">
        <f>IFERROR(__xludf.DUMMYFUNCTION("""COMPUTED_VALUE"""),45730.66666666667)</f>
        <v>45730.66667</v>
      </c>
      <c r="B1119" s="1">
        <f>IFERROR(__xludf.DUMMYFUNCTION("""COMPUTED_VALUE"""),388.56)</f>
        <v>388.56</v>
      </c>
    </row>
    <row r="1120">
      <c r="A1120" s="2">
        <f>IFERROR(__xludf.DUMMYFUNCTION("""COMPUTED_VALUE"""),45733.66666666667)</f>
        <v>45733.66667</v>
      </c>
      <c r="B1120" s="1">
        <f>IFERROR(__xludf.DUMMYFUNCTION("""COMPUTED_VALUE"""),388.7)</f>
        <v>388.7</v>
      </c>
    </row>
    <row r="1121">
      <c r="A1121" s="2">
        <f>IFERROR(__xludf.DUMMYFUNCTION("""COMPUTED_VALUE"""),45734.66666666667)</f>
        <v>45734.66667</v>
      </c>
      <c r="B1121" s="1">
        <f>IFERROR(__xludf.DUMMYFUNCTION("""COMPUTED_VALUE"""),383.52)</f>
        <v>383.52</v>
      </c>
    </row>
    <row r="1122">
      <c r="A1122" s="2">
        <f>IFERROR(__xludf.DUMMYFUNCTION("""COMPUTED_VALUE"""),45735.66666666667)</f>
        <v>45735.66667</v>
      </c>
      <c r="B1122" s="1">
        <f>IFERROR(__xludf.DUMMYFUNCTION("""COMPUTED_VALUE"""),387.82)</f>
        <v>387.82</v>
      </c>
    </row>
    <row r="1123">
      <c r="A1123" s="2">
        <f>IFERROR(__xludf.DUMMYFUNCTION("""COMPUTED_VALUE"""),45736.66666666667)</f>
        <v>45736.66667</v>
      </c>
      <c r="B1123" s="1">
        <f>IFERROR(__xludf.DUMMYFUNCTION("""COMPUTED_VALUE"""),386.84)</f>
        <v>386.84</v>
      </c>
    </row>
    <row r="1124">
      <c r="A1124" s="2">
        <f>IFERROR(__xludf.DUMMYFUNCTION("""COMPUTED_VALUE"""),45737.66666666667)</f>
        <v>45737.66667</v>
      </c>
      <c r="B1124" s="1">
        <f>IFERROR(__xludf.DUMMYFUNCTION("""COMPUTED_VALUE"""),391.26)</f>
        <v>391.26</v>
      </c>
    </row>
    <row r="1125">
      <c r="A1125" s="2">
        <f>IFERROR(__xludf.DUMMYFUNCTION("""COMPUTED_VALUE"""),45740.66666666667)</f>
        <v>45740.66667</v>
      </c>
      <c r="B1125" s="1">
        <f>IFERROR(__xludf.DUMMYFUNCTION("""COMPUTED_VALUE"""),393.08)</f>
        <v>393.08</v>
      </c>
    </row>
    <row r="1126">
      <c r="A1126" s="2">
        <f>IFERROR(__xludf.DUMMYFUNCTION("""COMPUTED_VALUE"""),45741.66666666667)</f>
        <v>45741.66667</v>
      </c>
      <c r="B1126" s="1">
        <f>IFERROR(__xludf.DUMMYFUNCTION("""COMPUTED_VALUE"""),395.16)</f>
        <v>395.16</v>
      </c>
    </row>
    <row r="1127">
      <c r="A1127" s="2">
        <f>IFERROR(__xludf.DUMMYFUNCTION("""COMPUTED_VALUE"""),45742.66666666667)</f>
        <v>45742.66667</v>
      </c>
      <c r="B1127" s="1">
        <f>IFERROR(__xludf.DUMMYFUNCTION("""COMPUTED_VALUE"""),389.97)</f>
        <v>389.97</v>
      </c>
    </row>
    <row r="1128">
      <c r="A1128" s="2">
        <f>IFERROR(__xludf.DUMMYFUNCTION("""COMPUTED_VALUE"""),45743.66666666667)</f>
        <v>45743.66667</v>
      </c>
      <c r="B1128" s="1">
        <f>IFERROR(__xludf.DUMMYFUNCTION("""COMPUTED_VALUE"""),390.58)</f>
        <v>390.58</v>
      </c>
    </row>
    <row r="1129">
      <c r="A1129" s="2">
        <f>IFERROR(__xludf.DUMMYFUNCTION("""COMPUTED_VALUE"""),45744.66666666667)</f>
        <v>45744.66667</v>
      </c>
      <c r="B1129" s="1">
        <f>IFERROR(__xludf.DUMMYFUNCTION("""COMPUTED_VALUE"""),378.8)</f>
        <v>378.8</v>
      </c>
    </row>
    <row r="1130">
      <c r="A1130" s="2">
        <f>IFERROR(__xludf.DUMMYFUNCTION("""COMPUTED_VALUE"""),45747.66666666667)</f>
        <v>45747.66667</v>
      </c>
      <c r="B1130" s="1">
        <f>IFERROR(__xludf.DUMMYFUNCTION("""COMPUTED_VALUE"""),375.39)</f>
        <v>375.39</v>
      </c>
    </row>
    <row r="1131">
      <c r="A1131" s="2">
        <f>IFERROR(__xludf.DUMMYFUNCTION("""COMPUTED_VALUE"""),45748.66666666667)</f>
        <v>45748.66667</v>
      </c>
      <c r="B1131" s="1">
        <f>IFERROR(__xludf.DUMMYFUNCTION("""COMPUTED_VALUE"""),382.19)</f>
        <v>382.19</v>
      </c>
    </row>
    <row r="1132">
      <c r="A1132" s="2">
        <f>IFERROR(__xludf.DUMMYFUNCTION("""COMPUTED_VALUE"""),45749.66666666667)</f>
        <v>45749.66667</v>
      </c>
      <c r="B1132" s="1">
        <f>IFERROR(__xludf.DUMMYFUNCTION("""COMPUTED_VALUE"""),382.14)</f>
        <v>382.14</v>
      </c>
    </row>
    <row r="1133">
      <c r="A1133" s="2">
        <f>IFERROR(__xludf.DUMMYFUNCTION("""COMPUTED_VALUE"""),45750.66666666667)</f>
        <v>45750.66667</v>
      </c>
      <c r="B1133" s="1">
        <f>IFERROR(__xludf.DUMMYFUNCTION("""COMPUTED_VALUE"""),373.11)</f>
        <v>373.11</v>
      </c>
    </row>
    <row r="1134">
      <c r="A1134" s="2">
        <f>IFERROR(__xludf.DUMMYFUNCTION("""COMPUTED_VALUE"""),45751.66666666667)</f>
        <v>45751.66667</v>
      </c>
      <c r="B1134" s="1">
        <f>IFERROR(__xludf.DUMMYFUNCTION("""COMPUTED_VALUE"""),359.84)</f>
        <v>359.84</v>
      </c>
    </row>
    <row r="1135">
      <c r="A1135" s="2">
        <f>IFERROR(__xludf.DUMMYFUNCTION("""COMPUTED_VALUE"""),45754.66666666667)</f>
        <v>45754.66667</v>
      </c>
      <c r="B1135" s="1">
        <f>IFERROR(__xludf.DUMMYFUNCTION("""COMPUTED_VALUE"""),357.86)</f>
        <v>357.86</v>
      </c>
    </row>
    <row r="1136">
      <c r="A1136" s="2">
        <f>IFERROR(__xludf.DUMMYFUNCTION("""COMPUTED_VALUE"""),45755.66666666667)</f>
        <v>45755.66667</v>
      </c>
      <c r="B1136" s="1">
        <f>IFERROR(__xludf.DUMMYFUNCTION("""COMPUTED_VALUE"""),354.56)</f>
        <v>354.56</v>
      </c>
    </row>
    <row r="1137">
      <c r="A1137" s="2">
        <f>IFERROR(__xludf.DUMMYFUNCTION("""COMPUTED_VALUE"""),45756.66666666667)</f>
        <v>45756.66667</v>
      </c>
      <c r="B1137" s="1">
        <f>IFERROR(__xludf.DUMMYFUNCTION("""COMPUTED_VALUE"""),390.49)</f>
        <v>390.49</v>
      </c>
    </row>
    <row r="1138">
      <c r="A1138" s="2">
        <f>IFERROR(__xludf.DUMMYFUNCTION("""COMPUTED_VALUE"""),45757.66666666667)</f>
        <v>45757.66667</v>
      </c>
      <c r="B1138" s="1">
        <f>IFERROR(__xludf.DUMMYFUNCTION("""COMPUTED_VALUE"""),381.35)</f>
        <v>381.35</v>
      </c>
    </row>
    <row r="1139">
      <c r="A1139" s="2">
        <f>IFERROR(__xludf.DUMMYFUNCTION("""COMPUTED_VALUE"""),45758.66666666667)</f>
        <v>45758.66667</v>
      </c>
      <c r="B1139" s="1">
        <f>IFERROR(__xludf.DUMMYFUNCTION("""COMPUTED_VALUE"""),388.45)</f>
        <v>388.45</v>
      </c>
    </row>
    <row r="1140">
      <c r="A1140" s="2">
        <f>IFERROR(__xludf.DUMMYFUNCTION("""COMPUTED_VALUE"""),45761.66666666667)</f>
        <v>45761.66667</v>
      </c>
      <c r="B1140" s="1">
        <f>IFERROR(__xludf.DUMMYFUNCTION("""COMPUTED_VALUE"""),387.81)</f>
        <v>387.81</v>
      </c>
    </row>
    <row r="1141">
      <c r="A1141" s="2">
        <f>IFERROR(__xludf.DUMMYFUNCTION("""COMPUTED_VALUE"""),45762.66666666667)</f>
        <v>45762.66667</v>
      </c>
      <c r="B1141" s="1">
        <f>IFERROR(__xludf.DUMMYFUNCTION("""COMPUTED_VALUE"""),385.73)</f>
        <v>385.73</v>
      </c>
    </row>
    <row r="1142">
      <c r="A1142" s="2">
        <f>IFERROR(__xludf.DUMMYFUNCTION("""COMPUTED_VALUE"""),45763.66666666667)</f>
        <v>45763.66667</v>
      </c>
      <c r="B1142" s="1">
        <f>IFERROR(__xludf.DUMMYFUNCTION("""COMPUTED_VALUE"""),371.61)</f>
        <v>371.61</v>
      </c>
    </row>
    <row r="1143">
      <c r="A1143" s="2">
        <f>IFERROR(__xludf.DUMMYFUNCTION("""COMPUTED_VALUE"""),45764.66666666667)</f>
        <v>45764.66667</v>
      </c>
      <c r="B1143" s="1">
        <f>IFERROR(__xludf.DUMMYFUNCTION("""COMPUTED_VALUE"""),367.78)</f>
        <v>367.78</v>
      </c>
    </row>
    <row r="1144">
      <c r="A1144" s="2">
        <f>IFERROR(__xludf.DUMMYFUNCTION("""COMPUTED_VALUE"""),45768.66666666667)</f>
        <v>45768.66667</v>
      </c>
      <c r="B1144" s="1">
        <f>IFERROR(__xludf.DUMMYFUNCTION("""COMPUTED_VALUE"""),359.12)</f>
        <v>359.12</v>
      </c>
    </row>
    <row r="1145">
      <c r="A1145" s="2">
        <f>IFERROR(__xludf.DUMMYFUNCTION("""COMPUTED_VALUE"""),45769.66666666667)</f>
        <v>45769.66667</v>
      </c>
      <c r="B1145" s="1">
        <f>IFERROR(__xludf.DUMMYFUNCTION("""COMPUTED_VALUE"""),366.82)</f>
        <v>366.82</v>
      </c>
    </row>
    <row r="1146">
      <c r="A1146" s="2">
        <f>IFERROR(__xludf.DUMMYFUNCTION("""COMPUTED_VALUE"""),45770.66666666667)</f>
        <v>45770.66667</v>
      </c>
      <c r="B1146" s="1">
        <f>IFERROR(__xludf.DUMMYFUNCTION("""COMPUTED_VALUE"""),374.39)</f>
        <v>374.39</v>
      </c>
    </row>
    <row r="1147">
      <c r="A1147" s="2">
        <f>IFERROR(__xludf.DUMMYFUNCTION("""COMPUTED_VALUE"""),45771.66666666667)</f>
        <v>45771.66667</v>
      </c>
      <c r="B1147" s="1">
        <f>IFERROR(__xludf.DUMMYFUNCTION("""COMPUTED_VALUE"""),387.3)</f>
        <v>387.3</v>
      </c>
    </row>
    <row r="1148">
      <c r="A1148" s="2">
        <f>IFERROR(__xludf.DUMMYFUNCTION("""COMPUTED_VALUE"""),45772.66666666667)</f>
        <v>45772.66667</v>
      </c>
      <c r="B1148" s="1">
        <f>IFERROR(__xludf.DUMMYFUNCTION("""COMPUTED_VALUE"""),391.85)</f>
        <v>391.85</v>
      </c>
    </row>
    <row r="1149">
      <c r="A1149" s="2">
        <f>IFERROR(__xludf.DUMMYFUNCTION("""COMPUTED_VALUE"""),45775.66666666667)</f>
        <v>45775.66667</v>
      </c>
      <c r="B1149" s="1">
        <f>IFERROR(__xludf.DUMMYFUNCTION("""COMPUTED_VALUE"""),391.16)</f>
        <v>391.16</v>
      </c>
    </row>
    <row r="1150">
      <c r="A1150" s="2">
        <f>IFERROR(__xludf.DUMMYFUNCTION("""COMPUTED_VALUE"""),45776.66666666667)</f>
        <v>45776.66667</v>
      </c>
      <c r="B1150" s="1">
        <f>IFERROR(__xludf.DUMMYFUNCTION("""COMPUTED_VALUE"""),394.04)</f>
        <v>394.04</v>
      </c>
    </row>
    <row r="1151">
      <c r="A1151" s="2">
        <f>IFERROR(__xludf.DUMMYFUNCTION("""COMPUTED_VALUE"""),45777.66666666667)</f>
        <v>45777.66667</v>
      </c>
      <c r="B1151" s="1">
        <f>IFERROR(__xludf.DUMMYFUNCTION("""COMPUTED_VALUE"""),395.26)</f>
        <v>395.26</v>
      </c>
    </row>
    <row r="1152">
      <c r="A1152" s="2">
        <f>IFERROR(__xludf.DUMMYFUNCTION("""COMPUTED_VALUE"""),45778.66666666667)</f>
        <v>45778.66667</v>
      </c>
      <c r="B1152" s="1">
        <f>IFERROR(__xludf.DUMMYFUNCTION("""COMPUTED_VALUE"""),425.4)</f>
        <v>425.4</v>
      </c>
    </row>
    <row r="1153">
      <c r="A1153" s="2">
        <f>IFERROR(__xludf.DUMMYFUNCTION("""COMPUTED_VALUE"""),45779.66666666667)</f>
        <v>45779.66667</v>
      </c>
      <c r="B1153" s="1">
        <f>IFERROR(__xludf.DUMMYFUNCTION("""COMPUTED_VALUE"""),435.28)</f>
        <v>435.28</v>
      </c>
    </row>
    <row r="1154">
      <c r="A1154" s="2">
        <f>IFERROR(__xludf.DUMMYFUNCTION("""COMPUTED_VALUE"""),45782.66666666667)</f>
        <v>45782.66667</v>
      </c>
      <c r="B1154" s="1">
        <f>IFERROR(__xludf.DUMMYFUNCTION("""COMPUTED_VALUE"""),436.17)</f>
        <v>436.17</v>
      </c>
    </row>
    <row r="1155">
      <c r="A1155" s="2">
        <f>IFERROR(__xludf.DUMMYFUNCTION("""COMPUTED_VALUE"""),45783.66666666667)</f>
        <v>45783.66667</v>
      </c>
      <c r="B1155" s="1">
        <f>IFERROR(__xludf.DUMMYFUNCTION("""COMPUTED_VALUE"""),433.31)</f>
        <v>433.31</v>
      </c>
    </row>
    <row r="1156">
      <c r="A1156" s="2">
        <f>IFERROR(__xludf.DUMMYFUNCTION("""COMPUTED_VALUE"""),45784.66666666667)</f>
        <v>45784.66667</v>
      </c>
      <c r="B1156" s="1">
        <f>IFERROR(__xludf.DUMMYFUNCTION("""COMPUTED_VALUE"""),433.35)</f>
        <v>433.35</v>
      </c>
    </row>
    <row r="1157">
      <c r="A1157" s="2">
        <f>IFERROR(__xludf.DUMMYFUNCTION("""COMPUTED_VALUE"""),45785.66666666667)</f>
        <v>45785.66667</v>
      </c>
      <c r="B1157" s="1">
        <f>IFERROR(__xludf.DUMMYFUNCTION("""COMPUTED_VALUE"""),438.17)</f>
        <v>438.17</v>
      </c>
    </row>
    <row r="1158">
      <c r="A1158" s="2">
        <f>IFERROR(__xludf.DUMMYFUNCTION("""COMPUTED_VALUE"""),45786.66666666667)</f>
        <v>45786.66667</v>
      </c>
      <c r="B1158" s="1">
        <f>IFERROR(__xludf.DUMMYFUNCTION("""COMPUTED_VALUE"""),438.73)</f>
        <v>438.73</v>
      </c>
    </row>
    <row r="1159">
      <c r="A1159" s="2">
        <f>IFERROR(__xludf.DUMMYFUNCTION("""COMPUTED_VALUE"""),45789.66666666667)</f>
        <v>45789.66667</v>
      </c>
      <c r="B1159" s="1">
        <f>IFERROR(__xludf.DUMMYFUNCTION("""COMPUTED_VALUE"""),449.26)</f>
        <v>449.26</v>
      </c>
    </row>
    <row r="1160">
      <c r="A1160" s="2">
        <f>IFERROR(__xludf.DUMMYFUNCTION("""COMPUTED_VALUE"""),45790.66666666667)</f>
        <v>45790.66667</v>
      </c>
      <c r="B1160" s="1">
        <f>IFERROR(__xludf.DUMMYFUNCTION("""COMPUTED_VALUE"""),449.14)</f>
        <v>449.14</v>
      </c>
    </row>
    <row r="1161">
      <c r="A1161" s="2">
        <f>IFERROR(__xludf.DUMMYFUNCTION("""COMPUTED_VALUE"""),45791.66666666667)</f>
        <v>45791.66667</v>
      </c>
      <c r="B1161" s="1">
        <f>IFERROR(__xludf.DUMMYFUNCTION("""COMPUTED_VALUE"""),452.94)</f>
        <v>452.94</v>
      </c>
    </row>
    <row r="1162">
      <c r="A1162" s="2">
        <f>IFERROR(__xludf.DUMMYFUNCTION("""COMPUTED_VALUE"""),45792.66666666667)</f>
        <v>45792.66667</v>
      </c>
      <c r="B1162" s="1">
        <f>IFERROR(__xludf.DUMMYFUNCTION("""COMPUTED_VALUE"""),453.13)</f>
        <v>453.13</v>
      </c>
    </row>
    <row r="1163">
      <c r="A1163" s="2">
        <f>IFERROR(__xludf.DUMMYFUNCTION("""COMPUTED_VALUE"""),45793.66666666667)</f>
        <v>45793.66667</v>
      </c>
      <c r="B1163" s="1">
        <f>IFERROR(__xludf.DUMMYFUNCTION("""COMPUTED_VALUE"""),454.27)</f>
        <v>454.27</v>
      </c>
    </row>
    <row r="1164">
      <c r="A1164" s="2">
        <f>IFERROR(__xludf.DUMMYFUNCTION("""COMPUTED_VALUE"""),45796.66666666667)</f>
        <v>45796.66667</v>
      </c>
      <c r="B1164" s="1">
        <f>IFERROR(__xludf.DUMMYFUNCTION("""COMPUTED_VALUE"""),458.87)</f>
        <v>458.87</v>
      </c>
    </row>
    <row r="1165">
      <c r="A1165" s="2">
        <f>IFERROR(__xludf.DUMMYFUNCTION("""COMPUTED_VALUE"""),45797.66666666667)</f>
        <v>45797.66667</v>
      </c>
      <c r="B1165" s="1">
        <f>IFERROR(__xludf.DUMMYFUNCTION("""COMPUTED_VALUE"""),458.17)</f>
        <v>458.17</v>
      </c>
    </row>
    <row r="1166">
      <c r="A1166" s="2">
        <f>IFERROR(__xludf.DUMMYFUNCTION("""COMPUTED_VALUE"""),45798.66666666667)</f>
        <v>45798.66667</v>
      </c>
      <c r="B1166" s="1">
        <f>IFERROR(__xludf.DUMMYFUNCTION("""COMPUTED_VALUE"""),452.57)</f>
        <v>452.57</v>
      </c>
    </row>
    <row r="1167">
      <c r="A1167" s="2">
        <f>IFERROR(__xludf.DUMMYFUNCTION("""COMPUTED_VALUE"""),45799.66666666667)</f>
        <v>45799.66667</v>
      </c>
      <c r="B1167" s="1">
        <f>IFERROR(__xludf.DUMMYFUNCTION("""COMPUTED_VALUE"""),454.86)</f>
        <v>454.86</v>
      </c>
    </row>
    <row r="1168">
      <c r="A1168" s="2">
        <f>IFERROR(__xludf.DUMMYFUNCTION("""COMPUTED_VALUE"""),45800.66666666667)</f>
        <v>45800.66667</v>
      </c>
      <c r="B1168" s="1">
        <f>IFERROR(__xludf.DUMMYFUNCTION("""COMPUTED_VALUE"""),450.18)</f>
        <v>450.18</v>
      </c>
    </row>
    <row r="1169">
      <c r="A1169" s="2">
        <f>IFERROR(__xludf.DUMMYFUNCTION("""COMPUTED_VALUE"""),45804.66666666667)</f>
        <v>45804.66667</v>
      </c>
      <c r="B1169" s="1">
        <f>IFERROR(__xludf.DUMMYFUNCTION("""COMPUTED_VALUE"""),460.69)</f>
        <v>460.69</v>
      </c>
    </row>
    <row r="1170">
      <c r="A1170" s="2">
        <f>IFERROR(__xludf.DUMMYFUNCTION("""COMPUTED_VALUE"""),45805.66666666667)</f>
        <v>45805.66667</v>
      </c>
      <c r="B1170" s="1">
        <f>IFERROR(__xludf.DUMMYFUNCTION("""COMPUTED_VALUE"""),457.36)</f>
        <v>457.36</v>
      </c>
    </row>
    <row r="1171">
      <c r="A1171" s="2">
        <f>IFERROR(__xludf.DUMMYFUNCTION("""COMPUTED_VALUE"""),45806.66666666667)</f>
        <v>45806.66667</v>
      </c>
      <c r="B1171" s="1">
        <f>IFERROR(__xludf.DUMMYFUNCTION("""COMPUTED_VALUE"""),458.68)</f>
        <v>458.68</v>
      </c>
    </row>
    <row r="1172">
      <c r="A1172" s="2">
        <f>IFERROR(__xludf.DUMMYFUNCTION("""COMPUTED_VALUE"""),45807.66666666667)</f>
        <v>45807.66667</v>
      </c>
      <c r="B1172" s="1">
        <f>IFERROR(__xludf.DUMMYFUNCTION("""COMPUTED_VALUE"""),460.36)</f>
        <v>460.36</v>
      </c>
    </row>
    <row r="1173">
      <c r="A1173" s="2">
        <f>IFERROR(__xludf.DUMMYFUNCTION("""COMPUTED_VALUE"""),45810.66666666667)</f>
        <v>45810.66667</v>
      </c>
      <c r="B1173" s="1">
        <f>IFERROR(__xludf.DUMMYFUNCTION("""COMPUTED_VALUE"""),461.97)</f>
        <v>461.97</v>
      </c>
    </row>
    <row r="1174">
      <c r="A1174" s="2">
        <f>IFERROR(__xludf.DUMMYFUNCTION("""COMPUTED_VALUE"""),45811.66666666667)</f>
        <v>45811.66667</v>
      </c>
      <c r="B1174" s="1">
        <f>IFERROR(__xludf.DUMMYFUNCTION("""COMPUTED_VALUE"""),462.97)</f>
        <v>462.97</v>
      </c>
    </row>
    <row r="1175">
      <c r="A1175" s="2">
        <f>IFERROR(__xludf.DUMMYFUNCTION("""COMPUTED_VALUE"""),45812.66666666667)</f>
        <v>45812.66667</v>
      </c>
      <c r="B1175" s="1">
        <f>IFERROR(__xludf.DUMMYFUNCTION("""COMPUTED_VALUE"""),463.87)</f>
        <v>463.87</v>
      </c>
    </row>
    <row r="1176">
      <c r="A1176" s="2">
        <f>IFERROR(__xludf.DUMMYFUNCTION("""COMPUTED_VALUE"""),45813.66666666667)</f>
        <v>45813.66667</v>
      </c>
      <c r="B1176" s="1">
        <f>IFERROR(__xludf.DUMMYFUNCTION("""COMPUTED_VALUE"""),467.68)</f>
        <v>467.68</v>
      </c>
    </row>
    <row r="1177">
      <c r="A1177" s="2">
        <f>IFERROR(__xludf.DUMMYFUNCTION("""COMPUTED_VALUE"""),45814.66666666667)</f>
        <v>45814.66667</v>
      </c>
      <c r="B1177" s="1">
        <f>IFERROR(__xludf.DUMMYFUNCTION("""COMPUTED_VALUE"""),470.38)</f>
        <v>470.38</v>
      </c>
    </row>
    <row r="1178">
      <c r="A1178" s="2">
        <f>IFERROR(__xludf.DUMMYFUNCTION("""COMPUTED_VALUE"""),45817.66666666667)</f>
        <v>45817.66667</v>
      </c>
      <c r="B1178" s="1">
        <f>IFERROR(__xludf.DUMMYFUNCTION("""COMPUTED_VALUE"""),472.75)</f>
        <v>472.75</v>
      </c>
    </row>
    <row r="1179">
      <c r="A1179" s="2">
        <f>IFERROR(__xludf.DUMMYFUNCTION("""COMPUTED_VALUE"""),45818.66666666667)</f>
        <v>45818.66667</v>
      </c>
      <c r="B1179" s="1">
        <f>IFERROR(__xludf.DUMMYFUNCTION("""COMPUTED_VALUE"""),470.92)</f>
        <v>470.92</v>
      </c>
    </row>
    <row r="1180">
      <c r="A1180" s="2">
        <f>IFERROR(__xludf.DUMMYFUNCTION("""COMPUTED_VALUE"""),45819.66666666667)</f>
        <v>45819.66667</v>
      </c>
      <c r="B1180" s="1">
        <f>IFERROR(__xludf.DUMMYFUNCTION("""COMPUTED_VALUE"""),472.62)</f>
        <v>472.62</v>
      </c>
    </row>
    <row r="1181">
      <c r="A1181" s="2">
        <f>IFERROR(__xludf.DUMMYFUNCTION("""COMPUTED_VALUE"""),45820.66666666667)</f>
        <v>45820.66667</v>
      </c>
      <c r="B1181" s="1">
        <f>IFERROR(__xludf.DUMMYFUNCTION("""COMPUTED_VALUE"""),478.87)</f>
        <v>478.87</v>
      </c>
    </row>
    <row r="1182">
      <c r="A1182" s="2">
        <f>IFERROR(__xludf.DUMMYFUNCTION("""COMPUTED_VALUE"""),45821.66666666667)</f>
        <v>45821.66667</v>
      </c>
      <c r="B1182" s="1">
        <f>IFERROR(__xludf.DUMMYFUNCTION("""COMPUTED_VALUE"""),474.96)</f>
        <v>474.96</v>
      </c>
    </row>
    <row r="1183">
      <c r="A1183" s="2">
        <f>IFERROR(__xludf.DUMMYFUNCTION("""COMPUTED_VALUE"""),45824.66666666667)</f>
        <v>45824.66667</v>
      </c>
      <c r="B1183" s="1">
        <f>IFERROR(__xludf.DUMMYFUNCTION("""COMPUTED_VALUE"""),479.14)</f>
        <v>479.14</v>
      </c>
    </row>
    <row r="1184">
      <c r="A1184" s="2">
        <f>IFERROR(__xludf.DUMMYFUNCTION("""COMPUTED_VALUE"""),45825.66666666667)</f>
        <v>45825.66667</v>
      </c>
      <c r="B1184" s="1">
        <f>IFERROR(__xludf.DUMMYFUNCTION("""COMPUTED_VALUE"""),478.04)</f>
        <v>478.04</v>
      </c>
    </row>
    <row r="1185">
      <c r="A1185" s="2">
        <f>IFERROR(__xludf.DUMMYFUNCTION("""COMPUTED_VALUE"""),45826.66666666667)</f>
        <v>45826.66667</v>
      </c>
      <c r="B1185" s="1">
        <f>IFERROR(__xludf.DUMMYFUNCTION("""COMPUTED_VALUE"""),480.24)</f>
        <v>480.24</v>
      </c>
    </row>
    <row r="1186">
      <c r="A1186" s="2">
        <f>IFERROR(__xludf.DUMMYFUNCTION("""COMPUTED_VALUE"""),45828.66666666667)</f>
        <v>45828.66667</v>
      </c>
      <c r="B1186" s="1">
        <f>IFERROR(__xludf.DUMMYFUNCTION("""COMPUTED_VALUE"""),477.4)</f>
        <v>477.4</v>
      </c>
    </row>
    <row r="1187">
      <c r="A1187" s="2">
        <f>IFERROR(__xludf.DUMMYFUNCTION("""COMPUTED_VALUE"""),45831.66666666667)</f>
        <v>45831.66667</v>
      </c>
      <c r="B1187" s="1">
        <f>IFERROR(__xludf.DUMMYFUNCTION("""COMPUTED_VALUE"""),486.0)</f>
        <v>486</v>
      </c>
    </row>
    <row r="1188">
      <c r="A1188" s="2">
        <f>IFERROR(__xludf.DUMMYFUNCTION("""COMPUTED_VALUE"""),45832.66666666667)</f>
        <v>45832.66667</v>
      </c>
      <c r="B1188" s="1">
        <f>IFERROR(__xludf.DUMMYFUNCTION("""COMPUTED_VALUE"""),490.11)</f>
        <v>490.11</v>
      </c>
    </row>
    <row r="1189">
      <c r="A1189" s="2">
        <f>IFERROR(__xludf.DUMMYFUNCTION("""COMPUTED_VALUE"""),45833.66666666667)</f>
        <v>45833.66667</v>
      </c>
      <c r="B1189" s="1">
        <f>IFERROR(__xludf.DUMMYFUNCTION("""COMPUTED_VALUE"""),492.27)</f>
        <v>492.27</v>
      </c>
    </row>
    <row r="1190">
      <c r="A1190" s="2">
        <f>IFERROR(__xludf.DUMMYFUNCTION("""COMPUTED_VALUE"""),45834.66666666667)</f>
        <v>45834.66667</v>
      </c>
      <c r="B1190" s="1">
        <f>IFERROR(__xludf.DUMMYFUNCTION("""COMPUTED_VALUE"""),497.45)</f>
        <v>497.45</v>
      </c>
    </row>
    <row r="1191">
      <c r="A1191" s="2">
        <f>IFERROR(__xludf.DUMMYFUNCTION("""COMPUTED_VALUE"""),45835.66666666667)</f>
        <v>45835.66667</v>
      </c>
      <c r="B1191" s="1">
        <f>IFERROR(__xludf.DUMMYFUNCTION("""COMPUTED_VALUE"""),495.94)</f>
        <v>495.94</v>
      </c>
    </row>
    <row r="1192">
      <c r="A1192" s="2">
        <f>IFERROR(__xludf.DUMMYFUNCTION("""COMPUTED_VALUE"""),45838.66666666667)</f>
        <v>45838.66667</v>
      </c>
      <c r="B1192" s="1">
        <f>IFERROR(__xludf.DUMMYFUNCTION("""COMPUTED_VALUE"""),497.41)</f>
        <v>497.41</v>
      </c>
    </row>
    <row r="1193">
      <c r="A1193" s="2">
        <f>IFERROR(__xludf.DUMMYFUNCTION("""COMPUTED_VALUE"""),45839.66666666667)</f>
        <v>45839.66667</v>
      </c>
      <c r="B1193" s="1">
        <f>IFERROR(__xludf.DUMMYFUNCTION("""COMPUTED_VALUE"""),492.05)</f>
        <v>492.05</v>
      </c>
    </row>
    <row r="1194">
      <c r="A1194" s="2">
        <f>IFERROR(__xludf.DUMMYFUNCTION("""COMPUTED_VALUE"""),45840.66666666667)</f>
        <v>45840.66667</v>
      </c>
      <c r="B1194" s="1">
        <f>IFERROR(__xludf.DUMMYFUNCTION("""COMPUTED_VALUE"""),491.09)</f>
        <v>491.09</v>
      </c>
    </row>
    <row r="1195">
      <c r="A1195" s="2">
        <f>IFERROR(__xludf.DUMMYFUNCTION("""COMPUTED_VALUE"""),45841.54513888889)</f>
        <v>45841.54514</v>
      </c>
      <c r="B1195" s="1">
        <f>IFERROR(__xludf.DUMMYFUNCTION("""COMPUTED_VALUE"""),498.84)</f>
        <v>498.84</v>
      </c>
    </row>
    <row r="1196">
      <c r="A1196" s="2">
        <f>IFERROR(__xludf.DUMMYFUNCTION("""COMPUTED_VALUE"""),45845.66666666667)</f>
        <v>45845.66667</v>
      </c>
      <c r="B1196" s="1">
        <f>IFERROR(__xludf.DUMMYFUNCTION("""COMPUTED_VALUE"""),497.72)</f>
        <v>497.72</v>
      </c>
    </row>
    <row r="1197">
      <c r="A1197" s="2">
        <f>IFERROR(__xludf.DUMMYFUNCTION("""COMPUTED_VALUE"""),45846.66666666667)</f>
        <v>45846.66667</v>
      </c>
      <c r="B1197" s="1">
        <f>IFERROR(__xludf.DUMMYFUNCTION("""COMPUTED_VALUE"""),496.62)</f>
        <v>496.62</v>
      </c>
    </row>
    <row r="1198">
      <c r="A1198" s="2">
        <f>IFERROR(__xludf.DUMMYFUNCTION("""COMPUTED_VALUE"""),45847.66666666667)</f>
        <v>45847.66667</v>
      </c>
      <c r="B1198" s="1">
        <f>IFERROR(__xludf.DUMMYFUNCTION("""COMPUTED_VALUE"""),503.51)</f>
        <v>503.51</v>
      </c>
    </row>
    <row r="1199">
      <c r="A1199" s="2">
        <f>IFERROR(__xludf.DUMMYFUNCTION("""COMPUTED_VALUE"""),45848.66666666667)</f>
        <v>45848.66667</v>
      </c>
      <c r="B1199" s="1">
        <f>IFERROR(__xludf.DUMMYFUNCTION("""COMPUTED_VALUE"""),501.48)</f>
        <v>501.48</v>
      </c>
    </row>
    <row r="1200">
      <c r="A1200" s="2">
        <f>IFERROR(__xludf.DUMMYFUNCTION("""COMPUTED_VALUE"""),45849.66666666667)</f>
        <v>45849.66667</v>
      </c>
      <c r="B1200" s="1">
        <f>IFERROR(__xludf.DUMMYFUNCTION("""COMPUTED_VALUE"""),503.32)</f>
        <v>503.32</v>
      </c>
    </row>
    <row r="1201">
      <c r="A1201" s="2">
        <f>IFERROR(__xludf.DUMMYFUNCTION("""COMPUTED_VALUE"""),45852.66666666667)</f>
        <v>45852.66667</v>
      </c>
      <c r="B1201" s="1">
        <f>IFERROR(__xludf.DUMMYFUNCTION("""COMPUTED_VALUE"""),503.02)</f>
        <v>503.02</v>
      </c>
    </row>
    <row r="1202">
      <c r="A1202" s="2">
        <f>IFERROR(__xludf.DUMMYFUNCTION("""COMPUTED_VALUE"""),45853.66666666667)</f>
        <v>45853.66667</v>
      </c>
      <c r="B1202" s="1">
        <f>IFERROR(__xludf.DUMMYFUNCTION("""COMPUTED_VALUE"""),505.82)</f>
        <v>505.82</v>
      </c>
    </row>
    <row r="1203">
      <c r="A1203" s="2">
        <f>IFERROR(__xludf.DUMMYFUNCTION("""COMPUTED_VALUE"""),45854.66666666667)</f>
        <v>45854.66667</v>
      </c>
      <c r="B1203" s="1">
        <f>IFERROR(__xludf.DUMMYFUNCTION("""COMPUTED_VALUE"""),505.62)</f>
        <v>505.62</v>
      </c>
    </row>
    <row r="1204">
      <c r="A1204" s="2">
        <f>IFERROR(__xludf.DUMMYFUNCTION("""COMPUTED_VALUE"""),45855.66666666667)</f>
        <v>45855.66667</v>
      </c>
      <c r="B1204" s="1">
        <f>IFERROR(__xludf.DUMMYFUNCTION("""COMPUTED_VALUE"""),511.7)</f>
        <v>511.7</v>
      </c>
    </row>
    <row r="1205">
      <c r="A1205" s="2">
        <f>IFERROR(__xludf.DUMMYFUNCTION("""COMPUTED_VALUE"""),45856.66666666667)</f>
        <v>45856.66667</v>
      </c>
      <c r="B1205" s="1">
        <f>IFERROR(__xludf.DUMMYFUNCTION("""COMPUTED_VALUE"""),510.05)</f>
        <v>510.05</v>
      </c>
    </row>
    <row r="1206">
      <c r="A1206" s="2">
        <f>IFERROR(__xludf.DUMMYFUNCTION("""COMPUTED_VALUE"""),45859.66666666667)</f>
        <v>45859.66667</v>
      </c>
      <c r="B1206" s="1">
        <f>IFERROR(__xludf.DUMMYFUNCTION("""COMPUTED_VALUE"""),510.06)</f>
        <v>510.06</v>
      </c>
    </row>
    <row r="1207">
      <c r="A1207" s="2">
        <f>IFERROR(__xludf.DUMMYFUNCTION("""COMPUTED_VALUE"""),45860.66666666667)</f>
        <v>45860.66667</v>
      </c>
      <c r="B1207" s="1">
        <f>IFERROR(__xludf.DUMMYFUNCTION("""COMPUTED_VALUE"""),505.27)</f>
        <v>505.27</v>
      </c>
    </row>
    <row r="1208">
      <c r="A1208" s="2">
        <f>IFERROR(__xludf.DUMMYFUNCTION("""COMPUTED_VALUE"""),45861.66666666667)</f>
        <v>45861.66667</v>
      </c>
      <c r="B1208" s="1">
        <f>IFERROR(__xludf.DUMMYFUNCTION("""COMPUTED_VALUE"""),505.87)</f>
        <v>505.87</v>
      </c>
    </row>
    <row r="1209">
      <c r="A1209" s="2">
        <f>IFERROR(__xludf.DUMMYFUNCTION("""COMPUTED_VALUE"""),45862.66666666667)</f>
        <v>45862.66667</v>
      </c>
      <c r="B1209" s="1">
        <f>IFERROR(__xludf.DUMMYFUNCTION("""COMPUTED_VALUE"""),510.88)</f>
        <v>510.88</v>
      </c>
    </row>
    <row r="1210">
      <c r="A1210" s="2">
        <f>IFERROR(__xludf.DUMMYFUNCTION("""COMPUTED_VALUE"""),45863.66666666667)</f>
        <v>45863.66667</v>
      </c>
      <c r="B1210" s="1">
        <f>IFERROR(__xludf.DUMMYFUNCTION("""COMPUTED_VALUE"""),513.71)</f>
        <v>513.71</v>
      </c>
    </row>
    <row r="1211">
      <c r="A1211" s="2">
        <f>IFERROR(__xludf.DUMMYFUNCTION("""COMPUTED_VALUE"""),45866.66666666667)</f>
        <v>45866.66667</v>
      </c>
      <c r="B1211" s="1">
        <f>IFERROR(__xludf.DUMMYFUNCTION("""COMPUTED_VALUE"""),512.5)</f>
        <v>512.5</v>
      </c>
    </row>
    <row r="1212">
      <c r="A1212" s="2">
        <f>IFERROR(__xludf.DUMMYFUNCTION("""COMPUTED_VALUE"""),45867.66666666667)</f>
        <v>45867.66667</v>
      </c>
      <c r="B1212" s="1">
        <f>IFERROR(__xludf.DUMMYFUNCTION("""COMPUTED_VALUE"""),512.57)</f>
        <v>512.57</v>
      </c>
    </row>
    <row r="1213">
      <c r="A1213" s="2">
        <f>IFERROR(__xludf.DUMMYFUNCTION("""COMPUTED_VALUE"""),45868.66666666667)</f>
        <v>45868.66667</v>
      </c>
      <c r="B1213" s="1">
        <f>IFERROR(__xludf.DUMMYFUNCTION("""COMPUTED_VALUE"""),513.24)</f>
        <v>513.24</v>
      </c>
    </row>
    <row r="1214">
      <c r="A1214" s="2">
        <f>IFERROR(__xludf.DUMMYFUNCTION("""COMPUTED_VALUE"""),45869.66666666667)</f>
        <v>45869.66667</v>
      </c>
      <c r="B1214" s="1">
        <f>IFERROR(__xludf.DUMMYFUNCTION("""COMPUTED_VALUE"""),533.5)</f>
        <v>533.5</v>
      </c>
    </row>
    <row r="1215">
      <c r="A1215" s="2">
        <f>IFERROR(__xludf.DUMMYFUNCTION("""COMPUTED_VALUE"""),45870.66666666667)</f>
        <v>45870.66667</v>
      </c>
      <c r="B1215" s="1">
        <f>IFERROR(__xludf.DUMMYFUNCTION("""COMPUTED_VALUE"""),524.11)</f>
        <v>524.11</v>
      </c>
    </row>
    <row r="1216">
      <c r="A1216" s="2">
        <f>IFERROR(__xludf.DUMMYFUNCTION("""COMPUTED_VALUE"""),45873.66666666667)</f>
        <v>45873.66667</v>
      </c>
      <c r="B1216" s="1">
        <f>IFERROR(__xludf.DUMMYFUNCTION("""COMPUTED_VALUE"""),535.64)</f>
        <v>535.64</v>
      </c>
    </row>
    <row r="1217">
      <c r="A1217" s="2">
        <f>IFERROR(__xludf.DUMMYFUNCTION("""COMPUTED_VALUE"""),45874.66666666667)</f>
        <v>45874.66667</v>
      </c>
      <c r="B1217" s="1">
        <f>IFERROR(__xludf.DUMMYFUNCTION("""COMPUTED_VALUE"""),527.75)</f>
        <v>527.75</v>
      </c>
    </row>
    <row r="1218">
      <c r="A1218" s="2">
        <f>IFERROR(__xludf.DUMMYFUNCTION("""COMPUTED_VALUE"""),45875.66666666667)</f>
        <v>45875.66667</v>
      </c>
      <c r="B1218" s="1">
        <f>IFERROR(__xludf.DUMMYFUNCTION("""COMPUTED_VALUE"""),524.94)</f>
        <v>524.94</v>
      </c>
    </row>
    <row r="1219">
      <c r="A1219" s="2">
        <f>IFERROR(__xludf.DUMMYFUNCTION("""COMPUTED_VALUE"""),45876.66666666667)</f>
        <v>45876.66667</v>
      </c>
      <c r="B1219" s="1">
        <f>IFERROR(__xludf.DUMMYFUNCTION("""COMPUTED_VALUE"""),520.84)</f>
        <v>520.84</v>
      </c>
    </row>
    <row r="1220">
      <c r="A1220" s="2">
        <f>IFERROR(__xludf.DUMMYFUNCTION("""COMPUTED_VALUE"""),45877.66666666667)</f>
        <v>45877.66667</v>
      </c>
      <c r="B1220" s="1">
        <f>IFERROR(__xludf.DUMMYFUNCTION("""COMPUTED_VALUE"""),522.04)</f>
        <v>522.04</v>
      </c>
    </row>
    <row r="1221">
      <c r="A1221" s="2">
        <f>IFERROR(__xludf.DUMMYFUNCTION("""COMPUTED_VALUE"""),45880.66666666667)</f>
        <v>45880.66667</v>
      </c>
      <c r="B1221" s="1">
        <f>IFERROR(__xludf.DUMMYFUNCTION("""COMPUTED_VALUE"""),521.77)</f>
        <v>521.77</v>
      </c>
    </row>
    <row r="1222">
      <c r="A1222" s="2">
        <f>IFERROR(__xludf.DUMMYFUNCTION("""COMPUTED_VALUE"""),45881.66666666667)</f>
        <v>45881.66667</v>
      </c>
      <c r="B1222" s="1">
        <f>IFERROR(__xludf.DUMMYFUNCTION("""COMPUTED_VALUE"""),529.24)</f>
        <v>529.24</v>
      </c>
    </row>
    <row r="1223">
      <c r="A1223" s="2">
        <f>IFERROR(__xludf.DUMMYFUNCTION("""COMPUTED_VALUE"""),45882.66666666667)</f>
        <v>45882.66667</v>
      </c>
      <c r="B1223" s="1">
        <f>IFERROR(__xludf.DUMMYFUNCTION("""COMPUTED_VALUE"""),520.58)</f>
        <v>520.58</v>
      </c>
    </row>
    <row r="1224">
      <c r="A1224" s="2">
        <f>IFERROR(__xludf.DUMMYFUNCTION("""COMPUTED_VALUE"""),45883.66666666667)</f>
        <v>45883.66667</v>
      </c>
      <c r="B1224" s="1">
        <f>IFERROR(__xludf.DUMMYFUNCTION("""COMPUTED_VALUE"""),522.48)</f>
        <v>522.48</v>
      </c>
    </row>
    <row r="1225">
      <c r="A1225" s="2">
        <f>IFERROR(__xludf.DUMMYFUNCTION("""COMPUTED_VALUE"""),45884.66666666667)</f>
        <v>45884.66667</v>
      </c>
      <c r="B1225" s="1">
        <f>IFERROR(__xludf.DUMMYFUNCTION("""COMPUTED_VALUE"""),520.17)</f>
        <v>520.17</v>
      </c>
    </row>
    <row r="1226">
      <c r="A1226" s="2">
        <f>IFERROR(__xludf.DUMMYFUNCTION("""COMPUTED_VALUE"""),45887.66666666667)</f>
        <v>45887.66667</v>
      </c>
      <c r="B1226" s="1">
        <f>IFERROR(__xludf.DUMMYFUNCTION("""COMPUTED_VALUE"""),517.1)</f>
        <v>517.1</v>
      </c>
    </row>
    <row r="1227">
      <c r="A1227" s="2">
        <f>IFERROR(__xludf.DUMMYFUNCTION("""COMPUTED_VALUE"""),45888.66666666667)</f>
        <v>45888.66667</v>
      </c>
      <c r="B1227" s="1">
        <f>IFERROR(__xludf.DUMMYFUNCTION("""COMPUTED_VALUE"""),509.77)</f>
        <v>509.77</v>
      </c>
    </row>
    <row r="1228">
      <c r="A1228" s="2">
        <f>IFERROR(__xludf.DUMMYFUNCTION("""COMPUTED_VALUE"""),45889.66666666667)</f>
        <v>45889.66667</v>
      </c>
      <c r="B1228" s="1">
        <f>IFERROR(__xludf.DUMMYFUNCTION("""COMPUTED_VALUE"""),505.72)</f>
        <v>505.72</v>
      </c>
    </row>
    <row r="1229">
      <c r="A1229" s="2">
        <f>IFERROR(__xludf.DUMMYFUNCTION("""COMPUTED_VALUE"""),45890.66666666667)</f>
        <v>45890.66667</v>
      </c>
      <c r="B1229" s="1">
        <f>IFERROR(__xludf.DUMMYFUNCTION("""COMPUTED_VALUE"""),504.24)</f>
        <v>504.24</v>
      </c>
    </row>
    <row r="1230">
      <c r="A1230" s="2">
        <f>IFERROR(__xludf.DUMMYFUNCTION("""COMPUTED_VALUE"""),45891.66666666667)</f>
        <v>45891.66667</v>
      </c>
      <c r="B1230" s="1">
        <f>IFERROR(__xludf.DUMMYFUNCTION("""COMPUTED_VALUE"""),507.23)</f>
        <v>507.23</v>
      </c>
    </row>
    <row r="1231">
      <c r="A1231" s="2">
        <f>IFERROR(__xludf.DUMMYFUNCTION("""COMPUTED_VALUE"""),45894.66666666667)</f>
        <v>45894.66667</v>
      </c>
      <c r="B1231" s="1">
        <f>IFERROR(__xludf.DUMMYFUNCTION("""COMPUTED_VALUE"""),504.26)</f>
        <v>504.26</v>
      </c>
    </row>
    <row r="1232">
      <c r="A1232" s="2">
        <f>IFERROR(__xludf.DUMMYFUNCTION("""COMPUTED_VALUE"""),45895.66666666667)</f>
        <v>45895.66667</v>
      </c>
      <c r="B1232" s="1">
        <f>IFERROR(__xludf.DUMMYFUNCTION("""COMPUTED_VALUE"""),502.04)</f>
        <v>502.04</v>
      </c>
    </row>
    <row r="1233">
      <c r="A1233" s="2">
        <f>IFERROR(__xludf.DUMMYFUNCTION("""COMPUTED_VALUE"""),45896.66666666667)</f>
        <v>45896.66667</v>
      </c>
      <c r="B1233" s="1">
        <f>IFERROR(__xludf.DUMMYFUNCTION("""COMPUTED_VALUE"""),506.74)</f>
        <v>506.74</v>
      </c>
    </row>
    <row r="1234">
      <c r="A1234" s="2">
        <f>IFERROR(__xludf.DUMMYFUNCTION("""COMPUTED_VALUE"""),45897.66666666667)</f>
        <v>45897.66667</v>
      </c>
      <c r="B1234" s="1">
        <f>IFERROR(__xludf.DUMMYFUNCTION("""COMPUTED_VALUE"""),509.64)</f>
        <v>509.64</v>
      </c>
    </row>
    <row r="1235">
      <c r="A1235" s="2">
        <f>IFERROR(__xludf.DUMMYFUNCTION("""COMPUTED_VALUE"""),45898.66666666667)</f>
        <v>45898.66667</v>
      </c>
      <c r="B1235" s="1">
        <f>IFERROR(__xludf.DUMMYFUNCTION("""COMPUTED_VALUE"""),506.69)</f>
        <v>506.69</v>
      </c>
    </row>
    <row r="1236">
      <c r="A1236" s="2">
        <f>IFERROR(__xludf.DUMMYFUNCTION("""COMPUTED_VALUE"""),45902.66666666667)</f>
        <v>45902.66667</v>
      </c>
      <c r="B1236" s="1">
        <f>IFERROR(__xludf.DUMMYFUNCTION("""COMPUTED_VALUE"""),505.12)</f>
        <v>505.12</v>
      </c>
    </row>
    <row r="1237">
      <c r="A1237" s="2">
        <f>IFERROR(__xludf.DUMMYFUNCTION("""COMPUTED_VALUE"""),45903.66666666667)</f>
        <v>45903.66667</v>
      </c>
      <c r="B1237" s="1">
        <f>IFERROR(__xludf.DUMMYFUNCTION("""COMPUTED_VALUE"""),505.35)</f>
        <v>505.35</v>
      </c>
    </row>
    <row r="1238">
      <c r="A1238" s="2">
        <f>IFERROR(__xludf.DUMMYFUNCTION("""COMPUTED_VALUE"""),45904.66666666667)</f>
        <v>45904.66667</v>
      </c>
      <c r="B1238" s="1">
        <f>IFERROR(__xludf.DUMMYFUNCTION("""COMPUTED_VALUE"""),507.97)</f>
        <v>507.97</v>
      </c>
    </row>
    <row r="1239">
      <c r="A1239" s="2">
        <f>IFERROR(__xludf.DUMMYFUNCTION("""COMPUTED_VALUE"""),45905.66666666667)</f>
        <v>45905.66667</v>
      </c>
      <c r="B1239" s="1">
        <f>IFERROR(__xludf.DUMMYFUNCTION("""COMPUTED_VALUE"""),495.0)</f>
        <v>495</v>
      </c>
    </row>
    <row r="1240">
      <c r="A1240" s="2">
        <f>IFERROR(__xludf.DUMMYFUNCTION("""COMPUTED_VALUE"""),45908.66666666667)</f>
        <v>45908.66667</v>
      </c>
      <c r="B1240" s="1">
        <f>IFERROR(__xludf.DUMMYFUNCTION("""COMPUTED_VALUE"""),498.2)</f>
        <v>498.2</v>
      </c>
    </row>
    <row r="1241">
      <c r="A1241" s="2">
        <f>IFERROR(__xludf.DUMMYFUNCTION("""COMPUTED_VALUE"""),45909.66666666667)</f>
        <v>45909.66667</v>
      </c>
      <c r="B1241" s="1">
        <f>IFERROR(__xludf.DUMMYFUNCTION("""COMPUTED_VALUE"""),498.41)</f>
        <v>498.41</v>
      </c>
    </row>
    <row r="1242">
      <c r="A1242" s="2">
        <f>IFERROR(__xludf.DUMMYFUNCTION("""COMPUTED_VALUE"""),45910.66666666667)</f>
        <v>45910.66667</v>
      </c>
      <c r="B1242" s="1">
        <f>IFERROR(__xludf.DUMMYFUNCTION("""COMPUTED_VALUE"""),500.37)</f>
        <v>500.37</v>
      </c>
    </row>
    <row r="1243">
      <c r="A1243" s="2">
        <f>IFERROR(__xludf.DUMMYFUNCTION("""COMPUTED_VALUE"""),45911.66666666667)</f>
        <v>45911.66667</v>
      </c>
      <c r="B1243" s="1">
        <f>IFERROR(__xludf.DUMMYFUNCTION("""COMPUTED_VALUE"""),501.01)</f>
        <v>501.01</v>
      </c>
    </row>
    <row r="1244">
      <c r="A1244" s="2">
        <f>IFERROR(__xludf.DUMMYFUNCTION("""COMPUTED_VALUE"""),45912.66666666667)</f>
        <v>45912.66667</v>
      </c>
      <c r="B1244" s="1">
        <f>IFERROR(__xludf.DUMMYFUNCTION("""COMPUTED_VALUE"""),509.9)</f>
        <v>509.9</v>
      </c>
    </row>
    <row r="1245">
      <c r="A1245" s="2">
        <f>IFERROR(__xludf.DUMMYFUNCTION("""COMPUTED_VALUE"""),45915.66666666667)</f>
        <v>45915.66667</v>
      </c>
      <c r="B1245" s="1">
        <f>IFERROR(__xludf.DUMMYFUNCTION("""COMPUTED_VALUE"""),515.36)</f>
        <v>515.36</v>
      </c>
    </row>
    <row r="1246">
      <c r="A1246" s="2">
        <f>IFERROR(__xludf.DUMMYFUNCTION("""COMPUTED_VALUE"""),45916.66666666667)</f>
        <v>45916.66667</v>
      </c>
      <c r="B1246" s="1">
        <f>IFERROR(__xludf.DUMMYFUNCTION("""COMPUTED_VALUE"""),509.04)</f>
        <v>509.04</v>
      </c>
    </row>
    <row r="1247">
      <c r="A1247" s="2">
        <f>IFERROR(__xludf.DUMMYFUNCTION("""COMPUTED_VALUE"""),45917.66666666667)</f>
        <v>45917.66667</v>
      </c>
      <c r="B1247" s="1">
        <f>IFERROR(__xludf.DUMMYFUNCTION("""COMPUTED_VALUE"""),510.02)</f>
        <v>510.02</v>
      </c>
    </row>
    <row r="1248">
      <c r="A1248" s="2">
        <f>IFERROR(__xludf.DUMMYFUNCTION("""COMPUTED_VALUE"""),45918.66666666667)</f>
        <v>45918.66667</v>
      </c>
      <c r="B1248" s="1">
        <f>IFERROR(__xludf.DUMMYFUNCTION("""COMPUTED_VALUE"""),508.45)</f>
        <v>508.45</v>
      </c>
    </row>
    <row r="1249">
      <c r="A1249" s="2">
        <f>IFERROR(__xludf.DUMMYFUNCTION("""COMPUTED_VALUE"""),45919.66666666667)</f>
        <v>45919.66667</v>
      </c>
      <c r="B1249" s="1">
        <f>IFERROR(__xludf.DUMMYFUNCTION("""COMPUTED_VALUE"""),517.93)</f>
        <v>517.93</v>
      </c>
    </row>
    <row r="1250">
      <c r="A1250" s="2">
        <f>IFERROR(__xludf.DUMMYFUNCTION("""COMPUTED_VALUE"""),45922.66666666667)</f>
        <v>45922.66667</v>
      </c>
      <c r="B1250" s="1">
        <f>IFERROR(__xludf.DUMMYFUNCTION("""COMPUTED_VALUE"""),514.45)</f>
        <v>514.45</v>
      </c>
    </row>
    <row r="1251">
      <c r="A1251" s="2">
        <f>IFERROR(__xludf.DUMMYFUNCTION("""COMPUTED_VALUE"""),45923.66666666667)</f>
        <v>45923.66667</v>
      </c>
      <c r="B1251" s="1">
        <f>IFERROR(__xludf.DUMMYFUNCTION("""COMPUTED_VALUE"""),509.23)</f>
        <v>509.23</v>
      </c>
    </row>
    <row r="1252">
      <c r="A1252" s="2">
        <f>IFERROR(__xludf.DUMMYFUNCTION("""COMPUTED_VALUE"""),45924.66666666667)</f>
        <v>45924.66667</v>
      </c>
      <c r="B1252" s="1">
        <f>IFERROR(__xludf.DUMMYFUNCTION("""COMPUTED_VALUE"""),509.23)</f>
        <v>509.23</v>
      </c>
    </row>
    <row r="1253">
      <c r="A1253" s="2">
        <f>IFERROR(__xludf.DUMMYFUNCTION("""COMPUTED_VALUE"""),45925.66666666667)</f>
        <v>45925.66667</v>
      </c>
      <c r="B1253" s="1">
        <f>IFERROR(__xludf.DUMMYFUNCTION("""COMPUTED_VALUE"""),507.03)</f>
        <v>507.03</v>
      </c>
    </row>
    <row r="1254">
      <c r="A1254" s="2">
        <f>IFERROR(__xludf.DUMMYFUNCTION("""COMPUTED_VALUE"""),45926.66666666667)</f>
        <v>45926.66667</v>
      </c>
      <c r="B1254" s="1">
        <f>IFERROR(__xludf.DUMMYFUNCTION("""COMPUTED_VALUE"""),511.46)</f>
        <v>511.46</v>
      </c>
    </row>
    <row r="1255">
      <c r="A1255" s="2">
        <f>IFERROR(__xludf.DUMMYFUNCTION("""COMPUTED_VALUE"""),45929.66666666667)</f>
        <v>45929.66667</v>
      </c>
      <c r="B1255" s="1">
        <f>IFERROR(__xludf.DUMMYFUNCTION("""COMPUTED_VALUE"""),514.6)</f>
        <v>514.6</v>
      </c>
    </row>
    <row r="1256">
      <c r="A1256" s="2">
        <f>IFERROR(__xludf.DUMMYFUNCTION("""COMPUTED_VALUE"""),45930.66666666667)</f>
        <v>45930.66667</v>
      </c>
      <c r="B1256" s="1">
        <f>IFERROR(__xludf.DUMMYFUNCTION("""COMPUTED_VALUE"""),517.95)</f>
        <v>517.95</v>
      </c>
    </row>
    <row r="1257">
      <c r="A1257" s="2">
        <f>IFERROR(__xludf.DUMMYFUNCTION("""COMPUTED_VALUE"""),45931.66666666667)</f>
        <v>45931.66667</v>
      </c>
      <c r="B1257" s="1">
        <f>IFERROR(__xludf.DUMMYFUNCTION("""COMPUTED_VALUE"""),519.71)</f>
        <v>519.71</v>
      </c>
    </row>
    <row r="1258">
      <c r="A1258" s="2">
        <f>IFERROR(__xludf.DUMMYFUNCTION("""COMPUTED_VALUE"""),45932.66666666667)</f>
        <v>45932.66667</v>
      </c>
      <c r="B1258" s="1">
        <f>IFERROR(__xludf.DUMMYFUNCTION("""COMPUTED_VALUE"""),515.74)</f>
        <v>515.74</v>
      </c>
    </row>
    <row r="1259">
      <c r="A1259" s="2">
        <f>IFERROR(__xludf.DUMMYFUNCTION("""COMPUTED_VALUE"""),45933.66666666667)</f>
        <v>45933.66667</v>
      </c>
      <c r="B1259" s="1">
        <f>IFERROR(__xludf.DUMMYFUNCTION("""COMPUTED_VALUE"""),517.35)</f>
        <v>517.35</v>
      </c>
    </row>
    <row r="1260">
      <c r="A1260" s="2">
        <f>IFERROR(__xludf.DUMMYFUNCTION("""COMPUTED_VALUE"""),45936.66666666667)</f>
        <v>45936.66667</v>
      </c>
      <c r="B1260" s="1">
        <f>IFERROR(__xludf.DUMMYFUNCTION("""COMPUTED_VALUE"""),528.57)</f>
        <v>528.57</v>
      </c>
    </row>
    <row r="1261">
      <c r="A1261" s="2">
        <f>IFERROR(__xludf.DUMMYFUNCTION("""COMPUTED_VALUE"""),45937.66666666667)</f>
        <v>45937.66667</v>
      </c>
      <c r="B1261" s="1">
        <f>IFERROR(__xludf.DUMMYFUNCTION("""COMPUTED_VALUE"""),523.98)</f>
        <v>523.98</v>
      </c>
    </row>
    <row r="1262">
      <c r="A1262" s="2">
        <f>IFERROR(__xludf.DUMMYFUNCTION("""COMPUTED_VALUE"""),45938.66666666667)</f>
        <v>45938.66667</v>
      </c>
      <c r="B1262" s="1">
        <f>IFERROR(__xludf.DUMMYFUNCTION("""COMPUTED_VALUE"""),524.85)</f>
        <v>524.85</v>
      </c>
    </row>
    <row r="1263">
      <c r="A1263" s="2">
        <f>IFERROR(__xludf.DUMMYFUNCTION("""COMPUTED_VALUE"""),45939.66666666667)</f>
        <v>45939.66667</v>
      </c>
      <c r="B1263" s="1">
        <f>IFERROR(__xludf.DUMMYFUNCTION("""COMPUTED_VALUE"""),522.4)</f>
        <v>522.4</v>
      </c>
    </row>
    <row r="1264">
      <c r="A1264" s="2">
        <f>IFERROR(__xludf.DUMMYFUNCTION("""COMPUTED_VALUE"""),45940.66666666667)</f>
        <v>45940.66667</v>
      </c>
      <c r="B1264" s="1">
        <f>IFERROR(__xludf.DUMMYFUNCTION("""COMPUTED_VALUE"""),510.96)</f>
        <v>510.96</v>
      </c>
    </row>
    <row r="1265">
      <c r="A1265" s="2">
        <f>IFERROR(__xludf.DUMMYFUNCTION("""COMPUTED_VALUE"""),45943.66666666667)</f>
        <v>45943.66667</v>
      </c>
      <c r="B1265" s="1">
        <f>IFERROR(__xludf.DUMMYFUNCTION("""COMPUTED_VALUE"""),514.05)</f>
        <v>514.05</v>
      </c>
    </row>
    <row r="1266">
      <c r="A1266" s="2">
        <f>IFERROR(__xludf.DUMMYFUNCTION("""COMPUTED_VALUE"""),45944.66666666667)</f>
        <v>45944.66667</v>
      </c>
      <c r="B1266" s="1">
        <f>IFERROR(__xludf.DUMMYFUNCTION("""COMPUTED_VALUE"""),513.57)</f>
        <v>513.57</v>
      </c>
    </row>
    <row r="1267">
      <c r="A1267" s="2">
        <f>IFERROR(__xludf.DUMMYFUNCTION("""COMPUTED_VALUE"""),45945.66666666667)</f>
        <v>45945.66667</v>
      </c>
      <c r="B1267" s="1">
        <f>IFERROR(__xludf.DUMMYFUNCTION("""COMPUTED_VALUE"""),513.43)</f>
        <v>513.43</v>
      </c>
    </row>
    <row r="1268">
      <c r="A1268" s="2">
        <f>IFERROR(__xludf.DUMMYFUNCTION("""COMPUTED_VALUE"""),45946.66666666667)</f>
        <v>45946.66667</v>
      </c>
      <c r="B1268" s="1">
        <f>IFERROR(__xludf.DUMMYFUNCTION("""COMPUTED_VALUE"""),511.61)</f>
        <v>511.61</v>
      </c>
    </row>
    <row r="1269">
      <c r="A1269" s="2">
        <f>IFERROR(__xludf.DUMMYFUNCTION("""COMPUTED_VALUE"""),45947.66666666667)</f>
        <v>45947.66667</v>
      </c>
      <c r="B1269" s="1">
        <f>IFERROR(__xludf.DUMMYFUNCTION("""COMPUTED_VALUE"""),513.58)</f>
        <v>513.58</v>
      </c>
    </row>
    <row r="1270">
      <c r="A1270" s="2">
        <f>IFERROR(__xludf.DUMMYFUNCTION("""COMPUTED_VALUE"""),45950.66666666667)</f>
        <v>45950.66667</v>
      </c>
      <c r="B1270" s="1">
        <f>IFERROR(__xludf.DUMMYFUNCTION("""COMPUTED_VALUE"""),516.79)</f>
        <v>516.79</v>
      </c>
    </row>
    <row r="1271">
      <c r="A1271" s="2">
        <f>IFERROR(__xludf.DUMMYFUNCTION("""COMPUTED_VALUE"""),45951.66666666667)</f>
        <v>45951.66667</v>
      </c>
      <c r="B1271" s="1">
        <f>IFERROR(__xludf.DUMMYFUNCTION("""COMPUTED_VALUE"""),517.66)</f>
        <v>517.66</v>
      </c>
    </row>
    <row r="1272">
      <c r="A1272" s="2">
        <f>IFERROR(__xludf.DUMMYFUNCTION("""COMPUTED_VALUE"""),45952.66666666667)</f>
        <v>45952.66667</v>
      </c>
      <c r="B1272" s="1">
        <f>IFERROR(__xludf.DUMMYFUNCTION("""COMPUTED_VALUE"""),520.54)</f>
        <v>520.54</v>
      </c>
    </row>
    <row r="1273">
      <c r="A1273" s="2">
        <f>IFERROR(__xludf.DUMMYFUNCTION("""COMPUTED_VALUE"""),45953.66666666667)</f>
        <v>45953.66667</v>
      </c>
      <c r="B1273" s="1">
        <f>IFERROR(__xludf.DUMMYFUNCTION("""COMPUTED_VALUE"""),520.56)</f>
        <v>520.56</v>
      </c>
    </row>
    <row r="1274">
      <c r="A1274" s="2">
        <f>IFERROR(__xludf.DUMMYFUNCTION("""COMPUTED_VALUE"""),45954.66666666667)</f>
        <v>45954.66667</v>
      </c>
      <c r="B1274" s="1">
        <f>IFERROR(__xludf.DUMMYFUNCTION("""COMPUTED_VALUE"""),523.61)</f>
        <v>523.61</v>
      </c>
    </row>
    <row r="1275">
      <c r="A1275" s="2">
        <f>IFERROR(__xludf.DUMMYFUNCTION("""COMPUTED_VALUE"""),45957.66666666667)</f>
        <v>45957.66667</v>
      </c>
      <c r="B1275" s="1">
        <f>IFERROR(__xludf.DUMMYFUNCTION("""COMPUTED_VALUE"""),531.52)</f>
        <v>531.52</v>
      </c>
    </row>
    <row r="1276">
      <c r="A1276" s="2">
        <f>IFERROR(__xludf.DUMMYFUNCTION("""COMPUTED_VALUE"""),45958.66666666667)</f>
        <v>45958.66667</v>
      </c>
      <c r="B1276" s="1">
        <f>IFERROR(__xludf.DUMMYFUNCTION("""COMPUTED_VALUE"""),542.07)</f>
        <v>542.07</v>
      </c>
    </row>
    <row r="1277">
      <c r="A1277" s="2">
        <f>IFERROR(__xludf.DUMMYFUNCTION("""COMPUTED_VALUE"""),45959.66666666667)</f>
        <v>45959.66667</v>
      </c>
      <c r="B1277" s="1">
        <f>IFERROR(__xludf.DUMMYFUNCTION("""COMPUTED_VALUE"""),541.55)</f>
        <v>541.55</v>
      </c>
    </row>
    <row r="1278">
      <c r="A1278" s="2">
        <f>IFERROR(__xludf.DUMMYFUNCTION("""COMPUTED_VALUE"""),45960.66666666667)</f>
        <v>45960.66667</v>
      </c>
      <c r="B1278" s="1">
        <f>IFERROR(__xludf.DUMMYFUNCTION("""COMPUTED_VALUE"""),525.76)</f>
        <v>525.76</v>
      </c>
    </row>
    <row r="1279">
      <c r="A1279" s="2">
        <f>IFERROR(__xludf.DUMMYFUNCTION("""COMPUTED_VALUE"""),45961.66666666667)</f>
        <v>45961.66667</v>
      </c>
      <c r="B1279" s="1">
        <f>IFERROR(__xludf.DUMMYFUNCTION("""COMPUTED_VALUE"""),517.81)</f>
        <v>517.81</v>
      </c>
    </row>
    <row r="1280">
      <c r="A1280" s="2">
        <f>IFERROR(__xludf.DUMMYFUNCTION("""COMPUTED_VALUE"""),45964.66666666667)</f>
        <v>45964.66667</v>
      </c>
      <c r="B1280" s="1">
        <f>IFERROR(__xludf.DUMMYFUNCTION("""COMPUTED_VALUE"""),517.03)</f>
        <v>517.03</v>
      </c>
    </row>
    <row r="1281">
      <c r="A1281" s="2">
        <f>IFERROR(__xludf.DUMMYFUNCTION("""COMPUTED_VALUE"""),45965.66666666667)</f>
        <v>45965.66667</v>
      </c>
      <c r="B1281" s="1">
        <f>IFERROR(__xludf.DUMMYFUNCTION("""COMPUTED_VALUE"""),514.33)</f>
        <v>514.33</v>
      </c>
    </row>
    <row r="1282">
      <c r="A1282" s="2">
        <f>IFERROR(__xludf.DUMMYFUNCTION("""COMPUTED_VALUE"""),45966.66666666667)</f>
        <v>45966.66667</v>
      </c>
      <c r="B1282" s="1">
        <f>IFERROR(__xludf.DUMMYFUNCTION("""COMPUTED_VALUE"""),507.16)</f>
        <v>507.16</v>
      </c>
    </row>
    <row r="1283">
      <c r="A1283" s="2">
        <f>IFERROR(__xludf.DUMMYFUNCTION("""COMPUTED_VALUE"""),45967.66666666667)</f>
        <v>45967.66667</v>
      </c>
      <c r="B1283" s="1">
        <f>IFERROR(__xludf.DUMMYFUNCTION("""COMPUTED_VALUE"""),497.1)</f>
        <v>497.1</v>
      </c>
    </row>
    <row r="1284">
      <c r="A1284" s="2">
        <f>IFERROR(__xludf.DUMMYFUNCTION("""COMPUTED_VALUE"""),45968.66666666667)</f>
        <v>45968.66667</v>
      </c>
      <c r="B1284" s="1">
        <f>IFERROR(__xludf.DUMMYFUNCTION("""COMPUTED_VALUE"""),496.82)</f>
        <v>496.82</v>
      </c>
    </row>
    <row r="1285">
      <c r="A1285" s="2">
        <f>IFERROR(__xludf.DUMMYFUNCTION("""COMPUTED_VALUE"""),45971.66666666667)</f>
        <v>45971.66667</v>
      </c>
      <c r="B1285" s="1">
        <f>IFERROR(__xludf.DUMMYFUNCTION("""COMPUTED_VALUE"""),506.0)</f>
        <v>506</v>
      </c>
    </row>
    <row r="1286">
      <c r="A1286" s="2">
        <f>IFERROR(__xludf.DUMMYFUNCTION("""COMPUTED_VALUE"""),45972.66666666667)</f>
        <v>45972.66667</v>
      </c>
      <c r="B1286" s="1">
        <f>IFERROR(__xludf.DUMMYFUNCTION("""COMPUTED_VALUE"""),508.68)</f>
        <v>508.68</v>
      </c>
    </row>
    <row r="1287">
      <c r="A1287" s="2">
        <f>IFERROR(__xludf.DUMMYFUNCTION("""COMPUTED_VALUE"""),45973.66666666667)</f>
        <v>45973.66667</v>
      </c>
      <c r="B1287" s="1">
        <f>IFERROR(__xludf.DUMMYFUNCTION("""COMPUTED_VALUE"""),511.14)</f>
        <v>511.14</v>
      </c>
    </row>
    <row r="1288">
      <c r="A1288" s="2">
        <f>IFERROR(__xludf.DUMMYFUNCTION("""COMPUTED_VALUE"""),45974.66666666667)</f>
        <v>45974.66667</v>
      </c>
      <c r="B1288" s="1">
        <f>IFERROR(__xludf.DUMMYFUNCTION("""COMPUTED_VALUE"""),503.29)</f>
        <v>503.29</v>
      </c>
    </row>
    <row r="1289">
      <c r="A1289" s="2">
        <f>IFERROR(__xludf.DUMMYFUNCTION("""COMPUTED_VALUE"""),45975.66666666667)</f>
        <v>45975.66667</v>
      </c>
      <c r="B1289" s="1">
        <f>IFERROR(__xludf.DUMMYFUNCTION("""COMPUTED_VALUE"""),510.18)</f>
        <v>510.18</v>
      </c>
    </row>
    <row r="1290">
      <c r="A1290" s="2">
        <f>IFERROR(__xludf.DUMMYFUNCTION("""COMPUTED_VALUE"""),45978.66666666667)</f>
        <v>45978.66667</v>
      </c>
      <c r="B1290" s="1">
        <f>IFERROR(__xludf.DUMMYFUNCTION("""COMPUTED_VALUE"""),507.49)</f>
        <v>507.49</v>
      </c>
    </row>
    <row r="1291">
      <c r="A1291" s="2">
        <f>IFERROR(__xludf.DUMMYFUNCTION("""COMPUTED_VALUE"""),45979.66666666667)</f>
        <v>45979.66667</v>
      </c>
      <c r="B1291" s="1">
        <f>IFERROR(__xludf.DUMMYFUNCTION("""COMPUTED_VALUE"""),493.79)</f>
        <v>493.79</v>
      </c>
    </row>
    <row r="1292">
      <c r="A1292" s="2">
        <f>IFERROR(__xludf.DUMMYFUNCTION("""COMPUTED_VALUE"""),45980.66666666667)</f>
        <v>45980.66667</v>
      </c>
      <c r="B1292" s="1">
        <f>IFERROR(__xludf.DUMMYFUNCTION("""COMPUTED_VALUE"""),487.12)</f>
        <v>487.12</v>
      </c>
    </row>
    <row r="1293">
      <c r="A1293" s="2">
        <f>IFERROR(__xludf.DUMMYFUNCTION("""COMPUTED_VALUE"""),45981.66666666667)</f>
        <v>45981.66667</v>
      </c>
      <c r="B1293" s="1">
        <f>IFERROR(__xludf.DUMMYFUNCTION("""COMPUTED_VALUE"""),478.43)</f>
        <v>478.43</v>
      </c>
    </row>
    <row r="1294">
      <c r="A1294" s="2">
        <f>IFERROR(__xludf.DUMMYFUNCTION("""COMPUTED_VALUE"""),45982.66666666667)</f>
        <v>45982.66667</v>
      </c>
      <c r="B1294" s="1">
        <f>IFERROR(__xludf.DUMMYFUNCTION("""COMPUTED_VALUE"""),472.12)</f>
        <v>472.12</v>
      </c>
    </row>
    <row r="1295">
      <c r="A1295" s="2">
        <f>IFERROR(__xludf.DUMMYFUNCTION("""COMPUTED_VALUE"""),45985.66666666667)</f>
        <v>45985.66667</v>
      </c>
      <c r="B1295" s="1">
        <f>IFERROR(__xludf.DUMMYFUNCTION("""COMPUTED_VALUE"""),474.0)</f>
        <v>474</v>
      </c>
    </row>
    <row r="1296">
      <c r="A1296" s="2">
        <f>IFERROR(__xludf.DUMMYFUNCTION("""COMPUTED_VALUE"""),45986.66666666667)</f>
        <v>45986.66667</v>
      </c>
      <c r="B1296" s="1">
        <f>IFERROR(__xludf.DUMMYFUNCTION("""COMPUTED_VALUE"""),476.99)</f>
        <v>476.99</v>
      </c>
    </row>
    <row r="1297">
      <c r="A1297" s="2">
        <f>IFERROR(__xludf.DUMMYFUNCTION("""COMPUTED_VALUE"""),45987.66666666667)</f>
        <v>45987.66667</v>
      </c>
      <c r="B1297" s="1">
        <f>IFERROR(__xludf.DUMMYFUNCTION("""COMPUTED_VALUE"""),485.5)</f>
        <v>485.5</v>
      </c>
    </row>
    <row r="1298">
      <c r="A1298" s="2">
        <f>IFERROR(__xludf.DUMMYFUNCTION("""COMPUTED_VALUE"""),45989.54513888889)</f>
        <v>45989.54514</v>
      </c>
      <c r="B1298" s="1">
        <f>IFERROR(__xludf.DUMMYFUNCTION("""COMPUTED_VALUE"""),492.01)</f>
        <v>492.01</v>
      </c>
    </row>
    <row r="1299">
      <c r="A1299" s="2">
        <f>IFERROR(__xludf.DUMMYFUNCTION("""COMPUTED_VALUE"""),45992.66666666667)</f>
        <v>45992.66667</v>
      </c>
      <c r="B1299" s="1">
        <f>IFERROR(__xludf.DUMMYFUNCTION("""COMPUTED_VALUE"""),486.74)</f>
        <v>486.74</v>
      </c>
    </row>
    <row r="1300">
      <c r="A1300" s="2">
        <f>IFERROR(__xludf.DUMMYFUNCTION("""COMPUTED_VALUE"""),45993.66666666667)</f>
        <v>45993.66667</v>
      </c>
      <c r="B1300" s="1">
        <f>IFERROR(__xludf.DUMMYFUNCTION("""COMPUTED_VALUE"""),490.0)</f>
        <v>490</v>
      </c>
    </row>
    <row r="1301">
      <c r="A1301" s="2">
        <f>IFERROR(__xludf.DUMMYFUNCTION("""COMPUTED_VALUE"""),45994.66666666667)</f>
        <v>45994.66667</v>
      </c>
      <c r="B1301" s="1">
        <f>IFERROR(__xludf.DUMMYFUNCTION("""COMPUTED_VALUE"""),477.73)</f>
        <v>477.73</v>
      </c>
    </row>
    <row r="1302">
      <c r="A1302" s="2">
        <f>IFERROR(__xludf.DUMMYFUNCTION("""COMPUTED_VALUE"""),45995.66666666667)</f>
        <v>45995.66667</v>
      </c>
      <c r="B1302" s="1">
        <f>IFERROR(__xludf.DUMMYFUNCTION("""COMPUTED_VALUE"""),480.84)</f>
        <v>480.84</v>
      </c>
    </row>
    <row r="1303">
      <c r="A1303" s="2">
        <f>IFERROR(__xludf.DUMMYFUNCTION("""COMPUTED_VALUE"""),45996.66666666667)</f>
        <v>45996.66667</v>
      </c>
      <c r="B1303" s="1">
        <f>IFERROR(__xludf.DUMMYFUNCTION("""COMPUTED_VALUE"""),483.16)</f>
        <v>483.16</v>
      </c>
    </row>
    <row r="1304">
      <c r="A1304" s="2">
        <f>IFERROR(__xludf.DUMMYFUNCTION("""COMPUTED_VALUE"""),45999.66666666667)</f>
        <v>45999.66667</v>
      </c>
      <c r="B1304" s="1">
        <f>IFERROR(__xludf.DUMMYFUNCTION("""COMPUTED_VALUE"""),491.02)</f>
        <v>491.02</v>
      </c>
    </row>
    <row r="1305">
      <c r="A1305" s="2">
        <f>IFERROR(__xludf.DUMMYFUNCTION("""COMPUTED_VALUE"""),46000.66666666667)</f>
        <v>46000.66667</v>
      </c>
      <c r="B1305" s="1">
        <f>IFERROR(__xludf.DUMMYFUNCTION("""COMPUTED_VALUE"""),492.02)</f>
        <v>492.02</v>
      </c>
    </row>
    <row r="1306">
      <c r="A1306" s="2">
        <f>IFERROR(__xludf.DUMMYFUNCTION("""COMPUTED_VALUE"""),46001.66666666667)</f>
        <v>46001.66667</v>
      </c>
      <c r="B1306" s="1">
        <f>IFERROR(__xludf.DUMMYFUNCTION("""COMPUTED_VALUE"""),478.56)</f>
        <v>478.56</v>
      </c>
    </row>
    <row r="1307">
      <c r="A1307" s="2">
        <f>IFERROR(__xludf.DUMMYFUNCTION("""COMPUTED_VALUE"""),46002.66666666667)</f>
        <v>46002.66667</v>
      </c>
      <c r="B1307" s="1">
        <f>IFERROR(__xludf.DUMMYFUNCTION("""COMPUTED_VALUE"""),483.47)</f>
        <v>483.47</v>
      </c>
    </row>
    <row r="1308">
      <c r="A1308" s="2">
        <f>IFERROR(__xludf.DUMMYFUNCTION("""COMPUTED_VALUE"""),46003.66666666667)</f>
        <v>46003.66667</v>
      </c>
      <c r="B1308" s="1">
        <f>IFERROR(__xludf.DUMMYFUNCTION("""COMPUTED_VALUE"""),478.53)</f>
        <v>478.53</v>
      </c>
    </row>
    <row r="1309">
      <c r="A1309" s="2">
        <f>IFERROR(__xludf.DUMMYFUNCTION("""COMPUTED_VALUE"""),46006.66666666667)</f>
        <v>46006.66667</v>
      </c>
      <c r="B1309" s="1">
        <f>IFERROR(__xludf.DUMMYFUNCTION("""COMPUTED_VALUE"""),474.82)</f>
        <v>474.82</v>
      </c>
    </row>
    <row r="1310">
      <c r="A1310" s="2">
        <f>IFERROR(__xludf.DUMMYFUNCTION("""COMPUTED_VALUE"""),46007.66666666667)</f>
        <v>46007.66667</v>
      </c>
      <c r="B1310" s="1">
        <f>IFERROR(__xludf.DUMMYFUNCTION("""COMPUTED_VALUE"""),476.39)</f>
        <v>476.39</v>
      </c>
    </row>
    <row r="1311">
      <c r="A1311" s="2">
        <f>IFERROR(__xludf.DUMMYFUNCTION("""COMPUTED_VALUE"""),46008.66666666667)</f>
        <v>46008.66667</v>
      </c>
      <c r="B1311" s="1">
        <f>IFERROR(__xludf.DUMMYFUNCTION("""COMPUTED_VALUE"""),476.12)</f>
        <v>476.12</v>
      </c>
    </row>
    <row r="1312">
      <c r="A1312" s="2">
        <f>IFERROR(__xludf.DUMMYFUNCTION("""COMPUTED_VALUE"""),46009.66666666667)</f>
        <v>46009.66667</v>
      </c>
      <c r="B1312" s="1">
        <f>IFERROR(__xludf.DUMMYFUNCTION("""COMPUTED_VALUE"""),483.98)</f>
        <v>483.98</v>
      </c>
    </row>
    <row r="1313">
      <c r="A1313" s="2">
        <f>IFERROR(__xludf.DUMMYFUNCTION("""COMPUTED_VALUE"""),46010.66666666667)</f>
        <v>46010.66667</v>
      </c>
      <c r="B1313" s="1">
        <f>IFERROR(__xludf.DUMMYFUNCTION("""COMPUTED_VALUE"""),485.92)</f>
        <v>485.92</v>
      </c>
    </row>
    <row r="1314">
      <c r="A1314" s="2">
        <f>IFERROR(__xludf.DUMMYFUNCTION("""COMPUTED_VALUE"""),46013.66666666667)</f>
        <v>46013.66667</v>
      </c>
      <c r="B1314" s="1">
        <f>IFERROR(__xludf.DUMMYFUNCTION("""COMPUTED_VALUE"""),484.92)</f>
        <v>484.92</v>
      </c>
    </row>
    <row r="1315">
      <c r="A1315" s="2">
        <f>IFERROR(__xludf.DUMMYFUNCTION("""COMPUTED_VALUE"""),46014.66666666667)</f>
        <v>46014.66667</v>
      </c>
      <c r="B1315" s="1">
        <f>IFERROR(__xludf.DUMMYFUNCTION("""COMPUTED_VALUE"""),486.85)</f>
        <v>486.85</v>
      </c>
    </row>
    <row r="1316">
      <c r="A1316" s="2">
        <f>IFERROR(__xludf.DUMMYFUNCTION("""COMPUTED_VALUE"""),46015.54513888889)</f>
        <v>46015.54514</v>
      </c>
      <c r="B1316" s="1">
        <f>IFERROR(__xludf.DUMMYFUNCTION("""COMPUTED_VALUE"""),488.02)</f>
        <v>488.02</v>
      </c>
    </row>
    <row r="1317">
      <c r="A1317" s="2">
        <f>IFERROR(__xludf.DUMMYFUNCTION("""COMPUTED_VALUE"""),46017.66666666667)</f>
        <v>46017.66667</v>
      </c>
      <c r="B1317" s="1">
        <f>IFERROR(__xludf.DUMMYFUNCTION("""COMPUTED_VALUE"""),487.71)</f>
        <v>487.71</v>
      </c>
    </row>
    <row r="1318">
      <c r="A1318" s="2">
        <f>IFERROR(__xludf.DUMMYFUNCTION("""COMPUTED_VALUE"""),46020.66666666667)</f>
        <v>46020.66667</v>
      </c>
      <c r="B1318" s="1">
        <f>IFERROR(__xludf.DUMMYFUNCTION("""COMPUTED_VALUE"""),487.1)</f>
        <v>487.1</v>
      </c>
    </row>
    <row r="1319">
      <c r="A1319" s="2">
        <f>IFERROR(__xludf.DUMMYFUNCTION("""COMPUTED_VALUE"""),46021.66666666667)</f>
        <v>46021.66667</v>
      </c>
      <c r="B1319" s="1">
        <f>IFERROR(__xludf.DUMMYFUNCTION("""COMPUTED_VALUE"""),487.48)</f>
        <v>487.48</v>
      </c>
    </row>
    <row r="1320">
      <c r="A1320" s="2">
        <f>IFERROR(__xludf.DUMMYFUNCTION("""COMPUTED_VALUE"""),46022.66666666667)</f>
        <v>46022.66667</v>
      </c>
      <c r="B1320" s="1">
        <f>IFERROR(__xludf.DUMMYFUNCTION("""COMPUTED_VALUE"""),483.62)</f>
        <v>483.62</v>
      </c>
    </row>
    <row r="1321">
      <c r="A1321" s="2">
        <f>IFERROR(__xludf.DUMMYFUNCTION("""COMPUTED_VALUE"""),46024.66666666667)</f>
        <v>46024.66667</v>
      </c>
      <c r="B1321" s="1">
        <f>IFERROR(__xludf.DUMMYFUNCTION("""COMPUTED_VALUE"""),472.94)</f>
        <v>472.94</v>
      </c>
    </row>
    <row r="1322">
      <c r="A1322" s="2">
        <f>IFERROR(__xludf.DUMMYFUNCTION("""COMPUTED_VALUE"""),46027.66666666667)</f>
        <v>46027.66667</v>
      </c>
      <c r="B1322" s="1">
        <f>IFERROR(__xludf.DUMMYFUNCTION("""COMPUTED_VALUE"""),472.85)</f>
        <v>472.85</v>
      </c>
    </row>
    <row r="1323">
      <c r="A1323" s="2">
        <f>IFERROR(__xludf.DUMMYFUNCTION("""COMPUTED_VALUE"""),46028.66666666667)</f>
        <v>46028.66667</v>
      </c>
      <c r="B1323" s="1">
        <f>IFERROR(__xludf.DUMMYFUNCTION("""COMPUTED_VALUE"""),478.51)</f>
        <v>478.51</v>
      </c>
    </row>
    <row r="1324">
      <c r="A1324" s="2">
        <f>IFERROR(__xludf.DUMMYFUNCTION("""COMPUTED_VALUE"""),46029.66666666667)</f>
        <v>46029.66667</v>
      </c>
      <c r="B1324" s="1">
        <f>IFERROR(__xludf.DUMMYFUNCTION("""COMPUTED_VALUE"""),483.47)</f>
        <v>483.47</v>
      </c>
    </row>
    <row r="1325">
      <c r="A1325" s="2">
        <f>IFERROR(__xludf.DUMMYFUNCTION("""COMPUTED_VALUE"""),46030.66666666667)</f>
        <v>46030.66667</v>
      </c>
      <c r="B1325" s="1">
        <f>IFERROR(__xludf.DUMMYFUNCTION("""COMPUTED_VALUE"""),478.11)</f>
        <v>478.11</v>
      </c>
    </row>
    <row r="1326">
      <c r="A1326" s="2">
        <f>IFERROR(__xludf.DUMMYFUNCTION("""COMPUTED_VALUE"""),46031.66666666667)</f>
        <v>46031.66667</v>
      </c>
      <c r="B1326" s="1">
        <f>IFERROR(__xludf.DUMMYFUNCTION("""COMPUTED_VALUE"""),479.28)</f>
        <v>479.28</v>
      </c>
    </row>
    <row r="1327">
      <c r="A1327" s="2">
        <f>IFERROR(__xludf.DUMMYFUNCTION("""COMPUTED_VALUE"""),46034.66666666667)</f>
        <v>46034.66667</v>
      </c>
      <c r="B1327" s="1">
        <f>IFERROR(__xludf.DUMMYFUNCTION("""COMPUTED_VALUE"""),477.18)</f>
        <v>477.18</v>
      </c>
    </row>
    <row r="1328">
      <c r="A1328" s="2">
        <f>IFERROR(__xludf.DUMMYFUNCTION("""COMPUTED_VALUE"""),46035.66666666667)</f>
        <v>46035.66667</v>
      </c>
      <c r="B1328" s="1">
        <f>IFERROR(__xludf.DUMMYFUNCTION("""COMPUTED_VALUE"""),470.67)</f>
        <v>470.67</v>
      </c>
    </row>
    <row r="1329">
      <c r="A1329" s="2">
        <f>IFERROR(__xludf.DUMMYFUNCTION("""COMPUTED_VALUE"""),46036.66666666667)</f>
        <v>46036.66667</v>
      </c>
      <c r="B1329" s="1">
        <f>IFERROR(__xludf.DUMMYFUNCTION("""COMPUTED_VALUE"""),459.38)</f>
        <v>459.38</v>
      </c>
    </row>
    <row r="1330">
      <c r="A1330" s="2">
        <f>IFERROR(__xludf.DUMMYFUNCTION("""COMPUTED_VALUE"""),46037.66666666667)</f>
        <v>46037.66667</v>
      </c>
      <c r="B1330" s="1">
        <f>IFERROR(__xludf.DUMMYFUNCTION("""COMPUTED_VALUE"""),456.66)</f>
        <v>456.66</v>
      </c>
    </row>
    <row r="1331">
      <c r="A1331" s="2">
        <f>IFERROR(__xludf.DUMMYFUNCTION("""COMPUTED_VALUE"""),46038.66666666667)</f>
        <v>46038.66667</v>
      </c>
      <c r="B1331" s="1">
        <f>IFERROR(__xludf.DUMMYFUNCTION("""COMPUTED_VALUE"""),459.86)</f>
        <v>459.86</v>
      </c>
    </row>
    <row r="1332">
      <c r="A1332" s="2">
        <f>IFERROR(__xludf.DUMMYFUNCTION("""COMPUTED_VALUE"""),46042.66666666667)</f>
        <v>46042.66667</v>
      </c>
      <c r="B1332" s="1">
        <f>IFERROR(__xludf.DUMMYFUNCTION("""COMPUTED_VALUE"""),454.52)</f>
        <v>454.52</v>
      </c>
    </row>
    <row r="1333">
      <c r="A1333" s="2">
        <f>IFERROR(__xludf.DUMMYFUNCTION("""COMPUTED_VALUE"""),46043.66666666667)</f>
        <v>46043.66667</v>
      </c>
      <c r="B1333" s="1">
        <f>IFERROR(__xludf.DUMMYFUNCTION("""COMPUTED_VALUE"""),444.11)</f>
        <v>444.11</v>
      </c>
    </row>
    <row r="1334">
      <c r="A1334" s="2">
        <f>IFERROR(__xludf.DUMMYFUNCTION("""COMPUTED_VALUE"""),46044.66666666667)</f>
        <v>46044.66667</v>
      </c>
      <c r="B1334" s="1">
        <f>IFERROR(__xludf.DUMMYFUNCTION("""COMPUTED_VALUE"""),451.14)</f>
        <v>451.14</v>
      </c>
    </row>
    <row r="1335">
      <c r="A1335" s="2">
        <f>IFERROR(__xludf.DUMMYFUNCTION("""COMPUTED_VALUE"""),46045.66666666667)</f>
        <v>46045.66667</v>
      </c>
      <c r="B1335" s="1">
        <f>IFERROR(__xludf.DUMMYFUNCTION("""COMPUTED_VALUE"""),465.95)</f>
        <v>465.95</v>
      </c>
    </row>
    <row r="1336">
      <c r="A1336" s="2">
        <f>IFERROR(__xludf.DUMMYFUNCTION("""COMPUTED_VALUE"""),46048.66666666667)</f>
        <v>46048.66667</v>
      </c>
      <c r="B1336" s="1">
        <f>IFERROR(__xludf.DUMMYFUNCTION("""COMPUTED_VALUE"""),470.28)</f>
        <v>470.28</v>
      </c>
    </row>
    <row r="1337">
      <c r="A1337" s="2">
        <f>IFERROR(__xludf.DUMMYFUNCTION("""COMPUTED_VALUE"""),46049.66666666667)</f>
        <v>46049.66667</v>
      </c>
      <c r="B1337" s="1">
        <f>IFERROR(__xludf.DUMMYFUNCTION("""COMPUTED_VALUE"""),480.58)</f>
        <v>480.58</v>
      </c>
    </row>
    <row r="1338">
      <c r="A1338" s="2">
        <f>IFERROR(__xludf.DUMMYFUNCTION("""COMPUTED_VALUE"""),46050.66666666667)</f>
        <v>46050.66667</v>
      </c>
      <c r="B1338" s="1">
        <f>IFERROR(__xludf.DUMMYFUNCTION("""COMPUTED_VALUE"""),481.63)</f>
        <v>481.63</v>
      </c>
    </row>
    <row r="1339">
      <c r="A1339" s="2">
        <f>IFERROR(__xludf.DUMMYFUNCTION("""COMPUTED_VALUE"""),46051.66666666667)</f>
        <v>46051.66667</v>
      </c>
      <c r="B1339" s="1">
        <f>IFERROR(__xludf.DUMMYFUNCTION("""COMPUTED_VALUE"""),433.5)</f>
        <v>433.5</v>
      </c>
    </row>
    <row r="1340">
      <c r="A1340" s="2">
        <f>IFERROR(__xludf.DUMMYFUNCTION("""COMPUTED_VALUE"""),46052.66666666667)</f>
        <v>46052.66667</v>
      </c>
      <c r="B1340" s="1">
        <f>IFERROR(__xludf.DUMMYFUNCTION("""COMPUTED_VALUE"""),430.29)</f>
        <v>430.29</v>
      </c>
    </row>
    <row r="1341">
      <c r="A1341" s="2">
        <f>IFERROR(__xludf.DUMMYFUNCTION("""COMPUTED_VALUE"""),46055.66666666667)</f>
        <v>46055.66667</v>
      </c>
      <c r="B1341" s="1">
        <f>IFERROR(__xludf.DUMMYFUNCTION("""COMPUTED_VALUE"""),423.37)</f>
        <v>423.37</v>
      </c>
    </row>
    <row r="1342">
      <c r="A1342" s="2">
        <f>IFERROR(__xludf.DUMMYFUNCTION("""COMPUTED_VALUE"""),46056.66666666667)</f>
        <v>46056.66667</v>
      </c>
      <c r="B1342" s="1">
        <f>IFERROR(__xludf.DUMMYFUNCTION("""COMPUTED_VALUE"""),411.21)</f>
        <v>411.21</v>
      </c>
    </row>
    <row r="1343">
      <c r="A1343" s="2">
        <f>IFERROR(__xludf.DUMMYFUNCTION("""COMPUTED_VALUE"""),46057.66666666667)</f>
        <v>46057.66667</v>
      </c>
      <c r="B1343" s="1">
        <f>IFERROR(__xludf.DUMMYFUNCTION("""COMPUTED_VALUE"""),414.19)</f>
        <v>414.19</v>
      </c>
    </row>
    <row r="1344">
      <c r="A1344" s="2">
        <f>IFERROR(__xludf.DUMMYFUNCTION("""COMPUTED_VALUE"""),46058.66666666667)</f>
        <v>46058.66667</v>
      </c>
      <c r="B1344" s="1">
        <f>IFERROR(__xludf.DUMMYFUNCTION("""COMPUTED_VALUE"""),393.67)</f>
        <v>393.67</v>
      </c>
    </row>
    <row r="1345">
      <c r="A1345" s="2">
        <f>IFERROR(__xludf.DUMMYFUNCTION("""COMPUTED_VALUE"""),46059.66666666667)</f>
        <v>46059.66667</v>
      </c>
      <c r="B1345" s="1">
        <f>IFERROR(__xludf.DUMMYFUNCTION("""COMPUTED_VALUE"""),401.14)</f>
        <v>401.14</v>
      </c>
    </row>
    <row r="1346">
      <c r="A1346" s="2">
        <f>IFERROR(__xludf.DUMMYFUNCTION("""COMPUTED_VALUE"""),46062.66666666667)</f>
        <v>46062.66667</v>
      </c>
      <c r="B1346" s="1">
        <f>IFERROR(__xludf.DUMMYFUNCTION("""COMPUTED_VALUE"""),413.6)</f>
        <v>413.6</v>
      </c>
    </row>
    <row r="1347">
      <c r="A1347" s="2">
        <f>IFERROR(__xludf.DUMMYFUNCTION("""COMPUTED_VALUE"""),46063.66666666667)</f>
        <v>46063.66667</v>
      </c>
      <c r="B1347" s="1">
        <f>IFERROR(__xludf.DUMMYFUNCTION("""COMPUTED_VALUE"""),413.27)</f>
        <v>413.27</v>
      </c>
    </row>
    <row r="1348">
      <c r="A1348" s="2">
        <f>IFERROR(__xludf.DUMMYFUNCTION("""COMPUTED_VALUE"""),46064.66666666667)</f>
        <v>46064.66667</v>
      </c>
      <c r="B1348" s="1">
        <f>IFERROR(__xludf.DUMMYFUNCTION("""COMPUTED_VALUE"""),404.37)</f>
        <v>404.37</v>
      </c>
    </row>
    <row r="1349">
      <c r="A1349" s="2">
        <f>IFERROR(__xludf.DUMMYFUNCTION("""COMPUTED_VALUE"""),46065.66666666667)</f>
        <v>46065.66667</v>
      </c>
      <c r="B1349" s="1">
        <f>IFERROR(__xludf.DUMMYFUNCTION("""COMPUTED_VALUE"""),401.84)</f>
        <v>401.84</v>
      </c>
    </row>
    <row r="1350">
      <c r="A1350" s="2">
        <f>IFERROR(__xludf.DUMMYFUNCTION("""COMPUTED_VALUE"""),46066.66666666667)</f>
        <v>46066.66667</v>
      </c>
      <c r="B1350" s="1">
        <f>IFERROR(__xludf.DUMMYFUNCTION("""COMPUTED_VALUE"""),401.32)</f>
        <v>401.32</v>
      </c>
    </row>
    <row r="1351">
      <c r="A1351" s="2">
        <f>IFERROR(__xludf.DUMMYFUNCTION("""COMPUTED_VALUE"""),46070.66666666667)</f>
        <v>46070.66667</v>
      </c>
      <c r="B1351" s="1">
        <f>IFERROR(__xludf.DUMMYFUNCTION("""COMPUTED_VALUE"""),396.86)</f>
        <v>396.86</v>
      </c>
    </row>
    <row r="1352">
      <c r="A1352" s="2">
        <f>IFERROR(__xludf.DUMMYFUNCTION("""COMPUTED_VALUE"""),46071.66666666667)</f>
        <v>46071.66667</v>
      </c>
      <c r="B1352" s="1">
        <f>IFERROR(__xludf.DUMMYFUNCTION("""COMPUTED_VALUE"""),399.6)</f>
        <v>399.6</v>
      </c>
    </row>
    <row r="1353">
      <c r="A1353" s="2">
        <f>IFERROR(__xludf.DUMMYFUNCTION("""COMPUTED_VALUE"""),46072.66666666667)</f>
        <v>46072.66667</v>
      </c>
      <c r="B1353" s="1">
        <f>IFERROR(__xludf.DUMMYFUNCTION("""COMPUTED_VALUE"""),398.46)</f>
        <v>398.46</v>
      </c>
    </row>
    <row r="1354">
      <c r="A1354" s="2">
        <f>IFERROR(__xludf.DUMMYFUNCTION("""COMPUTED_VALUE"""),46073.66666666667)</f>
        <v>46073.66667</v>
      </c>
      <c r="B1354" s="1">
        <f>IFERROR(__xludf.DUMMYFUNCTION("""COMPUTED_VALUE"""),397.23)</f>
        <v>397.23</v>
      </c>
    </row>
    <row r="1355">
      <c r="A1355" s="2">
        <f>IFERROR(__xludf.DUMMYFUNCTION("""COMPUTED_VALUE"""),46076.66666666667)</f>
        <v>46076.66667</v>
      </c>
      <c r="B1355" s="1">
        <f>IFERROR(__xludf.DUMMYFUNCTION("""COMPUTED_VALUE"""),384.47)</f>
        <v>384.47</v>
      </c>
    </row>
    <row r="1356">
      <c r="A1356" s="2">
        <f>IFERROR(__xludf.DUMMYFUNCTION("""COMPUTED_VALUE"""),46077.66666666667)</f>
        <v>46077.66667</v>
      </c>
      <c r="B1356" s="1">
        <f>IFERROR(__xludf.DUMMYFUNCTION("""COMPUTED_VALUE"""),389.0)</f>
        <v>389</v>
      </c>
    </row>
    <row r="1357">
      <c r="A1357" s="2">
        <f>IFERROR(__xludf.DUMMYFUNCTION("""COMPUTED_VALUE"""),46078.66666666667)</f>
        <v>46078.66667</v>
      </c>
      <c r="B1357" s="1">
        <f>IFERROR(__xludf.DUMMYFUNCTION("""COMPUTED_VALUE"""),400.6)</f>
        <v>400.6</v>
      </c>
    </row>
    <row r="1358">
      <c r="A1358" s="2">
        <f>IFERROR(__xludf.DUMMYFUNCTION("""COMPUTED_VALUE"""),46079.66666666667)</f>
        <v>46079.66667</v>
      </c>
      <c r="B1358" s="1">
        <f>IFERROR(__xludf.DUMMYFUNCTION("""COMPUTED_VALUE"""),401.72)</f>
        <v>401.72</v>
      </c>
    </row>
    <row r="1359">
      <c r="A1359" s="2">
        <f>IFERROR(__xludf.DUMMYFUNCTION("""COMPUTED_VALUE"""),46080.66666666667)</f>
        <v>46080.66667</v>
      </c>
      <c r="B1359" s="1">
        <f>IFERROR(__xludf.DUMMYFUNCTION("""COMPUTED_VALUE"""),392.74)</f>
        <v>392.74</v>
      </c>
    </row>
    <row r="1360">
      <c r="A1360" s="2">
        <f>IFERROR(__xludf.DUMMYFUNCTION("""COMPUTED_VALUE"""),46083.66666666667)</f>
        <v>46083.66667</v>
      </c>
      <c r="B1360" s="1">
        <f>IFERROR(__xludf.DUMMYFUNCTION("""COMPUTED_VALUE"""),398.55)</f>
        <v>398.55</v>
      </c>
    </row>
    <row r="1361">
      <c r="A1361" s="2">
        <f>IFERROR(__xludf.DUMMYFUNCTION("""COMPUTED_VALUE"""),46084.66666666667)</f>
        <v>46084.66667</v>
      </c>
      <c r="B1361" s="1">
        <f>IFERROR(__xludf.DUMMYFUNCTION("""COMPUTED_VALUE"""),403.93)</f>
        <v>403.93</v>
      </c>
    </row>
    <row r="1362">
      <c r="A1362" s="2">
        <f>IFERROR(__xludf.DUMMYFUNCTION("""COMPUTED_VALUE"""),46085.66666666667)</f>
        <v>46085.66667</v>
      </c>
      <c r="B1362" s="1">
        <f>IFERROR(__xludf.DUMMYFUNCTION("""COMPUTED_VALUE"""),405.2)</f>
        <v>405.2</v>
      </c>
    </row>
    <row r="1363">
      <c r="A1363" s="2">
        <f>IFERROR(__xludf.DUMMYFUNCTION("""COMPUTED_VALUE"""),46086.66666666667)</f>
        <v>46086.66667</v>
      </c>
      <c r="B1363" s="1">
        <f>IFERROR(__xludf.DUMMYFUNCTION("""COMPUTED_VALUE"""),410.68)</f>
        <v>410.68</v>
      </c>
    </row>
    <row r="1364">
      <c r="A1364" s="2">
        <f>IFERROR(__xludf.DUMMYFUNCTION("""COMPUTED_VALUE"""),46087.66666666667)</f>
        <v>46087.66667</v>
      </c>
      <c r="B1364" s="1">
        <f>IFERROR(__xludf.DUMMYFUNCTION("""COMPUTED_VALUE"""),408.96)</f>
        <v>408.96</v>
      </c>
    </row>
    <row r="1365">
      <c r="A1365" s="2">
        <f>IFERROR(__xludf.DUMMYFUNCTION("""COMPUTED_VALUE"""),46090.66666666667)</f>
        <v>46090.66667</v>
      </c>
      <c r="B1365" s="1">
        <f>IFERROR(__xludf.DUMMYFUNCTION("""COMPUTED_VALUE"""),409.41)</f>
        <v>409.41</v>
      </c>
    </row>
    <row r="1366">
      <c r="A1366" s="2">
        <f>IFERROR(__xludf.DUMMYFUNCTION("""COMPUTED_VALUE"""),46091.66666666667)</f>
        <v>46091.66667</v>
      </c>
      <c r="B1366" s="1">
        <f>IFERROR(__xludf.DUMMYFUNCTION("""COMPUTED_VALUE"""),405.76)</f>
        <v>405.76</v>
      </c>
    </row>
    <row r="1367">
      <c r="A1367" s="2">
        <f>IFERROR(__xludf.DUMMYFUNCTION("""COMPUTED_VALUE"""),46092.66666666667)</f>
        <v>46092.66667</v>
      </c>
      <c r="B1367" s="1">
        <f>IFERROR(__xludf.DUMMYFUNCTION("""COMPUTED_VALUE"""),404.88)</f>
        <v>404.88</v>
      </c>
    </row>
    <row r="1368">
      <c r="A1368" s="2">
        <f>IFERROR(__xludf.DUMMYFUNCTION("""COMPUTED_VALUE"""),46093.66666666667)</f>
        <v>46093.66667</v>
      </c>
      <c r="B1368" s="1">
        <f>IFERROR(__xludf.DUMMYFUNCTION("""COMPUTED_VALUE"""),401.86)</f>
        <v>401.86</v>
      </c>
    </row>
    <row r="1369">
      <c r="A1369" s="2">
        <f>IFERROR(__xludf.DUMMYFUNCTION("""COMPUTED_VALUE"""),46094.66666666667)</f>
        <v>46094.66667</v>
      </c>
      <c r="B1369" s="1">
        <f>IFERROR(__xludf.DUMMYFUNCTION("""COMPUTED_VALUE"""),395.55)</f>
        <v>395.55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IFERROR(__xludf.DUMMYFUNCTION("GOOGLEFINANCE(""NIO"",""close"",DATE(2020,10,1),TODAY(),""daily"")"),"Date")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IFERROR(__xludf.DUMMYFUNCTION("""COMPUTED_VALUE"""),44105.66666666667)</f>
        <v>44105.66667</v>
      </c>
      <c r="B2" s="1">
        <f>IFERROR(__xludf.DUMMYFUNCTION("""COMPUTED_VALUE"""),21.76)</f>
        <v>21.76</v>
      </c>
    </row>
    <row r="3">
      <c r="A3" s="2">
        <f>IFERROR(__xludf.DUMMYFUNCTION("""COMPUTED_VALUE"""),44106.66666666667)</f>
        <v>44106.66667</v>
      </c>
      <c r="B3" s="1">
        <f>IFERROR(__xludf.DUMMYFUNCTION("""COMPUTED_VALUE"""),21.18)</f>
        <v>21.18</v>
      </c>
    </row>
    <row r="4">
      <c r="A4" s="2">
        <f>IFERROR(__xludf.DUMMYFUNCTION("""COMPUTED_VALUE"""),44109.66666666667)</f>
        <v>44109.66667</v>
      </c>
      <c r="B4" s="1">
        <f>IFERROR(__xludf.DUMMYFUNCTION("""COMPUTED_VALUE"""),21.59)</f>
        <v>21.59</v>
      </c>
    </row>
    <row r="5">
      <c r="A5" s="2">
        <f>IFERROR(__xludf.DUMMYFUNCTION("""COMPUTED_VALUE"""),44110.66666666667)</f>
        <v>44110.66667</v>
      </c>
      <c r="B5" s="1">
        <f>IFERROR(__xludf.DUMMYFUNCTION("""COMPUTED_VALUE"""),20.67)</f>
        <v>20.67</v>
      </c>
    </row>
    <row r="6">
      <c r="A6" s="2">
        <f>IFERROR(__xludf.DUMMYFUNCTION("""COMPUTED_VALUE"""),44111.66666666667)</f>
        <v>44111.66667</v>
      </c>
      <c r="B6" s="1">
        <f>IFERROR(__xludf.DUMMYFUNCTION("""COMPUTED_VALUE"""),21.56)</f>
        <v>21.56</v>
      </c>
    </row>
    <row r="7">
      <c r="A7" s="2">
        <f>IFERROR(__xludf.DUMMYFUNCTION("""COMPUTED_VALUE"""),44112.66666666667)</f>
        <v>44112.66667</v>
      </c>
      <c r="B7" s="1">
        <f>IFERROR(__xludf.DUMMYFUNCTION("""COMPUTED_VALUE"""),21.44)</f>
        <v>21.44</v>
      </c>
    </row>
    <row r="8">
      <c r="A8" s="2">
        <f>IFERROR(__xludf.DUMMYFUNCTION("""COMPUTED_VALUE"""),44113.66666666667)</f>
        <v>44113.66667</v>
      </c>
      <c r="B8" s="1">
        <f>IFERROR(__xludf.DUMMYFUNCTION("""COMPUTED_VALUE"""),21.47)</f>
        <v>21.47</v>
      </c>
    </row>
    <row r="9">
      <c r="A9" s="2">
        <f>IFERROR(__xludf.DUMMYFUNCTION("""COMPUTED_VALUE"""),44116.66666666667)</f>
        <v>44116.66667</v>
      </c>
      <c r="B9" s="1">
        <f>IFERROR(__xludf.DUMMYFUNCTION("""COMPUTED_VALUE"""),21.85)</f>
        <v>21.85</v>
      </c>
    </row>
    <row r="10">
      <c r="A10" s="2">
        <f>IFERROR(__xludf.DUMMYFUNCTION("""COMPUTED_VALUE"""),44117.66666666667)</f>
        <v>44117.66667</v>
      </c>
      <c r="B10" s="1">
        <f>IFERROR(__xludf.DUMMYFUNCTION("""COMPUTED_VALUE"""),21.62)</f>
        <v>21.62</v>
      </c>
    </row>
    <row r="11">
      <c r="A11" s="2">
        <f>IFERROR(__xludf.DUMMYFUNCTION("""COMPUTED_VALUE"""),44118.66666666667)</f>
        <v>44118.66667</v>
      </c>
      <c r="B11" s="1">
        <f>IFERROR(__xludf.DUMMYFUNCTION("""COMPUTED_VALUE"""),26.5)</f>
        <v>26.5</v>
      </c>
    </row>
    <row r="12">
      <c r="A12" s="2">
        <f>IFERROR(__xludf.DUMMYFUNCTION("""COMPUTED_VALUE"""),44119.66666666667)</f>
        <v>44119.66667</v>
      </c>
      <c r="B12" s="1">
        <f>IFERROR(__xludf.DUMMYFUNCTION("""COMPUTED_VALUE"""),28.07)</f>
        <v>28.07</v>
      </c>
    </row>
    <row r="13">
      <c r="A13" s="2">
        <f>IFERROR(__xludf.DUMMYFUNCTION("""COMPUTED_VALUE"""),44120.66666666667)</f>
        <v>44120.66667</v>
      </c>
      <c r="B13" s="1">
        <f>IFERROR(__xludf.DUMMYFUNCTION("""COMPUTED_VALUE"""),28.48)</f>
        <v>28.48</v>
      </c>
    </row>
    <row r="14">
      <c r="A14" s="2">
        <f>IFERROR(__xludf.DUMMYFUNCTION("""COMPUTED_VALUE"""),44123.66666666667)</f>
        <v>44123.66667</v>
      </c>
      <c r="B14" s="1">
        <f>IFERROR(__xludf.DUMMYFUNCTION("""COMPUTED_VALUE"""),27.63)</f>
        <v>27.63</v>
      </c>
    </row>
    <row r="15">
      <c r="A15" s="2">
        <f>IFERROR(__xludf.DUMMYFUNCTION("""COMPUTED_VALUE"""),44124.66666666667)</f>
        <v>44124.66667</v>
      </c>
      <c r="B15" s="1">
        <f>IFERROR(__xludf.DUMMYFUNCTION("""COMPUTED_VALUE"""),27.96)</f>
        <v>27.96</v>
      </c>
    </row>
    <row r="16">
      <c r="A16" s="2">
        <f>IFERROR(__xludf.DUMMYFUNCTION("""COMPUTED_VALUE"""),44125.66666666667)</f>
        <v>44125.66667</v>
      </c>
      <c r="B16" s="1">
        <f>IFERROR(__xludf.DUMMYFUNCTION("""COMPUTED_VALUE"""),27.86)</f>
        <v>27.86</v>
      </c>
    </row>
    <row r="17">
      <c r="A17" s="2">
        <f>IFERROR(__xludf.DUMMYFUNCTION("""COMPUTED_VALUE"""),44126.66666666667)</f>
        <v>44126.66667</v>
      </c>
      <c r="B17" s="1">
        <f>IFERROR(__xludf.DUMMYFUNCTION("""COMPUTED_VALUE"""),27.38)</f>
        <v>27.38</v>
      </c>
    </row>
    <row r="18">
      <c r="A18" s="2">
        <f>IFERROR(__xludf.DUMMYFUNCTION("""COMPUTED_VALUE"""),44127.66666666667)</f>
        <v>44127.66667</v>
      </c>
      <c r="B18" s="1">
        <f>IFERROR(__xludf.DUMMYFUNCTION("""COMPUTED_VALUE"""),27.16)</f>
        <v>27.16</v>
      </c>
    </row>
    <row r="19">
      <c r="A19" s="2">
        <f>IFERROR(__xludf.DUMMYFUNCTION("""COMPUTED_VALUE"""),44130.66666666667)</f>
        <v>44130.66667</v>
      </c>
      <c r="B19" s="1">
        <f>IFERROR(__xludf.DUMMYFUNCTION("""COMPUTED_VALUE"""),26.01)</f>
        <v>26.01</v>
      </c>
    </row>
    <row r="20">
      <c r="A20" s="2">
        <f>IFERROR(__xludf.DUMMYFUNCTION("""COMPUTED_VALUE"""),44131.66666666667)</f>
        <v>44131.66667</v>
      </c>
      <c r="B20" s="1">
        <f>IFERROR(__xludf.DUMMYFUNCTION("""COMPUTED_VALUE"""),28.44)</f>
        <v>28.44</v>
      </c>
    </row>
    <row r="21">
      <c r="A21" s="2">
        <f>IFERROR(__xludf.DUMMYFUNCTION("""COMPUTED_VALUE"""),44132.66666666667)</f>
        <v>44132.66667</v>
      </c>
      <c r="B21" s="1">
        <f>IFERROR(__xludf.DUMMYFUNCTION("""COMPUTED_VALUE"""),27.51)</f>
        <v>27.51</v>
      </c>
    </row>
    <row r="22">
      <c r="A22" s="2">
        <f>IFERROR(__xludf.DUMMYFUNCTION("""COMPUTED_VALUE"""),44133.66666666667)</f>
        <v>44133.66667</v>
      </c>
      <c r="B22" s="1">
        <f>IFERROR(__xludf.DUMMYFUNCTION("""COMPUTED_VALUE"""),31.99)</f>
        <v>31.99</v>
      </c>
    </row>
    <row r="23">
      <c r="A23" s="2">
        <f>IFERROR(__xludf.DUMMYFUNCTION("""COMPUTED_VALUE"""),44134.66666666667)</f>
        <v>44134.66667</v>
      </c>
      <c r="B23" s="1">
        <f>IFERROR(__xludf.DUMMYFUNCTION("""COMPUTED_VALUE"""),30.58)</f>
        <v>30.58</v>
      </c>
    </row>
    <row r="24">
      <c r="A24" s="2">
        <f>IFERROR(__xludf.DUMMYFUNCTION("""COMPUTED_VALUE"""),44137.66666666667)</f>
        <v>44137.66667</v>
      </c>
      <c r="B24" s="1">
        <f>IFERROR(__xludf.DUMMYFUNCTION("""COMPUTED_VALUE"""),33.32)</f>
        <v>33.32</v>
      </c>
    </row>
    <row r="25">
      <c r="A25" s="2">
        <f>IFERROR(__xludf.DUMMYFUNCTION("""COMPUTED_VALUE"""),44138.66666666667)</f>
        <v>44138.66667</v>
      </c>
      <c r="B25" s="1">
        <f>IFERROR(__xludf.DUMMYFUNCTION("""COMPUTED_VALUE"""),35.5)</f>
        <v>35.5</v>
      </c>
    </row>
    <row r="26">
      <c r="A26" s="2">
        <f>IFERROR(__xludf.DUMMYFUNCTION("""COMPUTED_VALUE"""),44139.66666666667)</f>
        <v>44139.66667</v>
      </c>
      <c r="B26" s="1">
        <f>IFERROR(__xludf.DUMMYFUNCTION("""COMPUTED_VALUE"""),37.71)</f>
        <v>37.71</v>
      </c>
    </row>
    <row r="27">
      <c r="A27" s="2">
        <f>IFERROR(__xludf.DUMMYFUNCTION("""COMPUTED_VALUE"""),44140.66666666667)</f>
        <v>44140.66667</v>
      </c>
      <c r="B27" s="1">
        <f>IFERROR(__xludf.DUMMYFUNCTION("""COMPUTED_VALUE"""),42.35)</f>
        <v>42.35</v>
      </c>
    </row>
    <row r="28">
      <c r="A28" s="2">
        <f>IFERROR(__xludf.DUMMYFUNCTION("""COMPUTED_VALUE"""),44141.66666666667)</f>
        <v>44141.66667</v>
      </c>
      <c r="B28" s="1">
        <f>IFERROR(__xludf.DUMMYFUNCTION("""COMPUTED_VALUE"""),41.63)</f>
        <v>41.63</v>
      </c>
    </row>
    <row r="29">
      <c r="A29" s="2">
        <f>IFERROR(__xludf.DUMMYFUNCTION("""COMPUTED_VALUE"""),44144.66666666667)</f>
        <v>44144.66667</v>
      </c>
      <c r="B29" s="1">
        <f>IFERROR(__xludf.DUMMYFUNCTION("""COMPUTED_VALUE"""),44.02)</f>
        <v>44.02</v>
      </c>
    </row>
    <row r="30">
      <c r="A30" s="2">
        <f>IFERROR(__xludf.DUMMYFUNCTION("""COMPUTED_VALUE"""),44145.66666666667)</f>
        <v>44145.66667</v>
      </c>
      <c r="B30" s="1">
        <f>IFERROR(__xludf.DUMMYFUNCTION("""COMPUTED_VALUE"""),41.55)</f>
        <v>41.55</v>
      </c>
    </row>
    <row r="31">
      <c r="A31" s="2">
        <f>IFERROR(__xludf.DUMMYFUNCTION("""COMPUTED_VALUE"""),44146.66666666667)</f>
        <v>44146.66667</v>
      </c>
      <c r="B31" s="1">
        <f>IFERROR(__xludf.DUMMYFUNCTION("""COMPUTED_VALUE"""),43.08)</f>
        <v>43.08</v>
      </c>
    </row>
    <row r="32">
      <c r="A32" s="2">
        <f>IFERROR(__xludf.DUMMYFUNCTION("""COMPUTED_VALUE"""),44147.66666666667)</f>
        <v>44147.66667</v>
      </c>
      <c r="B32" s="1">
        <f>IFERROR(__xludf.DUMMYFUNCTION("""COMPUTED_VALUE"""),48.3)</f>
        <v>48.3</v>
      </c>
    </row>
    <row r="33">
      <c r="A33" s="2">
        <f>IFERROR(__xludf.DUMMYFUNCTION("""COMPUTED_VALUE"""),44148.66666666667)</f>
        <v>44148.66667</v>
      </c>
      <c r="B33" s="1">
        <f>IFERROR(__xludf.DUMMYFUNCTION("""COMPUTED_VALUE"""),44.56)</f>
        <v>44.56</v>
      </c>
    </row>
    <row r="34">
      <c r="A34" s="2">
        <f>IFERROR(__xludf.DUMMYFUNCTION("""COMPUTED_VALUE"""),44151.66666666667)</f>
        <v>44151.66667</v>
      </c>
      <c r="B34" s="1">
        <f>IFERROR(__xludf.DUMMYFUNCTION("""COMPUTED_VALUE"""),45.58)</f>
        <v>45.58</v>
      </c>
    </row>
    <row r="35">
      <c r="A35" s="2">
        <f>IFERROR(__xludf.DUMMYFUNCTION("""COMPUTED_VALUE"""),44152.66666666667)</f>
        <v>44152.66667</v>
      </c>
      <c r="B35" s="1">
        <f>IFERROR(__xludf.DUMMYFUNCTION("""COMPUTED_VALUE"""),46.59)</f>
        <v>46.59</v>
      </c>
    </row>
    <row r="36">
      <c r="A36" s="2">
        <f>IFERROR(__xludf.DUMMYFUNCTION("""COMPUTED_VALUE"""),44153.66666666667)</f>
        <v>44153.66667</v>
      </c>
      <c r="B36" s="1">
        <f>IFERROR(__xludf.DUMMYFUNCTION("""COMPUTED_VALUE"""),45.06)</f>
        <v>45.06</v>
      </c>
    </row>
    <row r="37">
      <c r="A37" s="2">
        <f>IFERROR(__xludf.DUMMYFUNCTION("""COMPUTED_VALUE"""),44154.66666666667)</f>
        <v>44154.66667</v>
      </c>
      <c r="B37" s="1">
        <f>IFERROR(__xludf.DUMMYFUNCTION("""COMPUTED_VALUE"""),48.45)</f>
        <v>48.45</v>
      </c>
    </row>
    <row r="38">
      <c r="A38" s="2">
        <f>IFERROR(__xludf.DUMMYFUNCTION("""COMPUTED_VALUE"""),44155.66666666667)</f>
        <v>44155.66667</v>
      </c>
      <c r="B38" s="1">
        <f>IFERROR(__xludf.DUMMYFUNCTION("""COMPUTED_VALUE"""),49.25)</f>
        <v>49.25</v>
      </c>
    </row>
    <row r="39">
      <c r="A39" s="2">
        <f>IFERROR(__xludf.DUMMYFUNCTION("""COMPUTED_VALUE"""),44158.66666666667)</f>
        <v>44158.66667</v>
      </c>
      <c r="B39" s="1">
        <f>IFERROR(__xludf.DUMMYFUNCTION("""COMPUTED_VALUE"""),55.38)</f>
        <v>55.38</v>
      </c>
    </row>
    <row r="40">
      <c r="A40" s="2">
        <f>IFERROR(__xludf.DUMMYFUNCTION("""COMPUTED_VALUE"""),44159.66666666667)</f>
        <v>44159.66667</v>
      </c>
      <c r="B40" s="1">
        <f>IFERROR(__xludf.DUMMYFUNCTION("""COMPUTED_VALUE"""),53.51)</f>
        <v>53.51</v>
      </c>
    </row>
    <row r="41">
      <c r="A41" s="2">
        <f>IFERROR(__xludf.DUMMYFUNCTION("""COMPUTED_VALUE"""),44160.66666666667)</f>
        <v>44160.66667</v>
      </c>
      <c r="B41" s="1">
        <f>IFERROR(__xludf.DUMMYFUNCTION("""COMPUTED_VALUE"""),53.69)</f>
        <v>53.69</v>
      </c>
    </row>
    <row r="42">
      <c r="A42" s="2">
        <f>IFERROR(__xludf.DUMMYFUNCTION("""COMPUTED_VALUE"""),44162.54166666667)</f>
        <v>44162.54167</v>
      </c>
      <c r="B42" s="1">
        <f>IFERROR(__xludf.DUMMYFUNCTION("""COMPUTED_VALUE"""),54.0)</f>
        <v>54</v>
      </c>
    </row>
    <row r="43">
      <c r="A43" s="2">
        <f>IFERROR(__xludf.DUMMYFUNCTION("""COMPUTED_VALUE"""),44165.66666666667)</f>
        <v>44165.66667</v>
      </c>
      <c r="B43" s="1">
        <f>IFERROR(__xludf.DUMMYFUNCTION("""COMPUTED_VALUE"""),50.53)</f>
        <v>50.53</v>
      </c>
    </row>
    <row r="44">
      <c r="A44" s="2">
        <f>IFERROR(__xludf.DUMMYFUNCTION("""COMPUTED_VALUE"""),44166.66666666667)</f>
        <v>44166.66667</v>
      </c>
      <c r="B44" s="1">
        <f>IFERROR(__xludf.DUMMYFUNCTION("""COMPUTED_VALUE"""),45.36)</f>
        <v>45.36</v>
      </c>
    </row>
    <row r="45">
      <c r="A45" s="2">
        <f>IFERROR(__xludf.DUMMYFUNCTION("""COMPUTED_VALUE"""),44167.66666666667)</f>
        <v>44167.66667</v>
      </c>
      <c r="B45" s="1">
        <f>IFERROR(__xludf.DUMMYFUNCTION("""COMPUTED_VALUE"""),47.98)</f>
        <v>47.98</v>
      </c>
    </row>
    <row r="46">
      <c r="A46" s="2">
        <f>IFERROR(__xludf.DUMMYFUNCTION("""COMPUTED_VALUE"""),44168.66666666667)</f>
        <v>44168.66667</v>
      </c>
      <c r="B46" s="1">
        <f>IFERROR(__xludf.DUMMYFUNCTION("""COMPUTED_VALUE"""),45.35)</f>
        <v>45.35</v>
      </c>
    </row>
    <row r="47">
      <c r="A47" s="2">
        <f>IFERROR(__xludf.DUMMYFUNCTION("""COMPUTED_VALUE"""),44169.66666666667)</f>
        <v>44169.66667</v>
      </c>
      <c r="B47" s="1">
        <f>IFERROR(__xludf.DUMMYFUNCTION("""COMPUTED_VALUE"""),43.04)</f>
        <v>43.04</v>
      </c>
    </row>
    <row r="48">
      <c r="A48" s="2">
        <f>IFERROR(__xludf.DUMMYFUNCTION("""COMPUTED_VALUE"""),44172.66666666667)</f>
        <v>44172.66667</v>
      </c>
      <c r="B48" s="1">
        <f>IFERROR(__xludf.DUMMYFUNCTION("""COMPUTED_VALUE"""),45.11)</f>
        <v>45.11</v>
      </c>
    </row>
    <row r="49">
      <c r="A49" s="2">
        <f>IFERROR(__xludf.DUMMYFUNCTION("""COMPUTED_VALUE"""),44173.66666666667)</f>
        <v>44173.66667</v>
      </c>
      <c r="B49" s="1">
        <f>IFERROR(__xludf.DUMMYFUNCTION("""COMPUTED_VALUE"""),46.56)</f>
        <v>46.56</v>
      </c>
    </row>
    <row r="50">
      <c r="A50" s="2">
        <f>IFERROR(__xludf.DUMMYFUNCTION("""COMPUTED_VALUE"""),44174.66666666667)</f>
        <v>44174.66667</v>
      </c>
      <c r="B50" s="1">
        <f>IFERROR(__xludf.DUMMYFUNCTION("""COMPUTED_VALUE"""),44.01)</f>
        <v>44.01</v>
      </c>
    </row>
    <row r="51">
      <c r="A51" s="2">
        <f>IFERROR(__xludf.DUMMYFUNCTION("""COMPUTED_VALUE"""),44175.66666666667)</f>
        <v>44175.66667</v>
      </c>
      <c r="B51" s="1">
        <f>IFERROR(__xludf.DUMMYFUNCTION("""COMPUTED_VALUE"""),45.22)</f>
        <v>45.22</v>
      </c>
    </row>
    <row r="52">
      <c r="A52" s="2">
        <f>IFERROR(__xludf.DUMMYFUNCTION("""COMPUTED_VALUE"""),44176.66666666667)</f>
        <v>44176.66667</v>
      </c>
      <c r="B52" s="1">
        <f>IFERROR(__xludf.DUMMYFUNCTION("""COMPUTED_VALUE"""),41.98)</f>
        <v>41.98</v>
      </c>
    </row>
    <row r="53">
      <c r="A53" s="2">
        <f>IFERROR(__xludf.DUMMYFUNCTION("""COMPUTED_VALUE"""),44179.66666666667)</f>
        <v>44179.66667</v>
      </c>
      <c r="B53" s="1">
        <f>IFERROR(__xludf.DUMMYFUNCTION("""COMPUTED_VALUE"""),40.98)</f>
        <v>40.98</v>
      </c>
    </row>
    <row r="54">
      <c r="A54" s="2">
        <f>IFERROR(__xludf.DUMMYFUNCTION("""COMPUTED_VALUE"""),44180.66666666667)</f>
        <v>44180.66667</v>
      </c>
      <c r="B54" s="1">
        <f>IFERROR(__xludf.DUMMYFUNCTION("""COMPUTED_VALUE"""),43.5)</f>
        <v>43.5</v>
      </c>
    </row>
    <row r="55">
      <c r="A55" s="2">
        <f>IFERROR(__xludf.DUMMYFUNCTION("""COMPUTED_VALUE"""),44181.66666666667)</f>
        <v>44181.66667</v>
      </c>
      <c r="B55" s="1">
        <f>IFERROR(__xludf.DUMMYFUNCTION("""COMPUTED_VALUE"""),44.67)</f>
        <v>44.67</v>
      </c>
    </row>
    <row r="56">
      <c r="A56" s="2">
        <f>IFERROR(__xludf.DUMMYFUNCTION("""COMPUTED_VALUE"""),44182.66666666667)</f>
        <v>44182.66667</v>
      </c>
      <c r="B56" s="1">
        <f>IFERROR(__xludf.DUMMYFUNCTION("""COMPUTED_VALUE"""),46.0)</f>
        <v>46</v>
      </c>
    </row>
    <row r="57">
      <c r="A57" s="2">
        <f>IFERROR(__xludf.DUMMYFUNCTION("""COMPUTED_VALUE"""),44183.66666666667)</f>
        <v>44183.66667</v>
      </c>
      <c r="B57" s="1">
        <f>IFERROR(__xludf.DUMMYFUNCTION("""COMPUTED_VALUE"""),46.72)</f>
        <v>46.72</v>
      </c>
    </row>
    <row r="58">
      <c r="A58" s="2">
        <f>IFERROR(__xludf.DUMMYFUNCTION("""COMPUTED_VALUE"""),44186.66666666667)</f>
        <v>44186.66667</v>
      </c>
      <c r="B58" s="1">
        <f>IFERROR(__xludf.DUMMYFUNCTION("""COMPUTED_VALUE"""),48.95)</f>
        <v>48.95</v>
      </c>
    </row>
    <row r="59">
      <c r="A59" s="2">
        <f>IFERROR(__xludf.DUMMYFUNCTION("""COMPUTED_VALUE"""),44187.66666666667)</f>
        <v>44187.66667</v>
      </c>
      <c r="B59" s="1">
        <f>IFERROR(__xludf.DUMMYFUNCTION("""COMPUTED_VALUE"""),47.58)</f>
        <v>47.58</v>
      </c>
    </row>
    <row r="60">
      <c r="A60" s="2">
        <f>IFERROR(__xludf.DUMMYFUNCTION("""COMPUTED_VALUE"""),44188.66666666667)</f>
        <v>44188.66667</v>
      </c>
      <c r="B60" s="1">
        <f>IFERROR(__xludf.DUMMYFUNCTION("""COMPUTED_VALUE"""),47.01)</f>
        <v>47.01</v>
      </c>
    </row>
    <row r="61">
      <c r="A61" s="2">
        <f>IFERROR(__xludf.DUMMYFUNCTION("""COMPUTED_VALUE"""),44189.54166666667)</f>
        <v>44189.54167</v>
      </c>
      <c r="B61" s="1">
        <f>IFERROR(__xludf.DUMMYFUNCTION("""COMPUTED_VALUE"""),45.77)</f>
        <v>45.77</v>
      </c>
    </row>
    <row r="62">
      <c r="A62" s="2">
        <f>IFERROR(__xludf.DUMMYFUNCTION("""COMPUTED_VALUE"""),44193.66666666667)</f>
        <v>44193.66667</v>
      </c>
      <c r="B62" s="1">
        <f>IFERROR(__xludf.DUMMYFUNCTION("""COMPUTED_VALUE"""),44.06)</f>
        <v>44.06</v>
      </c>
    </row>
    <row r="63">
      <c r="A63" s="2">
        <f>IFERROR(__xludf.DUMMYFUNCTION("""COMPUTED_VALUE"""),44194.66666666667)</f>
        <v>44194.66667</v>
      </c>
      <c r="B63" s="1">
        <f>IFERROR(__xludf.DUMMYFUNCTION("""COMPUTED_VALUE"""),46.14)</f>
        <v>46.14</v>
      </c>
    </row>
    <row r="64">
      <c r="A64" s="2">
        <f>IFERROR(__xludf.DUMMYFUNCTION("""COMPUTED_VALUE"""),44195.66666666667)</f>
        <v>44195.66667</v>
      </c>
      <c r="B64" s="1">
        <f>IFERROR(__xludf.DUMMYFUNCTION("""COMPUTED_VALUE"""),48.38)</f>
        <v>48.38</v>
      </c>
    </row>
    <row r="65">
      <c r="A65" s="2">
        <f>IFERROR(__xludf.DUMMYFUNCTION("""COMPUTED_VALUE"""),44196.66666666667)</f>
        <v>44196.66667</v>
      </c>
      <c r="B65" s="1">
        <f>IFERROR(__xludf.DUMMYFUNCTION("""COMPUTED_VALUE"""),48.74)</f>
        <v>48.74</v>
      </c>
    </row>
    <row r="66">
      <c r="A66" s="2">
        <f>IFERROR(__xludf.DUMMYFUNCTION("""COMPUTED_VALUE"""),44200.66666666667)</f>
        <v>44200.66667</v>
      </c>
      <c r="B66" s="1">
        <f>IFERROR(__xludf.DUMMYFUNCTION("""COMPUTED_VALUE"""),53.49)</f>
        <v>53.49</v>
      </c>
    </row>
    <row r="67">
      <c r="A67" s="2">
        <f>IFERROR(__xludf.DUMMYFUNCTION("""COMPUTED_VALUE"""),44201.66666666667)</f>
        <v>44201.66667</v>
      </c>
      <c r="B67" s="1">
        <f>IFERROR(__xludf.DUMMYFUNCTION("""COMPUTED_VALUE"""),53.2)</f>
        <v>53.2</v>
      </c>
    </row>
    <row r="68">
      <c r="A68" s="2">
        <f>IFERROR(__xludf.DUMMYFUNCTION("""COMPUTED_VALUE"""),44202.66666666667)</f>
        <v>44202.66667</v>
      </c>
      <c r="B68" s="1">
        <f>IFERROR(__xludf.DUMMYFUNCTION("""COMPUTED_VALUE"""),50.5)</f>
        <v>50.5</v>
      </c>
    </row>
    <row r="69">
      <c r="A69" s="2">
        <f>IFERROR(__xludf.DUMMYFUNCTION("""COMPUTED_VALUE"""),44203.66666666667)</f>
        <v>44203.66667</v>
      </c>
      <c r="B69" s="1">
        <f>IFERROR(__xludf.DUMMYFUNCTION("""COMPUTED_VALUE"""),54.28)</f>
        <v>54.28</v>
      </c>
    </row>
    <row r="70">
      <c r="A70" s="2">
        <f>IFERROR(__xludf.DUMMYFUNCTION("""COMPUTED_VALUE"""),44204.66666666667)</f>
        <v>44204.66667</v>
      </c>
      <c r="B70" s="1">
        <f>IFERROR(__xludf.DUMMYFUNCTION("""COMPUTED_VALUE"""),58.92)</f>
        <v>58.92</v>
      </c>
    </row>
    <row r="71">
      <c r="A71" s="2">
        <f>IFERROR(__xludf.DUMMYFUNCTION("""COMPUTED_VALUE"""),44207.66666666667)</f>
        <v>44207.66667</v>
      </c>
      <c r="B71" s="1">
        <f>IFERROR(__xludf.DUMMYFUNCTION("""COMPUTED_VALUE"""),62.7)</f>
        <v>62.7</v>
      </c>
    </row>
    <row r="72">
      <c r="A72" s="2">
        <f>IFERROR(__xludf.DUMMYFUNCTION("""COMPUTED_VALUE"""),44208.66666666667)</f>
        <v>44208.66667</v>
      </c>
      <c r="B72" s="1">
        <f>IFERROR(__xludf.DUMMYFUNCTION("""COMPUTED_VALUE"""),62.04)</f>
        <v>62.04</v>
      </c>
    </row>
    <row r="73">
      <c r="A73" s="2">
        <f>IFERROR(__xludf.DUMMYFUNCTION("""COMPUTED_VALUE"""),44209.66666666667)</f>
        <v>44209.66667</v>
      </c>
      <c r="B73" s="1">
        <f>IFERROR(__xludf.DUMMYFUNCTION("""COMPUTED_VALUE"""),62.15)</f>
        <v>62.15</v>
      </c>
    </row>
    <row r="74">
      <c r="A74" s="2">
        <f>IFERROR(__xludf.DUMMYFUNCTION("""COMPUTED_VALUE"""),44210.66666666667)</f>
        <v>44210.66667</v>
      </c>
      <c r="B74" s="1">
        <f>IFERROR(__xludf.DUMMYFUNCTION("""COMPUTED_VALUE"""),60.87)</f>
        <v>60.87</v>
      </c>
    </row>
    <row r="75">
      <c r="A75" s="2">
        <f>IFERROR(__xludf.DUMMYFUNCTION("""COMPUTED_VALUE"""),44211.66666666667)</f>
        <v>44211.66667</v>
      </c>
      <c r="B75" s="1">
        <f>IFERROR(__xludf.DUMMYFUNCTION("""COMPUTED_VALUE"""),56.27)</f>
        <v>56.27</v>
      </c>
    </row>
    <row r="76">
      <c r="A76" s="2">
        <f>IFERROR(__xludf.DUMMYFUNCTION("""COMPUTED_VALUE"""),44215.66666666667)</f>
        <v>44215.66667</v>
      </c>
      <c r="B76" s="1">
        <f>IFERROR(__xludf.DUMMYFUNCTION("""COMPUTED_VALUE"""),58.44)</f>
        <v>58.44</v>
      </c>
    </row>
    <row r="77">
      <c r="A77" s="2">
        <f>IFERROR(__xludf.DUMMYFUNCTION("""COMPUTED_VALUE"""),44216.66666666667)</f>
        <v>44216.66667</v>
      </c>
      <c r="B77" s="1">
        <f>IFERROR(__xludf.DUMMYFUNCTION("""COMPUTED_VALUE"""),57.71)</f>
        <v>57.71</v>
      </c>
    </row>
    <row r="78">
      <c r="A78" s="2">
        <f>IFERROR(__xludf.DUMMYFUNCTION("""COMPUTED_VALUE"""),44217.66666666667)</f>
        <v>44217.66667</v>
      </c>
      <c r="B78" s="1">
        <f>IFERROR(__xludf.DUMMYFUNCTION("""COMPUTED_VALUE"""),58.34)</f>
        <v>58.34</v>
      </c>
    </row>
    <row r="79">
      <c r="A79" s="2">
        <f>IFERROR(__xludf.DUMMYFUNCTION("""COMPUTED_VALUE"""),44218.66666666667)</f>
        <v>44218.66667</v>
      </c>
      <c r="B79" s="1">
        <f>IFERROR(__xludf.DUMMYFUNCTION("""COMPUTED_VALUE"""),61.95)</f>
        <v>61.95</v>
      </c>
    </row>
    <row r="80">
      <c r="A80" s="2">
        <f>IFERROR(__xludf.DUMMYFUNCTION("""COMPUTED_VALUE"""),44221.66666666667)</f>
        <v>44221.66667</v>
      </c>
      <c r="B80" s="1">
        <f>IFERROR(__xludf.DUMMYFUNCTION("""COMPUTED_VALUE"""),59.99)</f>
        <v>59.99</v>
      </c>
    </row>
    <row r="81">
      <c r="A81" s="2">
        <f>IFERROR(__xludf.DUMMYFUNCTION("""COMPUTED_VALUE"""),44222.66666666667)</f>
        <v>44222.66667</v>
      </c>
      <c r="B81" s="1">
        <f>IFERROR(__xludf.DUMMYFUNCTION("""COMPUTED_VALUE"""),60.31)</f>
        <v>60.31</v>
      </c>
    </row>
    <row r="82">
      <c r="A82" s="2">
        <f>IFERROR(__xludf.DUMMYFUNCTION("""COMPUTED_VALUE"""),44223.66666666667)</f>
        <v>44223.66667</v>
      </c>
      <c r="B82" s="1">
        <f>IFERROR(__xludf.DUMMYFUNCTION("""COMPUTED_VALUE"""),57.15)</f>
        <v>57.15</v>
      </c>
    </row>
    <row r="83">
      <c r="A83" s="2">
        <f>IFERROR(__xludf.DUMMYFUNCTION("""COMPUTED_VALUE"""),44224.66666666667)</f>
        <v>44224.66667</v>
      </c>
      <c r="B83" s="1">
        <f>IFERROR(__xludf.DUMMYFUNCTION("""COMPUTED_VALUE"""),58.37)</f>
        <v>58.37</v>
      </c>
    </row>
    <row r="84">
      <c r="A84" s="2">
        <f>IFERROR(__xludf.DUMMYFUNCTION("""COMPUTED_VALUE"""),44225.66666666667)</f>
        <v>44225.66667</v>
      </c>
      <c r="B84" s="1">
        <f>IFERROR(__xludf.DUMMYFUNCTION("""COMPUTED_VALUE"""),57.0)</f>
        <v>57</v>
      </c>
    </row>
    <row r="85">
      <c r="A85" s="2">
        <f>IFERROR(__xludf.DUMMYFUNCTION("""COMPUTED_VALUE"""),44228.66666666667)</f>
        <v>44228.66667</v>
      </c>
      <c r="B85" s="1">
        <f>IFERROR(__xludf.DUMMYFUNCTION("""COMPUTED_VALUE"""),56.99)</f>
        <v>56.99</v>
      </c>
    </row>
    <row r="86">
      <c r="A86" s="2">
        <f>IFERROR(__xludf.DUMMYFUNCTION("""COMPUTED_VALUE"""),44229.66666666667)</f>
        <v>44229.66667</v>
      </c>
      <c r="B86" s="1">
        <f>IFERROR(__xludf.DUMMYFUNCTION("""COMPUTED_VALUE"""),55.77)</f>
        <v>55.77</v>
      </c>
    </row>
    <row r="87">
      <c r="A87" s="2">
        <f>IFERROR(__xludf.DUMMYFUNCTION("""COMPUTED_VALUE"""),44230.66666666667)</f>
        <v>44230.66667</v>
      </c>
      <c r="B87" s="1">
        <f>IFERROR(__xludf.DUMMYFUNCTION("""COMPUTED_VALUE"""),57.98)</f>
        <v>57.98</v>
      </c>
    </row>
    <row r="88">
      <c r="A88" s="2">
        <f>IFERROR(__xludf.DUMMYFUNCTION("""COMPUTED_VALUE"""),44231.66666666667)</f>
        <v>44231.66667</v>
      </c>
      <c r="B88" s="1">
        <f>IFERROR(__xludf.DUMMYFUNCTION("""COMPUTED_VALUE"""),57.6)</f>
        <v>57.6</v>
      </c>
    </row>
    <row r="89">
      <c r="A89" s="2">
        <f>IFERROR(__xludf.DUMMYFUNCTION("""COMPUTED_VALUE"""),44232.66666666667)</f>
        <v>44232.66667</v>
      </c>
      <c r="B89" s="1">
        <f>IFERROR(__xludf.DUMMYFUNCTION("""COMPUTED_VALUE"""),56.67)</f>
        <v>56.67</v>
      </c>
    </row>
    <row r="90">
      <c r="A90" s="2">
        <f>IFERROR(__xludf.DUMMYFUNCTION("""COMPUTED_VALUE"""),44235.66666666667)</f>
        <v>44235.66667</v>
      </c>
      <c r="B90" s="1">
        <f>IFERROR(__xludf.DUMMYFUNCTION("""COMPUTED_VALUE"""),59.07)</f>
        <v>59.07</v>
      </c>
    </row>
    <row r="91">
      <c r="A91" s="2">
        <f>IFERROR(__xludf.DUMMYFUNCTION("""COMPUTED_VALUE"""),44236.66666666667)</f>
        <v>44236.66667</v>
      </c>
      <c r="B91" s="1">
        <f>IFERROR(__xludf.DUMMYFUNCTION("""COMPUTED_VALUE"""),62.84)</f>
        <v>62.84</v>
      </c>
    </row>
    <row r="92">
      <c r="A92" s="2">
        <f>IFERROR(__xludf.DUMMYFUNCTION("""COMPUTED_VALUE"""),44237.66666666667)</f>
        <v>44237.66667</v>
      </c>
      <c r="B92" s="1">
        <f>IFERROR(__xludf.DUMMYFUNCTION("""COMPUTED_VALUE"""),61.26)</f>
        <v>61.26</v>
      </c>
    </row>
    <row r="93">
      <c r="A93" s="2">
        <f>IFERROR(__xludf.DUMMYFUNCTION("""COMPUTED_VALUE"""),44238.66666666667)</f>
        <v>44238.66667</v>
      </c>
      <c r="B93" s="1">
        <f>IFERROR(__xludf.DUMMYFUNCTION("""COMPUTED_VALUE"""),60.27)</f>
        <v>60.27</v>
      </c>
    </row>
    <row r="94">
      <c r="A94" s="2">
        <f>IFERROR(__xludf.DUMMYFUNCTION("""COMPUTED_VALUE"""),44239.66666666667)</f>
        <v>44239.66667</v>
      </c>
      <c r="B94" s="1">
        <f>IFERROR(__xludf.DUMMYFUNCTION("""COMPUTED_VALUE"""),59.85)</f>
        <v>59.85</v>
      </c>
    </row>
    <row r="95">
      <c r="A95" s="2">
        <f>IFERROR(__xludf.DUMMYFUNCTION("""COMPUTED_VALUE"""),44243.66666666667)</f>
        <v>44243.66667</v>
      </c>
      <c r="B95" s="1">
        <f>IFERROR(__xludf.DUMMYFUNCTION("""COMPUTED_VALUE"""),59.23)</f>
        <v>59.23</v>
      </c>
    </row>
    <row r="96">
      <c r="A96" s="2">
        <f>IFERROR(__xludf.DUMMYFUNCTION("""COMPUTED_VALUE"""),44244.66666666667)</f>
        <v>44244.66667</v>
      </c>
      <c r="B96" s="1">
        <f>IFERROR(__xludf.DUMMYFUNCTION("""COMPUTED_VALUE"""),57.32)</f>
        <v>57.32</v>
      </c>
    </row>
    <row r="97">
      <c r="A97" s="2">
        <f>IFERROR(__xludf.DUMMYFUNCTION("""COMPUTED_VALUE"""),44245.66666666667)</f>
        <v>44245.66667</v>
      </c>
      <c r="B97" s="1">
        <f>IFERROR(__xludf.DUMMYFUNCTION("""COMPUTED_VALUE"""),54.43)</f>
        <v>54.43</v>
      </c>
    </row>
    <row r="98">
      <c r="A98" s="2">
        <f>IFERROR(__xludf.DUMMYFUNCTION("""COMPUTED_VALUE"""),44246.66666666667)</f>
        <v>44246.66667</v>
      </c>
      <c r="B98" s="1">
        <f>IFERROR(__xludf.DUMMYFUNCTION("""COMPUTED_VALUE"""),55.04)</f>
        <v>55.04</v>
      </c>
    </row>
    <row r="99">
      <c r="A99" s="2">
        <f>IFERROR(__xludf.DUMMYFUNCTION("""COMPUTED_VALUE"""),44249.66666666667)</f>
        <v>44249.66667</v>
      </c>
      <c r="B99" s="1">
        <f>IFERROR(__xludf.DUMMYFUNCTION("""COMPUTED_VALUE"""),50.68)</f>
        <v>50.68</v>
      </c>
    </row>
    <row r="100">
      <c r="A100" s="2">
        <f>IFERROR(__xludf.DUMMYFUNCTION("""COMPUTED_VALUE"""),44250.66666666667)</f>
        <v>44250.66667</v>
      </c>
      <c r="B100" s="1">
        <f>IFERROR(__xludf.DUMMYFUNCTION("""COMPUTED_VALUE"""),49.11)</f>
        <v>49.11</v>
      </c>
    </row>
    <row r="101">
      <c r="A101" s="2">
        <f>IFERROR(__xludf.DUMMYFUNCTION("""COMPUTED_VALUE"""),44251.66666666667)</f>
        <v>44251.66667</v>
      </c>
      <c r="B101" s="1">
        <f>IFERROR(__xludf.DUMMYFUNCTION("""COMPUTED_VALUE"""),51.86)</f>
        <v>51.86</v>
      </c>
    </row>
    <row r="102">
      <c r="A102" s="2">
        <f>IFERROR(__xludf.DUMMYFUNCTION("""COMPUTED_VALUE"""),44252.66666666667)</f>
        <v>44252.66667</v>
      </c>
      <c r="B102" s="1">
        <f>IFERROR(__xludf.DUMMYFUNCTION("""COMPUTED_VALUE"""),46.81)</f>
        <v>46.81</v>
      </c>
    </row>
    <row r="103">
      <c r="A103" s="2">
        <f>IFERROR(__xludf.DUMMYFUNCTION("""COMPUTED_VALUE"""),44253.66666666667)</f>
        <v>44253.66667</v>
      </c>
      <c r="B103" s="1">
        <f>IFERROR(__xludf.DUMMYFUNCTION("""COMPUTED_VALUE"""),45.78)</f>
        <v>45.78</v>
      </c>
    </row>
    <row r="104">
      <c r="A104" s="2">
        <f>IFERROR(__xludf.DUMMYFUNCTION("""COMPUTED_VALUE"""),44256.66666666667)</f>
        <v>44256.66667</v>
      </c>
      <c r="B104" s="1">
        <f>IFERROR(__xludf.DUMMYFUNCTION("""COMPUTED_VALUE"""),49.76)</f>
        <v>49.76</v>
      </c>
    </row>
    <row r="105">
      <c r="A105" s="2">
        <f>IFERROR(__xludf.DUMMYFUNCTION("""COMPUTED_VALUE"""),44257.66666666667)</f>
        <v>44257.66667</v>
      </c>
      <c r="B105" s="1">
        <f>IFERROR(__xludf.DUMMYFUNCTION("""COMPUTED_VALUE"""),43.29)</f>
        <v>43.29</v>
      </c>
    </row>
    <row r="106">
      <c r="A106" s="2">
        <f>IFERROR(__xludf.DUMMYFUNCTION("""COMPUTED_VALUE"""),44258.66666666667)</f>
        <v>44258.66667</v>
      </c>
      <c r="B106" s="1">
        <f>IFERROR(__xludf.DUMMYFUNCTION("""COMPUTED_VALUE"""),41.53)</f>
        <v>41.53</v>
      </c>
    </row>
    <row r="107">
      <c r="A107" s="2">
        <f>IFERROR(__xludf.DUMMYFUNCTION("""COMPUTED_VALUE"""),44259.66666666667)</f>
        <v>44259.66667</v>
      </c>
      <c r="B107" s="1">
        <f>IFERROR(__xludf.DUMMYFUNCTION("""COMPUTED_VALUE"""),39.28)</f>
        <v>39.28</v>
      </c>
    </row>
    <row r="108">
      <c r="A108" s="2">
        <f>IFERROR(__xludf.DUMMYFUNCTION("""COMPUTED_VALUE"""),44260.66666666667)</f>
        <v>44260.66667</v>
      </c>
      <c r="B108" s="1">
        <f>IFERROR(__xludf.DUMMYFUNCTION("""COMPUTED_VALUE"""),38.11)</f>
        <v>38.11</v>
      </c>
    </row>
    <row r="109">
      <c r="A109" s="2">
        <f>IFERROR(__xludf.DUMMYFUNCTION("""COMPUTED_VALUE"""),44263.66666666667)</f>
        <v>44263.66667</v>
      </c>
      <c r="B109" s="1">
        <f>IFERROR(__xludf.DUMMYFUNCTION("""COMPUTED_VALUE"""),35.21)</f>
        <v>35.21</v>
      </c>
    </row>
    <row r="110">
      <c r="A110" s="2">
        <f>IFERROR(__xludf.DUMMYFUNCTION("""COMPUTED_VALUE"""),44264.66666666667)</f>
        <v>44264.66667</v>
      </c>
      <c r="B110" s="1">
        <f>IFERROR(__xludf.DUMMYFUNCTION("""COMPUTED_VALUE"""),41.35)</f>
        <v>41.35</v>
      </c>
    </row>
    <row r="111">
      <c r="A111" s="2">
        <f>IFERROR(__xludf.DUMMYFUNCTION("""COMPUTED_VALUE"""),44265.66666666667)</f>
        <v>44265.66667</v>
      </c>
      <c r="B111" s="1">
        <f>IFERROR(__xludf.DUMMYFUNCTION("""COMPUTED_VALUE"""),41.32)</f>
        <v>41.32</v>
      </c>
    </row>
    <row r="112">
      <c r="A112" s="2">
        <f>IFERROR(__xludf.DUMMYFUNCTION("""COMPUTED_VALUE"""),44266.66666666667)</f>
        <v>44266.66667</v>
      </c>
      <c r="B112" s="1">
        <f>IFERROR(__xludf.DUMMYFUNCTION("""COMPUTED_VALUE"""),46.03)</f>
        <v>46.03</v>
      </c>
    </row>
    <row r="113">
      <c r="A113" s="2">
        <f>IFERROR(__xludf.DUMMYFUNCTION("""COMPUTED_VALUE"""),44267.66666666667)</f>
        <v>44267.66667</v>
      </c>
      <c r="B113" s="1">
        <f>IFERROR(__xludf.DUMMYFUNCTION("""COMPUTED_VALUE"""),45.5)</f>
        <v>45.5</v>
      </c>
    </row>
    <row r="114">
      <c r="A114" s="2">
        <f>IFERROR(__xludf.DUMMYFUNCTION("""COMPUTED_VALUE"""),44270.66666666667)</f>
        <v>44270.66667</v>
      </c>
      <c r="B114" s="1">
        <f>IFERROR(__xludf.DUMMYFUNCTION("""COMPUTED_VALUE"""),44.93)</f>
        <v>44.93</v>
      </c>
    </row>
    <row r="115">
      <c r="A115" s="2">
        <f>IFERROR(__xludf.DUMMYFUNCTION("""COMPUTED_VALUE"""),44271.66666666667)</f>
        <v>44271.66667</v>
      </c>
      <c r="B115" s="1">
        <f>IFERROR(__xludf.DUMMYFUNCTION("""COMPUTED_VALUE"""),43.68)</f>
        <v>43.68</v>
      </c>
    </row>
    <row r="116">
      <c r="A116" s="2">
        <f>IFERROR(__xludf.DUMMYFUNCTION("""COMPUTED_VALUE"""),44272.66666666667)</f>
        <v>44272.66667</v>
      </c>
      <c r="B116" s="1">
        <f>IFERROR(__xludf.DUMMYFUNCTION("""COMPUTED_VALUE"""),44.76)</f>
        <v>44.76</v>
      </c>
    </row>
    <row r="117">
      <c r="A117" s="2">
        <f>IFERROR(__xludf.DUMMYFUNCTION("""COMPUTED_VALUE"""),44273.66666666667)</f>
        <v>44273.66667</v>
      </c>
      <c r="B117" s="1">
        <f>IFERROR(__xludf.DUMMYFUNCTION("""COMPUTED_VALUE"""),41.63)</f>
        <v>41.63</v>
      </c>
    </row>
    <row r="118">
      <c r="A118" s="2">
        <f>IFERROR(__xludf.DUMMYFUNCTION("""COMPUTED_VALUE"""),44274.66666666667)</f>
        <v>44274.66667</v>
      </c>
      <c r="B118" s="1">
        <f>IFERROR(__xludf.DUMMYFUNCTION("""COMPUTED_VALUE"""),43.35)</f>
        <v>43.35</v>
      </c>
    </row>
    <row r="119">
      <c r="A119" s="2">
        <f>IFERROR(__xludf.DUMMYFUNCTION("""COMPUTED_VALUE"""),44277.66666666667)</f>
        <v>44277.66667</v>
      </c>
      <c r="B119" s="1">
        <f>IFERROR(__xludf.DUMMYFUNCTION("""COMPUTED_VALUE"""),42.94)</f>
        <v>42.94</v>
      </c>
    </row>
    <row r="120">
      <c r="A120" s="2">
        <f>IFERROR(__xludf.DUMMYFUNCTION("""COMPUTED_VALUE"""),44278.66666666667)</f>
        <v>44278.66667</v>
      </c>
      <c r="B120" s="1">
        <f>IFERROR(__xludf.DUMMYFUNCTION("""COMPUTED_VALUE"""),41.18)</f>
        <v>41.18</v>
      </c>
    </row>
    <row r="121">
      <c r="A121" s="2">
        <f>IFERROR(__xludf.DUMMYFUNCTION("""COMPUTED_VALUE"""),44279.66666666667)</f>
        <v>44279.66667</v>
      </c>
      <c r="B121" s="1">
        <f>IFERROR(__xludf.DUMMYFUNCTION("""COMPUTED_VALUE"""),36.96)</f>
        <v>36.96</v>
      </c>
    </row>
    <row r="122">
      <c r="A122" s="2">
        <f>IFERROR(__xludf.DUMMYFUNCTION("""COMPUTED_VALUE"""),44280.66666666667)</f>
        <v>44280.66667</v>
      </c>
      <c r="B122" s="1">
        <f>IFERROR(__xludf.DUMMYFUNCTION("""COMPUTED_VALUE"""),37.94)</f>
        <v>37.94</v>
      </c>
    </row>
    <row r="123">
      <c r="A123" s="2">
        <f>IFERROR(__xludf.DUMMYFUNCTION("""COMPUTED_VALUE"""),44281.66666666667)</f>
        <v>44281.66667</v>
      </c>
      <c r="B123" s="1">
        <f>IFERROR(__xludf.DUMMYFUNCTION("""COMPUTED_VALUE"""),36.13)</f>
        <v>36.13</v>
      </c>
    </row>
    <row r="124">
      <c r="A124" s="2">
        <f>IFERROR(__xludf.DUMMYFUNCTION("""COMPUTED_VALUE"""),44284.66666666667)</f>
        <v>44284.66667</v>
      </c>
      <c r="B124" s="1">
        <f>IFERROR(__xludf.DUMMYFUNCTION("""COMPUTED_VALUE"""),35.51)</f>
        <v>35.51</v>
      </c>
    </row>
    <row r="125">
      <c r="A125" s="2">
        <f>IFERROR(__xludf.DUMMYFUNCTION("""COMPUTED_VALUE"""),44285.66666666667)</f>
        <v>44285.66667</v>
      </c>
      <c r="B125" s="1">
        <f>IFERROR(__xludf.DUMMYFUNCTION("""COMPUTED_VALUE"""),37.55)</f>
        <v>37.55</v>
      </c>
    </row>
    <row r="126">
      <c r="A126" s="2">
        <f>IFERROR(__xludf.DUMMYFUNCTION("""COMPUTED_VALUE"""),44286.66666666667)</f>
        <v>44286.66667</v>
      </c>
      <c r="B126" s="1">
        <f>IFERROR(__xludf.DUMMYFUNCTION("""COMPUTED_VALUE"""),38.98)</f>
        <v>38.98</v>
      </c>
    </row>
    <row r="127">
      <c r="A127" s="2">
        <f>IFERROR(__xludf.DUMMYFUNCTION("""COMPUTED_VALUE"""),44287.66666666667)</f>
        <v>44287.66667</v>
      </c>
      <c r="B127" s="1">
        <f>IFERROR(__xludf.DUMMYFUNCTION("""COMPUTED_VALUE"""),39.66)</f>
        <v>39.66</v>
      </c>
    </row>
    <row r="128">
      <c r="A128" s="2">
        <f>IFERROR(__xludf.DUMMYFUNCTION("""COMPUTED_VALUE"""),44291.66666666667)</f>
        <v>44291.66667</v>
      </c>
      <c r="B128" s="1">
        <f>IFERROR(__xludf.DUMMYFUNCTION("""COMPUTED_VALUE"""),39.31)</f>
        <v>39.31</v>
      </c>
    </row>
    <row r="129">
      <c r="A129" s="2">
        <f>IFERROR(__xludf.DUMMYFUNCTION("""COMPUTED_VALUE"""),44292.66666666667)</f>
        <v>44292.66667</v>
      </c>
      <c r="B129" s="1">
        <f>IFERROR(__xludf.DUMMYFUNCTION("""COMPUTED_VALUE"""),40.0)</f>
        <v>40</v>
      </c>
    </row>
    <row r="130">
      <c r="A130" s="2">
        <f>IFERROR(__xludf.DUMMYFUNCTION("""COMPUTED_VALUE"""),44293.66666666667)</f>
        <v>44293.66667</v>
      </c>
      <c r="B130" s="1">
        <f>IFERROR(__xludf.DUMMYFUNCTION("""COMPUTED_VALUE"""),37.27)</f>
        <v>37.27</v>
      </c>
    </row>
    <row r="131">
      <c r="A131" s="2">
        <f>IFERROR(__xludf.DUMMYFUNCTION("""COMPUTED_VALUE"""),44294.66666666667)</f>
        <v>44294.66667</v>
      </c>
      <c r="B131" s="1">
        <f>IFERROR(__xludf.DUMMYFUNCTION("""COMPUTED_VALUE"""),38.7)</f>
        <v>38.7</v>
      </c>
    </row>
    <row r="132">
      <c r="A132" s="2">
        <f>IFERROR(__xludf.DUMMYFUNCTION("""COMPUTED_VALUE"""),44295.66666666667)</f>
        <v>44295.66667</v>
      </c>
      <c r="B132" s="1">
        <f>IFERROR(__xludf.DUMMYFUNCTION("""COMPUTED_VALUE"""),38.12)</f>
        <v>38.12</v>
      </c>
    </row>
    <row r="133">
      <c r="A133" s="2">
        <f>IFERROR(__xludf.DUMMYFUNCTION("""COMPUTED_VALUE"""),44298.66666666667)</f>
        <v>44298.66667</v>
      </c>
      <c r="B133" s="1">
        <f>IFERROR(__xludf.DUMMYFUNCTION("""COMPUTED_VALUE"""),37.14)</f>
        <v>37.14</v>
      </c>
    </row>
    <row r="134">
      <c r="A134" s="2">
        <f>IFERROR(__xludf.DUMMYFUNCTION("""COMPUTED_VALUE"""),44299.66666666667)</f>
        <v>44299.66667</v>
      </c>
      <c r="B134" s="1">
        <f>IFERROR(__xludf.DUMMYFUNCTION("""COMPUTED_VALUE"""),38.48)</f>
        <v>38.48</v>
      </c>
    </row>
    <row r="135">
      <c r="A135" s="2">
        <f>IFERROR(__xludf.DUMMYFUNCTION("""COMPUTED_VALUE"""),44300.66666666667)</f>
        <v>44300.66667</v>
      </c>
      <c r="B135" s="1">
        <f>IFERROR(__xludf.DUMMYFUNCTION("""COMPUTED_VALUE"""),37.02)</f>
        <v>37.02</v>
      </c>
    </row>
    <row r="136">
      <c r="A136" s="2">
        <f>IFERROR(__xludf.DUMMYFUNCTION("""COMPUTED_VALUE"""),44301.66666666667)</f>
        <v>44301.66667</v>
      </c>
      <c r="B136" s="1">
        <f>IFERROR(__xludf.DUMMYFUNCTION("""COMPUTED_VALUE"""),35.66)</f>
        <v>35.66</v>
      </c>
    </row>
    <row r="137">
      <c r="A137" s="2">
        <f>IFERROR(__xludf.DUMMYFUNCTION("""COMPUTED_VALUE"""),44302.66666666667)</f>
        <v>44302.66667</v>
      </c>
      <c r="B137" s="1">
        <f>IFERROR(__xludf.DUMMYFUNCTION("""COMPUTED_VALUE"""),36.09)</f>
        <v>36.09</v>
      </c>
    </row>
    <row r="138">
      <c r="A138" s="2">
        <f>IFERROR(__xludf.DUMMYFUNCTION("""COMPUTED_VALUE"""),44305.66666666667)</f>
        <v>44305.66667</v>
      </c>
      <c r="B138" s="1">
        <f>IFERROR(__xludf.DUMMYFUNCTION("""COMPUTED_VALUE"""),36.78)</f>
        <v>36.78</v>
      </c>
    </row>
    <row r="139">
      <c r="A139" s="2">
        <f>IFERROR(__xludf.DUMMYFUNCTION("""COMPUTED_VALUE"""),44306.66666666667)</f>
        <v>44306.66667</v>
      </c>
      <c r="B139" s="1">
        <f>IFERROR(__xludf.DUMMYFUNCTION("""COMPUTED_VALUE"""),36.93)</f>
        <v>36.93</v>
      </c>
    </row>
    <row r="140">
      <c r="A140" s="2">
        <f>IFERROR(__xludf.DUMMYFUNCTION("""COMPUTED_VALUE"""),44307.66666666667)</f>
        <v>44307.66667</v>
      </c>
      <c r="B140" s="1">
        <f>IFERROR(__xludf.DUMMYFUNCTION("""COMPUTED_VALUE"""),38.9)</f>
        <v>38.9</v>
      </c>
    </row>
    <row r="141">
      <c r="A141" s="2">
        <f>IFERROR(__xludf.DUMMYFUNCTION("""COMPUTED_VALUE"""),44308.66666666667)</f>
        <v>44308.66667</v>
      </c>
      <c r="B141" s="1">
        <f>IFERROR(__xludf.DUMMYFUNCTION("""COMPUTED_VALUE"""),39.57)</f>
        <v>39.57</v>
      </c>
    </row>
    <row r="142">
      <c r="A142" s="2">
        <f>IFERROR(__xludf.DUMMYFUNCTION("""COMPUTED_VALUE"""),44309.66666666667)</f>
        <v>44309.66667</v>
      </c>
      <c r="B142" s="1">
        <f>IFERROR(__xludf.DUMMYFUNCTION("""COMPUTED_VALUE"""),41.08)</f>
        <v>41.08</v>
      </c>
    </row>
    <row r="143">
      <c r="A143" s="2">
        <f>IFERROR(__xludf.DUMMYFUNCTION("""COMPUTED_VALUE"""),44312.66666666667)</f>
        <v>44312.66667</v>
      </c>
      <c r="B143" s="1">
        <f>IFERROR(__xludf.DUMMYFUNCTION("""COMPUTED_VALUE"""),42.62)</f>
        <v>42.62</v>
      </c>
    </row>
    <row r="144">
      <c r="A144" s="2">
        <f>IFERROR(__xludf.DUMMYFUNCTION("""COMPUTED_VALUE"""),44313.66666666667)</f>
        <v>44313.66667</v>
      </c>
      <c r="B144" s="1">
        <f>IFERROR(__xludf.DUMMYFUNCTION("""COMPUTED_VALUE"""),41.21)</f>
        <v>41.21</v>
      </c>
    </row>
    <row r="145">
      <c r="A145" s="2">
        <f>IFERROR(__xludf.DUMMYFUNCTION("""COMPUTED_VALUE"""),44314.66666666667)</f>
        <v>44314.66667</v>
      </c>
      <c r="B145" s="1">
        <f>IFERROR(__xludf.DUMMYFUNCTION("""COMPUTED_VALUE"""),41.19)</f>
        <v>41.19</v>
      </c>
    </row>
    <row r="146">
      <c r="A146" s="2">
        <f>IFERROR(__xludf.DUMMYFUNCTION("""COMPUTED_VALUE"""),44315.66666666667)</f>
        <v>44315.66667</v>
      </c>
      <c r="B146" s="1">
        <f>IFERROR(__xludf.DUMMYFUNCTION("""COMPUTED_VALUE"""),38.99)</f>
        <v>38.99</v>
      </c>
    </row>
    <row r="147">
      <c r="A147" s="2">
        <f>IFERROR(__xludf.DUMMYFUNCTION("""COMPUTED_VALUE"""),44316.66666666667)</f>
        <v>44316.66667</v>
      </c>
      <c r="B147" s="1">
        <f>IFERROR(__xludf.DUMMYFUNCTION("""COMPUTED_VALUE"""),39.84)</f>
        <v>39.84</v>
      </c>
    </row>
    <row r="148">
      <c r="A148" s="2">
        <f>IFERROR(__xludf.DUMMYFUNCTION("""COMPUTED_VALUE"""),44319.66666666667)</f>
        <v>44319.66667</v>
      </c>
      <c r="B148" s="1">
        <f>IFERROR(__xludf.DUMMYFUNCTION("""COMPUTED_VALUE"""),39.54)</f>
        <v>39.54</v>
      </c>
    </row>
    <row r="149">
      <c r="A149" s="2">
        <f>IFERROR(__xludf.DUMMYFUNCTION("""COMPUTED_VALUE"""),44320.66666666667)</f>
        <v>44320.66667</v>
      </c>
      <c r="B149" s="1">
        <f>IFERROR(__xludf.DUMMYFUNCTION("""COMPUTED_VALUE"""),37.93)</f>
        <v>37.93</v>
      </c>
    </row>
    <row r="150">
      <c r="A150" s="2">
        <f>IFERROR(__xludf.DUMMYFUNCTION("""COMPUTED_VALUE"""),44321.66666666667)</f>
        <v>44321.66667</v>
      </c>
      <c r="B150" s="1">
        <f>IFERROR(__xludf.DUMMYFUNCTION("""COMPUTED_VALUE"""),37.71)</f>
        <v>37.71</v>
      </c>
    </row>
    <row r="151">
      <c r="A151" s="2">
        <f>IFERROR(__xludf.DUMMYFUNCTION("""COMPUTED_VALUE"""),44322.66666666667)</f>
        <v>44322.66667</v>
      </c>
      <c r="B151" s="1">
        <f>IFERROR(__xludf.DUMMYFUNCTION("""COMPUTED_VALUE"""),36.68)</f>
        <v>36.68</v>
      </c>
    </row>
    <row r="152">
      <c r="A152" s="2">
        <f>IFERROR(__xludf.DUMMYFUNCTION("""COMPUTED_VALUE"""),44323.66666666667)</f>
        <v>44323.66667</v>
      </c>
      <c r="B152" s="1">
        <f>IFERROR(__xludf.DUMMYFUNCTION("""COMPUTED_VALUE"""),36.94)</f>
        <v>36.94</v>
      </c>
    </row>
    <row r="153">
      <c r="A153" s="2">
        <f>IFERROR(__xludf.DUMMYFUNCTION("""COMPUTED_VALUE"""),44326.66666666667)</f>
        <v>44326.66667</v>
      </c>
      <c r="B153" s="1">
        <f>IFERROR(__xludf.DUMMYFUNCTION("""COMPUTED_VALUE"""),34.33)</f>
        <v>34.33</v>
      </c>
    </row>
    <row r="154">
      <c r="A154" s="2">
        <f>IFERROR(__xludf.DUMMYFUNCTION("""COMPUTED_VALUE"""),44327.66666666667)</f>
        <v>44327.66667</v>
      </c>
      <c r="B154" s="1">
        <f>IFERROR(__xludf.DUMMYFUNCTION("""COMPUTED_VALUE"""),34.87)</f>
        <v>34.87</v>
      </c>
    </row>
    <row r="155">
      <c r="A155" s="2">
        <f>IFERROR(__xludf.DUMMYFUNCTION("""COMPUTED_VALUE"""),44328.66666666667)</f>
        <v>44328.66667</v>
      </c>
      <c r="B155" s="1">
        <f>IFERROR(__xludf.DUMMYFUNCTION("""COMPUTED_VALUE"""),33.68)</f>
        <v>33.68</v>
      </c>
    </row>
    <row r="156">
      <c r="A156" s="2">
        <f>IFERROR(__xludf.DUMMYFUNCTION("""COMPUTED_VALUE"""),44329.66666666667)</f>
        <v>44329.66667</v>
      </c>
      <c r="B156" s="1">
        <f>IFERROR(__xludf.DUMMYFUNCTION("""COMPUTED_VALUE"""),31.22)</f>
        <v>31.22</v>
      </c>
    </row>
    <row r="157">
      <c r="A157" s="2">
        <f>IFERROR(__xludf.DUMMYFUNCTION("""COMPUTED_VALUE"""),44330.66666666667)</f>
        <v>44330.66667</v>
      </c>
      <c r="B157" s="1">
        <f>IFERROR(__xludf.DUMMYFUNCTION("""COMPUTED_VALUE"""),33.42)</f>
        <v>33.42</v>
      </c>
    </row>
    <row r="158">
      <c r="A158" s="2">
        <f>IFERROR(__xludf.DUMMYFUNCTION("""COMPUTED_VALUE"""),44333.66666666667)</f>
        <v>44333.66667</v>
      </c>
      <c r="B158" s="1">
        <f>IFERROR(__xludf.DUMMYFUNCTION("""COMPUTED_VALUE"""),33.81)</f>
        <v>33.81</v>
      </c>
    </row>
    <row r="159">
      <c r="A159" s="2">
        <f>IFERROR(__xludf.DUMMYFUNCTION("""COMPUTED_VALUE"""),44334.66666666667)</f>
        <v>44334.66667</v>
      </c>
      <c r="B159" s="1">
        <f>IFERROR(__xludf.DUMMYFUNCTION("""COMPUTED_VALUE"""),34.19)</f>
        <v>34.19</v>
      </c>
    </row>
    <row r="160">
      <c r="A160" s="2">
        <f>IFERROR(__xludf.DUMMYFUNCTION("""COMPUTED_VALUE"""),44335.66666666667)</f>
        <v>44335.66667</v>
      </c>
      <c r="B160" s="1">
        <f>IFERROR(__xludf.DUMMYFUNCTION("""COMPUTED_VALUE"""),33.46)</f>
        <v>33.46</v>
      </c>
    </row>
    <row r="161">
      <c r="A161" s="2">
        <f>IFERROR(__xludf.DUMMYFUNCTION("""COMPUTED_VALUE"""),44336.66666666667)</f>
        <v>44336.66667</v>
      </c>
      <c r="B161" s="1">
        <f>IFERROR(__xludf.DUMMYFUNCTION("""COMPUTED_VALUE"""),34.33)</f>
        <v>34.33</v>
      </c>
    </row>
    <row r="162">
      <c r="A162" s="2">
        <f>IFERROR(__xludf.DUMMYFUNCTION("""COMPUTED_VALUE"""),44337.66666666667)</f>
        <v>44337.66667</v>
      </c>
      <c r="B162" s="1">
        <f>IFERROR(__xludf.DUMMYFUNCTION("""COMPUTED_VALUE"""),34.06)</f>
        <v>34.06</v>
      </c>
    </row>
    <row r="163">
      <c r="A163" s="2">
        <f>IFERROR(__xludf.DUMMYFUNCTION("""COMPUTED_VALUE"""),44340.66666666667)</f>
        <v>44340.66667</v>
      </c>
      <c r="B163" s="1">
        <f>IFERROR(__xludf.DUMMYFUNCTION("""COMPUTED_VALUE"""),35.89)</f>
        <v>35.89</v>
      </c>
    </row>
    <row r="164">
      <c r="A164" s="2">
        <f>IFERROR(__xludf.DUMMYFUNCTION("""COMPUTED_VALUE"""),44341.66666666667)</f>
        <v>44341.66667</v>
      </c>
      <c r="B164" s="1">
        <f>IFERROR(__xludf.DUMMYFUNCTION("""COMPUTED_VALUE"""),36.07)</f>
        <v>36.07</v>
      </c>
    </row>
    <row r="165">
      <c r="A165" s="2">
        <f>IFERROR(__xludf.DUMMYFUNCTION("""COMPUTED_VALUE"""),44342.66666666667)</f>
        <v>44342.66667</v>
      </c>
      <c r="B165" s="1">
        <f>IFERROR(__xludf.DUMMYFUNCTION("""COMPUTED_VALUE"""),37.76)</f>
        <v>37.76</v>
      </c>
    </row>
    <row r="166">
      <c r="A166" s="2">
        <f>IFERROR(__xludf.DUMMYFUNCTION("""COMPUTED_VALUE"""),44343.66666666667)</f>
        <v>44343.66667</v>
      </c>
      <c r="B166" s="1">
        <f>IFERROR(__xludf.DUMMYFUNCTION("""COMPUTED_VALUE"""),38.91)</f>
        <v>38.91</v>
      </c>
    </row>
    <row r="167">
      <c r="A167" s="2">
        <f>IFERROR(__xludf.DUMMYFUNCTION("""COMPUTED_VALUE"""),44344.66666666667)</f>
        <v>44344.66667</v>
      </c>
      <c r="B167" s="1">
        <f>IFERROR(__xludf.DUMMYFUNCTION("""COMPUTED_VALUE"""),38.62)</f>
        <v>38.62</v>
      </c>
    </row>
    <row r="168">
      <c r="A168" s="2">
        <f>IFERROR(__xludf.DUMMYFUNCTION("""COMPUTED_VALUE"""),44348.66666666667)</f>
        <v>44348.66667</v>
      </c>
      <c r="B168" s="1">
        <f>IFERROR(__xludf.DUMMYFUNCTION("""COMPUTED_VALUE"""),42.34)</f>
        <v>42.34</v>
      </c>
    </row>
    <row r="169">
      <c r="A169" s="2">
        <f>IFERROR(__xludf.DUMMYFUNCTION("""COMPUTED_VALUE"""),44349.66666666667)</f>
        <v>44349.66667</v>
      </c>
      <c r="B169" s="1">
        <f>IFERROR(__xludf.DUMMYFUNCTION("""COMPUTED_VALUE"""),41.16)</f>
        <v>41.16</v>
      </c>
    </row>
    <row r="170">
      <c r="A170" s="2">
        <f>IFERROR(__xludf.DUMMYFUNCTION("""COMPUTED_VALUE"""),44350.66666666667)</f>
        <v>44350.66667</v>
      </c>
      <c r="B170" s="1">
        <f>IFERROR(__xludf.DUMMYFUNCTION("""COMPUTED_VALUE"""),40.9)</f>
        <v>40.9</v>
      </c>
    </row>
    <row r="171">
      <c r="A171" s="2">
        <f>IFERROR(__xludf.DUMMYFUNCTION("""COMPUTED_VALUE"""),44351.66666666667)</f>
        <v>44351.66667</v>
      </c>
      <c r="B171" s="1">
        <f>IFERROR(__xludf.DUMMYFUNCTION("""COMPUTED_VALUE"""),41.94)</f>
        <v>41.94</v>
      </c>
    </row>
    <row r="172">
      <c r="A172" s="2">
        <f>IFERROR(__xludf.DUMMYFUNCTION("""COMPUTED_VALUE"""),44354.66666666667)</f>
        <v>44354.66667</v>
      </c>
      <c r="B172" s="1">
        <f>IFERROR(__xludf.DUMMYFUNCTION("""COMPUTED_VALUE"""),43.68)</f>
        <v>43.68</v>
      </c>
    </row>
    <row r="173">
      <c r="A173" s="2">
        <f>IFERROR(__xludf.DUMMYFUNCTION("""COMPUTED_VALUE"""),44355.66666666667)</f>
        <v>44355.66667</v>
      </c>
      <c r="B173" s="1">
        <f>IFERROR(__xludf.DUMMYFUNCTION("""COMPUTED_VALUE"""),43.56)</f>
        <v>43.56</v>
      </c>
    </row>
    <row r="174">
      <c r="A174" s="2">
        <f>IFERROR(__xludf.DUMMYFUNCTION("""COMPUTED_VALUE"""),44356.66666666667)</f>
        <v>44356.66667</v>
      </c>
      <c r="B174" s="1">
        <f>IFERROR(__xludf.DUMMYFUNCTION("""COMPUTED_VALUE"""),42.74)</f>
        <v>42.74</v>
      </c>
    </row>
    <row r="175">
      <c r="A175" s="2">
        <f>IFERROR(__xludf.DUMMYFUNCTION("""COMPUTED_VALUE"""),44357.66666666667)</f>
        <v>44357.66667</v>
      </c>
      <c r="B175" s="1">
        <f>IFERROR(__xludf.DUMMYFUNCTION("""COMPUTED_VALUE"""),42.76)</f>
        <v>42.76</v>
      </c>
    </row>
    <row r="176">
      <c r="A176" s="2">
        <f>IFERROR(__xludf.DUMMYFUNCTION("""COMPUTED_VALUE"""),44358.66666666667)</f>
        <v>44358.66667</v>
      </c>
      <c r="B176" s="1">
        <f>IFERROR(__xludf.DUMMYFUNCTION("""COMPUTED_VALUE"""),45.68)</f>
        <v>45.68</v>
      </c>
    </row>
    <row r="177">
      <c r="A177" s="2">
        <f>IFERROR(__xludf.DUMMYFUNCTION("""COMPUTED_VALUE"""),44361.66666666667)</f>
        <v>44361.66667</v>
      </c>
      <c r="B177" s="1">
        <f>IFERROR(__xludf.DUMMYFUNCTION("""COMPUTED_VALUE"""),46.55)</f>
        <v>46.55</v>
      </c>
    </row>
    <row r="178">
      <c r="A178" s="2">
        <f>IFERROR(__xludf.DUMMYFUNCTION("""COMPUTED_VALUE"""),44362.66666666667)</f>
        <v>44362.66667</v>
      </c>
      <c r="B178" s="1">
        <f>IFERROR(__xludf.DUMMYFUNCTION("""COMPUTED_VALUE"""),45.15)</f>
        <v>45.15</v>
      </c>
    </row>
    <row r="179">
      <c r="A179" s="2">
        <f>IFERROR(__xludf.DUMMYFUNCTION("""COMPUTED_VALUE"""),44363.66666666667)</f>
        <v>44363.66667</v>
      </c>
      <c r="B179" s="1">
        <f>IFERROR(__xludf.DUMMYFUNCTION("""COMPUTED_VALUE"""),45.02)</f>
        <v>45.02</v>
      </c>
    </row>
    <row r="180">
      <c r="A180" s="2">
        <f>IFERROR(__xludf.DUMMYFUNCTION("""COMPUTED_VALUE"""),44364.66666666667)</f>
        <v>44364.66667</v>
      </c>
      <c r="B180" s="1">
        <f>IFERROR(__xludf.DUMMYFUNCTION("""COMPUTED_VALUE"""),47.36)</f>
        <v>47.36</v>
      </c>
    </row>
    <row r="181">
      <c r="A181" s="2">
        <f>IFERROR(__xludf.DUMMYFUNCTION("""COMPUTED_VALUE"""),44365.66666666667)</f>
        <v>44365.66667</v>
      </c>
      <c r="B181" s="1">
        <f>IFERROR(__xludf.DUMMYFUNCTION("""COMPUTED_VALUE"""),46.91)</f>
        <v>46.91</v>
      </c>
    </row>
    <row r="182">
      <c r="A182" s="2">
        <f>IFERROR(__xludf.DUMMYFUNCTION("""COMPUTED_VALUE"""),44368.66666666667)</f>
        <v>44368.66667</v>
      </c>
      <c r="B182" s="1">
        <f>IFERROR(__xludf.DUMMYFUNCTION("""COMPUTED_VALUE"""),46.51)</f>
        <v>46.51</v>
      </c>
    </row>
    <row r="183">
      <c r="A183" s="2">
        <f>IFERROR(__xludf.DUMMYFUNCTION("""COMPUTED_VALUE"""),44369.66666666667)</f>
        <v>44369.66667</v>
      </c>
      <c r="B183" s="1">
        <f>IFERROR(__xludf.DUMMYFUNCTION("""COMPUTED_VALUE"""),44.1)</f>
        <v>44.1</v>
      </c>
    </row>
    <row r="184">
      <c r="A184" s="2">
        <f>IFERROR(__xludf.DUMMYFUNCTION("""COMPUTED_VALUE"""),44370.66666666667)</f>
        <v>44370.66667</v>
      </c>
      <c r="B184" s="1">
        <f>IFERROR(__xludf.DUMMYFUNCTION("""COMPUTED_VALUE"""),45.41)</f>
        <v>45.41</v>
      </c>
    </row>
    <row r="185">
      <c r="A185" s="2">
        <f>IFERROR(__xludf.DUMMYFUNCTION("""COMPUTED_VALUE"""),44371.66666666667)</f>
        <v>44371.66667</v>
      </c>
      <c r="B185" s="1">
        <f>IFERROR(__xludf.DUMMYFUNCTION("""COMPUTED_VALUE"""),45.46)</f>
        <v>45.46</v>
      </c>
    </row>
    <row r="186">
      <c r="A186" s="2">
        <f>IFERROR(__xludf.DUMMYFUNCTION("""COMPUTED_VALUE"""),44372.66666666667)</f>
        <v>44372.66667</v>
      </c>
      <c r="B186" s="1">
        <f>IFERROR(__xludf.DUMMYFUNCTION("""COMPUTED_VALUE"""),45.07)</f>
        <v>45.07</v>
      </c>
    </row>
    <row r="187">
      <c r="A187" s="2">
        <f>IFERROR(__xludf.DUMMYFUNCTION("""COMPUTED_VALUE"""),44375.66666666667)</f>
        <v>44375.66667</v>
      </c>
      <c r="B187" s="1">
        <f>IFERROR(__xludf.DUMMYFUNCTION("""COMPUTED_VALUE"""),49.4)</f>
        <v>49.4</v>
      </c>
    </row>
    <row r="188">
      <c r="A188" s="2">
        <f>IFERROR(__xludf.DUMMYFUNCTION("""COMPUTED_VALUE"""),44376.66666666667)</f>
        <v>44376.66667</v>
      </c>
      <c r="B188" s="1">
        <f>IFERROR(__xludf.DUMMYFUNCTION("""COMPUTED_VALUE"""),50.34)</f>
        <v>50.34</v>
      </c>
    </row>
    <row r="189">
      <c r="A189" s="2">
        <f>IFERROR(__xludf.DUMMYFUNCTION("""COMPUTED_VALUE"""),44377.66666666667)</f>
        <v>44377.66667</v>
      </c>
      <c r="B189" s="1">
        <f>IFERROR(__xludf.DUMMYFUNCTION("""COMPUTED_VALUE"""),53.2)</f>
        <v>53.2</v>
      </c>
    </row>
    <row r="190">
      <c r="A190" s="2">
        <f>IFERROR(__xludf.DUMMYFUNCTION("""COMPUTED_VALUE"""),44378.66666666667)</f>
        <v>44378.66667</v>
      </c>
      <c r="B190" s="1">
        <f>IFERROR(__xludf.DUMMYFUNCTION("""COMPUTED_VALUE"""),50.9)</f>
        <v>50.9</v>
      </c>
    </row>
    <row r="191">
      <c r="A191" s="2">
        <f>IFERROR(__xludf.DUMMYFUNCTION("""COMPUTED_VALUE"""),44379.66666666667)</f>
        <v>44379.66667</v>
      </c>
      <c r="B191" s="1">
        <f>IFERROR(__xludf.DUMMYFUNCTION("""COMPUTED_VALUE"""),50.4)</f>
        <v>50.4</v>
      </c>
    </row>
    <row r="192">
      <c r="A192" s="2">
        <f>IFERROR(__xludf.DUMMYFUNCTION("""COMPUTED_VALUE"""),44383.66666666667)</f>
        <v>44383.66667</v>
      </c>
      <c r="B192" s="1">
        <f>IFERROR(__xludf.DUMMYFUNCTION("""COMPUTED_VALUE"""),50.29)</f>
        <v>50.29</v>
      </c>
    </row>
    <row r="193">
      <c r="A193" s="2">
        <f>IFERROR(__xludf.DUMMYFUNCTION("""COMPUTED_VALUE"""),44384.66666666667)</f>
        <v>44384.66667</v>
      </c>
      <c r="B193" s="1">
        <f>IFERROR(__xludf.DUMMYFUNCTION("""COMPUTED_VALUE"""),46.04)</f>
        <v>46.04</v>
      </c>
    </row>
    <row r="194">
      <c r="A194" s="2">
        <f>IFERROR(__xludf.DUMMYFUNCTION("""COMPUTED_VALUE"""),44385.66666666667)</f>
        <v>44385.66667</v>
      </c>
      <c r="B194" s="1">
        <f>IFERROR(__xludf.DUMMYFUNCTION("""COMPUTED_VALUE"""),45.6)</f>
        <v>45.6</v>
      </c>
    </row>
    <row r="195">
      <c r="A195" s="2">
        <f>IFERROR(__xludf.DUMMYFUNCTION("""COMPUTED_VALUE"""),44386.66666666667)</f>
        <v>44386.66667</v>
      </c>
      <c r="B195" s="1">
        <f>IFERROR(__xludf.DUMMYFUNCTION("""COMPUTED_VALUE"""),45.53)</f>
        <v>45.53</v>
      </c>
    </row>
    <row r="196">
      <c r="A196" s="2">
        <f>IFERROR(__xludf.DUMMYFUNCTION("""COMPUTED_VALUE"""),44389.66666666667)</f>
        <v>44389.66667</v>
      </c>
      <c r="B196" s="1">
        <f>IFERROR(__xludf.DUMMYFUNCTION("""COMPUTED_VALUE"""),46.34)</f>
        <v>46.34</v>
      </c>
    </row>
    <row r="197">
      <c r="A197" s="2">
        <f>IFERROR(__xludf.DUMMYFUNCTION("""COMPUTED_VALUE"""),44390.66666666667)</f>
        <v>44390.66667</v>
      </c>
      <c r="B197" s="1">
        <f>IFERROR(__xludf.DUMMYFUNCTION("""COMPUTED_VALUE"""),44.96)</f>
        <v>44.96</v>
      </c>
    </row>
    <row r="198">
      <c r="A198" s="2">
        <f>IFERROR(__xludf.DUMMYFUNCTION("""COMPUTED_VALUE"""),44391.66666666667)</f>
        <v>44391.66667</v>
      </c>
      <c r="B198" s="1">
        <f>IFERROR(__xludf.DUMMYFUNCTION("""COMPUTED_VALUE"""),43.05)</f>
        <v>43.05</v>
      </c>
    </row>
    <row r="199">
      <c r="A199" s="2">
        <f>IFERROR(__xludf.DUMMYFUNCTION("""COMPUTED_VALUE"""),44392.66666666667)</f>
        <v>44392.66667</v>
      </c>
      <c r="B199" s="1">
        <f>IFERROR(__xludf.DUMMYFUNCTION("""COMPUTED_VALUE"""),43.68)</f>
        <v>43.68</v>
      </c>
    </row>
    <row r="200">
      <c r="A200" s="2">
        <f>IFERROR(__xludf.DUMMYFUNCTION("""COMPUTED_VALUE"""),44393.66666666667)</f>
        <v>44393.66667</v>
      </c>
      <c r="B200" s="1">
        <f>IFERROR(__xludf.DUMMYFUNCTION("""COMPUTED_VALUE"""),42.8)</f>
        <v>42.8</v>
      </c>
    </row>
    <row r="201">
      <c r="A201" s="2">
        <f>IFERROR(__xludf.DUMMYFUNCTION("""COMPUTED_VALUE"""),44396.66666666667)</f>
        <v>44396.66667</v>
      </c>
      <c r="B201" s="1">
        <f>IFERROR(__xludf.DUMMYFUNCTION("""COMPUTED_VALUE"""),43.35)</f>
        <v>43.35</v>
      </c>
    </row>
    <row r="202">
      <c r="A202" s="2">
        <f>IFERROR(__xludf.DUMMYFUNCTION("""COMPUTED_VALUE"""),44397.66666666667)</f>
        <v>44397.66667</v>
      </c>
      <c r="B202" s="1">
        <f>IFERROR(__xludf.DUMMYFUNCTION("""COMPUTED_VALUE"""),44.17)</f>
        <v>44.17</v>
      </c>
    </row>
    <row r="203">
      <c r="A203" s="2">
        <f>IFERROR(__xludf.DUMMYFUNCTION("""COMPUTED_VALUE"""),44398.66666666667)</f>
        <v>44398.66667</v>
      </c>
      <c r="B203" s="1">
        <f>IFERROR(__xludf.DUMMYFUNCTION("""COMPUTED_VALUE"""),46.77)</f>
        <v>46.77</v>
      </c>
    </row>
    <row r="204">
      <c r="A204" s="2">
        <f>IFERROR(__xludf.DUMMYFUNCTION("""COMPUTED_VALUE"""),44399.66666666667)</f>
        <v>44399.66667</v>
      </c>
      <c r="B204" s="1">
        <f>IFERROR(__xludf.DUMMYFUNCTION("""COMPUTED_VALUE"""),46.07)</f>
        <v>46.07</v>
      </c>
    </row>
    <row r="205">
      <c r="A205" s="2">
        <f>IFERROR(__xludf.DUMMYFUNCTION("""COMPUTED_VALUE"""),44400.66666666667)</f>
        <v>44400.66667</v>
      </c>
      <c r="B205" s="1">
        <f>IFERROR(__xludf.DUMMYFUNCTION("""COMPUTED_VALUE"""),43.99)</f>
        <v>43.99</v>
      </c>
    </row>
    <row r="206">
      <c r="A206" s="2">
        <f>IFERROR(__xludf.DUMMYFUNCTION("""COMPUTED_VALUE"""),44403.66666666667)</f>
        <v>44403.66667</v>
      </c>
      <c r="B206" s="1">
        <f>IFERROR(__xludf.DUMMYFUNCTION("""COMPUTED_VALUE"""),43.17)</f>
        <v>43.17</v>
      </c>
    </row>
    <row r="207">
      <c r="A207" s="2">
        <f>IFERROR(__xludf.DUMMYFUNCTION("""COMPUTED_VALUE"""),44404.66666666667)</f>
        <v>44404.66667</v>
      </c>
      <c r="B207" s="1">
        <f>IFERROR(__xludf.DUMMYFUNCTION("""COMPUTED_VALUE"""),39.36)</f>
        <v>39.36</v>
      </c>
    </row>
    <row r="208">
      <c r="A208" s="2">
        <f>IFERROR(__xludf.DUMMYFUNCTION("""COMPUTED_VALUE"""),44405.66666666667)</f>
        <v>44405.66667</v>
      </c>
      <c r="B208" s="1">
        <f>IFERROR(__xludf.DUMMYFUNCTION("""COMPUTED_VALUE"""),41.84)</f>
        <v>41.84</v>
      </c>
    </row>
    <row r="209">
      <c r="A209" s="2">
        <f>IFERROR(__xludf.DUMMYFUNCTION("""COMPUTED_VALUE"""),44406.66666666667)</f>
        <v>44406.66667</v>
      </c>
      <c r="B209" s="1">
        <f>IFERROR(__xludf.DUMMYFUNCTION("""COMPUTED_VALUE"""),42.62)</f>
        <v>42.62</v>
      </c>
    </row>
    <row r="210">
      <c r="A210" s="2">
        <f>IFERROR(__xludf.DUMMYFUNCTION("""COMPUTED_VALUE"""),44407.66666666667)</f>
        <v>44407.66667</v>
      </c>
      <c r="B210" s="1">
        <f>IFERROR(__xludf.DUMMYFUNCTION("""COMPUTED_VALUE"""),44.68)</f>
        <v>44.68</v>
      </c>
    </row>
    <row r="211">
      <c r="A211" s="2">
        <f>IFERROR(__xludf.DUMMYFUNCTION("""COMPUTED_VALUE"""),44410.66666666667)</f>
        <v>44410.66667</v>
      </c>
      <c r="B211" s="1">
        <f>IFERROR(__xludf.DUMMYFUNCTION("""COMPUTED_VALUE"""),45.85)</f>
        <v>45.85</v>
      </c>
    </row>
    <row r="212">
      <c r="A212" s="2">
        <f>IFERROR(__xludf.DUMMYFUNCTION("""COMPUTED_VALUE"""),44411.66666666667)</f>
        <v>44411.66667</v>
      </c>
      <c r="B212" s="1">
        <f>IFERROR(__xludf.DUMMYFUNCTION("""COMPUTED_VALUE"""),44.57)</f>
        <v>44.57</v>
      </c>
    </row>
    <row r="213">
      <c r="A213" s="2">
        <f>IFERROR(__xludf.DUMMYFUNCTION("""COMPUTED_VALUE"""),44412.66666666667)</f>
        <v>44412.66667</v>
      </c>
      <c r="B213" s="1">
        <f>IFERROR(__xludf.DUMMYFUNCTION("""COMPUTED_VALUE"""),45.09)</f>
        <v>45.09</v>
      </c>
    </row>
    <row r="214">
      <c r="A214" s="2">
        <f>IFERROR(__xludf.DUMMYFUNCTION("""COMPUTED_VALUE"""),44413.66666666667)</f>
        <v>44413.66667</v>
      </c>
      <c r="B214" s="1">
        <f>IFERROR(__xludf.DUMMYFUNCTION("""COMPUTED_VALUE"""),45.6)</f>
        <v>45.6</v>
      </c>
    </row>
    <row r="215">
      <c r="A215" s="2">
        <f>IFERROR(__xludf.DUMMYFUNCTION("""COMPUTED_VALUE"""),44414.66666666667)</f>
        <v>44414.66667</v>
      </c>
      <c r="B215" s="1">
        <f>IFERROR(__xludf.DUMMYFUNCTION("""COMPUTED_VALUE"""),43.84)</f>
        <v>43.84</v>
      </c>
    </row>
    <row r="216">
      <c r="A216" s="2">
        <f>IFERROR(__xludf.DUMMYFUNCTION("""COMPUTED_VALUE"""),44417.66666666667)</f>
        <v>44417.66667</v>
      </c>
      <c r="B216" s="1">
        <f>IFERROR(__xludf.DUMMYFUNCTION("""COMPUTED_VALUE"""),45.21)</f>
        <v>45.21</v>
      </c>
    </row>
    <row r="217">
      <c r="A217" s="2">
        <f>IFERROR(__xludf.DUMMYFUNCTION("""COMPUTED_VALUE"""),44418.66666666667)</f>
        <v>44418.66667</v>
      </c>
      <c r="B217" s="1">
        <f>IFERROR(__xludf.DUMMYFUNCTION("""COMPUTED_VALUE"""),44.22)</f>
        <v>44.22</v>
      </c>
    </row>
    <row r="218">
      <c r="A218" s="2">
        <f>IFERROR(__xludf.DUMMYFUNCTION("""COMPUTED_VALUE"""),44419.66666666667)</f>
        <v>44419.66667</v>
      </c>
      <c r="B218" s="1">
        <f>IFERROR(__xludf.DUMMYFUNCTION("""COMPUTED_VALUE"""),43.97)</f>
        <v>43.97</v>
      </c>
    </row>
    <row r="219">
      <c r="A219" s="2">
        <f>IFERROR(__xludf.DUMMYFUNCTION("""COMPUTED_VALUE"""),44420.66666666667)</f>
        <v>44420.66667</v>
      </c>
      <c r="B219" s="1">
        <f>IFERROR(__xludf.DUMMYFUNCTION("""COMPUTED_VALUE"""),42.47)</f>
        <v>42.47</v>
      </c>
    </row>
    <row r="220">
      <c r="A220" s="2">
        <f>IFERROR(__xludf.DUMMYFUNCTION("""COMPUTED_VALUE"""),44421.66666666667)</f>
        <v>44421.66667</v>
      </c>
      <c r="B220" s="1">
        <f>IFERROR(__xludf.DUMMYFUNCTION("""COMPUTED_VALUE"""),41.03)</f>
        <v>41.03</v>
      </c>
    </row>
    <row r="221">
      <c r="A221" s="2">
        <f>IFERROR(__xludf.DUMMYFUNCTION("""COMPUTED_VALUE"""),44424.66666666667)</f>
        <v>44424.66667</v>
      </c>
      <c r="B221" s="1">
        <f>IFERROR(__xludf.DUMMYFUNCTION("""COMPUTED_VALUE"""),38.62)</f>
        <v>38.62</v>
      </c>
    </row>
    <row r="222">
      <c r="A222" s="2">
        <f>IFERROR(__xludf.DUMMYFUNCTION("""COMPUTED_VALUE"""),44425.66666666667)</f>
        <v>44425.66667</v>
      </c>
      <c r="B222" s="1">
        <f>IFERROR(__xludf.DUMMYFUNCTION("""COMPUTED_VALUE"""),38.1)</f>
        <v>38.1</v>
      </c>
    </row>
    <row r="223">
      <c r="A223" s="2">
        <f>IFERROR(__xludf.DUMMYFUNCTION("""COMPUTED_VALUE"""),44426.66666666667)</f>
        <v>44426.66667</v>
      </c>
      <c r="B223" s="1">
        <f>IFERROR(__xludf.DUMMYFUNCTION("""COMPUTED_VALUE"""),38.86)</f>
        <v>38.86</v>
      </c>
    </row>
    <row r="224">
      <c r="A224" s="2">
        <f>IFERROR(__xludf.DUMMYFUNCTION("""COMPUTED_VALUE"""),44427.66666666667)</f>
        <v>44427.66667</v>
      </c>
      <c r="B224" s="1">
        <f>IFERROR(__xludf.DUMMYFUNCTION("""COMPUTED_VALUE"""),36.29)</f>
        <v>36.29</v>
      </c>
    </row>
    <row r="225">
      <c r="A225" s="2">
        <f>IFERROR(__xludf.DUMMYFUNCTION("""COMPUTED_VALUE"""),44428.66666666667)</f>
        <v>44428.66667</v>
      </c>
      <c r="B225" s="1">
        <f>IFERROR(__xludf.DUMMYFUNCTION("""COMPUTED_VALUE"""),36.92)</f>
        <v>36.92</v>
      </c>
    </row>
    <row r="226">
      <c r="A226" s="2">
        <f>IFERROR(__xludf.DUMMYFUNCTION("""COMPUTED_VALUE"""),44431.66666666667)</f>
        <v>44431.66667</v>
      </c>
      <c r="B226" s="1">
        <f>IFERROR(__xludf.DUMMYFUNCTION("""COMPUTED_VALUE"""),38.17)</f>
        <v>38.17</v>
      </c>
    </row>
    <row r="227">
      <c r="A227" s="2">
        <f>IFERROR(__xludf.DUMMYFUNCTION("""COMPUTED_VALUE"""),44432.66666666667)</f>
        <v>44432.66667</v>
      </c>
      <c r="B227" s="1">
        <f>IFERROR(__xludf.DUMMYFUNCTION("""COMPUTED_VALUE"""),38.94)</f>
        <v>38.94</v>
      </c>
    </row>
    <row r="228">
      <c r="A228" s="2">
        <f>IFERROR(__xludf.DUMMYFUNCTION("""COMPUTED_VALUE"""),44433.66666666667)</f>
        <v>44433.66667</v>
      </c>
      <c r="B228" s="1">
        <f>IFERROR(__xludf.DUMMYFUNCTION("""COMPUTED_VALUE"""),38.95)</f>
        <v>38.95</v>
      </c>
    </row>
    <row r="229">
      <c r="A229" s="2">
        <f>IFERROR(__xludf.DUMMYFUNCTION("""COMPUTED_VALUE"""),44434.66666666667)</f>
        <v>44434.66667</v>
      </c>
      <c r="B229" s="1">
        <f>IFERROR(__xludf.DUMMYFUNCTION("""COMPUTED_VALUE"""),38.26)</f>
        <v>38.26</v>
      </c>
    </row>
    <row r="230">
      <c r="A230" s="2">
        <f>IFERROR(__xludf.DUMMYFUNCTION("""COMPUTED_VALUE"""),44435.66666666667)</f>
        <v>44435.66667</v>
      </c>
      <c r="B230" s="1">
        <f>IFERROR(__xludf.DUMMYFUNCTION("""COMPUTED_VALUE"""),38.05)</f>
        <v>38.05</v>
      </c>
    </row>
    <row r="231">
      <c r="A231" s="2">
        <f>IFERROR(__xludf.DUMMYFUNCTION("""COMPUTED_VALUE"""),44438.66666666667)</f>
        <v>44438.66667</v>
      </c>
      <c r="B231" s="1">
        <f>IFERROR(__xludf.DUMMYFUNCTION("""COMPUTED_VALUE"""),37.8)</f>
        <v>37.8</v>
      </c>
    </row>
    <row r="232">
      <c r="A232" s="2">
        <f>IFERROR(__xludf.DUMMYFUNCTION("""COMPUTED_VALUE"""),44439.66666666667)</f>
        <v>44439.66667</v>
      </c>
      <c r="B232" s="1">
        <f>IFERROR(__xludf.DUMMYFUNCTION("""COMPUTED_VALUE"""),39.31)</f>
        <v>39.31</v>
      </c>
    </row>
    <row r="233">
      <c r="A233" s="2">
        <f>IFERROR(__xludf.DUMMYFUNCTION("""COMPUTED_VALUE"""),44440.66666666667)</f>
        <v>44440.66667</v>
      </c>
      <c r="B233" s="1">
        <f>IFERROR(__xludf.DUMMYFUNCTION("""COMPUTED_VALUE"""),39.08)</f>
        <v>39.08</v>
      </c>
    </row>
    <row r="234">
      <c r="A234" s="2">
        <f>IFERROR(__xludf.DUMMYFUNCTION("""COMPUTED_VALUE"""),44441.66666666667)</f>
        <v>44441.66667</v>
      </c>
      <c r="B234" s="1">
        <f>IFERROR(__xludf.DUMMYFUNCTION("""COMPUTED_VALUE"""),40.35)</f>
        <v>40.35</v>
      </c>
    </row>
    <row r="235">
      <c r="A235" s="2">
        <f>IFERROR(__xludf.DUMMYFUNCTION("""COMPUTED_VALUE"""),44442.66666666667)</f>
        <v>44442.66667</v>
      </c>
      <c r="B235" s="1">
        <f>IFERROR(__xludf.DUMMYFUNCTION("""COMPUTED_VALUE"""),40.37)</f>
        <v>40.37</v>
      </c>
    </row>
    <row r="236">
      <c r="A236" s="2">
        <f>IFERROR(__xludf.DUMMYFUNCTION("""COMPUTED_VALUE"""),44446.66666666667)</f>
        <v>44446.66667</v>
      </c>
      <c r="B236" s="1">
        <f>IFERROR(__xludf.DUMMYFUNCTION("""COMPUTED_VALUE"""),40.59)</f>
        <v>40.59</v>
      </c>
    </row>
    <row r="237">
      <c r="A237" s="2">
        <f>IFERROR(__xludf.DUMMYFUNCTION("""COMPUTED_VALUE"""),44447.66666666667)</f>
        <v>44447.66667</v>
      </c>
      <c r="B237" s="1">
        <f>IFERROR(__xludf.DUMMYFUNCTION("""COMPUTED_VALUE"""),38.14)</f>
        <v>38.14</v>
      </c>
    </row>
    <row r="238">
      <c r="A238" s="2">
        <f>IFERROR(__xludf.DUMMYFUNCTION("""COMPUTED_VALUE"""),44448.66666666667)</f>
        <v>44448.66667</v>
      </c>
      <c r="B238" s="1">
        <f>IFERROR(__xludf.DUMMYFUNCTION("""COMPUTED_VALUE"""),38.45)</f>
        <v>38.45</v>
      </c>
    </row>
    <row r="239">
      <c r="A239" s="2">
        <f>IFERROR(__xludf.DUMMYFUNCTION("""COMPUTED_VALUE"""),44449.66666666667)</f>
        <v>44449.66667</v>
      </c>
      <c r="B239" s="1">
        <f>IFERROR(__xludf.DUMMYFUNCTION("""COMPUTED_VALUE"""),37.98)</f>
        <v>37.98</v>
      </c>
    </row>
    <row r="240">
      <c r="A240" s="2">
        <f>IFERROR(__xludf.DUMMYFUNCTION("""COMPUTED_VALUE"""),44452.66666666667)</f>
        <v>44452.66667</v>
      </c>
      <c r="B240" s="1">
        <f>IFERROR(__xludf.DUMMYFUNCTION("""COMPUTED_VALUE"""),38.39)</f>
        <v>38.39</v>
      </c>
    </row>
    <row r="241">
      <c r="A241" s="2">
        <f>IFERROR(__xludf.DUMMYFUNCTION("""COMPUTED_VALUE"""),44453.66666666667)</f>
        <v>44453.66667</v>
      </c>
      <c r="B241" s="1">
        <f>IFERROR(__xludf.DUMMYFUNCTION("""COMPUTED_VALUE"""),37.89)</f>
        <v>37.89</v>
      </c>
    </row>
    <row r="242">
      <c r="A242" s="2">
        <f>IFERROR(__xludf.DUMMYFUNCTION("""COMPUTED_VALUE"""),44454.66666666667)</f>
        <v>44454.66667</v>
      </c>
      <c r="B242" s="1">
        <f>IFERROR(__xludf.DUMMYFUNCTION("""COMPUTED_VALUE"""),38.03)</f>
        <v>38.03</v>
      </c>
    </row>
    <row r="243">
      <c r="A243" s="2">
        <f>IFERROR(__xludf.DUMMYFUNCTION("""COMPUTED_VALUE"""),44455.66666666667)</f>
        <v>44455.66667</v>
      </c>
      <c r="B243" s="1">
        <f>IFERROR(__xludf.DUMMYFUNCTION("""COMPUTED_VALUE"""),37.09)</f>
        <v>37.09</v>
      </c>
    </row>
    <row r="244">
      <c r="A244" s="2">
        <f>IFERROR(__xludf.DUMMYFUNCTION("""COMPUTED_VALUE"""),44456.66666666667)</f>
        <v>44456.66667</v>
      </c>
      <c r="B244" s="1">
        <f>IFERROR(__xludf.DUMMYFUNCTION("""COMPUTED_VALUE"""),37.51)</f>
        <v>37.51</v>
      </c>
    </row>
    <row r="245">
      <c r="A245" s="2">
        <f>IFERROR(__xludf.DUMMYFUNCTION("""COMPUTED_VALUE"""),44459.66666666667)</f>
        <v>44459.66667</v>
      </c>
      <c r="B245" s="1">
        <f>IFERROR(__xludf.DUMMYFUNCTION("""COMPUTED_VALUE"""),35.17)</f>
        <v>35.17</v>
      </c>
    </row>
    <row r="246">
      <c r="A246" s="2">
        <f>IFERROR(__xludf.DUMMYFUNCTION("""COMPUTED_VALUE"""),44460.66666666667)</f>
        <v>44460.66667</v>
      </c>
      <c r="B246" s="1">
        <f>IFERROR(__xludf.DUMMYFUNCTION("""COMPUTED_VALUE"""),34.9)</f>
        <v>34.9</v>
      </c>
    </row>
    <row r="247">
      <c r="A247" s="2">
        <f>IFERROR(__xludf.DUMMYFUNCTION("""COMPUTED_VALUE"""),44461.66666666667)</f>
        <v>44461.66667</v>
      </c>
      <c r="B247" s="1">
        <f>IFERROR(__xludf.DUMMYFUNCTION("""COMPUTED_VALUE"""),35.7)</f>
        <v>35.7</v>
      </c>
    </row>
    <row r="248">
      <c r="A248" s="2">
        <f>IFERROR(__xludf.DUMMYFUNCTION("""COMPUTED_VALUE"""),44462.66666666667)</f>
        <v>44462.66667</v>
      </c>
      <c r="B248" s="1">
        <f>IFERROR(__xludf.DUMMYFUNCTION("""COMPUTED_VALUE"""),36.01)</f>
        <v>36.01</v>
      </c>
    </row>
    <row r="249">
      <c r="A249" s="2">
        <f>IFERROR(__xludf.DUMMYFUNCTION("""COMPUTED_VALUE"""),44463.66666666667)</f>
        <v>44463.66667</v>
      </c>
      <c r="B249" s="1">
        <f>IFERROR(__xludf.DUMMYFUNCTION("""COMPUTED_VALUE"""),35.38)</f>
        <v>35.38</v>
      </c>
    </row>
    <row r="250">
      <c r="A250" s="2">
        <f>IFERROR(__xludf.DUMMYFUNCTION("""COMPUTED_VALUE"""),44466.66666666667)</f>
        <v>44466.66667</v>
      </c>
      <c r="B250" s="1">
        <f>IFERROR(__xludf.DUMMYFUNCTION("""COMPUTED_VALUE"""),36.77)</f>
        <v>36.77</v>
      </c>
    </row>
    <row r="251">
      <c r="A251" s="2">
        <f>IFERROR(__xludf.DUMMYFUNCTION("""COMPUTED_VALUE"""),44467.66666666667)</f>
        <v>44467.66667</v>
      </c>
      <c r="B251" s="1">
        <f>IFERROR(__xludf.DUMMYFUNCTION("""COMPUTED_VALUE"""),35.05)</f>
        <v>35.05</v>
      </c>
    </row>
    <row r="252">
      <c r="A252" s="2">
        <f>IFERROR(__xludf.DUMMYFUNCTION("""COMPUTED_VALUE"""),44468.66666666667)</f>
        <v>44468.66667</v>
      </c>
      <c r="B252" s="1">
        <f>IFERROR(__xludf.DUMMYFUNCTION("""COMPUTED_VALUE"""),35.13)</f>
        <v>35.13</v>
      </c>
    </row>
    <row r="253">
      <c r="A253" s="2">
        <f>IFERROR(__xludf.DUMMYFUNCTION("""COMPUTED_VALUE"""),44469.66666666667)</f>
        <v>44469.66667</v>
      </c>
      <c r="B253" s="1">
        <f>IFERROR(__xludf.DUMMYFUNCTION("""COMPUTED_VALUE"""),35.63)</f>
        <v>35.63</v>
      </c>
    </row>
    <row r="254">
      <c r="A254" s="2">
        <f>IFERROR(__xludf.DUMMYFUNCTION("""COMPUTED_VALUE"""),44470.66666666667)</f>
        <v>44470.66667</v>
      </c>
      <c r="B254" s="1">
        <f>IFERROR(__xludf.DUMMYFUNCTION("""COMPUTED_VALUE"""),35.38)</f>
        <v>35.38</v>
      </c>
    </row>
    <row r="255">
      <c r="A255" s="2">
        <f>IFERROR(__xludf.DUMMYFUNCTION("""COMPUTED_VALUE"""),44473.66666666667)</f>
        <v>44473.66667</v>
      </c>
      <c r="B255" s="1">
        <f>IFERROR(__xludf.DUMMYFUNCTION("""COMPUTED_VALUE"""),33.4)</f>
        <v>33.4</v>
      </c>
    </row>
    <row r="256">
      <c r="A256" s="2">
        <f>IFERROR(__xludf.DUMMYFUNCTION("""COMPUTED_VALUE"""),44474.66666666667)</f>
        <v>44474.66667</v>
      </c>
      <c r="B256" s="1">
        <f>IFERROR(__xludf.DUMMYFUNCTION("""COMPUTED_VALUE"""),33.87)</f>
        <v>33.87</v>
      </c>
    </row>
    <row r="257">
      <c r="A257" s="2">
        <f>IFERROR(__xludf.DUMMYFUNCTION("""COMPUTED_VALUE"""),44475.66666666667)</f>
        <v>44475.66667</v>
      </c>
      <c r="B257" s="1">
        <f>IFERROR(__xludf.DUMMYFUNCTION("""COMPUTED_VALUE"""),33.66)</f>
        <v>33.66</v>
      </c>
    </row>
    <row r="258">
      <c r="A258" s="2">
        <f>IFERROR(__xludf.DUMMYFUNCTION("""COMPUTED_VALUE"""),44476.66666666667)</f>
        <v>44476.66667</v>
      </c>
      <c r="B258" s="1">
        <f>IFERROR(__xludf.DUMMYFUNCTION("""COMPUTED_VALUE"""),35.99)</f>
        <v>35.99</v>
      </c>
    </row>
    <row r="259">
      <c r="A259" s="2">
        <f>IFERROR(__xludf.DUMMYFUNCTION("""COMPUTED_VALUE"""),44477.66666666667)</f>
        <v>44477.66667</v>
      </c>
      <c r="B259" s="1">
        <f>IFERROR(__xludf.DUMMYFUNCTION("""COMPUTED_VALUE"""),35.83)</f>
        <v>35.83</v>
      </c>
    </row>
    <row r="260">
      <c r="A260" s="2">
        <f>IFERROR(__xludf.DUMMYFUNCTION("""COMPUTED_VALUE"""),44480.66666666667)</f>
        <v>44480.66667</v>
      </c>
      <c r="B260" s="1">
        <f>IFERROR(__xludf.DUMMYFUNCTION("""COMPUTED_VALUE"""),35.64)</f>
        <v>35.64</v>
      </c>
    </row>
    <row r="261">
      <c r="A261" s="2">
        <f>IFERROR(__xludf.DUMMYFUNCTION("""COMPUTED_VALUE"""),44481.66666666667)</f>
        <v>44481.66667</v>
      </c>
      <c r="B261" s="1">
        <f>IFERROR(__xludf.DUMMYFUNCTION("""COMPUTED_VALUE"""),35.51)</f>
        <v>35.51</v>
      </c>
    </row>
    <row r="262">
      <c r="A262" s="2">
        <f>IFERROR(__xludf.DUMMYFUNCTION("""COMPUTED_VALUE"""),44482.66666666667)</f>
        <v>44482.66667</v>
      </c>
      <c r="B262" s="1">
        <f>IFERROR(__xludf.DUMMYFUNCTION("""COMPUTED_VALUE"""),36.24)</f>
        <v>36.24</v>
      </c>
    </row>
    <row r="263">
      <c r="A263" s="2">
        <f>IFERROR(__xludf.DUMMYFUNCTION("""COMPUTED_VALUE"""),44483.66666666667)</f>
        <v>44483.66667</v>
      </c>
      <c r="B263" s="1">
        <f>IFERROR(__xludf.DUMMYFUNCTION("""COMPUTED_VALUE"""),36.28)</f>
        <v>36.28</v>
      </c>
    </row>
    <row r="264">
      <c r="A264" s="2">
        <f>IFERROR(__xludf.DUMMYFUNCTION("""COMPUTED_VALUE"""),44484.66666666667)</f>
        <v>44484.66667</v>
      </c>
      <c r="B264" s="1">
        <f>IFERROR(__xludf.DUMMYFUNCTION("""COMPUTED_VALUE"""),37.71)</f>
        <v>37.71</v>
      </c>
    </row>
    <row r="265">
      <c r="A265" s="2">
        <f>IFERROR(__xludf.DUMMYFUNCTION("""COMPUTED_VALUE"""),44487.66666666667)</f>
        <v>44487.66667</v>
      </c>
      <c r="B265" s="1">
        <f>IFERROR(__xludf.DUMMYFUNCTION("""COMPUTED_VALUE"""),39.61)</f>
        <v>39.61</v>
      </c>
    </row>
    <row r="266">
      <c r="A266" s="2">
        <f>IFERROR(__xludf.DUMMYFUNCTION("""COMPUTED_VALUE"""),44488.66666666667)</f>
        <v>44488.66667</v>
      </c>
      <c r="B266" s="1">
        <f>IFERROR(__xludf.DUMMYFUNCTION("""COMPUTED_VALUE"""),40.03)</f>
        <v>40.03</v>
      </c>
    </row>
    <row r="267">
      <c r="A267" s="2">
        <f>IFERROR(__xludf.DUMMYFUNCTION("""COMPUTED_VALUE"""),44489.66666666667)</f>
        <v>44489.66667</v>
      </c>
      <c r="B267" s="1">
        <f>IFERROR(__xludf.DUMMYFUNCTION("""COMPUTED_VALUE"""),39.78)</f>
        <v>39.78</v>
      </c>
    </row>
    <row r="268">
      <c r="A268" s="2">
        <f>IFERROR(__xludf.DUMMYFUNCTION("""COMPUTED_VALUE"""),44490.66666666667)</f>
        <v>44490.66667</v>
      </c>
      <c r="B268" s="1">
        <f>IFERROR(__xludf.DUMMYFUNCTION("""COMPUTED_VALUE"""),39.97)</f>
        <v>39.97</v>
      </c>
    </row>
    <row r="269">
      <c r="A269" s="2">
        <f>IFERROR(__xludf.DUMMYFUNCTION("""COMPUTED_VALUE"""),44491.66666666667)</f>
        <v>44491.66667</v>
      </c>
      <c r="B269" s="1">
        <f>IFERROR(__xludf.DUMMYFUNCTION("""COMPUTED_VALUE"""),38.88)</f>
        <v>38.88</v>
      </c>
    </row>
    <row r="270">
      <c r="A270" s="2">
        <f>IFERROR(__xludf.DUMMYFUNCTION("""COMPUTED_VALUE"""),44494.66666666667)</f>
        <v>44494.66667</v>
      </c>
      <c r="B270" s="1">
        <f>IFERROR(__xludf.DUMMYFUNCTION("""COMPUTED_VALUE"""),41.27)</f>
        <v>41.27</v>
      </c>
    </row>
    <row r="271">
      <c r="A271" s="2">
        <f>IFERROR(__xludf.DUMMYFUNCTION("""COMPUTED_VALUE"""),44495.66666666667)</f>
        <v>44495.66667</v>
      </c>
      <c r="B271" s="1">
        <f>IFERROR(__xludf.DUMMYFUNCTION("""COMPUTED_VALUE"""),40.47)</f>
        <v>40.47</v>
      </c>
    </row>
    <row r="272">
      <c r="A272" s="2">
        <f>IFERROR(__xludf.DUMMYFUNCTION("""COMPUTED_VALUE"""),44496.66666666667)</f>
        <v>44496.66667</v>
      </c>
      <c r="B272" s="1">
        <f>IFERROR(__xludf.DUMMYFUNCTION("""COMPUTED_VALUE"""),39.31)</f>
        <v>39.31</v>
      </c>
    </row>
    <row r="273">
      <c r="A273" s="2">
        <f>IFERROR(__xludf.DUMMYFUNCTION("""COMPUTED_VALUE"""),44497.66666666667)</f>
        <v>44497.66667</v>
      </c>
      <c r="B273" s="1">
        <f>IFERROR(__xludf.DUMMYFUNCTION("""COMPUTED_VALUE"""),40.79)</f>
        <v>40.79</v>
      </c>
    </row>
    <row r="274">
      <c r="A274" s="2">
        <f>IFERROR(__xludf.DUMMYFUNCTION("""COMPUTED_VALUE"""),44498.66666666667)</f>
        <v>44498.66667</v>
      </c>
      <c r="B274" s="1">
        <f>IFERROR(__xludf.DUMMYFUNCTION("""COMPUTED_VALUE"""),39.41)</f>
        <v>39.41</v>
      </c>
    </row>
    <row r="275">
      <c r="A275" s="2">
        <f>IFERROR(__xludf.DUMMYFUNCTION("""COMPUTED_VALUE"""),44501.66666666667)</f>
        <v>44501.66667</v>
      </c>
      <c r="B275" s="1">
        <f>IFERROR(__xludf.DUMMYFUNCTION("""COMPUTED_VALUE"""),40.84)</f>
        <v>40.84</v>
      </c>
    </row>
    <row r="276">
      <c r="A276" s="2">
        <f>IFERROR(__xludf.DUMMYFUNCTION("""COMPUTED_VALUE"""),44502.66666666667)</f>
        <v>44502.66667</v>
      </c>
      <c r="B276" s="1">
        <f>IFERROR(__xludf.DUMMYFUNCTION("""COMPUTED_VALUE"""),41.3)</f>
        <v>41.3</v>
      </c>
    </row>
    <row r="277">
      <c r="A277" s="2">
        <f>IFERROR(__xludf.DUMMYFUNCTION("""COMPUTED_VALUE"""),44503.66666666667)</f>
        <v>44503.66667</v>
      </c>
      <c r="B277" s="1">
        <f>IFERROR(__xludf.DUMMYFUNCTION("""COMPUTED_VALUE"""),41.5)</f>
        <v>41.5</v>
      </c>
    </row>
    <row r="278">
      <c r="A278" s="2">
        <f>IFERROR(__xludf.DUMMYFUNCTION("""COMPUTED_VALUE"""),44504.66666666667)</f>
        <v>44504.66667</v>
      </c>
      <c r="B278" s="1">
        <f>IFERROR(__xludf.DUMMYFUNCTION("""COMPUTED_VALUE"""),43.12)</f>
        <v>43.12</v>
      </c>
    </row>
    <row r="279">
      <c r="A279" s="2">
        <f>IFERROR(__xludf.DUMMYFUNCTION("""COMPUTED_VALUE"""),44505.66666666667)</f>
        <v>44505.66667</v>
      </c>
      <c r="B279" s="1">
        <f>IFERROR(__xludf.DUMMYFUNCTION("""COMPUTED_VALUE"""),42.29)</f>
        <v>42.29</v>
      </c>
    </row>
    <row r="280">
      <c r="A280" s="2">
        <f>IFERROR(__xludf.DUMMYFUNCTION("""COMPUTED_VALUE"""),44508.66666666667)</f>
        <v>44508.66667</v>
      </c>
      <c r="B280" s="1">
        <f>IFERROR(__xludf.DUMMYFUNCTION("""COMPUTED_VALUE"""),43.2)</f>
        <v>43.2</v>
      </c>
    </row>
    <row r="281">
      <c r="A281" s="2">
        <f>IFERROR(__xludf.DUMMYFUNCTION("""COMPUTED_VALUE"""),44509.66666666667)</f>
        <v>44509.66667</v>
      </c>
      <c r="B281" s="1">
        <f>IFERROR(__xludf.DUMMYFUNCTION("""COMPUTED_VALUE"""),40.64)</f>
        <v>40.64</v>
      </c>
    </row>
    <row r="282">
      <c r="A282" s="2">
        <f>IFERROR(__xludf.DUMMYFUNCTION("""COMPUTED_VALUE"""),44510.66666666667)</f>
        <v>44510.66667</v>
      </c>
      <c r="B282" s="1">
        <f>IFERROR(__xludf.DUMMYFUNCTION("""COMPUTED_VALUE"""),39.55)</f>
        <v>39.55</v>
      </c>
    </row>
    <row r="283">
      <c r="A283" s="2">
        <f>IFERROR(__xludf.DUMMYFUNCTION("""COMPUTED_VALUE"""),44511.66666666667)</f>
        <v>44511.66667</v>
      </c>
      <c r="B283" s="1">
        <f>IFERROR(__xludf.DUMMYFUNCTION("""COMPUTED_VALUE"""),42.2)</f>
        <v>42.2</v>
      </c>
    </row>
    <row r="284">
      <c r="A284" s="2">
        <f>IFERROR(__xludf.DUMMYFUNCTION("""COMPUTED_VALUE"""),44512.66666666667)</f>
        <v>44512.66667</v>
      </c>
      <c r="B284" s="1">
        <f>IFERROR(__xludf.DUMMYFUNCTION("""COMPUTED_VALUE"""),42.67)</f>
        <v>42.67</v>
      </c>
    </row>
    <row r="285">
      <c r="A285" s="2">
        <f>IFERROR(__xludf.DUMMYFUNCTION("""COMPUTED_VALUE"""),44515.66666666667)</f>
        <v>44515.66667</v>
      </c>
      <c r="B285" s="1">
        <f>IFERROR(__xludf.DUMMYFUNCTION("""COMPUTED_VALUE"""),40.57)</f>
        <v>40.57</v>
      </c>
    </row>
    <row r="286">
      <c r="A286" s="2">
        <f>IFERROR(__xludf.DUMMYFUNCTION("""COMPUTED_VALUE"""),44516.66666666667)</f>
        <v>44516.66667</v>
      </c>
      <c r="B286" s="1">
        <f>IFERROR(__xludf.DUMMYFUNCTION("""COMPUTED_VALUE"""),40.67)</f>
        <v>40.67</v>
      </c>
    </row>
    <row r="287">
      <c r="A287" s="2">
        <f>IFERROR(__xludf.DUMMYFUNCTION("""COMPUTED_VALUE"""),44517.66666666667)</f>
        <v>44517.66667</v>
      </c>
      <c r="B287" s="1">
        <f>IFERROR(__xludf.DUMMYFUNCTION("""COMPUTED_VALUE"""),39.67)</f>
        <v>39.67</v>
      </c>
    </row>
    <row r="288">
      <c r="A288" s="2">
        <f>IFERROR(__xludf.DUMMYFUNCTION("""COMPUTED_VALUE"""),44518.66666666667)</f>
        <v>44518.66667</v>
      </c>
      <c r="B288" s="1">
        <f>IFERROR(__xludf.DUMMYFUNCTION("""COMPUTED_VALUE"""),38.41)</f>
        <v>38.41</v>
      </c>
    </row>
    <row r="289">
      <c r="A289" s="2">
        <f>IFERROR(__xludf.DUMMYFUNCTION("""COMPUTED_VALUE"""),44519.66666666667)</f>
        <v>44519.66667</v>
      </c>
      <c r="B289" s="1">
        <f>IFERROR(__xludf.DUMMYFUNCTION("""COMPUTED_VALUE"""),38.66)</f>
        <v>38.66</v>
      </c>
    </row>
    <row r="290">
      <c r="A290" s="2">
        <f>IFERROR(__xludf.DUMMYFUNCTION("""COMPUTED_VALUE"""),44522.66666666667)</f>
        <v>44522.66667</v>
      </c>
      <c r="B290" s="1">
        <f>IFERROR(__xludf.DUMMYFUNCTION("""COMPUTED_VALUE"""),41.49)</f>
        <v>41.49</v>
      </c>
    </row>
    <row r="291">
      <c r="A291" s="2">
        <f>IFERROR(__xludf.DUMMYFUNCTION("""COMPUTED_VALUE"""),44523.66666666667)</f>
        <v>44523.66667</v>
      </c>
      <c r="B291" s="1">
        <f>IFERROR(__xludf.DUMMYFUNCTION("""COMPUTED_VALUE"""),42.04)</f>
        <v>42.04</v>
      </c>
    </row>
    <row r="292">
      <c r="A292" s="2">
        <f>IFERROR(__xludf.DUMMYFUNCTION("""COMPUTED_VALUE"""),44524.66666666667)</f>
        <v>44524.66667</v>
      </c>
      <c r="B292" s="1">
        <f>IFERROR(__xludf.DUMMYFUNCTION("""COMPUTED_VALUE"""),41.42)</f>
        <v>41.42</v>
      </c>
    </row>
    <row r="293">
      <c r="A293" s="2">
        <f>IFERROR(__xludf.DUMMYFUNCTION("""COMPUTED_VALUE"""),44526.54166666667)</f>
        <v>44526.54167</v>
      </c>
      <c r="B293" s="1">
        <f>IFERROR(__xludf.DUMMYFUNCTION("""COMPUTED_VALUE"""),39.99)</f>
        <v>39.99</v>
      </c>
    </row>
    <row r="294">
      <c r="A294" s="2">
        <f>IFERROR(__xludf.DUMMYFUNCTION("""COMPUTED_VALUE"""),44529.66666666667)</f>
        <v>44529.66667</v>
      </c>
      <c r="B294" s="1">
        <f>IFERROR(__xludf.DUMMYFUNCTION("""COMPUTED_VALUE"""),40.46)</f>
        <v>40.46</v>
      </c>
    </row>
    <row r="295">
      <c r="A295" s="2">
        <f>IFERROR(__xludf.DUMMYFUNCTION("""COMPUTED_VALUE"""),44530.66666666667)</f>
        <v>44530.66667</v>
      </c>
      <c r="B295" s="1">
        <f>IFERROR(__xludf.DUMMYFUNCTION("""COMPUTED_VALUE"""),39.13)</f>
        <v>39.13</v>
      </c>
    </row>
    <row r="296">
      <c r="A296" s="2">
        <f>IFERROR(__xludf.DUMMYFUNCTION("""COMPUTED_VALUE"""),44531.66666666667)</f>
        <v>44531.66667</v>
      </c>
      <c r="B296" s="1">
        <f>IFERROR(__xludf.DUMMYFUNCTION("""COMPUTED_VALUE"""),38.31)</f>
        <v>38.31</v>
      </c>
    </row>
    <row r="297">
      <c r="A297" s="2">
        <f>IFERROR(__xludf.DUMMYFUNCTION("""COMPUTED_VALUE"""),44532.66666666667)</f>
        <v>44532.66667</v>
      </c>
      <c r="B297" s="1">
        <f>IFERROR(__xludf.DUMMYFUNCTION("""COMPUTED_VALUE"""),36.2)</f>
        <v>36.2</v>
      </c>
    </row>
    <row r="298">
      <c r="A298" s="2">
        <f>IFERROR(__xludf.DUMMYFUNCTION("""COMPUTED_VALUE"""),44533.66666666667)</f>
        <v>44533.66667</v>
      </c>
      <c r="B298" s="1">
        <f>IFERROR(__xludf.DUMMYFUNCTION("""COMPUTED_VALUE"""),32.15)</f>
        <v>32.15</v>
      </c>
    </row>
    <row r="299">
      <c r="A299" s="2">
        <f>IFERROR(__xludf.DUMMYFUNCTION("""COMPUTED_VALUE"""),44536.66666666667)</f>
        <v>44536.66667</v>
      </c>
      <c r="B299" s="1">
        <f>IFERROR(__xludf.DUMMYFUNCTION("""COMPUTED_VALUE"""),32.34)</f>
        <v>32.34</v>
      </c>
    </row>
    <row r="300">
      <c r="A300" s="2">
        <f>IFERROR(__xludf.DUMMYFUNCTION("""COMPUTED_VALUE"""),44537.66666666667)</f>
        <v>44537.66667</v>
      </c>
      <c r="B300" s="1">
        <f>IFERROR(__xludf.DUMMYFUNCTION("""COMPUTED_VALUE"""),33.12)</f>
        <v>33.12</v>
      </c>
    </row>
    <row r="301">
      <c r="A301" s="2">
        <f>IFERROR(__xludf.DUMMYFUNCTION("""COMPUTED_VALUE"""),44538.66666666667)</f>
        <v>44538.66667</v>
      </c>
      <c r="B301" s="1">
        <f>IFERROR(__xludf.DUMMYFUNCTION("""COMPUTED_VALUE"""),35.05)</f>
        <v>35.05</v>
      </c>
    </row>
    <row r="302">
      <c r="A302" s="2">
        <f>IFERROR(__xludf.DUMMYFUNCTION("""COMPUTED_VALUE"""),44539.66666666667)</f>
        <v>44539.66667</v>
      </c>
      <c r="B302" s="1">
        <f>IFERROR(__xludf.DUMMYFUNCTION("""COMPUTED_VALUE"""),34.05)</f>
        <v>34.05</v>
      </c>
    </row>
    <row r="303">
      <c r="A303" s="2">
        <f>IFERROR(__xludf.DUMMYFUNCTION("""COMPUTED_VALUE"""),44540.66666666667)</f>
        <v>44540.66667</v>
      </c>
      <c r="B303" s="1">
        <f>IFERROR(__xludf.DUMMYFUNCTION("""COMPUTED_VALUE"""),34.26)</f>
        <v>34.26</v>
      </c>
    </row>
    <row r="304">
      <c r="A304" s="2">
        <f>IFERROR(__xludf.DUMMYFUNCTION("""COMPUTED_VALUE"""),44543.66666666667)</f>
        <v>44543.66667</v>
      </c>
      <c r="B304" s="1">
        <f>IFERROR(__xludf.DUMMYFUNCTION("""COMPUTED_VALUE"""),33.66)</f>
        <v>33.66</v>
      </c>
    </row>
    <row r="305">
      <c r="A305" s="2">
        <f>IFERROR(__xludf.DUMMYFUNCTION("""COMPUTED_VALUE"""),44544.66666666667)</f>
        <v>44544.66667</v>
      </c>
      <c r="B305" s="1">
        <f>IFERROR(__xludf.DUMMYFUNCTION("""COMPUTED_VALUE"""),32.3)</f>
        <v>32.3</v>
      </c>
    </row>
    <row r="306">
      <c r="A306" s="2">
        <f>IFERROR(__xludf.DUMMYFUNCTION("""COMPUTED_VALUE"""),44545.66666666667)</f>
        <v>44545.66667</v>
      </c>
      <c r="B306" s="1">
        <f>IFERROR(__xludf.DUMMYFUNCTION("""COMPUTED_VALUE"""),30.79)</f>
        <v>30.79</v>
      </c>
    </row>
    <row r="307">
      <c r="A307" s="2">
        <f>IFERROR(__xludf.DUMMYFUNCTION("""COMPUTED_VALUE"""),44546.66666666667)</f>
        <v>44546.66667</v>
      </c>
      <c r="B307" s="1">
        <f>IFERROR(__xludf.DUMMYFUNCTION("""COMPUTED_VALUE"""),30.07)</f>
        <v>30.07</v>
      </c>
    </row>
    <row r="308">
      <c r="A308" s="2">
        <f>IFERROR(__xludf.DUMMYFUNCTION("""COMPUTED_VALUE"""),44547.66666666667)</f>
        <v>44547.66667</v>
      </c>
      <c r="B308" s="1">
        <f>IFERROR(__xludf.DUMMYFUNCTION("""COMPUTED_VALUE"""),30.0)</f>
        <v>30</v>
      </c>
    </row>
    <row r="309">
      <c r="A309" s="2">
        <f>IFERROR(__xludf.DUMMYFUNCTION("""COMPUTED_VALUE"""),44550.66666666667)</f>
        <v>44550.66667</v>
      </c>
      <c r="B309" s="1">
        <f>IFERROR(__xludf.DUMMYFUNCTION("""COMPUTED_VALUE"""),28.16)</f>
        <v>28.16</v>
      </c>
    </row>
    <row r="310">
      <c r="A310" s="2">
        <f>IFERROR(__xludf.DUMMYFUNCTION("""COMPUTED_VALUE"""),44551.66666666667)</f>
        <v>44551.66667</v>
      </c>
      <c r="B310" s="1">
        <f>IFERROR(__xludf.DUMMYFUNCTION("""COMPUTED_VALUE"""),30.16)</f>
        <v>30.16</v>
      </c>
    </row>
    <row r="311">
      <c r="A311" s="2">
        <f>IFERROR(__xludf.DUMMYFUNCTION("""COMPUTED_VALUE"""),44552.66666666667)</f>
        <v>44552.66667</v>
      </c>
      <c r="B311" s="1">
        <f>IFERROR(__xludf.DUMMYFUNCTION("""COMPUTED_VALUE"""),29.85)</f>
        <v>29.85</v>
      </c>
    </row>
    <row r="312">
      <c r="A312" s="2">
        <f>IFERROR(__xludf.DUMMYFUNCTION("""COMPUTED_VALUE"""),44553.66666666667)</f>
        <v>44553.66667</v>
      </c>
      <c r="B312" s="1">
        <f>IFERROR(__xludf.DUMMYFUNCTION("""COMPUTED_VALUE"""),30.52)</f>
        <v>30.52</v>
      </c>
    </row>
    <row r="313">
      <c r="A313" s="2">
        <f>IFERROR(__xludf.DUMMYFUNCTION("""COMPUTED_VALUE"""),44557.66666666667)</f>
        <v>44557.66667</v>
      </c>
      <c r="B313" s="1">
        <f>IFERROR(__xludf.DUMMYFUNCTION("""COMPUTED_VALUE"""),29.96)</f>
        <v>29.96</v>
      </c>
    </row>
    <row r="314">
      <c r="A314" s="2">
        <f>IFERROR(__xludf.DUMMYFUNCTION("""COMPUTED_VALUE"""),44558.66666666667)</f>
        <v>44558.66667</v>
      </c>
      <c r="B314" s="1">
        <f>IFERROR(__xludf.DUMMYFUNCTION("""COMPUTED_VALUE"""),29.63)</f>
        <v>29.63</v>
      </c>
    </row>
    <row r="315">
      <c r="A315" s="2">
        <f>IFERROR(__xludf.DUMMYFUNCTION("""COMPUTED_VALUE"""),44559.66666666667)</f>
        <v>44559.66667</v>
      </c>
      <c r="B315" s="1">
        <f>IFERROR(__xludf.DUMMYFUNCTION("""COMPUTED_VALUE"""),28.25)</f>
        <v>28.25</v>
      </c>
    </row>
    <row r="316">
      <c r="A316" s="2">
        <f>IFERROR(__xludf.DUMMYFUNCTION("""COMPUTED_VALUE"""),44560.66666666667)</f>
        <v>44560.66667</v>
      </c>
      <c r="B316" s="1">
        <f>IFERROR(__xludf.DUMMYFUNCTION("""COMPUTED_VALUE"""),32.42)</f>
        <v>32.42</v>
      </c>
    </row>
    <row r="317">
      <c r="A317" s="2">
        <f>IFERROR(__xludf.DUMMYFUNCTION("""COMPUTED_VALUE"""),44561.66666666667)</f>
        <v>44561.66667</v>
      </c>
      <c r="B317" s="1">
        <f>IFERROR(__xludf.DUMMYFUNCTION("""COMPUTED_VALUE"""),31.68)</f>
        <v>31.68</v>
      </c>
    </row>
    <row r="318">
      <c r="A318" s="2">
        <f>IFERROR(__xludf.DUMMYFUNCTION("""COMPUTED_VALUE"""),44564.66666666667)</f>
        <v>44564.66667</v>
      </c>
      <c r="B318" s="1">
        <f>IFERROR(__xludf.DUMMYFUNCTION("""COMPUTED_VALUE"""),33.47)</f>
        <v>33.47</v>
      </c>
    </row>
    <row r="319">
      <c r="A319" s="2">
        <f>IFERROR(__xludf.DUMMYFUNCTION("""COMPUTED_VALUE"""),44565.66666666667)</f>
        <v>44565.66667</v>
      </c>
      <c r="B319" s="1">
        <f>IFERROR(__xludf.DUMMYFUNCTION("""COMPUTED_VALUE"""),31.58)</f>
        <v>31.58</v>
      </c>
    </row>
    <row r="320">
      <c r="A320" s="2">
        <f>IFERROR(__xludf.DUMMYFUNCTION("""COMPUTED_VALUE"""),44566.66666666667)</f>
        <v>44566.66667</v>
      </c>
      <c r="B320" s="1">
        <f>IFERROR(__xludf.DUMMYFUNCTION("""COMPUTED_VALUE"""),29.88)</f>
        <v>29.88</v>
      </c>
    </row>
    <row r="321">
      <c r="A321" s="2">
        <f>IFERROR(__xludf.DUMMYFUNCTION("""COMPUTED_VALUE"""),44567.66666666667)</f>
        <v>44567.66667</v>
      </c>
      <c r="B321" s="1">
        <f>IFERROR(__xludf.DUMMYFUNCTION("""COMPUTED_VALUE"""),29.31)</f>
        <v>29.31</v>
      </c>
    </row>
    <row r="322">
      <c r="A322" s="2">
        <f>IFERROR(__xludf.DUMMYFUNCTION("""COMPUTED_VALUE"""),44568.66666666667)</f>
        <v>44568.66667</v>
      </c>
      <c r="B322" s="1">
        <f>IFERROR(__xludf.DUMMYFUNCTION("""COMPUTED_VALUE"""),29.3)</f>
        <v>29.3</v>
      </c>
    </row>
    <row r="323">
      <c r="A323" s="2">
        <f>IFERROR(__xludf.DUMMYFUNCTION("""COMPUTED_VALUE"""),44571.66666666667)</f>
        <v>44571.66667</v>
      </c>
      <c r="B323" s="1">
        <f>IFERROR(__xludf.DUMMYFUNCTION("""COMPUTED_VALUE"""),28.91)</f>
        <v>28.91</v>
      </c>
    </row>
    <row r="324">
      <c r="A324" s="2">
        <f>IFERROR(__xludf.DUMMYFUNCTION("""COMPUTED_VALUE"""),44572.66666666667)</f>
        <v>44572.66667</v>
      </c>
      <c r="B324" s="1">
        <f>IFERROR(__xludf.DUMMYFUNCTION("""COMPUTED_VALUE"""),30.02)</f>
        <v>30.02</v>
      </c>
    </row>
    <row r="325">
      <c r="A325" s="2">
        <f>IFERROR(__xludf.DUMMYFUNCTION("""COMPUTED_VALUE"""),44573.66666666667)</f>
        <v>44573.66667</v>
      </c>
      <c r="B325" s="1">
        <f>IFERROR(__xludf.DUMMYFUNCTION("""COMPUTED_VALUE"""),31.68)</f>
        <v>31.68</v>
      </c>
    </row>
    <row r="326">
      <c r="A326" s="2">
        <f>IFERROR(__xludf.DUMMYFUNCTION("""COMPUTED_VALUE"""),44574.66666666667)</f>
        <v>44574.66667</v>
      </c>
      <c r="B326" s="1">
        <f>IFERROR(__xludf.DUMMYFUNCTION("""COMPUTED_VALUE"""),30.48)</f>
        <v>30.48</v>
      </c>
    </row>
    <row r="327">
      <c r="A327" s="2">
        <f>IFERROR(__xludf.DUMMYFUNCTION("""COMPUTED_VALUE"""),44575.66666666667)</f>
        <v>44575.66667</v>
      </c>
      <c r="B327" s="1">
        <f>IFERROR(__xludf.DUMMYFUNCTION("""COMPUTED_VALUE"""),30.95)</f>
        <v>30.95</v>
      </c>
    </row>
    <row r="328">
      <c r="A328" s="2">
        <f>IFERROR(__xludf.DUMMYFUNCTION("""COMPUTED_VALUE"""),44579.66666666667)</f>
        <v>44579.66667</v>
      </c>
      <c r="B328" s="1">
        <f>IFERROR(__xludf.DUMMYFUNCTION("""COMPUTED_VALUE"""),29.61)</f>
        <v>29.61</v>
      </c>
    </row>
    <row r="329">
      <c r="A329" s="2">
        <f>IFERROR(__xludf.DUMMYFUNCTION("""COMPUTED_VALUE"""),44580.66666666667)</f>
        <v>44580.66667</v>
      </c>
      <c r="B329" s="1">
        <f>IFERROR(__xludf.DUMMYFUNCTION("""COMPUTED_VALUE"""),28.63)</f>
        <v>28.63</v>
      </c>
    </row>
    <row r="330">
      <c r="A330" s="2">
        <f>IFERROR(__xludf.DUMMYFUNCTION("""COMPUTED_VALUE"""),44581.66666666667)</f>
        <v>44581.66667</v>
      </c>
      <c r="B330" s="1">
        <f>IFERROR(__xludf.DUMMYFUNCTION("""COMPUTED_VALUE"""),29.13)</f>
        <v>29.13</v>
      </c>
    </row>
    <row r="331">
      <c r="A331" s="2">
        <f>IFERROR(__xludf.DUMMYFUNCTION("""COMPUTED_VALUE"""),44582.66666666667)</f>
        <v>44582.66667</v>
      </c>
      <c r="B331" s="1">
        <f>IFERROR(__xludf.DUMMYFUNCTION("""COMPUTED_VALUE"""),27.35)</f>
        <v>27.35</v>
      </c>
    </row>
    <row r="332">
      <c r="A332" s="2">
        <f>IFERROR(__xludf.DUMMYFUNCTION("""COMPUTED_VALUE"""),44585.66666666667)</f>
        <v>44585.66667</v>
      </c>
      <c r="B332" s="1">
        <f>IFERROR(__xludf.DUMMYFUNCTION("""COMPUTED_VALUE"""),24.87)</f>
        <v>24.87</v>
      </c>
    </row>
    <row r="333">
      <c r="A333" s="2">
        <f>IFERROR(__xludf.DUMMYFUNCTION("""COMPUTED_VALUE"""),44586.66666666667)</f>
        <v>44586.66667</v>
      </c>
      <c r="B333" s="1">
        <f>IFERROR(__xludf.DUMMYFUNCTION("""COMPUTED_VALUE"""),23.79)</f>
        <v>23.79</v>
      </c>
    </row>
    <row r="334">
      <c r="A334" s="2">
        <f>IFERROR(__xludf.DUMMYFUNCTION("""COMPUTED_VALUE"""),44587.66666666667)</f>
        <v>44587.66667</v>
      </c>
      <c r="B334" s="1">
        <f>IFERROR(__xludf.DUMMYFUNCTION("""COMPUTED_VALUE"""),22.66)</f>
        <v>22.66</v>
      </c>
    </row>
    <row r="335">
      <c r="A335" s="2">
        <f>IFERROR(__xludf.DUMMYFUNCTION("""COMPUTED_VALUE"""),44588.66666666667)</f>
        <v>44588.66667</v>
      </c>
      <c r="B335" s="1">
        <f>IFERROR(__xludf.DUMMYFUNCTION("""COMPUTED_VALUE"""),21.11)</f>
        <v>21.11</v>
      </c>
    </row>
    <row r="336">
      <c r="A336" s="2">
        <f>IFERROR(__xludf.DUMMYFUNCTION("""COMPUTED_VALUE"""),44589.66666666667)</f>
        <v>44589.66667</v>
      </c>
      <c r="B336" s="1">
        <f>IFERROR(__xludf.DUMMYFUNCTION("""COMPUTED_VALUE"""),20.9)</f>
        <v>20.9</v>
      </c>
    </row>
    <row r="337">
      <c r="A337" s="2">
        <f>IFERROR(__xludf.DUMMYFUNCTION("""COMPUTED_VALUE"""),44592.66666666667)</f>
        <v>44592.66667</v>
      </c>
      <c r="B337" s="1">
        <f>IFERROR(__xludf.DUMMYFUNCTION("""COMPUTED_VALUE"""),24.51)</f>
        <v>24.51</v>
      </c>
    </row>
    <row r="338">
      <c r="A338" s="2">
        <f>IFERROR(__xludf.DUMMYFUNCTION("""COMPUTED_VALUE"""),44593.66666666667)</f>
        <v>44593.66667</v>
      </c>
      <c r="B338" s="1">
        <f>IFERROR(__xludf.DUMMYFUNCTION("""COMPUTED_VALUE"""),24.84)</f>
        <v>24.84</v>
      </c>
    </row>
    <row r="339">
      <c r="A339" s="2">
        <f>IFERROR(__xludf.DUMMYFUNCTION("""COMPUTED_VALUE"""),44594.66666666667)</f>
        <v>44594.66667</v>
      </c>
      <c r="B339" s="1">
        <f>IFERROR(__xludf.DUMMYFUNCTION("""COMPUTED_VALUE"""),23.76)</f>
        <v>23.76</v>
      </c>
    </row>
    <row r="340">
      <c r="A340" s="2">
        <f>IFERROR(__xludf.DUMMYFUNCTION("""COMPUTED_VALUE"""),44595.66666666667)</f>
        <v>44595.66667</v>
      </c>
      <c r="B340" s="1">
        <f>IFERROR(__xludf.DUMMYFUNCTION("""COMPUTED_VALUE"""),23.13)</f>
        <v>23.13</v>
      </c>
    </row>
    <row r="341">
      <c r="A341" s="2">
        <f>IFERROR(__xludf.DUMMYFUNCTION("""COMPUTED_VALUE"""),44596.66666666667)</f>
        <v>44596.66667</v>
      </c>
      <c r="B341" s="1">
        <f>IFERROR(__xludf.DUMMYFUNCTION("""COMPUTED_VALUE"""),23.96)</f>
        <v>23.96</v>
      </c>
    </row>
    <row r="342">
      <c r="A342" s="2">
        <f>IFERROR(__xludf.DUMMYFUNCTION("""COMPUTED_VALUE"""),44599.66666666667)</f>
        <v>44599.66667</v>
      </c>
      <c r="B342" s="1">
        <f>IFERROR(__xludf.DUMMYFUNCTION("""COMPUTED_VALUE"""),23.99)</f>
        <v>23.99</v>
      </c>
    </row>
    <row r="343">
      <c r="A343" s="2">
        <f>IFERROR(__xludf.DUMMYFUNCTION("""COMPUTED_VALUE"""),44600.66666666667)</f>
        <v>44600.66667</v>
      </c>
      <c r="B343" s="1">
        <f>IFERROR(__xludf.DUMMYFUNCTION("""COMPUTED_VALUE"""),24.69)</f>
        <v>24.69</v>
      </c>
    </row>
    <row r="344">
      <c r="A344" s="2">
        <f>IFERROR(__xludf.DUMMYFUNCTION("""COMPUTED_VALUE"""),44601.66666666667)</f>
        <v>44601.66667</v>
      </c>
      <c r="B344" s="1">
        <f>IFERROR(__xludf.DUMMYFUNCTION("""COMPUTED_VALUE"""),26.1)</f>
        <v>26.1</v>
      </c>
    </row>
    <row r="345">
      <c r="A345" s="2">
        <f>IFERROR(__xludf.DUMMYFUNCTION("""COMPUTED_VALUE"""),44602.66666666667)</f>
        <v>44602.66667</v>
      </c>
      <c r="B345" s="1">
        <f>IFERROR(__xludf.DUMMYFUNCTION("""COMPUTED_VALUE"""),25.35)</f>
        <v>25.35</v>
      </c>
    </row>
    <row r="346">
      <c r="A346" s="2">
        <f>IFERROR(__xludf.DUMMYFUNCTION("""COMPUTED_VALUE"""),44603.66666666667)</f>
        <v>44603.66667</v>
      </c>
      <c r="B346" s="1">
        <f>IFERROR(__xludf.DUMMYFUNCTION("""COMPUTED_VALUE"""),24.1)</f>
        <v>24.1</v>
      </c>
    </row>
    <row r="347">
      <c r="A347" s="2">
        <f>IFERROR(__xludf.DUMMYFUNCTION("""COMPUTED_VALUE"""),44606.66666666667)</f>
        <v>44606.66667</v>
      </c>
      <c r="B347" s="1">
        <f>IFERROR(__xludf.DUMMYFUNCTION("""COMPUTED_VALUE"""),23.79)</f>
        <v>23.79</v>
      </c>
    </row>
    <row r="348">
      <c r="A348" s="2">
        <f>IFERROR(__xludf.DUMMYFUNCTION("""COMPUTED_VALUE"""),44607.66666666667)</f>
        <v>44607.66667</v>
      </c>
      <c r="B348" s="1">
        <f>IFERROR(__xludf.DUMMYFUNCTION("""COMPUTED_VALUE"""),25.79)</f>
        <v>25.79</v>
      </c>
    </row>
    <row r="349">
      <c r="A349" s="2">
        <f>IFERROR(__xludf.DUMMYFUNCTION("""COMPUTED_VALUE"""),44608.66666666667)</f>
        <v>44608.66667</v>
      </c>
      <c r="B349" s="1">
        <f>IFERROR(__xludf.DUMMYFUNCTION("""COMPUTED_VALUE"""),25.61)</f>
        <v>25.61</v>
      </c>
    </row>
    <row r="350">
      <c r="A350" s="2">
        <f>IFERROR(__xludf.DUMMYFUNCTION("""COMPUTED_VALUE"""),44609.66666666667)</f>
        <v>44609.66667</v>
      </c>
      <c r="B350" s="1">
        <f>IFERROR(__xludf.DUMMYFUNCTION("""COMPUTED_VALUE"""),24.72)</f>
        <v>24.72</v>
      </c>
    </row>
    <row r="351">
      <c r="A351" s="2">
        <f>IFERROR(__xludf.DUMMYFUNCTION("""COMPUTED_VALUE"""),44610.66666666667)</f>
        <v>44610.66667</v>
      </c>
      <c r="B351" s="1">
        <f>IFERROR(__xludf.DUMMYFUNCTION("""COMPUTED_VALUE"""),23.21)</f>
        <v>23.21</v>
      </c>
    </row>
    <row r="352">
      <c r="A352" s="2">
        <f>IFERROR(__xludf.DUMMYFUNCTION("""COMPUTED_VALUE"""),44614.66666666667)</f>
        <v>44614.66667</v>
      </c>
      <c r="B352" s="1">
        <f>IFERROR(__xludf.DUMMYFUNCTION("""COMPUTED_VALUE"""),21.77)</f>
        <v>21.77</v>
      </c>
    </row>
    <row r="353">
      <c r="A353" s="2">
        <f>IFERROR(__xludf.DUMMYFUNCTION("""COMPUTED_VALUE"""),44615.66666666667)</f>
        <v>44615.66667</v>
      </c>
      <c r="B353" s="1">
        <f>IFERROR(__xludf.DUMMYFUNCTION("""COMPUTED_VALUE"""),20.46)</f>
        <v>20.46</v>
      </c>
    </row>
    <row r="354">
      <c r="A354" s="2">
        <f>IFERROR(__xludf.DUMMYFUNCTION("""COMPUTED_VALUE"""),44616.66666666667)</f>
        <v>44616.66667</v>
      </c>
      <c r="B354" s="1">
        <f>IFERROR(__xludf.DUMMYFUNCTION("""COMPUTED_VALUE"""),21.22)</f>
        <v>21.22</v>
      </c>
    </row>
    <row r="355">
      <c r="A355" s="2">
        <f>IFERROR(__xludf.DUMMYFUNCTION("""COMPUTED_VALUE"""),44617.66666666667)</f>
        <v>44617.66667</v>
      </c>
      <c r="B355" s="1">
        <f>IFERROR(__xludf.DUMMYFUNCTION("""COMPUTED_VALUE"""),20.94)</f>
        <v>20.94</v>
      </c>
    </row>
    <row r="356">
      <c r="A356" s="2">
        <f>IFERROR(__xludf.DUMMYFUNCTION("""COMPUTED_VALUE"""),44620.66666666667)</f>
        <v>44620.66667</v>
      </c>
      <c r="B356" s="1">
        <f>IFERROR(__xludf.DUMMYFUNCTION("""COMPUTED_VALUE"""),22.84)</f>
        <v>22.84</v>
      </c>
    </row>
    <row r="357">
      <c r="A357" s="2">
        <f>IFERROR(__xludf.DUMMYFUNCTION("""COMPUTED_VALUE"""),44621.66666666667)</f>
        <v>44621.66667</v>
      </c>
      <c r="B357" s="1">
        <f>IFERROR(__xludf.DUMMYFUNCTION("""COMPUTED_VALUE"""),21.87)</f>
        <v>21.87</v>
      </c>
    </row>
    <row r="358">
      <c r="A358" s="2">
        <f>IFERROR(__xludf.DUMMYFUNCTION("""COMPUTED_VALUE"""),44622.66666666667)</f>
        <v>44622.66667</v>
      </c>
      <c r="B358" s="1">
        <f>IFERROR(__xludf.DUMMYFUNCTION("""COMPUTED_VALUE"""),21.77)</f>
        <v>21.77</v>
      </c>
    </row>
    <row r="359">
      <c r="A359" s="2">
        <f>IFERROR(__xludf.DUMMYFUNCTION("""COMPUTED_VALUE"""),44623.66666666667)</f>
        <v>44623.66667</v>
      </c>
      <c r="B359" s="1">
        <f>IFERROR(__xludf.DUMMYFUNCTION("""COMPUTED_VALUE"""),19.88)</f>
        <v>19.88</v>
      </c>
    </row>
    <row r="360">
      <c r="A360" s="2">
        <f>IFERROR(__xludf.DUMMYFUNCTION("""COMPUTED_VALUE"""),44624.66666666667)</f>
        <v>44624.66667</v>
      </c>
      <c r="B360" s="1">
        <f>IFERROR(__xludf.DUMMYFUNCTION("""COMPUTED_VALUE"""),18.63)</f>
        <v>18.63</v>
      </c>
    </row>
    <row r="361">
      <c r="A361" s="2">
        <f>IFERROR(__xludf.DUMMYFUNCTION("""COMPUTED_VALUE"""),44627.66666666667)</f>
        <v>44627.66667</v>
      </c>
      <c r="B361" s="1">
        <f>IFERROR(__xludf.DUMMYFUNCTION("""COMPUTED_VALUE"""),18.12)</f>
        <v>18.12</v>
      </c>
    </row>
    <row r="362">
      <c r="A362" s="2">
        <f>IFERROR(__xludf.DUMMYFUNCTION("""COMPUTED_VALUE"""),44628.66666666667)</f>
        <v>44628.66667</v>
      </c>
      <c r="B362" s="1">
        <f>IFERROR(__xludf.DUMMYFUNCTION("""COMPUTED_VALUE"""),17.98)</f>
        <v>17.98</v>
      </c>
    </row>
    <row r="363">
      <c r="A363" s="2">
        <f>IFERROR(__xludf.DUMMYFUNCTION("""COMPUTED_VALUE"""),44629.66666666667)</f>
        <v>44629.66667</v>
      </c>
      <c r="B363" s="1">
        <f>IFERROR(__xludf.DUMMYFUNCTION("""COMPUTED_VALUE"""),20.17)</f>
        <v>20.17</v>
      </c>
    </row>
    <row r="364">
      <c r="A364" s="2">
        <f>IFERROR(__xludf.DUMMYFUNCTION("""COMPUTED_VALUE"""),44630.66666666667)</f>
        <v>44630.66667</v>
      </c>
      <c r="B364" s="1">
        <f>IFERROR(__xludf.DUMMYFUNCTION("""COMPUTED_VALUE"""),17.77)</f>
        <v>17.77</v>
      </c>
    </row>
    <row r="365">
      <c r="A365" s="2">
        <f>IFERROR(__xludf.DUMMYFUNCTION("""COMPUTED_VALUE"""),44631.66666666667)</f>
        <v>44631.66667</v>
      </c>
      <c r="B365" s="1">
        <f>IFERROR(__xludf.DUMMYFUNCTION("""COMPUTED_VALUE"""),16.07)</f>
        <v>16.07</v>
      </c>
    </row>
    <row r="366">
      <c r="A366" s="2">
        <f>IFERROR(__xludf.DUMMYFUNCTION("""COMPUTED_VALUE"""),44634.66666666667)</f>
        <v>44634.66667</v>
      </c>
      <c r="B366" s="1">
        <f>IFERROR(__xludf.DUMMYFUNCTION("""COMPUTED_VALUE"""),14.1)</f>
        <v>14.1</v>
      </c>
    </row>
    <row r="367">
      <c r="A367" s="2">
        <f>IFERROR(__xludf.DUMMYFUNCTION("""COMPUTED_VALUE"""),44635.66666666667)</f>
        <v>44635.66667</v>
      </c>
      <c r="B367" s="1">
        <f>IFERROR(__xludf.DUMMYFUNCTION("""COMPUTED_VALUE"""),14.93)</f>
        <v>14.93</v>
      </c>
    </row>
    <row r="368">
      <c r="A368" s="2">
        <f>IFERROR(__xludf.DUMMYFUNCTION("""COMPUTED_VALUE"""),44636.66666666667)</f>
        <v>44636.66667</v>
      </c>
      <c r="B368" s="1">
        <f>IFERROR(__xludf.DUMMYFUNCTION("""COMPUTED_VALUE"""),18.75)</f>
        <v>18.75</v>
      </c>
    </row>
    <row r="369">
      <c r="A369" s="2">
        <f>IFERROR(__xludf.DUMMYFUNCTION("""COMPUTED_VALUE"""),44637.66666666667)</f>
        <v>44637.66667</v>
      </c>
      <c r="B369" s="1">
        <f>IFERROR(__xludf.DUMMYFUNCTION("""COMPUTED_VALUE"""),18.82)</f>
        <v>18.82</v>
      </c>
    </row>
    <row r="370">
      <c r="A370" s="2">
        <f>IFERROR(__xludf.DUMMYFUNCTION("""COMPUTED_VALUE"""),44638.66666666667)</f>
        <v>44638.66667</v>
      </c>
      <c r="B370" s="1">
        <f>IFERROR(__xludf.DUMMYFUNCTION("""COMPUTED_VALUE"""),20.86)</f>
        <v>20.86</v>
      </c>
    </row>
    <row r="371">
      <c r="A371" s="2">
        <f>IFERROR(__xludf.DUMMYFUNCTION("""COMPUTED_VALUE"""),44641.66666666667)</f>
        <v>44641.66667</v>
      </c>
      <c r="B371" s="1">
        <f>IFERROR(__xludf.DUMMYFUNCTION("""COMPUTED_VALUE"""),20.26)</f>
        <v>20.26</v>
      </c>
    </row>
    <row r="372">
      <c r="A372" s="2">
        <f>IFERROR(__xludf.DUMMYFUNCTION("""COMPUTED_VALUE"""),44642.66666666667)</f>
        <v>44642.66667</v>
      </c>
      <c r="B372" s="1">
        <f>IFERROR(__xludf.DUMMYFUNCTION("""COMPUTED_VALUE"""),21.77)</f>
        <v>21.77</v>
      </c>
    </row>
    <row r="373">
      <c r="A373" s="2">
        <f>IFERROR(__xludf.DUMMYFUNCTION("""COMPUTED_VALUE"""),44643.66666666667)</f>
        <v>44643.66667</v>
      </c>
      <c r="B373" s="1">
        <f>IFERROR(__xludf.DUMMYFUNCTION("""COMPUTED_VALUE"""),21.87)</f>
        <v>21.87</v>
      </c>
    </row>
    <row r="374">
      <c r="A374" s="2">
        <f>IFERROR(__xludf.DUMMYFUNCTION("""COMPUTED_VALUE"""),44644.66666666667)</f>
        <v>44644.66667</v>
      </c>
      <c r="B374" s="1">
        <f>IFERROR(__xludf.DUMMYFUNCTION("""COMPUTED_VALUE"""),21.98)</f>
        <v>21.98</v>
      </c>
    </row>
    <row r="375">
      <c r="A375" s="2">
        <f>IFERROR(__xludf.DUMMYFUNCTION("""COMPUTED_VALUE"""),44645.66666666667)</f>
        <v>44645.66667</v>
      </c>
      <c r="B375" s="1">
        <f>IFERROR(__xludf.DUMMYFUNCTION("""COMPUTED_VALUE"""),19.91)</f>
        <v>19.91</v>
      </c>
    </row>
    <row r="376">
      <c r="A376" s="2">
        <f>IFERROR(__xludf.DUMMYFUNCTION("""COMPUTED_VALUE"""),44648.66666666667)</f>
        <v>44648.66667</v>
      </c>
      <c r="B376" s="1">
        <f>IFERROR(__xludf.DUMMYFUNCTION("""COMPUTED_VALUE"""),21.21)</f>
        <v>21.21</v>
      </c>
    </row>
    <row r="377">
      <c r="A377" s="2">
        <f>IFERROR(__xludf.DUMMYFUNCTION("""COMPUTED_VALUE"""),44649.66666666667)</f>
        <v>44649.66667</v>
      </c>
      <c r="B377" s="1">
        <f>IFERROR(__xludf.DUMMYFUNCTION("""COMPUTED_VALUE"""),21.88)</f>
        <v>21.88</v>
      </c>
    </row>
    <row r="378">
      <c r="A378" s="2">
        <f>IFERROR(__xludf.DUMMYFUNCTION("""COMPUTED_VALUE"""),44650.66666666667)</f>
        <v>44650.66667</v>
      </c>
      <c r="B378" s="1">
        <f>IFERROR(__xludf.DUMMYFUNCTION("""COMPUTED_VALUE"""),22.17)</f>
        <v>22.17</v>
      </c>
    </row>
    <row r="379">
      <c r="A379" s="2">
        <f>IFERROR(__xludf.DUMMYFUNCTION("""COMPUTED_VALUE"""),44651.66666666667)</f>
        <v>44651.66667</v>
      </c>
      <c r="B379" s="1">
        <f>IFERROR(__xludf.DUMMYFUNCTION("""COMPUTED_VALUE"""),21.05)</f>
        <v>21.05</v>
      </c>
    </row>
    <row r="380">
      <c r="A380" s="2">
        <f>IFERROR(__xludf.DUMMYFUNCTION("""COMPUTED_VALUE"""),44652.66666666667)</f>
        <v>44652.66667</v>
      </c>
      <c r="B380" s="1">
        <f>IFERROR(__xludf.DUMMYFUNCTION("""COMPUTED_VALUE"""),21.93)</f>
        <v>21.93</v>
      </c>
    </row>
    <row r="381">
      <c r="A381" s="2">
        <f>IFERROR(__xludf.DUMMYFUNCTION("""COMPUTED_VALUE"""),44655.66666666667)</f>
        <v>44655.66667</v>
      </c>
      <c r="B381" s="1">
        <f>IFERROR(__xludf.DUMMYFUNCTION("""COMPUTED_VALUE"""),23.85)</f>
        <v>23.85</v>
      </c>
    </row>
    <row r="382">
      <c r="A382" s="2">
        <f>IFERROR(__xludf.DUMMYFUNCTION("""COMPUTED_VALUE"""),44656.66666666667)</f>
        <v>44656.66667</v>
      </c>
      <c r="B382" s="1">
        <f>IFERROR(__xludf.DUMMYFUNCTION("""COMPUTED_VALUE"""),22.47)</f>
        <v>22.47</v>
      </c>
    </row>
    <row r="383">
      <c r="A383" s="2">
        <f>IFERROR(__xludf.DUMMYFUNCTION("""COMPUTED_VALUE"""),44657.66666666667)</f>
        <v>44657.66667</v>
      </c>
      <c r="B383" s="1">
        <f>IFERROR(__xludf.DUMMYFUNCTION("""COMPUTED_VALUE"""),21.68)</f>
        <v>21.68</v>
      </c>
    </row>
    <row r="384">
      <c r="A384" s="2">
        <f>IFERROR(__xludf.DUMMYFUNCTION("""COMPUTED_VALUE"""),44658.66666666667)</f>
        <v>44658.66667</v>
      </c>
      <c r="B384" s="1">
        <f>IFERROR(__xludf.DUMMYFUNCTION("""COMPUTED_VALUE"""),20.36)</f>
        <v>20.36</v>
      </c>
    </row>
    <row r="385">
      <c r="A385" s="2">
        <f>IFERROR(__xludf.DUMMYFUNCTION("""COMPUTED_VALUE"""),44659.66666666667)</f>
        <v>44659.66667</v>
      </c>
      <c r="B385" s="1">
        <f>IFERROR(__xludf.DUMMYFUNCTION("""COMPUTED_VALUE"""),20.0)</f>
        <v>20</v>
      </c>
    </row>
    <row r="386">
      <c r="A386" s="2">
        <f>IFERROR(__xludf.DUMMYFUNCTION("""COMPUTED_VALUE"""),44662.66666666667)</f>
        <v>44662.66667</v>
      </c>
      <c r="B386" s="1">
        <f>IFERROR(__xludf.DUMMYFUNCTION("""COMPUTED_VALUE"""),19.7)</f>
        <v>19.7</v>
      </c>
    </row>
    <row r="387">
      <c r="A387" s="2">
        <f>IFERROR(__xludf.DUMMYFUNCTION("""COMPUTED_VALUE"""),44663.66666666667)</f>
        <v>44663.66667</v>
      </c>
      <c r="B387" s="1">
        <f>IFERROR(__xludf.DUMMYFUNCTION("""COMPUTED_VALUE"""),19.46)</f>
        <v>19.46</v>
      </c>
    </row>
    <row r="388">
      <c r="A388" s="2">
        <f>IFERROR(__xludf.DUMMYFUNCTION("""COMPUTED_VALUE"""),44664.66666666667)</f>
        <v>44664.66667</v>
      </c>
      <c r="B388" s="1">
        <f>IFERROR(__xludf.DUMMYFUNCTION("""COMPUTED_VALUE"""),20.42)</f>
        <v>20.42</v>
      </c>
    </row>
    <row r="389">
      <c r="A389" s="2">
        <f>IFERROR(__xludf.DUMMYFUNCTION("""COMPUTED_VALUE"""),44665.66666666667)</f>
        <v>44665.66667</v>
      </c>
      <c r="B389" s="1">
        <f>IFERROR(__xludf.DUMMYFUNCTION("""COMPUTED_VALUE"""),19.65)</f>
        <v>19.65</v>
      </c>
    </row>
    <row r="390">
      <c r="A390" s="2">
        <f>IFERROR(__xludf.DUMMYFUNCTION("""COMPUTED_VALUE"""),44669.66666666667)</f>
        <v>44669.66667</v>
      </c>
      <c r="B390" s="1">
        <f>IFERROR(__xludf.DUMMYFUNCTION("""COMPUTED_VALUE"""),19.17)</f>
        <v>19.17</v>
      </c>
    </row>
    <row r="391">
      <c r="A391" s="2">
        <f>IFERROR(__xludf.DUMMYFUNCTION("""COMPUTED_VALUE"""),44670.66666666667)</f>
        <v>44670.66667</v>
      </c>
      <c r="B391" s="1">
        <f>IFERROR(__xludf.DUMMYFUNCTION("""COMPUTED_VALUE"""),19.87)</f>
        <v>19.87</v>
      </c>
    </row>
    <row r="392">
      <c r="A392" s="2">
        <f>IFERROR(__xludf.DUMMYFUNCTION("""COMPUTED_VALUE"""),44671.66666666667)</f>
        <v>44671.66667</v>
      </c>
      <c r="B392" s="1">
        <f>IFERROR(__xludf.DUMMYFUNCTION("""COMPUTED_VALUE"""),18.15)</f>
        <v>18.15</v>
      </c>
    </row>
    <row r="393">
      <c r="A393" s="2">
        <f>IFERROR(__xludf.DUMMYFUNCTION("""COMPUTED_VALUE"""),44672.66666666667)</f>
        <v>44672.66667</v>
      </c>
      <c r="B393" s="1">
        <f>IFERROR(__xludf.DUMMYFUNCTION("""COMPUTED_VALUE"""),17.15)</f>
        <v>17.15</v>
      </c>
    </row>
    <row r="394">
      <c r="A394" s="2">
        <f>IFERROR(__xludf.DUMMYFUNCTION("""COMPUTED_VALUE"""),44673.66666666667)</f>
        <v>44673.66667</v>
      </c>
      <c r="B394" s="1">
        <f>IFERROR(__xludf.DUMMYFUNCTION("""COMPUTED_VALUE"""),17.18)</f>
        <v>17.18</v>
      </c>
    </row>
    <row r="395">
      <c r="A395" s="2">
        <f>IFERROR(__xludf.DUMMYFUNCTION("""COMPUTED_VALUE"""),44676.66666666667)</f>
        <v>44676.66667</v>
      </c>
      <c r="B395" s="1">
        <f>IFERROR(__xludf.DUMMYFUNCTION("""COMPUTED_VALUE"""),17.31)</f>
        <v>17.31</v>
      </c>
    </row>
    <row r="396">
      <c r="A396" s="2">
        <f>IFERROR(__xludf.DUMMYFUNCTION("""COMPUTED_VALUE"""),44677.66666666667)</f>
        <v>44677.66667</v>
      </c>
      <c r="B396" s="1">
        <f>IFERROR(__xludf.DUMMYFUNCTION("""COMPUTED_VALUE"""),16.36)</f>
        <v>16.36</v>
      </c>
    </row>
    <row r="397">
      <c r="A397" s="2">
        <f>IFERROR(__xludf.DUMMYFUNCTION("""COMPUTED_VALUE"""),44678.66666666667)</f>
        <v>44678.66667</v>
      </c>
      <c r="B397" s="1">
        <f>IFERROR(__xludf.DUMMYFUNCTION("""COMPUTED_VALUE"""),16.76)</f>
        <v>16.76</v>
      </c>
    </row>
    <row r="398">
      <c r="A398" s="2">
        <f>IFERROR(__xludf.DUMMYFUNCTION("""COMPUTED_VALUE"""),44679.66666666667)</f>
        <v>44679.66667</v>
      </c>
      <c r="B398" s="1">
        <f>IFERROR(__xludf.DUMMYFUNCTION("""COMPUTED_VALUE"""),16.93)</f>
        <v>16.93</v>
      </c>
    </row>
    <row r="399">
      <c r="A399" s="2">
        <f>IFERROR(__xludf.DUMMYFUNCTION("""COMPUTED_VALUE"""),44680.66666666667)</f>
        <v>44680.66667</v>
      </c>
      <c r="B399" s="1">
        <f>IFERROR(__xludf.DUMMYFUNCTION("""COMPUTED_VALUE"""),16.7)</f>
        <v>16.7</v>
      </c>
    </row>
    <row r="400">
      <c r="A400" s="2">
        <f>IFERROR(__xludf.DUMMYFUNCTION("""COMPUTED_VALUE"""),44683.66666666667)</f>
        <v>44683.66667</v>
      </c>
      <c r="B400" s="1">
        <f>IFERROR(__xludf.DUMMYFUNCTION("""COMPUTED_VALUE"""),17.5)</f>
        <v>17.5</v>
      </c>
    </row>
    <row r="401">
      <c r="A401" s="2">
        <f>IFERROR(__xludf.DUMMYFUNCTION("""COMPUTED_VALUE"""),44684.66666666667)</f>
        <v>44684.66667</v>
      </c>
      <c r="B401" s="1">
        <f>IFERROR(__xludf.DUMMYFUNCTION("""COMPUTED_VALUE"""),17.53)</f>
        <v>17.53</v>
      </c>
    </row>
    <row r="402">
      <c r="A402" s="2">
        <f>IFERROR(__xludf.DUMMYFUNCTION("""COMPUTED_VALUE"""),44685.66666666667)</f>
        <v>44685.66667</v>
      </c>
      <c r="B402" s="1">
        <f>IFERROR(__xludf.DUMMYFUNCTION("""COMPUTED_VALUE"""),18.13)</f>
        <v>18.13</v>
      </c>
    </row>
    <row r="403">
      <c r="A403" s="2">
        <f>IFERROR(__xludf.DUMMYFUNCTION("""COMPUTED_VALUE"""),44686.66666666667)</f>
        <v>44686.66667</v>
      </c>
      <c r="B403" s="1">
        <f>IFERROR(__xludf.DUMMYFUNCTION("""COMPUTED_VALUE"""),15.38)</f>
        <v>15.38</v>
      </c>
    </row>
    <row r="404">
      <c r="A404" s="2">
        <f>IFERROR(__xludf.DUMMYFUNCTION("""COMPUTED_VALUE"""),44687.66666666667)</f>
        <v>44687.66667</v>
      </c>
      <c r="B404" s="1">
        <f>IFERROR(__xludf.DUMMYFUNCTION("""COMPUTED_VALUE"""),14.92)</f>
        <v>14.92</v>
      </c>
    </row>
    <row r="405">
      <c r="A405" s="2">
        <f>IFERROR(__xludf.DUMMYFUNCTION("""COMPUTED_VALUE"""),44690.66666666667)</f>
        <v>44690.66667</v>
      </c>
      <c r="B405" s="1">
        <f>IFERROR(__xludf.DUMMYFUNCTION("""COMPUTED_VALUE"""),13.55)</f>
        <v>13.55</v>
      </c>
    </row>
    <row r="406">
      <c r="A406" s="2">
        <f>IFERROR(__xludf.DUMMYFUNCTION("""COMPUTED_VALUE"""),44691.66666666667)</f>
        <v>44691.66667</v>
      </c>
      <c r="B406" s="1">
        <f>IFERROR(__xludf.DUMMYFUNCTION("""COMPUTED_VALUE"""),13.44)</f>
        <v>13.44</v>
      </c>
    </row>
    <row r="407">
      <c r="A407" s="2">
        <f>IFERROR(__xludf.DUMMYFUNCTION("""COMPUTED_VALUE"""),44692.66666666667)</f>
        <v>44692.66667</v>
      </c>
      <c r="B407" s="1">
        <f>IFERROR(__xludf.DUMMYFUNCTION("""COMPUTED_VALUE"""),12.71)</f>
        <v>12.71</v>
      </c>
    </row>
    <row r="408">
      <c r="A408" s="2">
        <f>IFERROR(__xludf.DUMMYFUNCTION("""COMPUTED_VALUE"""),44693.66666666667)</f>
        <v>44693.66667</v>
      </c>
      <c r="B408" s="1">
        <f>IFERROR(__xludf.DUMMYFUNCTION("""COMPUTED_VALUE"""),13.1)</f>
        <v>13.1</v>
      </c>
    </row>
    <row r="409">
      <c r="A409" s="2">
        <f>IFERROR(__xludf.DUMMYFUNCTION("""COMPUTED_VALUE"""),44694.66666666667)</f>
        <v>44694.66667</v>
      </c>
      <c r="B409" s="1">
        <f>IFERROR(__xludf.DUMMYFUNCTION("""COMPUTED_VALUE"""),14.31)</f>
        <v>14.31</v>
      </c>
    </row>
    <row r="410">
      <c r="A410" s="2">
        <f>IFERROR(__xludf.DUMMYFUNCTION("""COMPUTED_VALUE"""),44697.66666666667)</f>
        <v>44697.66667</v>
      </c>
      <c r="B410" s="1">
        <f>IFERROR(__xludf.DUMMYFUNCTION("""COMPUTED_VALUE"""),14.55)</f>
        <v>14.55</v>
      </c>
    </row>
    <row r="411">
      <c r="A411" s="2">
        <f>IFERROR(__xludf.DUMMYFUNCTION("""COMPUTED_VALUE"""),44698.66666666667)</f>
        <v>44698.66667</v>
      </c>
      <c r="B411" s="1">
        <f>IFERROR(__xludf.DUMMYFUNCTION("""COMPUTED_VALUE"""),16.63)</f>
        <v>16.63</v>
      </c>
    </row>
    <row r="412">
      <c r="A412" s="2">
        <f>IFERROR(__xludf.DUMMYFUNCTION("""COMPUTED_VALUE"""),44699.66666666667)</f>
        <v>44699.66667</v>
      </c>
      <c r="B412" s="1">
        <f>IFERROR(__xludf.DUMMYFUNCTION("""COMPUTED_VALUE"""),15.83)</f>
        <v>15.83</v>
      </c>
    </row>
    <row r="413">
      <c r="A413" s="2">
        <f>IFERROR(__xludf.DUMMYFUNCTION("""COMPUTED_VALUE"""),44700.66666666667)</f>
        <v>44700.66667</v>
      </c>
      <c r="B413" s="1">
        <f>IFERROR(__xludf.DUMMYFUNCTION("""COMPUTED_VALUE"""),16.66)</f>
        <v>16.66</v>
      </c>
    </row>
    <row r="414">
      <c r="A414" s="2">
        <f>IFERROR(__xludf.DUMMYFUNCTION("""COMPUTED_VALUE"""),44701.66666666667)</f>
        <v>44701.66667</v>
      </c>
      <c r="B414" s="1">
        <f>IFERROR(__xludf.DUMMYFUNCTION("""COMPUTED_VALUE"""),16.44)</f>
        <v>16.44</v>
      </c>
    </row>
    <row r="415">
      <c r="A415" s="2">
        <f>IFERROR(__xludf.DUMMYFUNCTION("""COMPUTED_VALUE"""),44704.66666666667)</f>
        <v>44704.66667</v>
      </c>
      <c r="B415" s="1">
        <f>IFERROR(__xludf.DUMMYFUNCTION("""COMPUTED_VALUE"""),16.0)</f>
        <v>16</v>
      </c>
    </row>
    <row r="416">
      <c r="A416" s="2">
        <f>IFERROR(__xludf.DUMMYFUNCTION("""COMPUTED_VALUE"""),44705.66666666667)</f>
        <v>44705.66667</v>
      </c>
      <c r="B416" s="1">
        <f>IFERROR(__xludf.DUMMYFUNCTION("""COMPUTED_VALUE"""),14.63)</f>
        <v>14.63</v>
      </c>
    </row>
    <row r="417">
      <c r="A417" s="2">
        <f>IFERROR(__xludf.DUMMYFUNCTION("""COMPUTED_VALUE"""),44706.66666666667)</f>
        <v>44706.66667</v>
      </c>
      <c r="B417" s="1">
        <f>IFERROR(__xludf.DUMMYFUNCTION("""COMPUTED_VALUE"""),14.64)</f>
        <v>14.64</v>
      </c>
    </row>
    <row r="418">
      <c r="A418" s="2">
        <f>IFERROR(__xludf.DUMMYFUNCTION("""COMPUTED_VALUE"""),44707.66666666667)</f>
        <v>44707.66667</v>
      </c>
      <c r="B418" s="1">
        <f>IFERROR(__xludf.DUMMYFUNCTION("""COMPUTED_VALUE"""),16.03)</f>
        <v>16.03</v>
      </c>
    </row>
    <row r="419">
      <c r="A419" s="2">
        <f>IFERROR(__xludf.DUMMYFUNCTION("""COMPUTED_VALUE"""),44708.66666666667)</f>
        <v>44708.66667</v>
      </c>
      <c r="B419" s="1">
        <f>IFERROR(__xludf.DUMMYFUNCTION("""COMPUTED_VALUE"""),16.57)</f>
        <v>16.57</v>
      </c>
    </row>
    <row r="420">
      <c r="A420" s="2">
        <f>IFERROR(__xludf.DUMMYFUNCTION("""COMPUTED_VALUE"""),44712.66666666667)</f>
        <v>44712.66667</v>
      </c>
      <c r="B420" s="1">
        <f>IFERROR(__xludf.DUMMYFUNCTION("""COMPUTED_VALUE"""),17.39)</f>
        <v>17.39</v>
      </c>
    </row>
    <row r="421">
      <c r="A421" s="2">
        <f>IFERROR(__xludf.DUMMYFUNCTION("""COMPUTED_VALUE"""),44713.66666666667)</f>
        <v>44713.66667</v>
      </c>
      <c r="B421" s="1">
        <f>IFERROR(__xludf.DUMMYFUNCTION("""COMPUTED_VALUE"""),17.57)</f>
        <v>17.57</v>
      </c>
    </row>
    <row r="422">
      <c r="A422" s="2">
        <f>IFERROR(__xludf.DUMMYFUNCTION("""COMPUTED_VALUE"""),44714.66666666667)</f>
        <v>44714.66667</v>
      </c>
      <c r="B422" s="1">
        <f>IFERROR(__xludf.DUMMYFUNCTION("""COMPUTED_VALUE"""),18.85)</f>
        <v>18.85</v>
      </c>
    </row>
    <row r="423">
      <c r="A423" s="2">
        <f>IFERROR(__xludf.DUMMYFUNCTION("""COMPUTED_VALUE"""),44715.66666666667)</f>
        <v>44715.66667</v>
      </c>
      <c r="B423" s="1">
        <f>IFERROR(__xludf.DUMMYFUNCTION("""COMPUTED_VALUE"""),18.08)</f>
        <v>18.08</v>
      </c>
    </row>
    <row r="424">
      <c r="A424" s="2">
        <f>IFERROR(__xludf.DUMMYFUNCTION("""COMPUTED_VALUE"""),44718.66666666667)</f>
        <v>44718.66667</v>
      </c>
      <c r="B424" s="1">
        <f>IFERROR(__xludf.DUMMYFUNCTION("""COMPUTED_VALUE"""),19.18)</f>
        <v>19.18</v>
      </c>
    </row>
    <row r="425">
      <c r="A425" s="2">
        <f>IFERROR(__xludf.DUMMYFUNCTION("""COMPUTED_VALUE"""),44719.66666666667)</f>
        <v>44719.66667</v>
      </c>
      <c r="B425" s="1">
        <f>IFERROR(__xludf.DUMMYFUNCTION("""COMPUTED_VALUE"""),19.65)</f>
        <v>19.65</v>
      </c>
    </row>
    <row r="426">
      <c r="A426" s="2">
        <f>IFERROR(__xludf.DUMMYFUNCTION("""COMPUTED_VALUE"""),44720.66666666667)</f>
        <v>44720.66667</v>
      </c>
      <c r="B426" s="1">
        <f>IFERROR(__xludf.DUMMYFUNCTION("""COMPUTED_VALUE"""),20.38)</f>
        <v>20.38</v>
      </c>
    </row>
    <row r="427">
      <c r="A427" s="2">
        <f>IFERROR(__xludf.DUMMYFUNCTION("""COMPUTED_VALUE"""),44721.66666666667)</f>
        <v>44721.66667</v>
      </c>
      <c r="B427" s="1">
        <f>IFERROR(__xludf.DUMMYFUNCTION("""COMPUTED_VALUE"""),18.82)</f>
        <v>18.82</v>
      </c>
    </row>
    <row r="428">
      <c r="A428" s="2">
        <f>IFERROR(__xludf.DUMMYFUNCTION("""COMPUTED_VALUE"""),44722.66666666667)</f>
        <v>44722.66667</v>
      </c>
      <c r="B428" s="1">
        <f>IFERROR(__xludf.DUMMYFUNCTION("""COMPUTED_VALUE"""),18.14)</f>
        <v>18.14</v>
      </c>
    </row>
    <row r="429">
      <c r="A429" s="2">
        <f>IFERROR(__xludf.DUMMYFUNCTION("""COMPUTED_VALUE"""),44725.66666666667)</f>
        <v>44725.66667</v>
      </c>
      <c r="B429" s="1">
        <f>IFERROR(__xludf.DUMMYFUNCTION("""COMPUTED_VALUE"""),15.99)</f>
        <v>15.99</v>
      </c>
    </row>
    <row r="430">
      <c r="A430" s="2">
        <f>IFERROR(__xludf.DUMMYFUNCTION("""COMPUTED_VALUE"""),44726.66666666667)</f>
        <v>44726.66667</v>
      </c>
      <c r="B430" s="1">
        <f>IFERROR(__xludf.DUMMYFUNCTION("""COMPUTED_VALUE"""),18.66)</f>
        <v>18.66</v>
      </c>
    </row>
    <row r="431">
      <c r="A431" s="2">
        <f>IFERROR(__xludf.DUMMYFUNCTION("""COMPUTED_VALUE"""),44727.66666666667)</f>
        <v>44727.66667</v>
      </c>
      <c r="B431" s="1">
        <f>IFERROR(__xludf.DUMMYFUNCTION("""COMPUTED_VALUE"""),20.11)</f>
        <v>20.11</v>
      </c>
    </row>
    <row r="432">
      <c r="A432" s="2">
        <f>IFERROR(__xludf.DUMMYFUNCTION("""COMPUTED_VALUE"""),44728.66666666667)</f>
        <v>44728.66667</v>
      </c>
      <c r="B432" s="1">
        <f>IFERROR(__xludf.DUMMYFUNCTION("""COMPUTED_VALUE"""),19.18)</f>
        <v>19.18</v>
      </c>
    </row>
    <row r="433">
      <c r="A433" s="2">
        <f>IFERROR(__xludf.DUMMYFUNCTION("""COMPUTED_VALUE"""),44729.66666666667)</f>
        <v>44729.66667</v>
      </c>
      <c r="B433" s="1">
        <f>IFERROR(__xludf.DUMMYFUNCTION("""COMPUTED_VALUE"""),20.77)</f>
        <v>20.77</v>
      </c>
    </row>
    <row r="434">
      <c r="A434" s="2">
        <f>IFERROR(__xludf.DUMMYFUNCTION("""COMPUTED_VALUE"""),44733.66666666667)</f>
        <v>44733.66667</v>
      </c>
      <c r="B434" s="1">
        <f>IFERROR(__xludf.DUMMYFUNCTION("""COMPUTED_VALUE"""),22.66)</f>
        <v>22.66</v>
      </c>
    </row>
    <row r="435">
      <c r="A435" s="2">
        <f>IFERROR(__xludf.DUMMYFUNCTION("""COMPUTED_VALUE"""),44734.66666666667)</f>
        <v>44734.66667</v>
      </c>
      <c r="B435" s="1">
        <f>IFERROR(__xludf.DUMMYFUNCTION("""COMPUTED_VALUE"""),22.55)</f>
        <v>22.55</v>
      </c>
    </row>
    <row r="436">
      <c r="A436" s="2">
        <f>IFERROR(__xludf.DUMMYFUNCTION("""COMPUTED_VALUE"""),44735.66666666667)</f>
        <v>44735.66667</v>
      </c>
      <c r="B436" s="1">
        <f>IFERROR(__xludf.DUMMYFUNCTION("""COMPUTED_VALUE"""),23.05)</f>
        <v>23.05</v>
      </c>
    </row>
    <row r="437">
      <c r="A437" s="2">
        <f>IFERROR(__xludf.DUMMYFUNCTION("""COMPUTED_VALUE"""),44736.66666666667)</f>
        <v>44736.66667</v>
      </c>
      <c r="B437" s="1">
        <f>IFERROR(__xludf.DUMMYFUNCTION("""COMPUTED_VALUE"""),24.08)</f>
        <v>24.08</v>
      </c>
    </row>
    <row r="438">
      <c r="A438" s="2">
        <f>IFERROR(__xludf.DUMMYFUNCTION("""COMPUTED_VALUE"""),44739.66666666667)</f>
        <v>44739.66667</v>
      </c>
      <c r="B438" s="1">
        <f>IFERROR(__xludf.DUMMYFUNCTION("""COMPUTED_VALUE"""),22.95)</f>
        <v>22.95</v>
      </c>
    </row>
    <row r="439">
      <c r="A439" s="2">
        <f>IFERROR(__xludf.DUMMYFUNCTION("""COMPUTED_VALUE"""),44740.66666666667)</f>
        <v>44740.66667</v>
      </c>
      <c r="B439" s="1">
        <f>IFERROR(__xludf.DUMMYFUNCTION("""COMPUTED_VALUE"""),22.36)</f>
        <v>22.36</v>
      </c>
    </row>
    <row r="440">
      <c r="A440" s="2">
        <f>IFERROR(__xludf.DUMMYFUNCTION("""COMPUTED_VALUE"""),44741.66666666667)</f>
        <v>44741.66667</v>
      </c>
      <c r="B440" s="1">
        <f>IFERROR(__xludf.DUMMYFUNCTION("""COMPUTED_VALUE"""),21.86)</f>
        <v>21.86</v>
      </c>
    </row>
    <row r="441">
      <c r="A441" s="2">
        <f>IFERROR(__xludf.DUMMYFUNCTION("""COMPUTED_VALUE"""),44742.66666666667)</f>
        <v>44742.66667</v>
      </c>
      <c r="B441" s="1">
        <f>IFERROR(__xludf.DUMMYFUNCTION("""COMPUTED_VALUE"""),21.72)</f>
        <v>21.72</v>
      </c>
    </row>
    <row r="442">
      <c r="A442" s="2">
        <f>IFERROR(__xludf.DUMMYFUNCTION("""COMPUTED_VALUE"""),44743.66666666667)</f>
        <v>44743.66667</v>
      </c>
      <c r="B442" s="1">
        <f>IFERROR(__xludf.DUMMYFUNCTION("""COMPUTED_VALUE"""),21.36)</f>
        <v>21.36</v>
      </c>
    </row>
    <row r="443">
      <c r="A443" s="2">
        <f>IFERROR(__xludf.DUMMYFUNCTION("""COMPUTED_VALUE"""),44747.66666666667)</f>
        <v>44747.66667</v>
      </c>
      <c r="B443" s="1">
        <f>IFERROR(__xludf.DUMMYFUNCTION("""COMPUTED_VALUE"""),22.18)</f>
        <v>22.18</v>
      </c>
    </row>
    <row r="444">
      <c r="A444" s="2">
        <f>IFERROR(__xludf.DUMMYFUNCTION("""COMPUTED_VALUE"""),44748.66666666667)</f>
        <v>44748.66667</v>
      </c>
      <c r="B444" s="1">
        <f>IFERROR(__xludf.DUMMYFUNCTION("""COMPUTED_VALUE"""),20.83)</f>
        <v>20.83</v>
      </c>
    </row>
    <row r="445">
      <c r="A445" s="2">
        <f>IFERROR(__xludf.DUMMYFUNCTION("""COMPUTED_VALUE"""),44749.66666666667)</f>
        <v>44749.66667</v>
      </c>
      <c r="B445" s="1">
        <f>IFERROR(__xludf.DUMMYFUNCTION("""COMPUTED_VALUE"""),22.5)</f>
        <v>22.5</v>
      </c>
    </row>
    <row r="446">
      <c r="A446" s="2">
        <f>IFERROR(__xludf.DUMMYFUNCTION("""COMPUTED_VALUE"""),44750.66666666667)</f>
        <v>44750.66667</v>
      </c>
      <c r="B446" s="1">
        <f>IFERROR(__xludf.DUMMYFUNCTION("""COMPUTED_VALUE"""),22.6)</f>
        <v>22.6</v>
      </c>
    </row>
    <row r="447">
      <c r="A447" s="2">
        <f>IFERROR(__xludf.DUMMYFUNCTION("""COMPUTED_VALUE"""),44753.66666666667)</f>
        <v>44753.66667</v>
      </c>
      <c r="B447" s="1">
        <f>IFERROR(__xludf.DUMMYFUNCTION("""COMPUTED_VALUE"""),20.57)</f>
        <v>20.57</v>
      </c>
    </row>
    <row r="448">
      <c r="A448" s="2">
        <f>IFERROR(__xludf.DUMMYFUNCTION("""COMPUTED_VALUE"""),44754.66666666667)</f>
        <v>44754.66667</v>
      </c>
      <c r="B448" s="1">
        <f>IFERROR(__xludf.DUMMYFUNCTION("""COMPUTED_VALUE"""),20.87)</f>
        <v>20.87</v>
      </c>
    </row>
    <row r="449">
      <c r="A449" s="2">
        <f>IFERROR(__xludf.DUMMYFUNCTION("""COMPUTED_VALUE"""),44755.66666666667)</f>
        <v>44755.66667</v>
      </c>
      <c r="B449" s="1">
        <f>IFERROR(__xludf.DUMMYFUNCTION("""COMPUTED_VALUE"""),21.09)</f>
        <v>21.09</v>
      </c>
    </row>
    <row r="450">
      <c r="A450" s="2">
        <f>IFERROR(__xludf.DUMMYFUNCTION("""COMPUTED_VALUE"""),44756.66666666667)</f>
        <v>44756.66667</v>
      </c>
      <c r="B450" s="1">
        <f>IFERROR(__xludf.DUMMYFUNCTION("""COMPUTED_VALUE"""),21.05)</f>
        <v>21.05</v>
      </c>
    </row>
    <row r="451">
      <c r="A451" s="2">
        <f>IFERROR(__xludf.DUMMYFUNCTION("""COMPUTED_VALUE"""),44757.66666666667)</f>
        <v>44757.66667</v>
      </c>
      <c r="B451" s="1">
        <f>IFERROR(__xludf.DUMMYFUNCTION("""COMPUTED_VALUE"""),20.72)</f>
        <v>20.72</v>
      </c>
    </row>
    <row r="452">
      <c r="A452" s="2">
        <f>IFERROR(__xludf.DUMMYFUNCTION("""COMPUTED_VALUE"""),44760.66666666667)</f>
        <v>44760.66667</v>
      </c>
      <c r="B452" s="1">
        <f>IFERROR(__xludf.DUMMYFUNCTION("""COMPUTED_VALUE"""),20.84)</f>
        <v>20.84</v>
      </c>
    </row>
    <row r="453">
      <c r="A453" s="2">
        <f>IFERROR(__xludf.DUMMYFUNCTION("""COMPUTED_VALUE"""),44761.66666666667)</f>
        <v>44761.66667</v>
      </c>
      <c r="B453" s="1">
        <f>IFERROR(__xludf.DUMMYFUNCTION("""COMPUTED_VALUE"""),20.2)</f>
        <v>20.2</v>
      </c>
    </row>
    <row r="454">
      <c r="A454" s="2">
        <f>IFERROR(__xludf.DUMMYFUNCTION("""COMPUTED_VALUE"""),44762.66666666667)</f>
        <v>44762.66667</v>
      </c>
      <c r="B454" s="1">
        <f>IFERROR(__xludf.DUMMYFUNCTION("""COMPUTED_VALUE"""),20.37)</f>
        <v>20.37</v>
      </c>
    </row>
    <row r="455">
      <c r="A455" s="2">
        <f>IFERROR(__xludf.DUMMYFUNCTION("""COMPUTED_VALUE"""),44763.66666666667)</f>
        <v>44763.66667</v>
      </c>
      <c r="B455" s="1">
        <f>IFERROR(__xludf.DUMMYFUNCTION("""COMPUTED_VALUE"""),20.68)</f>
        <v>20.68</v>
      </c>
    </row>
    <row r="456">
      <c r="A456" s="2">
        <f>IFERROR(__xludf.DUMMYFUNCTION("""COMPUTED_VALUE"""),44764.66666666667)</f>
        <v>44764.66667</v>
      </c>
      <c r="B456" s="1">
        <f>IFERROR(__xludf.DUMMYFUNCTION("""COMPUTED_VALUE"""),19.24)</f>
        <v>19.24</v>
      </c>
    </row>
    <row r="457">
      <c r="A457" s="2">
        <f>IFERROR(__xludf.DUMMYFUNCTION("""COMPUTED_VALUE"""),44767.66666666667)</f>
        <v>44767.66667</v>
      </c>
      <c r="B457" s="1">
        <f>IFERROR(__xludf.DUMMYFUNCTION("""COMPUTED_VALUE"""),19.33)</f>
        <v>19.33</v>
      </c>
    </row>
    <row r="458">
      <c r="A458" s="2">
        <f>IFERROR(__xludf.DUMMYFUNCTION("""COMPUTED_VALUE"""),44768.66666666667)</f>
        <v>44768.66667</v>
      </c>
      <c r="B458" s="1">
        <f>IFERROR(__xludf.DUMMYFUNCTION("""COMPUTED_VALUE"""),19.04)</f>
        <v>19.04</v>
      </c>
    </row>
    <row r="459">
      <c r="A459" s="2">
        <f>IFERROR(__xludf.DUMMYFUNCTION("""COMPUTED_VALUE"""),44769.66666666667)</f>
        <v>44769.66667</v>
      </c>
      <c r="B459" s="1">
        <f>IFERROR(__xludf.DUMMYFUNCTION("""COMPUTED_VALUE"""),19.38)</f>
        <v>19.38</v>
      </c>
    </row>
    <row r="460">
      <c r="A460" s="2">
        <f>IFERROR(__xludf.DUMMYFUNCTION("""COMPUTED_VALUE"""),44770.66666666667)</f>
        <v>44770.66667</v>
      </c>
      <c r="B460" s="1">
        <f>IFERROR(__xludf.DUMMYFUNCTION("""COMPUTED_VALUE"""),19.49)</f>
        <v>19.49</v>
      </c>
    </row>
    <row r="461">
      <c r="A461" s="2">
        <f>IFERROR(__xludf.DUMMYFUNCTION("""COMPUTED_VALUE"""),44771.66666666667)</f>
        <v>44771.66667</v>
      </c>
      <c r="B461" s="1">
        <f>IFERROR(__xludf.DUMMYFUNCTION("""COMPUTED_VALUE"""),19.73)</f>
        <v>19.73</v>
      </c>
    </row>
    <row r="462">
      <c r="A462" s="2">
        <f>IFERROR(__xludf.DUMMYFUNCTION("""COMPUTED_VALUE"""),44774.66666666667)</f>
        <v>44774.66667</v>
      </c>
      <c r="B462" s="1">
        <f>IFERROR(__xludf.DUMMYFUNCTION("""COMPUTED_VALUE"""),20.18)</f>
        <v>20.18</v>
      </c>
    </row>
    <row r="463">
      <c r="A463" s="2">
        <f>IFERROR(__xludf.DUMMYFUNCTION("""COMPUTED_VALUE"""),44775.66666666667)</f>
        <v>44775.66667</v>
      </c>
      <c r="B463" s="1">
        <f>IFERROR(__xludf.DUMMYFUNCTION("""COMPUTED_VALUE"""),20.18)</f>
        <v>20.18</v>
      </c>
    </row>
    <row r="464">
      <c r="A464" s="2">
        <f>IFERROR(__xludf.DUMMYFUNCTION("""COMPUTED_VALUE"""),44776.66666666667)</f>
        <v>44776.66667</v>
      </c>
      <c r="B464" s="1">
        <f>IFERROR(__xludf.DUMMYFUNCTION("""COMPUTED_VALUE"""),20.3)</f>
        <v>20.3</v>
      </c>
    </row>
    <row r="465">
      <c r="A465" s="2">
        <f>IFERROR(__xludf.DUMMYFUNCTION("""COMPUTED_VALUE"""),44777.66666666667)</f>
        <v>44777.66667</v>
      </c>
      <c r="B465" s="1">
        <f>IFERROR(__xludf.DUMMYFUNCTION("""COMPUTED_VALUE"""),20.9)</f>
        <v>20.9</v>
      </c>
    </row>
    <row r="466">
      <c r="A466" s="2">
        <f>IFERROR(__xludf.DUMMYFUNCTION("""COMPUTED_VALUE"""),44778.66666666667)</f>
        <v>44778.66667</v>
      </c>
      <c r="B466" s="1">
        <f>IFERROR(__xludf.DUMMYFUNCTION("""COMPUTED_VALUE"""),20.22)</f>
        <v>20.22</v>
      </c>
    </row>
    <row r="467">
      <c r="A467" s="2">
        <f>IFERROR(__xludf.DUMMYFUNCTION("""COMPUTED_VALUE"""),44781.66666666667)</f>
        <v>44781.66667</v>
      </c>
      <c r="B467" s="1">
        <f>IFERROR(__xludf.DUMMYFUNCTION("""COMPUTED_VALUE"""),20.17)</f>
        <v>20.17</v>
      </c>
    </row>
    <row r="468">
      <c r="A468" s="2">
        <f>IFERROR(__xludf.DUMMYFUNCTION("""COMPUTED_VALUE"""),44782.66666666667)</f>
        <v>44782.66667</v>
      </c>
      <c r="B468" s="1">
        <f>IFERROR(__xludf.DUMMYFUNCTION("""COMPUTED_VALUE"""),19.17)</f>
        <v>19.17</v>
      </c>
    </row>
    <row r="469">
      <c r="A469" s="2">
        <f>IFERROR(__xludf.DUMMYFUNCTION("""COMPUTED_VALUE"""),44783.66666666667)</f>
        <v>44783.66667</v>
      </c>
      <c r="B469" s="1">
        <f>IFERROR(__xludf.DUMMYFUNCTION("""COMPUTED_VALUE"""),20.05)</f>
        <v>20.05</v>
      </c>
    </row>
    <row r="470">
      <c r="A470" s="2">
        <f>IFERROR(__xludf.DUMMYFUNCTION("""COMPUTED_VALUE"""),44784.66666666667)</f>
        <v>44784.66667</v>
      </c>
      <c r="B470" s="1">
        <f>IFERROR(__xludf.DUMMYFUNCTION("""COMPUTED_VALUE"""),20.82)</f>
        <v>20.82</v>
      </c>
    </row>
    <row r="471">
      <c r="A471" s="2">
        <f>IFERROR(__xludf.DUMMYFUNCTION("""COMPUTED_VALUE"""),44785.66666666667)</f>
        <v>44785.66667</v>
      </c>
      <c r="B471" s="1">
        <f>IFERROR(__xludf.DUMMYFUNCTION("""COMPUTED_VALUE"""),21.11)</f>
        <v>21.11</v>
      </c>
    </row>
    <row r="472">
      <c r="A472" s="2">
        <f>IFERROR(__xludf.DUMMYFUNCTION("""COMPUTED_VALUE"""),44788.66666666667)</f>
        <v>44788.66667</v>
      </c>
      <c r="B472" s="1">
        <f>IFERROR(__xludf.DUMMYFUNCTION("""COMPUTED_VALUE"""),21.3)</f>
        <v>21.3</v>
      </c>
    </row>
    <row r="473">
      <c r="A473" s="2">
        <f>IFERROR(__xludf.DUMMYFUNCTION("""COMPUTED_VALUE"""),44789.66666666667)</f>
        <v>44789.66667</v>
      </c>
      <c r="B473" s="1">
        <f>IFERROR(__xludf.DUMMYFUNCTION("""COMPUTED_VALUE"""),20.91)</f>
        <v>20.91</v>
      </c>
    </row>
    <row r="474">
      <c r="A474" s="2">
        <f>IFERROR(__xludf.DUMMYFUNCTION("""COMPUTED_VALUE"""),44790.66666666667)</f>
        <v>44790.66667</v>
      </c>
      <c r="B474" s="1">
        <f>IFERROR(__xludf.DUMMYFUNCTION("""COMPUTED_VALUE"""),20.08)</f>
        <v>20.08</v>
      </c>
    </row>
    <row r="475">
      <c r="A475" s="2">
        <f>IFERROR(__xludf.DUMMYFUNCTION("""COMPUTED_VALUE"""),44791.66666666667)</f>
        <v>44791.66667</v>
      </c>
      <c r="B475" s="1">
        <f>IFERROR(__xludf.DUMMYFUNCTION("""COMPUTED_VALUE"""),19.91)</f>
        <v>19.91</v>
      </c>
    </row>
    <row r="476">
      <c r="A476" s="2">
        <f>IFERROR(__xludf.DUMMYFUNCTION("""COMPUTED_VALUE"""),44792.66666666667)</f>
        <v>44792.66667</v>
      </c>
      <c r="B476" s="1">
        <f>IFERROR(__xludf.DUMMYFUNCTION("""COMPUTED_VALUE"""),19.05)</f>
        <v>19.05</v>
      </c>
    </row>
    <row r="477">
      <c r="A477" s="2">
        <f>IFERROR(__xludf.DUMMYFUNCTION("""COMPUTED_VALUE"""),44795.66666666667)</f>
        <v>44795.66667</v>
      </c>
      <c r="B477" s="1">
        <f>IFERROR(__xludf.DUMMYFUNCTION("""COMPUTED_VALUE"""),18.95)</f>
        <v>18.95</v>
      </c>
    </row>
    <row r="478">
      <c r="A478" s="2">
        <f>IFERROR(__xludf.DUMMYFUNCTION("""COMPUTED_VALUE"""),44796.66666666667)</f>
        <v>44796.66667</v>
      </c>
      <c r="B478" s="1">
        <f>IFERROR(__xludf.DUMMYFUNCTION("""COMPUTED_VALUE"""),18.29)</f>
        <v>18.29</v>
      </c>
    </row>
    <row r="479">
      <c r="A479" s="2">
        <f>IFERROR(__xludf.DUMMYFUNCTION("""COMPUTED_VALUE"""),44797.66666666667)</f>
        <v>44797.66667</v>
      </c>
      <c r="B479" s="1">
        <f>IFERROR(__xludf.DUMMYFUNCTION("""COMPUTED_VALUE"""),18.87)</f>
        <v>18.87</v>
      </c>
    </row>
    <row r="480">
      <c r="A480" s="2">
        <f>IFERROR(__xludf.DUMMYFUNCTION("""COMPUTED_VALUE"""),44798.66666666667)</f>
        <v>44798.66667</v>
      </c>
      <c r="B480" s="1">
        <f>IFERROR(__xludf.DUMMYFUNCTION("""COMPUTED_VALUE"""),20.08)</f>
        <v>20.08</v>
      </c>
    </row>
    <row r="481">
      <c r="A481" s="2">
        <f>IFERROR(__xludf.DUMMYFUNCTION("""COMPUTED_VALUE"""),44799.66666666667)</f>
        <v>44799.66667</v>
      </c>
      <c r="B481" s="1">
        <f>IFERROR(__xludf.DUMMYFUNCTION("""COMPUTED_VALUE"""),19.92)</f>
        <v>19.92</v>
      </c>
    </row>
    <row r="482">
      <c r="A482" s="2">
        <f>IFERROR(__xludf.DUMMYFUNCTION("""COMPUTED_VALUE"""),44802.66666666667)</f>
        <v>44802.66667</v>
      </c>
      <c r="B482" s="1">
        <f>IFERROR(__xludf.DUMMYFUNCTION("""COMPUTED_VALUE"""),19.81)</f>
        <v>19.81</v>
      </c>
    </row>
    <row r="483">
      <c r="A483" s="2">
        <f>IFERROR(__xludf.DUMMYFUNCTION("""COMPUTED_VALUE"""),44803.66666666667)</f>
        <v>44803.66667</v>
      </c>
      <c r="B483" s="1">
        <f>IFERROR(__xludf.DUMMYFUNCTION("""COMPUTED_VALUE"""),19.83)</f>
        <v>19.83</v>
      </c>
    </row>
    <row r="484">
      <c r="A484" s="2">
        <f>IFERROR(__xludf.DUMMYFUNCTION("""COMPUTED_VALUE"""),44804.66666666667)</f>
        <v>44804.66667</v>
      </c>
      <c r="B484" s="1">
        <f>IFERROR(__xludf.DUMMYFUNCTION("""COMPUTED_VALUE"""),19.91)</f>
        <v>19.91</v>
      </c>
    </row>
    <row r="485">
      <c r="A485" s="2">
        <f>IFERROR(__xludf.DUMMYFUNCTION("""COMPUTED_VALUE"""),44805.66666666667)</f>
        <v>44805.66667</v>
      </c>
      <c r="B485" s="1">
        <f>IFERROR(__xludf.DUMMYFUNCTION("""COMPUTED_VALUE"""),18.79)</f>
        <v>18.79</v>
      </c>
    </row>
    <row r="486">
      <c r="A486" s="2">
        <f>IFERROR(__xludf.DUMMYFUNCTION("""COMPUTED_VALUE"""),44806.66666666667)</f>
        <v>44806.66667</v>
      </c>
      <c r="B486" s="1">
        <f>IFERROR(__xludf.DUMMYFUNCTION("""COMPUTED_VALUE"""),17.73)</f>
        <v>17.73</v>
      </c>
    </row>
    <row r="487">
      <c r="A487" s="2">
        <f>IFERROR(__xludf.DUMMYFUNCTION("""COMPUTED_VALUE"""),44810.66666666667)</f>
        <v>44810.66667</v>
      </c>
      <c r="B487" s="1">
        <f>IFERROR(__xludf.DUMMYFUNCTION("""COMPUTED_VALUE"""),17.11)</f>
        <v>17.11</v>
      </c>
    </row>
    <row r="488">
      <c r="A488" s="2">
        <f>IFERROR(__xludf.DUMMYFUNCTION("""COMPUTED_VALUE"""),44811.66666666667)</f>
        <v>44811.66667</v>
      </c>
      <c r="B488" s="1">
        <f>IFERROR(__xludf.DUMMYFUNCTION("""COMPUTED_VALUE"""),17.48)</f>
        <v>17.48</v>
      </c>
    </row>
    <row r="489">
      <c r="A489" s="2">
        <f>IFERROR(__xludf.DUMMYFUNCTION("""COMPUTED_VALUE"""),44812.66666666667)</f>
        <v>44812.66667</v>
      </c>
      <c r="B489" s="1">
        <f>IFERROR(__xludf.DUMMYFUNCTION("""COMPUTED_VALUE"""),17.68)</f>
        <v>17.68</v>
      </c>
    </row>
    <row r="490">
      <c r="A490" s="2">
        <f>IFERROR(__xludf.DUMMYFUNCTION("""COMPUTED_VALUE"""),44813.66666666667)</f>
        <v>44813.66667</v>
      </c>
      <c r="B490" s="1">
        <f>IFERROR(__xludf.DUMMYFUNCTION("""COMPUTED_VALUE"""),19.16)</f>
        <v>19.16</v>
      </c>
    </row>
    <row r="491">
      <c r="A491" s="2">
        <f>IFERROR(__xludf.DUMMYFUNCTION("""COMPUTED_VALUE"""),44816.66666666667)</f>
        <v>44816.66667</v>
      </c>
      <c r="B491" s="1">
        <f>IFERROR(__xludf.DUMMYFUNCTION("""COMPUTED_VALUE"""),21.75)</f>
        <v>21.75</v>
      </c>
    </row>
    <row r="492">
      <c r="A492" s="2">
        <f>IFERROR(__xludf.DUMMYFUNCTION("""COMPUTED_VALUE"""),44817.66666666667)</f>
        <v>44817.66667</v>
      </c>
      <c r="B492" s="1">
        <f>IFERROR(__xludf.DUMMYFUNCTION("""COMPUTED_VALUE"""),21.97)</f>
        <v>21.97</v>
      </c>
    </row>
    <row r="493">
      <c r="A493" s="2">
        <f>IFERROR(__xludf.DUMMYFUNCTION("""COMPUTED_VALUE"""),44818.66666666667)</f>
        <v>44818.66667</v>
      </c>
      <c r="B493" s="1">
        <f>IFERROR(__xludf.DUMMYFUNCTION("""COMPUTED_VALUE"""),21.94)</f>
        <v>21.94</v>
      </c>
    </row>
    <row r="494">
      <c r="A494" s="2">
        <f>IFERROR(__xludf.DUMMYFUNCTION("""COMPUTED_VALUE"""),44819.66666666667)</f>
        <v>44819.66667</v>
      </c>
      <c r="B494" s="1">
        <f>IFERROR(__xludf.DUMMYFUNCTION("""COMPUTED_VALUE"""),21.51)</f>
        <v>21.51</v>
      </c>
    </row>
    <row r="495">
      <c r="A495" s="2">
        <f>IFERROR(__xludf.DUMMYFUNCTION("""COMPUTED_VALUE"""),44820.66666666667)</f>
        <v>44820.66667</v>
      </c>
      <c r="B495" s="1">
        <f>IFERROR(__xludf.DUMMYFUNCTION("""COMPUTED_VALUE"""),20.15)</f>
        <v>20.15</v>
      </c>
    </row>
    <row r="496">
      <c r="A496" s="2">
        <f>IFERROR(__xludf.DUMMYFUNCTION("""COMPUTED_VALUE"""),44823.66666666667)</f>
        <v>44823.66667</v>
      </c>
      <c r="B496" s="1">
        <f>IFERROR(__xludf.DUMMYFUNCTION("""COMPUTED_VALUE"""),20.9)</f>
        <v>20.9</v>
      </c>
    </row>
    <row r="497">
      <c r="A497" s="2">
        <f>IFERROR(__xludf.DUMMYFUNCTION("""COMPUTED_VALUE"""),44824.66666666667)</f>
        <v>44824.66667</v>
      </c>
      <c r="B497" s="1">
        <f>IFERROR(__xludf.DUMMYFUNCTION("""COMPUTED_VALUE"""),20.41)</f>
        <v>20.41</v>
      </c>
    </row>
    <row r="498">
      <c r="A498" s="2">
        <f>IFERROR(__xludf.DUMMYFUNCTION("""COMPUTED_VALUE"""),44825.66666666667)</f>
        <v>44825.66667</v>
      </c>
      <c r="B498" s="1">
        <f>IFERROR(__xludf.DUMMYFUNCTION("""COMPUTED_VALUE"""),18.3)</f>
        <v>18.3</v>
      </c>
    </row>
    <row r="499">
      <c r="A499" s="2">
        <f>IFERROR(__xludf.DUMMYFUNCTION("""COMPUTED_VALUE"""),44826.66666666667)</f>
        <v>44826.66667</v>
      </c>
      <c r="B499" s="1">
        <f>IFERROR(__xludf.DUMMYFUNCTION("""COMPUTED_VALUE"""),18.35)</f>
        <v>18.35</v>
      </c>
    </row>
    <row r="500">
      <c r="A500" s="2">
        <f>IFERROR(__xludf.DUMMYFUNCTION("""COMPUTED_VALUE"""),44827.66666666667)</f>
        <v>44827.66667</v>
      </c>
      <c r="B500" s="1">
        <f>IFERROR(__xludf.DUMMYFUNCTION("""COMPUTED_VALUE"""),17.64)</f>
        <v>17.64</v>
      </c>
    </row>
    <row r="501">
      <c r="A501" s="2">
        <f>IFERROR(__xludf.DUMMYFUNCTION("""COMPUTED_VALUE"""),44830.66666666667)</f>
        <v>44830.66667</v>
      </c>
      <c r="B501" s="1">
        <f>IFERROR(__xludf.DUMMYFUNCTION("""COMPUTED_VALUE"""),17.62)</f>
        <v>17.62</v>
      </c>
    </row>
    <row r="502">
      <c r="A502" s="2">
        <f>IFERROR(__xludf.DUMMYFUNCTION("""COMPUTED_VALUE"""),44831.66666666667)</f>
        <v>44831.66667</v>
      </c>
      <c r="B502" s="1">
        <f>IFERROR(__xludf.DUMMYFUNCTION("""COMPUTED_VALUE"""),17.19)</f>
        <v>17.19</v>
      </c>
    </row>
    <row r="503">
      <c r="A503" s="2">
        <f>IFERROR(__xludf.DUMMYFUNCTION("""COMPUTED_VALUE"""),44832.66666666667)</f>
        <v>44832.66667</v>
      </c>
      <c r="B503" s="1">
        <f>IFERROR(__xludf.DUMMYFUNCTION("""COMPUTED_VALUE"""),17.33)</f>
        <v>17.33</v>
      </c>
    </row>
    <row r="504">
      <c r="A504" s="2">
        <f>IFERROR(__xludf.DUMMYFUNCTION("""COMPUTED_VALUE"""),44833.66666666667)</f>
        <v>44833.66667</v>
      </c>
      <c r="B504" s="1">
        <f>IFERROR(__xludf.DUMMYFUNCTION("""COMPUTED_VALUE"""),15.58)</f>
        <v>15.58</v>
      </c>
    </row>
    <row r="505">
      <c r="A505" s="2">
        <f>IFERROR(__xludf.DUMMYFUNCTION("""COMPUTED_VALUE"""),44834.66666666667)</f>
        <v>44834.66667</v>
      </c>
      <c r="B505" s="1">
        <f>IFERROR(__xludf.DUMMYFUNCTION("""COMPUTED_VALUE"""),15.77)</f>
        <v>15.77</v>
      </c>
    </row>
    <row r="506">
      <c r="A506" s="2">
        <f>IFERROR(__xludf.DUMMYFUNCTION("""COMPUTED_VALUE"""),44837.66666666667)</f>
        <v>44837.66667</v>
      </c>
      <c r="B506" s="1">
        <f>IFERROR(__xludf.DUMMYFUNCTION("""COMPUTED_VALUE"""),15.49)</f>
        <v>15.49</v>
      </c>
    </row>
    <row r="507">
      <c r="A507" s="2">
        <f>IFERROR(__xludf.DUMMYFUNCTION("""COMPUTED_VALUE"""),44838.66666666667)</f>
        <v>44838.66667</v>
      </c>
      <c r="B507" s="1">
        <f>IFERROR(__xludf.DUMMYFUNCTION("""COMPUTED_VALUE"""),16.73)</f>
        <v>16.73</v>
      </c>
    </row>
    <row r="508">
      <c r="A508" s="2">
        <f>IFERROR(__xludf.DUMMYFUNCTION("""COMPUTED_VALUE"""),44839.66666666667)</f>
        <v>44839.66667</v>
      </c>
      <c r="B508" s="1">
        <f>IFERROR(__xludf.DUMMYFUNCTION("""COMPUTED_VALUE"""),16.04)</f>
        <v>16.04</v>
      </c>
    </row>
    <row r="509">
      <c r="A509" s="2">
        <f>IFERROR(__xludf.DUMMYFUNCTION("""COMPUTED_VALUE"""),44840.66666666667)</f>
        <v>44840.66667</v>
      </c>
      <c r="B509" s="1">
        <f>IFERROR(__xludf.DUMMYFUNCTION("""COMPUTED_VALUE"""),14.77)</f>
        <v>14.77</v>
      </c>
    </row>
    <row r="510">
      <c r="A510" s="2">
        <f>IFERROR(__xludf.DUMMYFUNCTION("""COMPUTED_VALUE"""),44841.66666666667)</f>
        <v>44841.66667</v>
      </c>
      <c r="B510" s="1">
        <f>IFERROR(__xludf.DUMMYFUNCTION("""COMPUTED_VALUE"""),13.76)</f>
        <v>13.76</v>
      </c>
    </row>
    <row r="511">
      <c r="A511" s="2">
        <f>IFERROR(__xludf.DUMMYFUNCTION("""COMPUTED_VALUE"""),44844.66666666667)</f>
        <v>44844.66667</v>
      </c>
      <c r="B511" s="1">
        <f>IFERROR(__xludf.DUMMYFUNCTION("""COMPUTED_VALUE"""),13.28)</f>
        <v>13.28</v>
      </c>
    </row>
    <row r="512">
      <c r="A512" s="2">
        <f>IFERROR(__xludf.DUMMYFUNCTION("""COMPUTED_VALUE"""),44845.66666666667)</f>
        <v>44845.66667</v>
      </c>
      <c r="B512" s="1">
        <f>IFERROR(__xludf.DUMMYFUNCTION("""COMPUTED_VALUE"""),12.83)</f>
        <v>12.83</v>
      </c>
    </row>
    <row r="513">
      <c r="A513" s="2">
        <f>IFERROR(__xludf.DUMMYFUNCTION("""COMPUTED_VALUE"""),44846.66666666667)</f>
        <v>44846.66667</v>
      </c>
      <c r="B513" s="1">
        <f>IFERROR(__xludf.DUMMYFUNCTION("""COMPUTED_VALUE"""),12.88)</f>
        <v>12.88</v>
      </c>
    </row>
    <row r="514">
      <c r="A514" s="2">
        <f>IFERROR(__xludf.DUMMYFUNCTION("""COMPUTED_VALUE"""),44847.66666666667)</f>
        <v>44847.66667</v>
      </c>
      <c r="B514" s="1">
        <f>IFERROR(__xludf.DUMMYFUNCTION("""COMPUTED_VALUE"""),12.78)</f>
        <v>12.78</v>
      </c>
    </row>
    <row r="515">
      <c r="A515" s="2">
        <f>IFERROR(__xludf.DUMMYFUNCTION("""COMPUTED_VALUE"""),44848.66666666667)</f>
        <v>44848.66667</v>
      </c>
      <c r="B515" s="1">
        <f>IFERROR(__xludf.DUMMYFUNCTION("""COMPUTED_VALUE"""),11.75)</f>
        <v>11.75</v>
      </c>
    </row>
    <row r="516">
      <c r="A516" s="2">
        <f>IFERROR(__xludf.DUMMYFUNCTION("""COMPUTED_VALUE"""),44851.66666666667)</f>
        <v>44851.66667</v>
      </c>
      <c r="B516" s="1">
        <f>IFERROR(__xludf.DUMMYFUNCTION("""COMPUTED_VALUE"""),12.21)</f>
        <v>12.21</v>
      </c>
    </row>
    <row r="517">
      <c r="A517" s="2">
        <f>IFERROR(__xludf.DUMMYFUNCTION("""COMPUTED_VALUE"""),44852.66666666667)</f>
        <v>44852.66667</v>
      </c>
      <c r="B517" s="1">
        <f>IFERROR(__xludf.DUMMYFUNCTION("""COMPUTED_VALUE"""),12.21)</f>
        <v>12.21</v>
      </c>
    </row>
    <row r="518">
      <c r="A518" s="2">
        <f>IFERROR(__xludf.DUMMYFUNCTION("""COMPUTED_VALUE"""),44853.66666666667)</f>
        <v>44853.66667</v>
      </c>
      <c r="B518" s="1">
        <f>IFERROR(__xludf.DUMMYFUNCTION("""COMPUTED_VALUE"""),10.92)</f>
        <v>10.92</v>
      </c>
    </row>
    <row r="519">
      <c r="A519" s="2">
        <f>IFERROR(__xludf.DUMMYFUNCTION("""COMPUTED_VALUE"""),44854.66666666667)</f>
        <v>44854.66667</v>
      </c>
      <c r="B519" s="1">
        <f>IFERROR(__xludf.DUMMYFUNCTION("""COMPUTED_VALUE"""),10.97)</f>
        <v>10.97</v>
      </c>
    </row>
    <row r="520">
      <c r="A520" s="2">
        <f>IFERROR(__xludf.DUMMYFUNCTION("""COMPUTED_VALUE"""),44855.66666666667)</f>
        <v>44855.66667</v>
      </c>
      <c r="B520" s="1">
        <f>IFERROR(__xludf.DUMMYFUNCTION("""COMPUTED_VALUE"""),11.21)</f>
        <v>11.21</v>
      </c>
    </row>
    <row r="521">
      <c r="A521" s="2">
        <f>IFERROR(__xludf.DUMMYFUNCTION("""COMPUTED_VALUE"""),44858.66666666667)</f>
        <v>44858.66667</v>
      </c>
      <c r="B521" s="1">
        <f>IFERROR(__xludf.DUMMYFUNCTION("""COMPUTED_VALUE"""),9.45)</f>
        <v>9.45</v>
      </c>
    </row>
    <row r="522">
      <c r="A522" s="2">
        <f>IFERROR(__xludf.DUMMYFUNCTION("""COMPUTED_VALUE"""),44859.66666666667)</f>
        <v>44859.66667</v>
      </c>
      <c r="B522" s="1">
        <f>IFERROR(__xludf.DUMMYFUNCTION("""COMPUTED_VALUE"""),10.63)</f>
        <v>10.63</v>
      </c>
    </row>
    <row r="523">
      <c r="A523" s="2">
        <f>IFERROR(__xludf.DUMMYFUNCTION("""COMPUTED_VALUE"""),44860.66666666667)</f>
        <v>44860.66667</v>
      </c>
      <c r="B523" s="1">
        <f>IFERROR(__xludf.DUMMYFUNCTION("""COMPUTED_VALUE"""),10.81)</f>
        <v>10.81</v>
      </c>
    </row>
    <row r="524">
      <c r="A524" s="2">
        <f>IFERROR(__xludf.DUMMYFUNCTION("""COMPUTED_VALUE"""),44861.66666666667)</f>
        <v>44861.66667</v>
      </c>
      <c r="B524" s="1">
        <f>IFERROR(__xludf.DUMMYFUNCTION("""COMPUTED_VALUE"""),9.98)</f>
        <v>9.98</v>
      </c>
    </row>
    <row r="525">
      <c r="A525" s="2">
        <f>IFERROR(__xludf.DUMMYFUNCTION("""COMPUTED_VALUE"""),44862.66666666667)</f>
        <v>44862.66667</v>
      </c>
      <c r="B525" s="1">
        <f>IFERROR(__xludf.DUMMYFUNCTION("""COMPUTED_VALUE"""),9.69)</f>
        <v>9.69</v>
      </c>
    </row>
    <row r="526">
      <c r="A526" s="2">
        <f>IFERROR(__xludf.DUMMYFUNCTION("""COMPUTED_VALUE"""),44865.66666666667)</f>
        <v>44865.66667</v>
      </c>
      <c r="B526" s="1">
        <f>IFERROR(__xludf.DUMMYFUNCTION("""COMPUTED_VALUE"""),9.67)</f>
        <v>9.67</v>
      </c>
    </row>
    <row r="527">
      <c r="A527" s="2">
        <f>IFERROR(__xludf.DUMMYFUNCTION("""COMPUTED_VALUE"""),44866.66666666667)</f>
        <v>44866.66667</v>
      </c>
      <c r="B527" s="1">
        <f>IFERROR(__xludf.DUMMYFUNCTION("""COMPUTED_VALUE"""),9.71)</f>
        <v>9.71</v>
      </c>
    </row>
    <row r="528">
      <c r="A528" s="2">
        <f>IFERROR(__xludf.DUMMYFUNCTION("""COMPUTED_VALUE"""),44867.66666666667)</f>
        <v>44867.66667</v>
      </c>
      <c r="B528" s="1">
        <f>IFERROR(__xludf.DUMMYFUNCTION("""COMPUTED_VALUE"""),9.49)</f>
        <v>9.49</v>
      </c>
    </row>
    <row r="529">
      <c r="A529" s="2">
        <f>IFERROR(__xludf.DUMMYFUNCTION("""COMPUTED_VALUE"""),44868.66666666667)</f>
        <v>44868.66667</v>
      </c>
      <c r="B529" s="1">
        <f>IFERROR(__xludf.DUMMYFUNCTION("""COMPUTED_VALUE"""),9.94)</f>
        <v>9.94</v>
      </c>
    </row>
    <row r="530">
      <c r="A530" s="2">
        <f>IFERROR(__xludf.DUMMYFUNCTION("""COMPUTED_VALUE"""),44869.66666666667)</f>
        <v>44869.66667</v>
      </c>
      <c r="B530" s="1">
        <f>IFERROR(__xludf.DUMMYFUNCTION("""COMPUTED_VALUE"""),11.68)</f>
        <v>11.68</v>
      </c>
    </row>
    <row r="531">
      <c r="A531" s="2">
        <f>IFERROR(__xludf.DUMMYFUNCTION("""COMPUTED_VALUE"""),44872.66666666667)</f>
        <v>44872.66667</v>
      </c>
      <c r="B531" s="1">
        <f>IFERROR(__xludf.DUMMYFUNCTION("""COMPUTED_VALUE"""),10.98)</f>
        <v>10.98</v>
      </c>
    </row>
    <row r="532">
      <c r="A532" s="2">
        <f>IFERROR(__xludf.DUMMYFUNCTION("""COMPUTED_VALUE"""),44873.66666666667)</f>
        <v>44873.66667</v>
      </c>
      <c r="B532" s="1">
        <f>IFERROR(__xludf.DUMMYFUNCTION("""COMPUTED_VALUE"""),10.56)</f>
        <v>10.56</v>
      </c>
    </row>
    <row r="533">
      <c r="A533" s="2">
        <f>IFERROR(__xludf.DUMMYFUNCTION("""COMPUTED_VALUE"""),44874.66666666667)</f>
        <v>44874.66667</v>
      </c>
      <c r="B533" s="1">
        <f>IFERROR(__xludf.DUMMYFUNCTION("""COMPUTED_VALUE"""),9.25)</f>
        <v>9.25</v>
      </c>
    </row>
    <row r="534">
      <c r="A534" s="2">
        <f>IFERROR(__xludf.DUMMYFUNCTION("""COMPUTED_VALUE"""),44875.66666666667)</f>
        <v>44875.66667</v>
      </c>
      <c r="B534" s="1">
        <f>IFERROR(__xludf.DUMMYFUNCTION("""COMPUTED_VALUE"""),10.34)</f>
        <v>10.34</v>
      </c>
    </row>
    <row r="535">
      <c r="A535" s="2">
        <f>IFERROR(__xludf.DUMMYFUNCTION("""COMPUTED_VALUE"""),44876.66666666667)</f>
        <v>44876.66667</v>
      </c>
      <c r="B535" s="1">
        <f>IFERROR(__xludf.DUMMYFUNCTION("""COMPUTED_VALUE"""),11.56)</f>
        <v>11.56</v>
      </c>
    </row>
    <row r="536">
      <c r="A536" s="2">
        <f>IFERROR(__xludf.DUMMYFUNCTION("""COMPUTED_VALUE"""),44879.66666666667)</f>
        <v>44879.66667</v>
      </c>
      <c r="B536" s="1">
        <f>IFERROR(__xludf.DUMMYFUNCTION("""COMPUTED_VALUE"""),11.17)</f>
        <v>11.17</v>
      </c>
    </row>
    <row r="537">
      <c r="A537" s="2">
        <f>IFERROR(__xludf.DUMMYFUNCTION("""COMPUTED_VALUE"""),44880.66666666667)</f>
        <v>44880.66667</v>
      </c>
      <c r="B537" s="1">
        <f>IFERROR(__xludf.DUMMYFUNCTION("""COMPUTED_VALUE"""),11.51)</f>
        <v>11.51</v>
      </c>
    </row>
    <row r="538">
      <c r="A538" s="2">
        <f>IFERROR(__xludf.DUMMYFUNCTION("""COMPUTED_VALUE"""),44881.66666666667)</f>
        <v>44881.66667</v>
      </c>
      <c r="B538" s="1">
        <f>IFERROR(__xludf.DUMMYFUNCTION("""COMPUTED_VALUE"""),10.53)</f>
        <v>10.53</v>
      </c>
    </row>
    <row r="539">
      <c r="A539" s="2">
        <f>IFERROR(__xludf.DUMMYFUNCTION("""COMPUTED_VALUE"""),44882.66666666667)</f>
        <v>44882.66667</v>
      </c>
      <c r="B539" s="1">
        <f>IFERROR(__xludf.DUMMYFUNCTION("""COMPUTED_VALUE"""),10.67)</f>
        <v>10.67</v>
      </c>
    </row>
    <row r="540">
      <c r="A540" s="2">
        <f>IFERROR(__xludf.DUMMYFUNCTION("""COMPUTED_VALUE"""),44883.66666666667)</f>
        <v>44883.66667</v>
      </c>
      <c r="B540" s="1">
        <f>IFERROR(__xludf.DUMMYFUNCTION("""COMPUTED_VALUE"""),10.47)</f>
        <v>10.47</v>
      </c>
    </row>
    <row r="541">
      <c r="A541" s="2">
        <f>IFERROR(__xludf.DUMMYFUNCTION("""COMPUTED_VALUE"""),44886.66666666667)</f>
        <v>44886.66667</v>
      </c>
      <c r="B541" s="1">
        <f>IFERROR(__xludf.DUMMYFUNCTION("""COMPUTED_VALUE"""),10.02)</f>
        <v>10.02</v>
      </c>
    </row>
    <row r="542">
      <c r="A542" s="2">
        <f>IFERROR(__xludf.DUMMYFUNCTION("""COMPUTED_VALUE"""),44887.66666666667)</f>
        <v>44887.66667</v>
      </c>
      <c r="B542" s="1">
        <f>IFERROR(__xludf.DUMMYFUNCTION("""COMPUTED_VALUE"""),10.01)</f>
        <v>10.01</v>
      </c>
    </row>
    <row r="543">
      <c r="A543" s="2">
        <f>IFERROR(__xludf.DUMMYFUNCTION("""COMPUTED_VALUE"""),44888.66666666667)</f>
        <v>44888.66667</v>
      </c>
      <c r="B543" s="1">
        <f>IFERROR(__xludf.DUMMYFUNCTION("""COMPUTED_VALUE"""),10.56)</f>
        <v>10.56</v>
      </c>
    </row>
    <row r="544">
      <c r="A544" s="2">
        <f>IFERROR(__xludf.DUMMYFUNCTION("""COMPUTED_VALUE"""),44890.54166666667)</f>
        <v>44890.54167</v>
      </c>
      <c r="B544" s="1">
        <f>IFERROR(__xludf.DUMMYFUNCTION("""COMPUTED_VALUE"""),10.17)</f>
        <v>10.17</v>
      </c>
    </row>
    <row r="545">
      <c r="A545" s="2">
        <f>IFERROR(__xludf.DUMMYFUNCTION("""COMPUTED_VALUE"""),44893.66666666667)</f>
        <v>44893.66667</v>
      </c>
      <c r="B545" s="1">
        <f>IFERROR(__xludf.DUMMYFUNCTION("""COMPUTED_VALUE"""),10.12)</f>
        <v>10.12</v>
      </c>
    </row>
    <row r="546">
      <c r="A546" s="2">
        <f>IFERROR(__xludf.DUMMYFUNCTION("""COMPUTED_VALUE"""),44894.66666666667)</f>
        <v>44894.66667</v>
      </c>
      <c r="B546" s="1">
        <f>IFERROR(__xludf.DUMMYFUNCTION("""COMPUTED_VALUE"""),10.5)</f>
        <v>10.5</v>
      </c>
    </row>
    <row r="547">
      <c r="A547" s="2">
        <f>IFERROR(__xludf.DUMMYFUNCTION("""COMPUTED_VALUE"""),44895.66666666667)</f>
        <v>44895.66667</v>
      </c>
      <c r="B547" s="1">
        <f>IFERROR(__xludf.DUMMYFUNCTION("""COMPUTED_VALUE"""),12.78)</f>
        <v>12.78</v>
      </c>
    </row>
    <row r="548">
      <c r="A548" s="2">
        <f>IFERROR(__xludf.DUMMYFUNCTION("""COMPUTED_VALUE"""),44896.66666666667)</f>
        <v>44896.66667</v>
      </c>
      <c r="B548" s="1">
        <f>IFERROR(__xludf.DUMMYFUNCTION("""COMPUTED_VALUE"""),12.09)</f>
        <v>12.09</v>
      </c>
    </row>
    <row r="549">
      <c r="A549" s="2">
        <f>IFERROR(__xludf.DUMMYFUNCTION("""COMPUTED_VALUE"""),44897.66666666667)</f>
        <v>44897.66667</v>
      </c>
      <c r="B549" s="1">
        <f>IFERROR(__xludf.DUMMYFUNCTION("""COMPUTED_VALUE"""),13.13)</f>
        <v>13.13</v>
      </c>
    </row>
    <row r="550">
      <c r="A550" s="2">
        <f>IFERROR(__xludf.DUMMYFUNCTION("""COMPUTED_VALUE"""),44900.66666666667)</f>
        <v>44900.66667</v>
      </c>
      <c r="B550" s="1">
        <f>IFERROR(__xludf.DUMMYFUNCTION("""COMPUTED_VALUE"""),12.8)</f>
        <v>12.8</v>
      </c>
    </row>
    <row r="551">
      <c r="A551" s="2">
        <f>IFERROR(__xludf.DUMMYFUNCTION("""COMPUTED_VALUE"""),44901.66666666667)</f>
        <v>44901.66667</v>
      </c>
      <c r="B551" s="1">
        <f>IFERROR(__xludf.DUMMYFUNCTION("""COMPUTED_VALUE"""),13.24)</f>
        <v>13.24</v>
      </c>
    </row>
    <row r="552">
      <c r="A552" s="2">
        <f>IFERROR(__xludf.DUMMYFUNCTION("""COMPUTED_VALUE"""),44902.66666666667)</f>
        <v>44902.66667</v>
      </c>
      <c r="B552" s="1">
        <f>IFERROR(__xludf.DUMMYFUNCTION("""COMPUTED_VALUE"""),12.58)</f>
        <v>12.58</v>
      </c>
    </row>
    <row r="553">
      <c r="A553" s="2">
        <f>IFERROR(__xludf.DUMMYFUNCTION("""COMPUTED_VALUE"""),44903.66666666667)</f>
        <v>44903.66667</v>
      </c>
      <c r="B553" s="1">
        <f>IFERROR(__xludf.DUMMYFUNCTION("""COMPUTED_VALUE"""),13.41)</f>
        <v>13.41</v>
      </c>
    </row>
    <row r="554">
      <c r="A554" s="2">
        <f>IFERROR(__xludf.DUMMYFUNCTION("""COMPUTED_VALUE"""),44904.66666666667)</f>
        <v>44904.66667</v>
      </c>
      <c r="B554" s="1">
        <f>IFERROR(__xludf.DUMMYFUNCTION("""COMPUTED_VALUE"""),12.63)</f>
        <v>12.63</v>
      </c>
    </row>
    <row r="555">
      <c r="A555" s="2">
        <f>IFERROR(__xludf.DUMMYFUNCTION("""COMPUTED_VALUE"""),44907.66666666667)</f>
        <v>44907.66667</v>
      </c>
      <c r="B555" s="1">
        <f>IFERROR(__xludf.DUMMYFUNCTION("""COMPUTED_VALUE"""),12.49)</f>
        <v>12.49</v>
      </c>
    </row>
    <row r="556">
      <c r="A556" s="2">
        <f>IFERROR(__xludf.DUMMYFUNCTION("""COMPUTED_VALUE"""),44908.66666666667)</f>
        <v>44908.66667</v>
      </c>
      <c r="B556" s="1">
        <f>IFERROR(__xludf.DUMMYFUNCTION("""COMPUTED_VALUE"""),12.31)</f>
        <v>12.31</v>
      </c>
    </row>
    <row r="557">
      <c r="A557" s="2">
        <f>IFERROR(__xludf.DUMMYFUNCTION("""COMPUTED_VALUE"""),44909.66666666667)</f>
        <v>44909.66667</v>
      </c>
      <c r="B557" s="1">
        <f>IFERROR(__xludf.DUMMYFUNCTION("""COMPUTED_VALUE"""),12.1)</f>
        <v>12.1</v>
      </c>
    </row>
    <row r="558">
      <c r="A558" s="2">
        <f>IFERROR(__xludf.DUMMYFUNCTION("""COMPUTED_VALUE"""),44910.66666666667)</f>
        <v>44910.66667</v>
      </c>
      <c r="B558" s="1">
        <f>IFERROR(__xludf.DUMMYFUNCTION("""COMPUTED_VALUE"""),11.88)</f>
        <v>11.88</v>
      </c>
    </row>
    <row r="559">
      <c r="A559" s="2">
        <f>IFERROR(__xludf.DUMMYFUNCTION("""COMPUTED_VALUE"""),44911.66666666667)</f>
        <v>44911.66667</v>
      </c>
      <c r="B559" s="1">
        <f>IFERROR(__xludf.DUMMYFUNCTION("""COMPUTED_VALUE"""),11.6)</f>
        <v>11.6</v>
      </c>
    </row>
    <row r="560">
      <c r="A560" s="2">
        <f>IFERROR(__xludf.DUMMYFUNCTION("""COMPUTED_VALUE"""),44914.66666666667)</f>
        <v>44914.66667</v>
      </c>
      <c r="B560" s="1">
        <f>IFERROR(__xludf.DUMMYFUNCTION("""COMPUTED_VALUE"""),11.06)</f>
        <v>11.06</v>
      </c>
    </row>
    <row r="561">
      <c r="A561" s="2">
        <f>IFERROR(__xludf.DUMMYFUNCTION("""COMPUTED_VALUE"""),44915.66666666667)</f>
        <v>44915.66667</v>
      </c>
      <c r="B561" s="1">
        <f>IFERROR(__xludf.DUMMYFUNCTION("""COMPUTED_VALUE"""),11.09)</f>
        <v>11.09</v>
      </c>
    </row>
    <row r="562">
      <c r="A562" s="2">
        <f>IFERROR(__xludf.DUMMYFUNCTION("""COMPUTED_VALUE"""),44916.66666666667)</f>
        <v>44916.66667</v>
      </c>
      <c r="B562" s="1">
        <f>IFERROR(__xludf.DUMMYFUNCTION("""COMPUTED_VALUE"""),11.61)</f>
        <v>11.61</v>
      </c>
    </row>
    <row r="563">
      <c r="A563" s="2">
        <f>IFERROR(__xludf.DUMMYFUNCTION("""COMPUTED_VALUE"""),44917.66666666667)</f>
        <v>44917.66667</v>
      </c>
      <c r="B563" s="1">
        <f>IFERROR(__xludf.DUMMYFUNCTION("""COMPUTED_VALUE"""),11.29)</f>
        <v>11.29</v>
      </c>
    </row>
    <row r="564">
      <c r="A564" s="2">
        <f>IFERROR(__xludf.DUMMYFUNCTION("""COMPUTED_VALUE"""),44918.66666666667)</f>
        <v>44918.66667</v>
      </c>
      <c r="B564" s="1">
        <f>IFERROR(__xludf.DUMMYFUNCTION("""COMPUTED_VALUE"""),10.97)</f>
        <v>10.97</v>
      </c>
    </row>
    <row r="565">
      <c r="A565" s="2">
        <f>IFERROR(__xludf.DUMMYFUNCTION("""COMPUTED_VALUE"""),44922.66666666667)</f>
        <v>44922.66667</v>
      </c>
      <c r="B565" s="1">
        <f>IFERROR(__xludf.DUMMYFUNCTION("""COMPUTED_VALUE"""),10.06)</f>
        <v>10.06</v>
      </c>
    </row>
    <row r="566">
      <c r="A566" s="2">
        <f>IFERROR(__xludf.DUMMYFUNCTION("""COMPUTED_VALUE"""),44923.66666666667)</f>
        <v>44923.66667</v>
      </c>
      <c r="B566" s="1">
        <f>IFERROR(__xludf.DUMMYFUNCTION("""COMPUTED_VALUE"""),9.8)</f>
        <v>9.8</v>
      </c>
    </row>
    <row r="567">
      <c r="A567" s="2">
        <f>IFERROR(__xludf.DUMMYFUNCTION("""COMPUTED_VALUE"""),44924.66666666667)</f>
        <v>44924.66667</v>
      </c>
      <c r="B567" s="1">
        <f>IFERROR(__xludf.DUMMYFUNCTION("""COMPUTED_VALUE"""),9.99)</f>
        <v>9.99</v>
      </c>
    </row>
    <row r="568">
      <c r="A568" s="2">
        <f>IFERROR(__xludf.DUMMYFUNCTION("""COMPUTED_VALUE"""),44925.66666666667)</f>
        <v>44925.66667</v>
      </c>
      <c r="B568" s="1">
        <f>IFERROR(__xludf.DUMMYFUNCTION("""COMPUTED_VALUE"""),9.75)</f>
        <v>9.75</v>
      </c>
    </row>
    <row r="569">
      <c r="A569" s="2">
        <f>IFERROR(__xludf.DUMMYFUNCTION("""COMPUTED_VALUE"""),44929.66666666667)</f>
        <v>44929.66667</v>
      </c>
      <c r="B569" s="1">
        <f>IFERROR(__xludf.DUMMYFUNCTION("""COMPUTED_VALUE"""),9.63)</f>
        <v>9.63</v>
      </c>
    </row>
    <row r="570">
      <c r="A570" s="2">
        <f>IFERROR(__xludf.DUMMYFUNCTION("""COMPUTED_VALUE"""),44930.66666666667)</f>
        <v>44930.66667</v>
      </c>
      <c r="B570" s="1">
        <f>IFERROR(__xludf.DUMMYFUNCTION("""COMPUTED_VALUE"""),10.63)</f>
        <v>10.63</v>
      </c>
    </row>
    <row r="571">
      <c r="A571" s="2">
        <f>IFERROR(__xludf.DUMMYFUNCTION("""COMPUTED_VALUE"""),44931.66666666667)</f>
        <v>44931.66667</v>
      </c>
      <c r="B571" s="1">
        <f>IFERROR(__xludf.DUMMYFUNCTION("""COMPUTED_VALUE"""),10.86)</f>
        <v>10.86</v>
      </c>
    </row>
    <row r="572">
      <c r="A572" s="2">
        <f>IFERROR(__xludf.DUMMYFUNCTION("""COMPUTED_VALUE"""),44932.66666666667)</f>
        <v>44932.66667</v>
      </c>
      <c r="B572" s="1">
        <f>IFERROR(__xludf.DUMMYFUNCTION("""COMPUTED_VALUE"""),10.37)</f>
        <v>10.37</v>
      </c>
    </row>
    <row r="573">
      <c r="A573" s="2">
        <f>IFERROR(__xludf.DUMMYFUNCTION("""COMPUTED_VALUE"""),44935.66666666667)</f>
        <v>44935.66667</v>
      </c>
      <c r="B573" s="1">
        <f>IFERROR(__xludf.DUMMYFUNCTION("""COMPUTED_VALUE"""),10.76)</f>
        <v>10.76</v>
      </c>
    </row>
    <row r="574">
      <c r="A574" s="2">
        <f>IFERROR(__xludf.DUMMYFUNCTION("""COMPUTED_VALUE"""),44936.66666666667)</f>
        <v>44936.66667</v>
      </c>
      <c r="B574" s="1">
        <f>IFERROR(__xludf.DUMMYFUNCTION("""COMPUTED_VALUE"""),11.24)</f>
        <v>11.24</v>
      </c>
    </row>
    <row r="575">
      <c r="A575" s="2">
        <f>IFERROR(__xludf.DUMMYFUNCTION("""COMPUTED_VALUE"""),44937.66666666667)</f>
        <v>44937.66667</v>
      </c>
      <c r="B575" s="1">
        <f>IFERROR(__xludf.DUMMYFUNCTION("""COMPUTED_VALUE"""),11.51)</f>
        <v>11.51</v>
      </c>
    </row>
    <row r="576">
      <c r="A576" s="2">
        <f>IFERROR(__xludf.DUMMYFUNCTION("""COMPUTED_VALUE"""),44938.66666666667)</f>
        <v>44938.66667</v>
      </c>
      <c r="B576" s="1">
        <f>IFERROR(__xludf.DUMMYFUNCTION("""COMPUTED_VALUE"""),11.81)</f>
        <v>11.81</v>
      </c>
    </row>
    <row r="577">
      <c r="A577" s="2">
        <f>IFERROR(__xludf.DUMMYFUNCTION("""COMPUTED_VALUE"""),44939.66666666667)</f>
        <v>44939.66667</v>
      </c>
      <c r="B577" s="1">
        <f>IFERROR(__xludf.DUMMYFUNCTION("""COMPUTED_VALUE"""),11.8)</f>
        <v>11.8</v>
      </c>
    </row>
    <row r="578">
      <c r="A578" s="2">
        <f>IFERROR(__xludf.DUMMYFUNCTION("""COMPUTED_VALUE"""),44943.66666666667)</f>
        <v>44943.66667</v>
      </c>
      <c r="B578" s="1">
        <f>IFERROR(__xludf.DUMMYFUNCTION("""COMPUTED_VALUE"""),11.41)</f>
        <v>11.41</v>
      </c>
    </row>
    <row r="579">
      <c r="A579" s="2">
        <f>IFERROR(__xludf.DUMMYFUNCTION("""COMPUTED_VALUE"""),44944.66666666667)</f>
        <v>44944.66667</v>
      </c>
      <c r="B579" s="1">
        <f>IFERROR(__xludf.DUMMYFUNCTION("""COMPUTED_VALUE"""),11.01)</f>
        <v>11.01</v>
      </c>
    </row>
    <row r="580">
      <c r="A580" s="2">
        <f>IFERROR(__xludf.DUMMYFUNCTION("""COMPUTED_VALUE"""),44945.66666666667)</f>
        <v>44945.66667</v>
      </c>
      <c r="B580" s="1">
        <f>IFERROR(__xludf.DUMMYFUNCTION("""COMPUTED_VALUE"""),10.77)</f>
        <v>10.77</v>
      </c>
    </row>
    <row r="581">
      <c r="A581" s="2">
        <f>IFERROR(__xludf.DUMMYFUNCTION("""COMPUTED_VALUE"""),44946.66666666667)</f>
        <v>44946.66667</v>
      </c>
      <c r="B581" s="1">
        <f>IFERROR(__xludf.DUMMYFUNCTION("""COMPUTED_VALUE"""),11.07)</f>
        <v>11.07</v>
      </c>
    </row>
    <row r="582">
      <c r="A582" s="2">
        <f>IFERROR(__xludf.DUMMYFUNCTION("""COMPUTED_VALUE"""),44949.66666666667)</f>
        <v>44949.66667</v>
      </c>
      <c r="B582" s="1">
        <f>IFERROR(__xludf.DUMMYFUNCTION("""COMPUTED_VALUE"""),12.06)</f>
        <v>12.06</v>
      </c>
    </row>
    <row r="583">
      <c r="A583" s="2">
        <f>IFERROR(__xludf.DUMMYFUNCTION("""COMPUTED_VALUE"""),44950.66666666667)</f>
        <v>44950.66667</v>
      </c>
      <c r="B583" s="1">
        <f>IFERROR(__xludf.DUMMYFUNCTION("""COMPUTED_VALUE"""),11.68)</f>
        <v>11.68</v>
      </c>
    </row>
    <row r="584">
      <c r="A584" s="2">
        <f>IFERROR(__xludf.DUMMYFUNCTION("""COMPUTED_VALUE"""),44951.66666666667)</f>
        <v>44951.66667</v>
      </c>
      <c r="B584" s="1">
        <f>IFERROR(__xludf.DUMMYFUNCTION("""COMPUTED_VALUE"""),11.63)</f>
        <v>11.63</v>
      </c>
    </row>
    <row r="585">
      <c r="A585" s="2">
        <f>IFERROR(__xludf.DUMMYFUNCTION("""COMPUTED_VALUE"""),44952.66666666667)</f>
        <v>44952.66667</v>
      </c>
      <c r="B585" s="1">
        <f>IFERROR(__xludf.DUMMYFUNCTION("""COMPUTED_VALUE"""),12.17)</f>
        <v>12.17</v>
      </c>
    </row>
    <row r="586">
      <c r="A586" s="2">
        <f>IFERROR(__xludf.DUMMYFUNCTION("""COMPUTED_VALUE"""),44953.66666666667)</f>
        <v>44953.66667</v>
      </c>
      <c r="B586" s="1">
        <f>IFERROR(__xludf.DUMMYFUNCTION("""COMPUTED_VALUE"""),12.71)</f>
        <v>12.71</v>
      </c>
    </row>
    <row r="587">
      <c r="A587" s="2">
        <f>IFERROR(__xludf.DUMMYFUNCTION("""COMPUTED_VALUE"""),44956.66666666667)</f>
        <v>44956.66667</v>
      </c>
      <c r="B587" s="1">
        <f>IFERROR(__xludf.DUMMYFUNCTION("""COMPUTED_VALUE"""),12.02)</f>
        <v>12.02</v>
      </c>
    </row>
    <row r="588">
      <c r="A588" s="2">
        <f>IFERROR(__xludf.DUMMYFUNCTION("""COMPUTED_VALUE"""),44957.66666666667)</f>
        <v>44957.66667</v>
      </c>
      <c r="B588" s="1">
        <f>IFERROR(__xludf.DUMMYFUNCTION("""COMPUTED_VALUE"""),12.07)</f>
        <v>12.07</v>
      </c>
    </row>
    <row r="589">
      <c r="A589" s="2">
        <f>IFERROR(__xludf.DUMMYFUNCTION("""COMPUTED_VALUE"""),44958.66666666667)</f>
        <v>44958.66667</v>
      </c>
      <c r="B589" s="1">
        <f>IFERROR(__xludf.DUMMYFUNCTION("""COMPUTED_VALUE"""),12.1)</f>
        <v>12.1</v>
      </c>
    </row>
    <row r="590">
      <c r="A590" s="2">
        <f>IFERROR(__xludf.DUMMYFUNCTION("""COMPUTED_VALUE"""),44959.66666666667)</f>
        <v>44959.66667</v>
      </c>
      <c r="B590" s="1">
        <f>IFERROR(__xludf.DUMMYFUNCTION("""COMPUTED_VALUE"""),11.96)</f>
        <v>11.96</v>
      </c>
    </row>
    <row r="591">
      <c r="A591" s="2">
        <f>IFERROR(__xludf.DUMMYFUNCTION("""COMPUTED_VALUE"""),44960.66666666667)</f>
        <v>44960.66667</v>
      </c>
      <c r="B591" s="1">
        <f>IFERROR(__xludf.DUMMYFUNCTION("""COMPUTED_VALUE"""),11.19)</f>
        <v>11.19</v>
      </c>
    </row>
    <row r="592">
      <c r="A592" s="2">
        <f>IFERROR(__xludf.DUMMYFUNCTION("""COMPUTED_VALUE"""),44963.66666666667)</f>
        <v>44963.66667</v>
      </c>
      <c r="B592" s="1">
        <f>IFERROR(__xludf.DUMMYFUNCTION("""COMPUTED_VALUE"""),10.93)</f>
        <v>10.93</v>
      </c>
    </row>
    <row r="593">
      <c r="A593" s="2">
        <f>IFERROR(__xludf.DUMMYFUNCTION("""COMPUTED_VALUE"""),44964.66666666667)</f>
        <v>44964.66667</v>
      </c>
      <c r="B593" s="1">
        <f>IFERROR(__xludf.DUMMYFUNCTION("""COMPUTED_VALUE"""),10.92)</f>
        <v>10.92</v>
      </c>
    </row>
    <row r="594">
      <c r="A594" s="2">
        <f>IFERROR(__xludf.DUMMYFUNCTION("""COMPUTED_VALUE"""),44965.66666666667)</f>
        <v>44965.66667</v>
      </c>
      <c r="B594" s="1">
        <f>IFERROR(__xludf.DUMMYFUNCTION("""COMPUTED_VALUE"""),10.65)</f>
        <v>10.65</v>
      </c>
    </row>
    <row r="595">
      <c r="A595" s="2">
        <f>IFERROR(__xludf.DUMMYFUNCTION("""COMPUTED_VALUE"""),44966.66666666667)</f>
        <v>44966.66667</v>
      </c>
      <c r="B595" s="1">
        <f>IFERROR(__xludf.DUMMYFUNCTION("""COMPUTED_VALUE"""),10.47)</f>
        <v>10.47</v>
      </c>
    </row>
    <row r="596">
      <c r="A596" s="2">
        <f>IFERROR(__xludf.DUMMYFUNCTION("""COMPUTED_VALUE"""),44967.66666666667)</f>
        <v>44967.66667</v>
      </c>
      <c r="B596" s="1">
        <f>IFERROR(__xludf.DUMMYFUNCTION("""COMPUTED_VALUE"""),10.31)</f>
        <v>10.31</v>
      </c>
    </row>
    <row r="597">
      <c r="A597" s="2">
        <f>IFERROR(__xludf.DUMMYFUNCTION("""COMPUTED_VALUE"""),44970.66666666667)</f>
        <v>44970.66667</v>
      </c>
      <c r="B597" s="1">
        <f>IFERROR(__xludf.DUMMYFUNCTION("""COMPUTED_VALUE"""),10.31)</f>
        <v>10.31</v>
      </c>
    </row>
    <row r="598">
      <c r="A598" s="2">
        <f>IFERROR(__xludf.DUMMYFUNCTION("""COMPUTED_VALUE"""),44971.66666666667)</f>
        <v>44971.66667</v>
      </c>
      <c r="B598" s="1">
        <f>IFERROR(__xludf.DUMMYFUNCTION("""COMPUTED_VALUE"""),10.31)</f>
        <v>10.31</v>
      </c>
    </row>
    <row r="599">
      <c r="A599" s="2">
        <f>IFERROR(__xludf.DUMMYFUNCTION("""COMPUTED_VALUE"""),44972.66666666667)</f>
        <v>44972.66667</v>
      </c>
      <c r="B599" s="1">
        <f>IFERROR(__xludf.DUMMYFUNCTION("""COMPUTED_VALUE"""),10.5)</f>
        <v>10.5</v>
      </c>
    </row>
    <row r="600">
      <c r="A600" s="2">
        <f>IFERROR(__xludf.DUMMYFUNCTION("""COMPUTED_VALUE"""),44973.66666666667)</f>
        <v>44973.66667</v>
      </c>
      <c r="B600" s="1">
        <f>IFERROR(__xludf.DUMMYFUNCTION("""COMPUTED_VALUE"""),10.19)</f>
        <v>10.19</v>
      </c>
    </row>
    <row r="601">
      <c r="A601" s="2">
        <f>IFERROR(__xludf.DUMMYFUNCTION("""COMPUTED_VALUE"""),44974.66666666667)</f>
        <v>44974.66667</v>
      </c>
      <c r="B601" s="1">
        <f>IFERROR(__xludf.DUMMYFUNCTION("""COMPUTED_VALUE"""),10.19)</f>
        <v>10.19</v>
      </c>
    </row>
    <row r="602">
      <c r="A602" s="2">
        <f>IFERROR(__xludf.DUMMYFUNCTION("""COMPUTED_VALUE"""),44978.66666666667)</f>
        <v>44978.66667</v>
      </c>
      <c r="B602" s="1">
        <f>IFERROR(__xludf.DUMMYFUNCTION("""COMPUTED_VALUE"""),10.03)</f>
        <v>10.03</v>
      </c>
    </row>
    <row r="603">
      <c r="A603" s="2">
        <f>IFERROR(__xludf.DUMMYFUNCTION("""COMPUTED_VALUE"""),44979.66666666667)</f>
        <v>44979.66667</v>
      </c>
      <c r="B603" s="1">
        <f>IFERROR(__xludf.DUMMYFUNCTION("""COMPUTED_VALUE"""),10.18)</f>
        <v>10.18</v>
      </c>
    </row>
    <row r="604">
      <c r="A604" s="2">
        <f>IFERROR(__xludf.DUMMYFUNCTION("""COMPUTED_VALUE"""),44980.66666666667)</f>
        <v>44980.66667</v>
      </c>
      <c r="B604" s="1">
        <f>IFERROR(__xludf.DUMMYFUNCTION("""COMPUTED_VALUE"""),9.79)</f>
        <v>9.79</v>
      </c>
    </row>
    <row r="605">
      <c r="A605" s="2">
        <f>IFERROR(__xludf.DUMMYFUNCTION("""COMPUTED_VALUE"""),44981.66666666667)</f>
        <v>44981.66667</v>
      </c>
      <c r="B605" s="1">
        <f>IFERROR(__xludf.DUMMYFUNCTION("""COMPUTED_VALUE"""),9.3)</f>
        <v>9.3</v>
      </c>
    </row>
    <row r="606">
      <c r="A606" s="2">
        <f>IFERROR(__xludf.DUMMYFUNCTION("""COMPUTED_VALUE"""),44984.66666666667)</f>
        <v>44984.66667</v>
      </c>
      <c r="B606" s="1">
        <f>IFERROR(__xludf.DUMMYFUNCTION("""COMPUTED_VALUE"""),9.33)</f>
        <v>9.33</v>
      </c>
    </row>
    <row r="607">
      <c r="A607" s="2">
        <f>IFERROR(__xludf.DUMMYFUNCTION("""COMPUTED_VALUE"""),44985.66666666667)</f>
        <v>44985.66667</v>
      </c>
      <c r="B607" s="1">
        <f>IFERROR(__xludf.DUMMYFUNCTION("""COMPUTED_VALUE"""),9.39)</f>
        <v>9.39</v>
      </c>
    </row>
    <row r="608">
      <c r="A608" s="2">
        <f>IFERROR(__xludf.DUMMYFUNCTION("""COMPUTED_VALUE"""),44986.66666666667)</f>
        <v>44986.66667</v>
      </c>
      <c r="B608" s="1">
        <f>IFERROR(__xludf.DUMMYFUNCTION("""COMPUTED_VALUE"""),8.83)</f>
        <v>8.83</v>
      </c>
    </row>
    <row r="609">
      <c r="A609" s="2">
        <f>IFERROR(__xludf.DUMMYFUNCTION("""COMPUTED_VALUE"""),44987.66666666667)</f>
        <v>44987.66667</v>
      </c>
      <c r="B609" s="1">
        <f>IFERROR(__xludf.DUMMYFUNCTION("""COMPUTED_VALUE"""),9.09)</f>
        <v>9.09</v>
      </c>
    </row>
    <row r="610">
      <c r="A610" s="2">
        <f>IFERROR(__xludf.DUMMYFUNCTION("""COMPUTED_VALUE"""),44988.66666666667)</f>
        <v>44988.66667</v>
      </c>
      <c r="B610" s="1">
        <f>IFERROR(__xludf.DUMMYFUNCTION("""COMPUTED_VALUE"""),9.57)</f>
        <v>9.57</v>
      </c>
    </row>
    <row r="611">
      <c r="A611" s="2">
        <f>IFERROR(__xludf.DUMMYFUNCTION("""COMPUTED_VALUE"""),44991.66666666667)</f>
        <v>44991.66667</v>
      </c>
      <c r="B611" s="1">
        <f>IFERROR(__xludf.DUMMYFUNCTION("""COMPUTED_VALUE"""),9.31)</f>
        <v>9.31</v>
      </c>
    </row>
    <row r="612">
      <c r="A612" s="2">
        <f>IFERROR(__xludf.DUMMYFUNCTION("""COMPUTED_VALUE"""),44992.66666666667)</f>
        <v>44992.66667</v>
      </c>
      <c r="B612" s="1">
        <f>IFERROR(__xludf.DUMMYFUNCTION("""COMPUTED_VALUE"""),8.97)</f>
        <v>8.97</v>
      </c>
    </row>
    <row r="613">
      <c r="A613" s="2">
        <f>IFERROR(__xludf.DUMMYFUNCTION("""COMPUTED_VALUE"""),44993.66666666667)</f>
        <v>44993.66667</v>
      </c>
      <c r="B613" s="1">
        <f>IFERROR(__xludf.DUMMYFUNCTION("""COMPUTED_VALUE"""),9.18)</f>
        <v>9.18</v>
      </c>
    </row>
    <row r="614">
      <c r="A614" s="2">
        <f>IFERROR(__xludf.DUMMYFUNCTION("""COMPUTED_VALUE"""),44994.66666666667)</f>
        <v>44994.66667</v>
      </c>
      <c r="B614" s="1">
        <f>IFERROR(__xludf.DUMMYFUNCTION("""COMPUTED_VALUE"""),8.79)</f>
        <v>8.79</v>
      </c>
    </row>
    <row r="615">
      <c r="A615" s="2">
        <f>IFERROR(__xludf.DUMMYFUNCTION("""COMPUTED_VALUE"""),44995.66666666667)</f>
        <v>44995.66667</v>
      </c>
      <c r="B615" s="1">
        <f>IFERROR(__xludf.DUMMYFUNCTION("""COMPUTED_VALUE"""),8.51)</f>
        <v>8.51</v>
      </c>
    </row>
    <row r="616">
      <c r="A616" s="2">
        <f>IFERROR(__xludf.DUMMYFUNCTION("""COMPUTED_VALUE"""),44998.66666666667)</f>
        <v>44998.66667</v>
      </c>
      <c r="B616" s="1">
        <f>IFERROR(__xludf.DUMMYFUNCTION("""COMPUTED_VALUE"""),8.55)</f>
        <v>8.55</v>
      </c>
    </row>
    <row r="617">
      <c r="A617" s="2">
        <f>IFERROR(__xludf.DUMMYFUNCTION("""COMPUTED_VALUE"""),44999.66666666667)</f>
        <v>44999.66667</v>
      </c>
      <c r="B617" s="1">
        <f>IFERROR(__xludf.DUMMYFUNCTION("""COMPUTED_VALUE"""),8.42)</f>
        <v>8.42</v>
      </c>
    </row>
    <row r="618">
      <c r="A618" s="2">
        <f>IFERROR(__xludf.DUMMYFUNCTION("""COMPUTED_VALUE"""),45000.66666666667)</f>
        <v>45000.66667</v>
      </c>
      <c r="B618" s="1">
        <f>IFERROR(__xludf.DUMMYFUNCTION("""COMPUTED_VALUE"""),8.25)</f>
        <v>8.25</v>
      </c>
    </row>
    <row r="619">
      <c r="A619" s="2">
        <f>IFERROR(__xludf.DUMMYFUNCTION("""COMPUTED_VALUE"""),45001.66666666667)</f>
        <v>45001.66667</v>
      </c>
      <c r="B619" s="1">
        <f>IFERROR(__xludf.DUMMYFUNCTION("""COMPUTED_VALUE"""),8.5)</f>
        <v>8.5</v>
      </c>
    </row>
    <row r="620">
      <c r="A620" s="2">
        <f>IFERROR(__xludf.DUMMYFUNCTION("""COMPUTED_VALUE"""),45002.66666666667)</f>
        <v>45002.66667</v>
      </c>
      <c r="B620" s="1">
        <f>IFERROR(__xludf.DUMMYFUNCTION("""COMPUTED_VALUE"""),8.26)</f>
        <v>8.26</v>
      </c>
    </row>
    <row r="621">
      <c r="A621" s="2">
        <f>IFERROR(__xludf.DUMMYFUNCTION("""COMPUTED_VALUE"""),45005.66666666667)</f>
        <v>45005.66667</v>
      </c>
      <c r="B621" s="1">
        <f>IFERROR(__xludf.DUMMYFUNCTION("""COMPUTED_VALUE"""),8.75)</f>
        <v>8.75</v>
      </c>
    </row>
    <row r="622">
      <c r="A622" s="2">
        <f>IFERROR(__xludf.DUMMYFUNCTION("""COMPUTED_VALUE"""),45006.66666666667)</f>
        <v>45006.66667</v>
      </c>
      <c r="B622" s="1">
        <f>IFERROR(__xludf.DUMMYFUNCTION("""COMPUTED_VALUE"""),9.27)</f>
        <v>9.27</v>
      </c>
    </row>
    <row r="623">
      <c r="A623" s="2">
        <f>IFERROR(__xludf.DUMMYFUNCTION("""COMPUTED_VALUE"""),45007.66666666667)</f>
        <v>45007.66667</v>
      </c>
      <c r="B623" s="1">
        <f>IFERROR(__xludf.DUMMYFUNCTION("""COMPUTED_VALUE"""),9.09)</f>
        <v>9.09</v>
      </c>
    </row>
    <row r="624">
      <c r="A624" s="2">
        <f>IFERROR(__xludf.DUMMYFUNCTION("""COMPUTED_VALUE"""),45008.66666666667)</f>
        <v>45008.66667</v>
      </c>
      <c r="B624" s="1">
        <f>IFERROR(__xludf.DUMMYFUNCTION("""COMPUTED_VALUE"""),9.27)</f>
        <v>9.27</v>
      </c>
    </row>
    <row r="625">
      <c r="A625" s="2">
        <f>IFERROR(__xludf.DUMMYFUNCTION("""COMPUTED_VALUE"""),45009.66666666667)</f>
        <v>45009.66667</v>
      </c>
      <c r="B625" s="1">
        <f>IFERROR(__xludf.DUMMYFUNCTION("""COMPUTED_VALUE"""),9.07)</f>
        <v>9.07</v>
      </c>
    </row>
    <row r="626">
      <c r="A626" s="2">
        <f>IFERROR(__xludf.DUMMYFUNCTION("""COMPUTED_VALUE"""),45012.66666666667)</f>
        <v>45012.66667</v>
      </c>
      <c r="B626" s="1">
        <f>IFERROR(__xludf.DUMMYFUNCTION("""COMPUTED_VALUE"""),8.93)</f>
        <v>8.93</v>
      </c>
    </row>
    <row r="627">
      <c r="A627" s="2">
        <f>IFERROR(__xludf.DUMMYFUNCTION("""COMPUTED_VALUE"""),45013.66666666667)</f>
        <v>45013.66667</v>
      </c>
      <c r="B627" s="1">
        <f>IFERROR(__xludf.DUMMYFUNCTION("""COMPUTED_VALUE"""),9.2)</f>
        <v>9.2</v>
      </c>
    </row>
    <row r="628">
      <c r="A628" s="2">
        <f>IFERROR(__xludf.DUMMYFUNCTION("""COMPUTED_VALUE"""),45014.66666666667)</f>
        <v>45014.66667</v>
      </c>
      <c r="B628" s="1">
        <f>IFERROR(__xludf.DUMMYFUNCTION("""COMPUTED_VALUE"""),9.83)</f>
        <v>9.83</v>
      </c>
    </row>
    <row r="629">
      <c r="A629" s="2">
        <f>IFERROR(__xludf.DUMMYFUNCTION("""COMPUTED_VALUE"""),45015.66666666667)</f>
        <v>45015.66667</v>
      </c>
      <c r="B629" s="1">
        <f>IFERROR(__xludf.DUMMYFUNCTION("""COMPUTED_VALUE"""),10.46)</f>
        <v>10.46</v>
      </c>
    </row>
    <row r="630">
      <c r="A630" s="2">
        <f>IFERROR(__xludf.DUMMYFUNCTION("""COMPUTED_VALUE"""),45016.66666666667)</f>
        <v>45016.66667</v>
      </c>
      <c r="B630" s="1">
        <f>IFERROR(__xludf.DUMMYFUNCTION("""COMPUTED_VALUE"""),10.51)</f>
        <v>10.51</v>
      </c>
    </row>
    <row r="631">
      <c r="A631" s="2">
        <f>IFERROR(__xludf.DUMMYFUNCTION("""COMPUTED_VALUE"""),45019.66666666667)</f>
        <v>45019.66667</v>
      </c>
      <c r="B631" s="1">
        <f>IFERROR(__xludf.DUMMYFUNCTION("""COMPUTED_VALUE"""),9.8)</f>
        <v>9.8</v>
      </c>
    </row>
    <row r="632">
      <c r="A632" s="2">
        <f>IFERROR(__xludf.DUMMYFUNCTION("""COMPUTED_VALUE"""),45020.66666666667)</f>
        <v>45020.66667</v>
      </c>
      <c r="B632" s="1">
        <f>IFERROR(__xludf.DUMMYFUNCTION("""COMPUTED_VALUE"""),9.21)</f>
        <v>9.21</v>
      </c>
    </row>
    <row r="633">
      <c r="A633" s="2">
        <f>IFERROR(__xludf.DUMMYFUNCTION("""COMPUTED_VALUE"""),45021.66666666667)</f>
        <v>45021.66667</v>
      </c>
      <c r="B633" s="1">
        <f>IFERROR(__xludf.DUMMYFUNCTION("""COMPUTED_VALUE"""),8.96)</f>
        <v>8.96</v>
      </c>
    </row>
    <row r="634">
      <c r="A634" s="2">
        <f>IFERROR(__xludf.DUMMYFUNCTION("""COMPUTED_VALUE"""),45022.66666666667)</f>
        <v>45022.66667</v>
      </c>
      <c r="B634" s="1">
        <f>IFERROR(__xludf.DUMMYFUNCTION("""COMPUTED_VALUE"""),9.01)</f>
        <v>9.01</v>
      </c>
    </row>
    <row r="635">
      <c r="A635" s="2">
        <f>IFERROR(__xludf.DUMMYFUNCTION("""COMPUTED_VALUE"""),45026.66666666667)</f>
        <v>45026.66667</v>
      </c>
      <c r="B635" s="1">
        <f>IFERROR(__xludf.DUMMYFUNCTION("""COMPUTED_VALUE"""),9.05)</f>
        <v>9.05</v>
      </c>
    </row>
    <row r="636">
      <c r="A636" s="2">
        <f>IFERROR(__xludf.DUMMYFUNCTION("""COMPUTED_VALUE"""),45027.66666666667)</f>
        <v>45027.66667</v>
      </c>
      <c r="B636" s="1">
        <f>IFERROR(__xludf.DUMMYFUNCTION("""COMPUTED_VALUE"""),9.52)</f>
        <v>9.52</v>
      </c>
    </row>
    <row r="637">
      <c r="A637" s="2">
        <f>IFERROR(__xludf.DUMMYFUNCTION("""COMPUTED_VALUE"""),45028.66666666667)</f>
        <v>45028.66667</v>
      </c>
      <c r="B637" s="1">
        <f>IFERROR(__xludf.DUMMYFUNCTION("""COMPUTED_VALUE"""),9.01)</f>
        <v>9.01</v>
      </c>
    </row>
    <row r="638">
      <c r="A638" s="2">
        <f>IFERROR(__xludf.DUMMYFUNCTION("""COMPUTED_VALUE"""),45029.66666666667)</f>
        <v>45029.66667</v>
      </c>
      <c r="B638" s="1">
        <f>IFERROR(__xludf.DUMMYFUNCTION("""COMPUTED_VALUE"""),9.1)</f>
        <v>9.1</v>
      </c>
    </row>
    <row r="639">
      <c r="A639" s="2">
        <f>IFERROR(__xludf.DUMMYFUNCTION("""COMPUTED_VALUE"""),45030.66666666667)</f>
        <v>45030.66667</v>
      </c>
      <c r="B639" s="1">
        <f>IFERROR(__xludf.DUMMYFUNCTION("""COMPUTED_VALUE"""),9.27)</f>
        <v>9.27</v>
      </c>
    </row>
    <row r="640">
      <c r="A640" s="2">
        <f>IFERROR(__xludf.DUMMYFUNCTION("""COMPUTED_VALUE"""),45033.66666666667)</f>
        <v>45033.66667</v>
      </c>
      <c r="B640" s="1">
        <f>IFERROR(__xludf.DUMMYFUNCTION("""COMPUTED_VALUE"""),9.83)</f>
        <v>9.83</v>
      </c>
    </row>
    <row r="641">
      <c r="A641" s="2">
        <f>IFERROR(__xludf.DUMMYFUNCTION("""COMPUTED_VALUE"""),45034.66666666667)</f>
        <v>45034.66667</v>
      </c>
      <c r="B641" s="1">
        <f>IFERROR(__xludf.DUMMYFUNCTION("""COMPUTED_VALUE"""),9.47)</f>
        <v>9.47</v>
      </c>
    </row>
    <row r="642">
      <c r="A642" s="2">
        <f>IFERROR(__xludf.DUMMYFUNCTION("""COMPUTED_VALUE"""),45035.66666666667)</f>
        <v>45035.66667</v>
      </c>
      <c r="B642" s="1">
        <f>IFERROR(__xludf.DUMMYFUNCTION("""COMPUTED_VALUE"""),8.79)</f>
        <v>8.79</v>
      </c>
    </row>
    <row r="643">
      <c r="A643" s="2">
        <f>IFERROR(__xludf.DUMMYFUNCTION("""COMPUTED_VALUE"""),45036.66666666667)</f>
        <v>45036.66667</v>
      </c>
      <c r="B643" s="1">
        <f>IFERROR(__xludf.DUMMYFUNCTION("""COMPUTED_VALUE"""),8.28)</f>
        <v>8.28</v>
      </c>
    </row>
    <row r="644">
      <c r="A644" s="2">
        <f>IFERROR(__xludf.DUMMYFUNCTION("""COMPUTED_VALUE"""),45037.66666666667)</f>
        <v>45037.66667</v>
      </c>
      <c r="B644" s="1">
        <f>IFERROR(__xludf.DUMMYFUNCTION("""COMPUTED_VALUE"""),8.33)</f>
        <v>8.33</v>
      </c>
    </row>
    <row r="645">
      <c r="A645" s="2">
        <f>IFERROR(__xludf.DUMMYFUNCTION("""COMPUTED_VALUE"""),45040.66666666667)</f>
        <v>45040.66667</v>
      </c>
      <c r="B645" s="1">
        <f>IFERROR(__xludf.DUMMYFUNCTION("""COMPUTED_VALUE"""),8.29)</f>
        <v>8.29</v>
      </c>
    </row>
    <row r="646">
      <c r="A646" s="2">
        <f>IFERROR(__xludf.DUMMYFUNCTION("""COMPUTED_VALUE"""),45041.66666666667)</f>
        <v>45041.66667</v>
      </c>
      <c r="B646" s="1">
        <f>IFERROR(__xludf.DUMMYFUNCTION("""COMPUTED_VALUE"""),7.9)</f>
        <v>7.9</v>
      </c>
    </row>
    <row r="647">
      <c r="A647" s="2">
        <f>IFERROR(__xludf.DUMMYFUNCTION("""COMPUTED_VALUE"""),45042.66666666667)</f>
        <v>45042.66667</v>
      </c>
      <c r="B647" s="1">
        <f>IFERROR(__xludf.DUMMYFUNCTION("""COMPUTED_VALUE"""),7.68)</f>
        <v>7.68</v>
      </c>
    </row>
    <row r="648">
      <c r="A648" s="2">
        <f>IFERROR(__xludf.DUMMYFUNCTION("""COMPUTED_VALUE"""),45043.66666666667)</f>
        <v>45043.66667</v>
      </c>
      <c r="B648" s="1">
        <f>IFERROR(__xludf.DUMMYFUNCTION("""COMPUTED_VALUE"""),7.97)</f>
        <v>7.97</v>
      </c>
    </row>
    <row r="649">
      <c r="A649" s="2">
        <f>IFERROR(__xludf.DUMMYFUNCTION("""COMPUTED_VALUE"""),45044.66666666667)</f>
        <v>45044.66667</v>
      </c>
      <c r="B649" s="1">
        <f>IFERROR(__xludf.DUMMYFUNCTION("""COMPUTED_VALUE"""),7.87)</f>
        <v>7.87</v>
      </c>
    </row>
    <row r="650">
      <c r="A650" s="2">
        <f>IFERROR(__xludf.DUMMYFUNCTION("""COMPUTED_VALUE"""),45047.66666666667)</f>
        <v>45047.66667</v>
      </c>
      <c r="B650" s="1">
        <f>IFERROR(__xludf.DUMMYFUNCTION("""COMPUTED_VALUE"""),7.81)</f>
        <v>7.81</v>
      </c>
    </row>
    <row r="651">
      <c r="A651" s="2">
        <f>IFERROR(__xludf.DUMMYFUNCTION("""COMPUTED_VALUE"""),45048.66666666667)</f>
        <v>45048.66667</v>
      </c>
      <c r="B651" s="1">
        <f>IFERROR(__xludf.DUMMYFUNCTION("""COMPUTED_VALUE"""),7.45)</f>
        <v>7.45</v>
      </c>
    </row>
    <row r="652">
      <c r="A652" s="2">
        <f>IFERROR(__xludf.DUMMYFUNCTION("""COMPUTED_VALUE"""),45049.66666666667)</f>
        <v>45049.66667</v>
      </c>
      <c r="B652" s="1">
        <f>IFERROR(__xludf.DUMMYFUNCTION("""COMPUTED_VALUE"""),7.64)</f>
        <v>7.64</v>
      </c>
    </row>
    <row r="653">
      <c r="A653" s="2">
        <f>IFERROR(__xludf.DUMMYFUNCTION("""COMPUTED_VALUE"""),45050.66666666667)</f>
        <v>45050.66667</v>
      </c>
      <c r="B653" s="1">
        <f>IFERROR(__xludf.DUMMYFUNCTION("""COMPUTED_VALUE"""),8.06)</f>
        <v>8.06</v>
      </c>
    </row>
    <row r="654">
      <c r="A654" s="2">
        <f>IFERROR(__xludf.DUMMYFUNCTION("""COMPUTED_VALUE"""),45051.66666666667)</f>
        <v>45051.66667</v>
      </c>
      <c r="B654" s="1">
        <f>IFERROR(__xludf.DUMMYFUNCTION("""COMPUTED_VALUE"""),8.15)</f>
        <v>8.15</v>
      </c>
    </row>
    <row r="655">
      <c r="A655" s="2">
        <f>IFERROR(__xludf.DUMMYFUNCTION("""COMPUTED_VALUE"""),45054.66666666667)</f>
        <v>45054.66667</v>
      </c>
      <c r="B655" s="1">
        <f>IFERROR(__xludf.DUMMYFUNCTION("""COMPUTED_VALUE"""),8.27)</f>
        <v>8.27</v>
      </c>
    </row>
    <row r="656">
      <c r="A656" s="2">
        <f>IFERROR(__xludf.DUMMYFUNCTION("""COMPUTED_VALUE"""),45055.66666666667)</f>
        <v>45055.66667</v>
      </c>
      <c r="B656" s="1">
        <f>IFERROR(__xludf.DUMMYFUNCTION("""COMPUTED_VALUE"""),8.16)</f>
        <v>8.16</v>
      </c>
    </row>
    <row r="657">
      <c r="A657" s="2">
        <f>IFERROR(__xludf.DUMMYFUNCTION("""COMPUTED_VALUE"""),45056.66666666667)</f>
        <v>45056.66667</v>
      </c>
      <c r="B657" s="1">
        <f>IFERROR(__xludf.DUMMYFUNCTION("""COMPUTED_VALUE"""),8.13)</f>
        <v>8.13</v>
      </c>
    </row>
    <row r="658">
      <c r="A658" s="2">
        <f>IFERROR(__xludf.DUMMYFUNCTION("""COMPUTED_VALUE"""),45057.66666666667)</f>
        <v>45057.66667</v>
      </c>
      <c r="B658" s="1">
        <f>IFERROR(__xludf.DUMMYFUNCTION("""COMPUTED_VALUE"""),8.45)</f>
        <v>8.45</v>
      </c>
    </row>
    <row r="659">
      <c r="A659" s="2">
        <f>IFERROR(__xludf.DUMMYFUNCTION("""COMPUTED_VALUE"""),45058.66666666667)</f>
        <v>45058.66667</v>
      </c>
      <c r="B659" s="1">
        <f>IFERROR(__xludf.DUMMYFUNCTION("""COMPUTED_VALUE"""),7.95)</f>
        <v>7.95</v>
      </c>
    </row>
    <row r="660">
      <c r="A660" s="2">
        <f>IFERROR(__xludf.DUMMYFUNCTION("""COMPUTED_VALUE"""),45061.66666666667)</f>
        <v>45061.66667</v>
      </c>
      <c r="B660" s="1">
        <f>IFERROR(__xludf.DUMMYFUNCTION("""COMPUTED_VALUE"""),8.25)</f>
        <v>8.25</v>
      </c>
    </row>
    <row r="661">
      <c r="A661" s="2">
        <f>IFERROR(__xludf.DUMMYFUNCTION("""COMPUTED_VALUE"""),45062.66666666667)</f>
        <v>45062.66667</v>
      </c>
      <c r="B661" s="1">
        <f>IFERROR(__xludf.DUMMYFUNCTION("""COMPUTED_VALUE"""),7.91)</f>
        <v>7.91</v>
      </c>
    </row>
    <row r="662">
      <c r="A662" s="2">
        <f>IFERROR(__xludf.DUMMYFUNCTION("""COMPUTED_VALUE"""),45063.66666666667)</f>
        <v>45063.66667</v>
      </c>
      <c r="B662" s="1">
        <f>IFERROR(__xludf.DUMMYFUNCTION("""COMPUTED_VALUE"""),8.03)</f>
        <v>8.03</v>
      </c>
    </row>
    <row r="663">
      <c r="A663" s="2">
        <f>IFERROR(__xludf.DUMMYFUNCTION("""COMPUTED_VALUE"""),45064.66666666667)</f>
        <v>45064.66667</v>
      </c>
      <c r="B663" s="1">
        <f>IFERROR(__xludf.DUMMYFUNCTION("""COMPUTED_VALUE"""),7.82)</f>
        <v>7.82</v>
      </c>
    </row>
    <row r="664">
      <c r="A664" s="2">
        <f>IFERROR(__xludf.DUMMYFUNCTION("""COMPUTED_VALUE"""),45065.66666666667)</f>
        <v>45065.66667</v>
      </c>
      <c r="B664" s="1">
        <f>IFERROR(__xludf.DUMMYFUNCTION("""COMPUTED_VALUE"""),8.07)</f>
        <v>8.07</v>
      </c>
    </row>
    <row r="665">
      <c r="A665" s="2">
        <f>IFERROR(__xludf.DUMMYFUNCTION("""COMPUTED_VALUE"""),45068.66666666667)</f>
        <v>45068.66667</v>
      </c>
      <c r="B665" s="1">
        <f>IFERROR(__xludf.DUMMYFUNCTION("""COMPUTED_VALUE"""),8.79)</f>
        <v>8.79</v>
      </c>
    </row>
    <row r="666">
      <c r="A666" s="2">
        <f>IFERROR(__xludf.DUMMYFUNCTION("""COMPUTED_VALUE"""),45069.66666666667)</f>
        <v>45069.66667</v>
      </c>
      <c r="B666" s="1">
        <f>IFERROR(__xludf.DUMMYFUNCTION("""COMPUTED_VALUE"""),8.75)</f>
        <v>8.75</v>
      </c>
    </row>
    <row r="667">
      <c r="A667" s="2">
        <f>IFERROR(__xludf.DUMMYFUNCTION("""COMPUTED_VALUE"""),45070.66666666667)</f>
        <v>45070.66667</v>
      </c>
      <c r="B667" s="1">
        <f>IFERROR(__xludf.DUMMYFUNCTION("""COMPUTED_VALUE"""),7.92)</f>
        <v>7.92</v>
      </c>
    </row>
    <row r="668">
      <c r="A668" s="2">
        <f>IFERROR(__xludf.DUMMYFUNCTION("""COMPUTED_VALUE"""),45071.66666666667)</f>
        <v>45071.66667</v>
      </c>
      <c r="B668" s="1">
        <f>IFERROR(__xludf.DUMMYFUNCTION("""COMPUTED_VALUE"""),7.54)</f>
        <v>7.54</v>
      </c>
    </row>
    <row r="669">
      <c r="A669" s="2">
        <f>IFERROR(__xludf.DUMMYFUNCTION("""COMPUTED_VALUE"""),45072.66666666667)</f>
        <v>45072.66667</v>
      </c>
      <c r="B669" s="1">
        <f>IFERROR(__xludf.DUMMYFUNCTION("""COMPUTED_VALUE"""),7.7)</f>
        <v>7.7</v>
      </c>
    </row>
    <row r="670">
      <c r="A670" s="2">
        <f>IFERROR(__xludf.DUMMYFUNCTION("""COMPUTED_VALUE"""),45076.66666666667)</f>
        <v>45076.66667</v>
      </c>
      <c r="B670" s="1">
        <f>IFERROR(__xludf.DUMMYFUNCTION("""COMPUTED_VALUE"""),7.41)</f>
        <v>7.41</v>
      </c>
    </row>
    <row r="671">
      <c r="A671" s="2">
        <f>IFERROR(__xludf.DUMMYFUNCTION("""COMPUTED_VALUE"""),45077.66666666667)</f>
        <v>45077.66667</v>
      </c>
      <c r="B671" s="1">
        <f>IFERROR(__xludf.DUMMYFUNCTION("""COMPUTED_VALUE"""),7.53)</f>
        <v>7.53</v>
      </c>
    </row>
    <row r="672">
      <c r="A672" s="2">
        <f>IFERROR(__xludf.DUMMYFUNCTION("""COMPUTED_VALUE"""),45078.66666666667)</f>
        <v>45078.66667</v>
      </c>
      <c r="B672" s="1">
        <f>IFERROR(__xludf.DUMMYFUNCTION("""COMPUTED_VALUE"""),7.54)</f>
        <v>7.54</v>
      </c>
    </row>
    <row r="673">
      <c r="A673" s="2">
        <f>IFERROR(__xludf.DUMMYFUNCTION("""COMPUTED_VALUE"""),45079.66666666667)</f>
        <v>45079.66667</v>
      </c>
      <c r="B673" s="1">
        <f>IFERROR(__xludf.DUMMYFUNCTION("""COMPUTED_VALUE"""),7.56)</f>
        <v>7.56</v>
      </c>
    </row>
    <row r="674">
      <c r="A674" s="2">
        <f>IFERROR(__xludf.DUMMYFUNCTION("""COMPUTED_VALUE"""),45082.66666666667)</f>
        <v>45082.66667</v>
      </c>
      <c r="B674" s="1">
        <f>IFERROR(__xludf.DUMMYFUNCTION("""COMPUTED_VALUE"""),7.67)</f>
        <v>7.67</v>
      </c>
    </row>
    <row r="675">
      <c r="A675" s="2">
        <f>IFERROR(__xludf.DUMMYFUNCTION("""COMPUTED_VALUE"""),45083.66666666667)</f>
        <v>45083.66667</v>
      </c>
      <c r="B675" s="1">
        <f>IFERROR(__xludf.DUMMYFUNCTION("""COMPUTED_VALUE"""),7.88)</f>
        <v>7.88</v>
      </c>
    </row>
    <row r="676">
      <c r="A676" s="2">
        <f>IFERROR(__xludf.DUMMYFUNCTION("""COMPUTED_VALUE"""),45084.66666666667)</f>
        <v>45084.66667</v>
      </c>
      <c r="B676" s="1">
        <f>IFERROR(__xludf.DUMMYFUNCTION("""COMPUTED_VALUE"""),7.76)</f>
        <v>7.76</v>
      </c>
    </row>
    <row r="677">
      <c r="A677" s="2">
        <f>IFERROR(__xludf.DUMMYFUNCTION("""COMPUTED_VALUE"""),45085.66666666667)</f>
        <v>45085.66667</v>
      </c>
      <c r="B677" s="1">
        <f>IFERROR(__xludf.DUMMYFUNCTION("""COMPUTED_VALUE"""),7.79)</f>
        <v>7.79</v>
      </c>
    </row>
    <row r="678">
      <c r="A678" s="2">
        <f>IFERROR(__xludf.DUMMYFUNCTION("""COMPUTED_VALUE"""),45086.66666666667)</f>
        <v>45086.66667</v>
      </c>
      <c r="B678" s="1">
        <f>IFERROR(__xludf.DUMMYFUNCTION("""COMPUTED_VALUE"""),7.73)</f>
        <v>7.73</v>
      </c>
    </row>
    <row r="679">
      <c r="A679" s="2">
        <f>IFERROR(__xludf.DUMMYFUNCTION("""COMPUTED_VALUE"""),45089.66666666667)</f>
        <v>45089.66667</v>
      </c>
      <c r="B679" s="1">
        <f>IFERROR(__xludf.DUMMYFUNCTION("""COMPUTED_VALUE"""),8.4)</f>
        <v>8.4</v>
      </c>
    </row>
    <row r="680">
      <c r="A680" s="2">
        <f>IFERROR(__xludf.DUMMYFUNCTION("""COMPUTED_VALUE"""),45090.66666666667)</f>
        <v>45090.66667</v>
      </c>
      <c r="B680" s="1">
        <f>IFERROR(__xludf.DUMMYFUNCTION("""COMPUTED_VALUE"""),8.89)</f>
        <v>8.89</v>
      </c>
    </row>
    <row r="681">
      <c r="A681" s="2">
        <f>IFERROR(__xludf.DUMMYFUNCTION("""COMPUTED_VALUE"""),45091.66666666667)</f>
        <v>45091.66667</v>
      </c>
      <c r="B681" s="1">
        <f>IFERROR(__xludf.DUMMYFUNCTION("""COMPUTED_VALUE"""),9.05)</f>
        <v>9.05</v>
      </c>
    </row>
    <row r="682">
      <c r="A682" s="2">
        <f>IFERROR(__xludf.DUMMYFUNCTION("""COMPUTED_VALUE"""),45092.66666666667)</f>
        <v>45092.66667</v>
      </c>
      <c r="B682" s="1">
        <f>IFERROR(__xludf.DUMMYFUNCTION("""COMPUTED_VALUE"""),9.79)</f>
        <v>9.79</v>
      </c>
    </row>
    <row r="683">
      <c r="A683" s="2">
        <f>IFERROR(__xludf.DUMMYFUNCTION("""COMPUTED_VALUE"""),45093.66666666667)</f>
        <v>45093.66667</v>
      </c>
      <c r="B683" s="1">
        <f>IFERROR(__xludf.DUMMYFUNCTION("""COMPUTED_VALUE"""),9.4)</f>
        <v>9.4</v>
      </c>
    </row>
    <row r="684">
      <c r="A684" s="2">
        <f>IFERROR(__xludf.DUMMYFUNCTION("""COMPUTED_VALUE"""),45097.66666666667)</f>
        <v>45097.66667</v>
      </c>
      <c r="B684" s="1">
        <f>IFERROR(__xludf.DUMMYFUNCTION("""COMPUTED_VALUE"""),9.35)</f>
        <v>9.35</v>
      </c>
    </row>
    <row r="685">
      <c r="A685" s="2">
        <f>IFERROR(__xludf.DUMMYFUNCTION("""COMPUTED_VALUE"""),45098.66666666667)</f>
        <v>45098.66667</v>
      </c>
      <c r="B685" s="1">
        <f>IFERROR(__xludf.DUMMYFUNCTION("""COMPUTED_VALUE"""),9.07)</f>
        <v>9.07</v>
      </c>
    </row>
    <row r="686">
      <c r="A686" s="2">
        <f>IFERROR(__xludf.DUMMYFUNCTION("""COMPUTED_VALUE"""),45099.66666666667)</f>
        <v>45099.66667</v>
      </c>
      <c r="B686" s="1">
        <f>IFERROR(__xludf.DUMMYFUNCTION("""COMPUTED_VALUE"""),8.92)</f>
        <v>8.92</v>
      </c>
    </row>
    <row r="687">
      <c r="A687" s="2">
        <f>IFERROR(__xludf.DUMMYFUNCTION("""COMPUTED_VALUE"""),45100.66666666667)</f>
        <v>45100.66667</v>
      </c>
      <c r="B687" s="1">
        <f>IFERROR(__xludf.DUMMYFUNCTION("""COMPUTED_VALUE"""),8.43)</f>
        <v>8.43</v>
      </c>
    </row>
    <row r="688">
      <c r="A688" s="2">
        <f>IFERROR(__xludf.DUMMYFUNCTION("""COMPUTED_VALUE"""),45103.66666666667)</f>
        <v>45103.66667</v>
      </c>
      <c r="B688" s="1">
        <f>IFERROR(__xludf.DUMMYFUNCTION("""COMPUTED_VALUE"""),8.4)</f>
        <v>8.4</v>
      </c>
    </row>
    <row r="689">
      <c r="A689" s="2">
        <f>IFERROR(__xludf.DUMMYFUNCTION("""COMPUTED_VALUE"""),45104.66666666667)</f>
        <v>45104.66667</v>
      </c>
      <c r="B689" s="1">
        <f>IFERROR(__xludf.DUMMYFUNCTION("""COMPUTED_VALUE"""),9.34)</f>
        <v>9.34</v>
      </c>
    </row>
    <row r="690">
      <c r="A690" s="2">
        <f>IFERROR(__xludf.DUMMYFUNCTION("""COMPUTED_VALUE"""),45105.66666666667)</f>
        <v>45105.66667</v>
      </c>
      <c r="B690" s="1">
        <f>IFERROR(__xludf.DUMMYFUNCTION("""COMPUTED_VALUE"""),9.52)</f>
        <v>9.52</v>
      </c>
    </row>
    <row r="691">
      <c r="A691" s="2">
        <f>IFERROR(__xludf.DUMMYFUNCTION("""COMPUTED_VALUE"""),45106.66666666667)</f>
        <v>45106.66667</v>
      </c>
      <c r="B691" s="1">
        <f>IFERROR(__xludf.DUMMYFUNCTION("""COMPUTED_VALUE"""),9.39)</f>
        <v>9.39</v>
      </c>
    </row>
    <row r="692">
      <c r="A692" s="2">
        <f>IFERROR(__xludf.DUMMYFUNCTION("""COMPUTED_VALUE"""),45107.66666666667)</f>
        <v>45107.66667</v>
      </c>
      <c r="B692" s="1">
        <f>IFERROR(__xludf.DUMMYFUNCTION("""COMPUTED_VALUE"""),9.69)</f>
        <v>9.69</v>
      </c>
    </row>
    <row r="693">
      <c r="A693" s="2">
        <f>IFERROR(__xludf.DUMMYFUNCTION("""COMPUTED_VALUE"""),45110.54166666667)</f>
        <v>45110.54167</v>
      </c>
      <c r="B693" s="1">
        <f>IFERROR(__xludf.DUMMYFUNCTION("""COMPUTED_VALUE"""),10.03)</f>
        <v>10.03</v>
      </c>
    </row>
    <row r="694">
      <c r="A694" s="2">
        <f>IFERROR(__xludf.DUMMYFUNCTION("""COMPUTED_VALUE"""),45112.66666666667)</f>
        <v>45112.66667</v>
      </c>
      <c r="B694" s="1">
        <f>IFERROR(__xludf.DUMMYFUNCTION("""COMPUTED_VALUE"""),10.22)</f>
        <v>10.22</v>
      </c>
    </row>
    <row r="695">
      <c r="A695" s="2">
        <f>IFERROR(__xludf.DUMMYFUNCTION("""COMPUTED_VALUE"""),45113.66666666667)</f>
        <v>45113.66667</v>
      </c>
      <c r="B695" s="1">
        <f>IFERROR(__xludf.DUMMYFUNCTION("""COMPUTED_VALUE"""),9.56)</f>
        <v>9.56</v>
      </c>
    </row>
    <row r="696">
      <c r="A696" s="2">
        <f>IFERROR(__xludf.DUMMYFUNCTION("""COMPUTED_VALUE"""),45114.66666666667)</f>
        <v>45114.66667</v>
      </c>
      <c r="B696" s="1">
        <f>IFERROR(__xludf.DUMMYFUNCTION("""COMPUTED_VALUE"""),9.99)</f>
        <v>9.99</v>
      </c>
    </row>
    <row r="697">
      <c r="A697" s="2">
        <f>IFERROR(__xludf.DUMMYFUNCTION("""COMPUTED_VALUE"""),45117.66666666667)</f>
        <v>45117.66667</v>
      </c>
      <c r="B697" s="1">
        <f>IFERROR(__xludf.DUMMYFUNCTION("""COMPUTED_VALUE"""),10.78)</f>
        <v>10.78</v>
      </c>
    </row>
    <row r="698">
      <c r="A698" s="2">
        <f>IFERROR(__xludf.DUMMYFUNCTION("""COMPUTED_VALUE"""),45118.66666666667)</f>
        <v>45118.66667</v>
      </c>
      <c r="B698" s="1">
        <f>IFERROR(__xludf.DUMMYFUNCTION("""COMPUTED_VALUE"""),10.81)</f>
        <v>10.81</v>
      </c>
    </row>
    <row r="699">
      <c r="A699" s="2">
        <f>IFERROR(__xludf.DUMMYFUNCTION("""COMPUTED_VALUE"""),45119.66666666667)</f>
        <v>45119.66667</v>
      </c>
      <c r="B699" s="1">
        <f>IFERROR(__xludf.DUMMYFUNCTION("""COMPUTED_VALUE"""),11.16)</f>
        <v>11.16</v>
      </c>
    </row>
    <row r="700">
      <c r="A700" s="2">
        <f>IFERROR(__xludf.DUMMYFUNCTION("""COMPUTED_VALUE"""),45120.66666666667)</f>
        <v>45120.66667</v>
      </c>
      <c r="B700" s="1">
        <f>IFERROR(__xludf.DUMMYFUNCTION("""COMPUTED_VALUE"""),10.76)</f>
        <v>10.76</v>
      </c>
    </row>
    <row r="701">
      <c r="A701" s="2">
        <f>IFERROR(__xludf.DUMMYFUNCTION("""COMPUTED_VALUE"""),45121.66666666667)</f>
        <v>45121.66667</v>
      </c>
      <c r="B701" s="1">
        <f>IFERROR(__xludf.DUMMYFUNCTION("""COMPUTED_VALUE"""),10.54)</f>
        <v>10.54</v>
      </c>
    </row>
    <row r="702">
      <c r="A702" s="2">
        <f>IFERROR(__xludf.DUMMYFUNCTION("""COMPUTED_VALUE"""),45124.66666666667)</f>
        <v>45124.66667</v>
      </c>
      <c r="B702" s="1">
        <f>IFERROR(__xludf.DUMMYFUNCTION("""COMPUTED_VALUE"""),10.56)</f>
        <v>10.56</v>
      </c>
    </row>
    <row r="703">
      <c r="A703" s="2">
        <f>IFERROR(__xludf.DUMMYFUNCTION("""COMPUTED_VALUE"""),45125.66666666667)</f>
        <v>45125.66667</v>
      </c>
      <c r="B703" s="1">
        <f>IFERROR(__xludf.DUMMYFUNCTION("""COMPUTED_VALUE"""),10.42)</f>
        <v>10.42</v>
      </c>
    </row>
    <row r="704">
      <c r="A704" s="2">
        <f>IFERROR(__xludf.DUMMYFUNCTION("""COMPUTED_VALUE"""),45126.66666666667)</f>
        <v>45126.66667</v>
      </c>
      <c r="B704" s="1">
        <f>IFERROR(__xludf.DUMMYFUNCTION("""COMPUTED_VALUE"""),10.64)</f>
        <v>10.64</v>
      </c>
    </row>
    <row r="705">
      <c r="A705" s="2">
        <f>IFERROR(__xludf.DUMMYFUNCTION("""COMPUTED_VALUE"""),45127.66666666667)</f>
        <v>45127.66667</v>
      </c>
      <c r="B705" s="1">
        <f>IFERROR(__xludf.DUMMYFUNCTION("""COMPUTED_VALUE"""),10.32)</f>
        <v>10.32</v>
      </c>
    </row>
    <row r="706">
      <c r="A706" s="2">
        <f>IFERROR(__xludf.DUMMYFUNCTION("""COMPUTED_VALUE"""),45128.66666666667)</f>
        <v>45128.66667</v>
      </c>
      <c r="B706" s="1">
        <f>IFERROR(__xludf.DUMMYFUNCTION("""COMPUTED_VALUE"""),10.58)</f>
        <v>10.58</v>
      </c>
    </row>
    <row r="707">
      <c r="A707" s="2">
        <f>IFERROR(__xludf.DUMMYFUNCTION("""COMPUTED_VALUE"""),45131.66666666667)</f>
        <v>45131.66667</v>
      </c>
      <c r="B707" s="1">
        <f>IFERROR(__xludf.DUMMYFUNCTION("""COMPUTED_VALUE"""),11.73)</f>
        <v>11.73</v>
      </c>
    </row>
    <row r="708">
      <c r="A708" s="2">
        <f>IFERROR(__xludf.DUMMYFUNCTION("""COMPUTED_VALUE"""),45132.66666666667)</f>
        <v>45132.66667</v>
      </c>
      <c r="B708" s="1">
        <f>IFERROR(__xludf.DUMMYFUNCTION("""COMPUTED_VALUE"""),11.91)</f>
        <v>11.91</v>
      </c>
    </row>
    <row r="709">
      <c r="A709" s="2">
        <f>IFERROR(__xludf.DUMMYFUNCTION("""COMPUTED_VALUE"""),45133.66666666667)</f>
        <v>45133.66667</v>
      </c>
      <c r="B709" s="1">
        <f>IFERROR(__xludf.DUMMYFUNCTION("""COMPUTED_VALUE"""),13.17)</f>
        <v>13.17</v>
      </c>
    </row>
    <row r="710">
      <c r="A710" s="2">
        <f>IFERROR(__xludf.DUMMYFUNCTION("""COMPUTED_VALUE"""),45134.66666666667)</f>
        <v>45134.66667</v>
      </c>
      <c r="B710" s="1">
        <f>IFERROR(__xludf.DUMMYFUNCTION("""COMPUTED_VALUE"""),13.24)</f>
        <v>13.24</v>
      </c>
    </row>
    <row r="711">
      <c r="A711" s="2">
        <f>IFERROR(__xludf.DUMMYFUNCTION("""COMPUTED_VALUE"""),45135.66666666667)</f>
        <v>45135.66667</v>
      </c>
      <c r="B711" s="1">
        <f>IFERROR(__xludf.DUMMYFUNCTION("""COMPUTED_VALUE"""),14.74)</f>
        <v>14.74</v>
      </c>
    </row>
    <row r="712">
      <c r="A712" s="2">
        <f>IFERROR(__xludf.DUMMYFUNCTION("""COMPUTED_VALUE"""),45138.66666666667)</f>
        <v>45138.66667</v>
      </c>
      <c r="B712" s="1">
        <f>IFERROR(__xludf.DUMMYFUNCTION("""COMPUTED_VALUE"""),15.3)</f>
        <v>15.3</v>
      </c>
    </row>
    <row r="713">
      <c r="A713" s="2">
        <f>IFERROR(__xludf.DUMMYFUNCTION("""COMPUTED_VALUE"""),45139.66666666667)</f>
        <v>45139.66667</v>
      </c>
      <c r="B713" s="1">
        <f>IFERROR(__xludf.DUMMYFUNCTION("""COMPUTED_VALUE"""),14.63)</f>
        <v>14.63</v>
      </c>
    </row>
    <row r="714">
      <c r="A714" s="2">
        <f>IFERROR(__xludf.DUMMYFUNCTION("""COMPUTED_VALUE"""),45140.66666666667)</f>
        <v>45140.66667</v>
      </c>
      <c r="B714" s="1">
        <f>IFERROR(__xludf.DUMMYFUNCTION("""COMPUTED_VALUE"""),14.57)</f>
        <v>14.57</v>
      </c>
    </row>
    <row r="715">
      <c r="A715" s="2">
        <f>IFERROR(__xludf.DUMMYFUNCTION("""COMPUTED_VALUE"""),45141.66666666667)</f>
        <v>45141.66667</v>
      </c>
      <c r="B715" s="1">
        <f>IFERROR(__xludf.DUMMYFUNCTION("""COMPUTED_VALUE"""),15.46)</f>
        <v>15.46</v>
      </c>
    </row>
    <row r="716">
      <c r="A716" s="2">
        <f>IFERROR(__xludf.DUMMYFUNCTION("""COMPUTED_VALUE"""),45142.66666666667)</f>
        <v>45142.66667</v>
      </c>
      <c r="B716" s="1">
        <f>IFERROR(__xludf.DUMMYFUNCTION("""COMPUTED_VALUE"""),14.72)</f>
        <v>14.72</v>
      </c>
    </row>
    <row r="717">
      <c r="A717" s="2">
        <f>IFERROR(__xludf.DUMMYFUNCTION("""COMPUTED_VALUE"""),45145.66666666667)</f>
        <v>45145.66667</v>
      </c>
      <c r="B717" s="1">
        <f>IFERROR(__xludf.DUMMYFUNCTION("""COMPUTED_VALUE"""),14.82)</f>
        <v>14.82</v>
      </c>
    </row>
    <row r="718">
      <c r="A718" s="2">
        <f>IFERROR(__xludf.DUMMYFUNCTION("""COMPUTED_VALUE"""),45146.66666666667)</f>
        <v>45146.66667</v>
      </c>
      <c r="B718" s="1">
        <f>IFERROR(__xludf.DUMMYFUNCTION("""COMPUTED_VALUE"""),14.07)</f>
        <v>14.07</v>
      </c>
    </row>
    <row r="719">
      <c r="A719" s="2">
        <f>IFERROR(__xludf.DUMMYFUNCTION("""COMPUTED_VALUE"""),45147.66666666667)</f>
        <v>45147.66667</v>
      </c>
      <c r="B719" s="1">
        <f>IFERROR(__xludf.DUMMYFUNCTION("""COMPUTED_VALUE"""),13.46)</f>
        <v>13.46</v>
      </c>
    </row>
    <row r="720">
      <c r="A720" s="2">
        <f>IFERROR(__xludf.DUMMYFUNCTION("""COMPUTED_VALUE"""),45148.66666666667)</f>
        <v>45148.66667</v>
      </c>
      <c r="B720" s="1">
        <f>IFERROR(__xludf.DUMMYFUNCTION("""COMPUTED_VALUE"""),13.25)</f>
        <v>13.25</v>
      </c>
    </row>
    <row r="721">
      <c r="A721" s="2">
        <f>IFERROR(__xludf.DUMMYFUNCTION("""COMPUTED_VALUE"""),45149.66666666667)</f>
        <v>45149.66667</v>
      </c>
      <c r="B721" s="1">
        <f>IFERROR(__xludf.DUMMYFUNCTION("""COMPUTED_VALUE"""),12.9)</f>
        <v>12.9</v>
      </c>
    </row>
    <row r="722">
      <c r="A722" s="2">
        <f>IFERROR(__xludf.DUMMYFUNCTION("""COMPUTED_VALUE"""),45152.66666666667)</f>
        <v>45152.66667</v>
      </c>
      <c r="B722" s="1">
        <f>IFERROR(__xludf.DUMMYFUNCTION("""COMPUTED_VALUE"""),12.52)</f>
        <v>12.52</v>
      </c>
    </row>
    <row r="723">
      <c r="A723" s="2">
        <f>IFERROR(__xludf.DUMMYFUNCTION("""COMPUTED_VALUE"""),45153.66666666667)</f>
        <v>45153.66667</v>
      </c>
      <c r="B723" s="1">
        <f>IFERROR(__xludf.DUMMYFUNCTION("""COMPUTED_VALUE"""),11.83)</f>
        <v>11.83</v>
      </c>
    </row>
    <row r="724">
      <c r="A724" s="2">
        <f>IFERROR(__xludf.DUMMYFUNCTION("""COMPUTED_VALUE"""),45154.66666666667)</f>
        <v>45154.66667</v>
      </c>
      <c r="B724" s="1">
        <f>IFERROR(__xludf.DUMMYFUNCTION("""COMPUTED_VALUE"""),11.4)</f>
        <v>11.4</v>
      </c>
    </row>
    <row r="725">
      <c r="A725" s="2">
        <f>IFERROR(__xludf.DUMMYFUNCTION("""COMPUTED_VALUE"""),45155.66666666667)</f>
        <v>45155.66667</v>
      </c>
      <c r="B725" s="1">
        <f>IFERROR(__xludf.DUMMYFUNCTION("""COMPUTED_VALUE"""),11.5)</f>
        <v>11.5</v>
      </c>
    </row>
    <row r="726">
      <c r="A726" s="2">
        <f>IFERROR(__xludf.DUMMYFUNCTION("""COMPUTED_VALUE"""),45156.66666666667)</f>
        <v>45156.66667</v>
      </c>
      <c r="B726" s="1">
        <f>IFERROR(__xludf.DUMMYFUNCTION("""COMPUTED_VALUE"""),10.67)</f>
        <v>10.67</v>
      </c>
    </row>
    <row r="727">
      <c r="A727" s="2">
        <f>IFERROR(__xludf.DUMMYFUNCTION("""COMPUTED_VALUE"""),45159.66666666667)</f>
        <v>45159.66667</v>
      </c>
      <c r="B727" s="1">
        <f>IFERROR(__xludf.DUMMYFUNCTION("""COMPUTED_VALUE"""),10.95)</f>
        <v>10.95</v>
      </c>
    </row>
    <row r="728">
      <c r="A728" s="2">
        <f>IFERROR(__xludf.DUMMYFUNCTION("""COMPUTED_VALUE"""),45160.66666666667)</f>
        <v>45160.66667</v>
      </c>
      <c r="B728" s="1">
        <f>IFERROR(__xludf.DUMMYFUNCTION("""COMPUTED_VALUE"""),10.79)</f>
        <v>10.79</v>
      </c>
    </row>
    <row r="729">
      <c r="A729" s="2">
        <f>IFERROR(__xludf.DUMMYFUNCTION("""COMPUTED_VALUE"""),45161.66666666667)</f>
        <v>45161.66667</v>
      </c>
      <c r="B729" s="1">
        <f>IFERROR(__xludf.DUMMYFUNCTION("""COMPUTED_VALUE"""),10.84)</f>
        <v>10.84</v>
      </c>
    </row>
    <row r="730">
      <c r="A730" s="2">
        <f>IFERROR(__xludf.DUMMYFUNCTION("""COMPUTED_VALUE"""),45162.66666666667)</f>
        <v>45162.66667</v>
      </c>
      <c r="B730" s="1">
        <f>IFERROR(__xludf.DUMMYFUNCTION("""COMPUTED_VALUE"""),10.64)</f>
        <v>10.64</v>
      </c>
    </row>
    <row r="731">
      <c r="A731" s="2">
        <f>IFERROR(__xludf.DUMMYFUNCTION("""COMPUTED_VALUE"""),45163.66666666667)</f>
        <v>45163.66667</v>
      </c>
      <c r="B731" s="1">
        <f>IFERROR(__xludf.DUMMYFUNCTION("""COMPUTED_VALUE"""),10.83)</f>
        <v>10.83</v>
      </c>
    </row>
    <row r="732">
      <c r="A732" s="2">
        <f>IFERROR(__xludf.DUMMYFUNCTION("""COMPUTED_VALUE"""),45166.66666666667)</f>
        <v>45166.66667</v>
      </c>
      <c r="B732" s="1">
        <f>IFERROR(__xludf.DUMMYFUNCTION("""COMPUTED_VALUE"""),11.02)</f>
        <v>11.02</v>
      </c>
    </row>
    <row r="733">
      <c r="A733" s="2">
        <f>IFERROR(__xludf.DUMMYFUNCTION("""COMPUTED_VALUE"""),45167.66666666667)</f>
        <v>45167.66667</v>
      </c>
      <c r="B733" s="1">
        <f>IFERROR(__xludf.DUMMYFUNCTION("""COMPUTED_VALUE"""),10.89)</f>
        <v>10.89</v>
      </c>
    </row>
    <row r="734">
      <c r="A734" s="2">
        <f>IFERROR(__xludf.DUMMYFUNCTION("""COMPUTED_VALUE"""),45168.66666666667)</f>
        <v>45168.66667</v>
      </c>
      <c r="B734" s="1">
        <f>IFERROR(__xludf.DUMMYFUNCTION("""COMPUTED_VALUE"""),10.67)</f>
        <v>10.67</v>
      </c>
    </row>
    <row r="735">
      <c r="A735" s="2">
        <f>IFERROR(__xludf.DUMMYFUNCTION("""COMPUTED_VALUE"""),45169.66666666667)</f>
        <v>45169.66667</v>
      </c>
      <c r="B735" s="1">
        <f>IFERROR(__xludf.DUMMYFUNCTION("""COMPUTED_VALUE"""),10.27)</f>
        <v>10.27</v>
      </c>
    </row>
    <row r="736">
      <c r="A736" s="2">
        <f>IFERROR(__xludf.DUMMYFUNCTION("""COMPUTED_VALUE"""),45170.66666666667)</f>
        <v>45170.66667</v>
      </c>
      <c r="B736" s="1">
        <f>IFERROR(__xludf.DUMMYFUNCTION("""COMPUTED_VALUE"""),11.0)</f>
        <v>11</v>
      </c>
    </row>
    <row r="737">
      <c r="A737" s="2">
        <f>IFERROR(__xludf.DUMMYFUNCTION("""COMPUTED_VALUE"""),45174.66666666667)</f>
        <v>45174.66667</v>
      </c>
      <c r="B737" s="1">
        <f>IFERROR(__xludf.DUMMYFUNCTION("""COMPUTED_VALUE"""),10.81)</f>
        <v>10.81</v>
      </c>
    </row>
    <row r="738">
      <c r="A738" s="2">
        <f>IFERROR(__xludf.DUMMYFUNCTION("""COMPUTED_VALUE"""),45175.66666666667)</f>
        <v>45175.66667</v>
      </c>
      <c r="B738" s="1">
        <f>IFERROR(__xludf.DUMMYFUNCTION("""COMPUTED_VALUE"""),10.58)</f>
        <v>10.58</v>
      </c>
    </row>
    <row r="739">
      <c r="A739" s="2">
        <f>IFERROR(__xludf.DUMMYFUNCTION("""COMPUTED_VALUE"""),45176.66666666667)</f>
        <v>45176.66667</v>
      </c>
      <c r="B739" s="1">
        <f>IFERROR(__xludf.DUMMYFUNCTION("""COMPUTED_VALUE"""),10.08)</f>
        <v>10.08</v>
      </c>
    </row>
    <row r="740">
      <c r="A740" s="2">
        <f>IFERROR(__xludf.DUMMYFUNCTION("""COMPUTED_VALUE"""),45177.66666666667)</f>
        <v>45177.66667</v>
      </c>
      <c r="B740" s="1">
        <f>IFERROR(__xludf.DUMMYFUNCTION("""COMPUTED_VALUE"""),10.04)</f>
        <v>10.04</v>
      </c>
    </row>
    <row r="741">
      <c r="A741" s="2">
        <f>IFERROR(__xludf.DUMMYFUNCTION("""COMPUTED_VALUE"""),45180.66666666667)</f>
        <v>45180.66667</v>
      </c>
      <c r="B741" s="1">
        <f>IFERROR(__xludf.DUMMYFUNCTION("""COMPUTED_VALUE"""),10.33)</f>
        <v>10.33</v>
      </c>
    </row>
    <row r="742">
      <c r="A742" s="2">
        <f>IFERROR(__xludf.DUMMYFUNCTION("""COMPUTED_VALUE"""),45181.66666666667)</f>
        <v>45181.66667</v>
      </c>
      <c r="B742" s="1">
        <f>IFERROR(__xludf.DUMMYFUNCTION("""COMPUTED_VALUE"""),10.57)</f>
        <v>10.57</v>
      </c>
    </row>
    <row r="743">
      <c r="A743" s="2">
        <f>IFERROR(__xludf.DUMMYFUNCTION("""COMPUTED_VALUE"""),45182.66666666667)</f>
        <v>45182.66667</v>
      </c>
      <c r="B743" s="1">
        <f>IFERROR(__xludf.DUMMYFUNCTION("""COMPUTED_VALUE"""),10.07)</f>
        <v>10.07</v>
      </c>
    </row>
    <row r="744">
      <c r="A744" s="2">
        <f>IFERROR(__xludf.DUMMYFUNCTION("""COMPUTED_VALUE"""),45183.66666666667)</f>
        <v>45183.66667</v>
      </c>
      <c r="B744" s="1">
        <f>IFERROR(__xludf.DUMMYFUNCTION("""COMPUTED_VALUE"""),10.38)</f>
        <v>10.38</v>
      </c>
    </row>
    <row r="745">
      <c r="A745" s="2">
        <f>IFERROR(__xludf.DUMMYFUNCTION("""COMPUTED_VALUE"""),45184.66666666667)</f>
        <v>45184.66667</v>
      </c>
      <c r="B745" s="1">
        <f>IFERROR(__xludf.DUMMYFUNCTION("""COMPUTED_VALUE"""),10.43)</f>
        <v>10.43</v>
      </c>
    </row>
    <row r="746">
      <c r="A746" s="2">
        <f>IFERROR(__xludf.DUMMYFUNCTION("""COMPUTED_VALUE"""),45187.66666666667)</f>
        <v>45187.66667</v>
      </c>
      <c r="B746" s="1">
        <f>IFERROR(__xludf.DUMMYFUNCTION("""COMPUTED_VALUE"""),10.31)</f>
        <v>10.31</v>
      </c>
    </row>
    <row r="747">
      <c r="A747" s="2">
        <f>IFERROR(__xludf.DUMMYFUNCTION("""COMPUTED_VALUE"""),45188.66666666667)</f>
        <v>45188.66667</v>
      </c>
      <c r="B747" s="1">
        <f>IFERROR(__xludf.DUMMYFUNCTION("""COMPUTED_VALUE"""),8.55)</f>
        <v>8.55</v>
      </c>
    </row>
    <row r="748">
      <c r="A748" s="2">
        <f>IFERROR(__xludf.DUMMYFUNCTION("""COMPUTED_VALUE"""),45189.66666666667)</f>
        <v>45189.66667</v>
      </c>
      <c r="B748" s="1">
        <f>IFERROR(__xludf.DUMMYFUNCTION("""COMPUTED_VALUE"""),8.82)</f>
        <v>8.82</v>
      </c>
    </row>
    <row r="749">
      <c r="A749" s="2">
        <f>IFERROR(__xludf.DUMMYFUNCTION("""COMPUTED_VALUE"""),45190.66666666667)</f>
        <v>45190.66667</v>
      </c>
      <c r="B749" s="1">
        <f>IFERROR(__xludf.DUMMYFUNCTION("""COMPUTED_VALUE"""),8.45)</f>
        <v>8.45</v>
      </c>
    </row>
    <row r="750">
      <c r="A750" s="2">
        <f>IFERROR(__xludf.DUMMYFUNCTION("""COMPUTED_VALUE"""),45191.66666666667)</f>
        <v>45191.66667</v>
      </c>
      <c r="B750" s="1">
        <f>IFERROR(__xludf.DUMMYFUNCTION("""COMPUTED_VALUE"""),8.53)</f>
        <v>8.53</v>
      </c>
    </row>
    <row r="751">
      <c r="A751" s="2">
        <f>IFERROR(__xludf.DUMMYFUNCTION("""COMPUTED_VALUE"""),45194.66666666667)</f>
        <v>45194.66667</v>
      </c>
      <c r="B751" s="1">
        <f>IFERROR(__xludf.DUMMYFUNCTION("""COMPUTED_VALUE"""),8.35)</f>
        <v>8.35</v>
      </c>
    </row>
    <row r="752">
      <c r="A752" s="2">
        <f>IFERROR(__xludf.DUMMYFUNCTION("""COMPUTED_VALUE"""),45195.66666666667)</f>
        <v>45195.66667</v>
      </c>
      <c r="B752" s="1">
        <f>IFERROR(__xludf.DUMMYFUNCTION("""COMPUTED_VALUE"""),8.41)</f>
        <v>8.41</v>
      </c>
    </row>
    <row r="753">
      <c r="A753" s="2">
        <f>IFERROR(__xludf.DUMMYFUNCTION("""COMPUTED_VALUE"""),45196.66666666667)</f>
        <v>45196.66667</v>
      </c>
      <c r="B753" s="1">
        <f>IFERROR(__xludf.DUMMYFUNCTION("""COMPUTED_VALUE"""),8.46)</f>
        <v>8.46</v>
      </c>
    </row>
    <row r="754">
      <c r="A754" s="2">
        <f>IFERROR(__xludf.DUMMYFUNCTION("""COMPUTED_VALUE"""),45197.66666666667)</f>
        <v>45197.66667</v>
      </c>
      <c r="B754" s="1">
        <f>IFERROR(__xludf.DUMMYFUNCTION("""COMPUTED_VALUE"""),8.91)</f>
        <v>8.91</v>
      </c>
    </row>
    <row r="755">
      <c r="A755" s="2">
        <f>IFERROR(__xludf.DUMMYFUNCTION("""COMPUTED_VALUE"""),45198.66666666667)</f>
        <v>45198.66667</v>
      </c>
      <c r="B755" s="1">
        <f>IFERROR(__xludf.DUMMYFUNCTION("""COMPUTED_VALUE"""),9.04)</f>
        <v>9.04</v>
      </c>
    </row>
    <row r="756">
      <c r="A756" s="2">
        <f>IFERROR(__xludf.DUMMYFUNCTION("""COMPUTED_VALUE"""),45201.66666666667)</f>
        <v>45201.66667</v>
      </c>
      <c r="B756" s="1">
        <f>IFERROR(__xludf.DUMMYFUNCTION("""COMPUTED_VALUE"""),8.79)</f>
        <v>8.79</v>
      </c>
    </row>
    <row r="757">
      <c r="A757" s="2">
        <f>IFERROR(__xludf.DUMMYFUNCTION("""COMPUTED_VALUE"""),45202.66666666667)</f>
        <v>45202.66667</v>
      </c>
      <c r="B757" s="1">
        <f>IFERROR(__xludf.DUMMYFUNCTION("""COMPUTED_VALUE"""),8.61)</f>
        <v>8.61</v>
      </c>
    </row>
    <row r="758">
      <c r="A758" s="2">
        <f>IFERROR(__xludf.DUMMYFUNCTION("""COMPUTED_VALUE"""),45203.66666666667)</f>
        <v>45203.66667</v>
      </c>
      <c r="B758" s="1">
        <f>IFERROR(__xludf.DUMMYFUNCTION("""COMPUTED_VALUE"""),8.83)</f>
        <v>8.83</v>
      </c>
    </row>
    <row r="759">
      <c r="A759" s="2">
        <f>IFERROR(__xludf.DUMMYFUNCTION("""COMPUTED_VALUE"""),45204.66666666667)</f>
        <v>45204.66667</v>
      </c>
      <c r="B759" s="1">
        <f>IFERROR(__xludf.DUMMYFUNCTION("""COMPUTED_VALUE"""),8.66)</f>
        <v>8.66</v>
      </c>
    </row>
    <row r="760">
      <c r="A760" s="2">
        <f>IFERROR(__xludf.DUMMYFUNCTION("""COMPUTED_VALUE"""),45205.66666666667)</f>
        <v>45205.66667</v>
      </c>
      <c r="B760" s="1">
        <f>IFERROR(__xludf.DUMMYFUNCTION("""COMPUTED_VALUE"""),8.72)</f>
        <v>8.72</v>
      </c>
    </row>
    <row r="761">
      <c r="A761" s="2">
        <f>IFERROR(__xludf.DUMMYFUNCTION("""COMPUTED_VALUE"""),45208.66666666667)</f>
        <v>45208.66667</v>
      </c>
      <c r="B761" s="1">
        <f>IFERROR(__xludf.DUMMYFUNCTION("""COMPUTED_VALUE"""),8.34)</f>
        <v>8.34</v>
      </c>
    </row>
    <row r="762">
      <c r="A762" s="2">
        <f>IFERROR(__xludf.DUMMYFUNCTION("""COMPUTED_VALUE"""),45209.66666666667)</f>
        <v>45209.66667</v>
      </c>
      <c r="B762" s="1">
        <f>IFERROR(__xludf.DUMMYFUNCTION("""COMPUTED_VALUE"""),8.83)</f>
        <v>8.83</v>
      </c>
    </row>
    <row r="763">
      <c r="A763" s="2">
        <f>IFERROR(__xludf.DUMMYFUNCTION("""COMPUTED_VALUE"""),45210.66666666667)</f>
        <v>45210.66667</v>
      </c>
      <c r="B763" s="1">
        <f>IFERROR(__xludf.DUMMYFUNCTION("""COMPUTED_VALUE"""),8.97)</f>
        <v>8.97</v>
      </c>
    </row>
    <row r="764">
      <c r="A764" s="2">
        <f>IFERROR(__xludf.DUMMYFUNCTION("""COMPUTED_VALUE"""),45211.66666666667)</f>
        <v>45211.66667</v>
      </c>
      <c r="B764" s="1">
        <f>IFERROR(__xludf.DUMMYFUNCTION("""COMPUTED_VALUE"""),8.44)</f>
        <v>8.44</v>
      </c>
    </row>
    <row r="765">
      <c r="A765" s="2">
        <f>IFERROR(__xludf.DUMMYFUNCTION("""COMPUTED_VALUE"""),45212.66666666667)</f>
        <v>45212.66667</v>
      </c>
      <c r="B765" s="1">
        <f>IFERROR(__xludf.DUMMYFUNCTION("""COMPUTED_VALUE"""),8.47)</f>
        <v>8.47</v>
      </c>
    </row>
    <row r="766">
      <c r="A766" s="2">
        <f>IFERROR(__xludf.DUMMYFUNCTION("""COMPUTED_VALUE"""),45215.66666666667)</f>
        <v>45215.66667</v>
      </c>
      <c r="B766" s="1">
        <f>IFERROR(__xludf.DUMMYFUNCTION("""COMPUTED_VALUE"""),8.52)</f>
        <v>8.52</v>
      </c>
    </row>
    <row r="767">
      <c r="A767" s="2">
        <f>IFERROR(__xludf.DUMMYFUNCTION("""COMPUTED_VALUE"""),45216.66666666667)</f>
        <v>45216.66667</v>
      </c>
      <c r="B767" s="1">
        <f>IFERROR(__xludf.DUMMYFUNCTION("""COMPUTED_VALUE"""),8.53)</f>
        <v>8.53</v>
      </c>
    </row>
    <row r="768">
      <c r="A768" s="2">
        <f>IFERROR(__xludf.DUMMYFUNCTION("""COMPUTED_VALUE"""),45217.66666666667)</f>
        <v>45217.66667</v>
      </c>
      <c r="B768" s="1">
        <f>IFERROR(__xludf.DUMMYFUNCTION("""COMPUTED_VALUE"""),7.91)</f>
        <v>7.91</v>
      </c>
    </row>
    <row r="769">
      <c r="A769" s="2">
        <f>IFERROR(__xludf.DUMMYFUNCTION("""COMPUTED_VALUE"""),45218.66666666667)</f>
        <v>45218.66667</v>
      </c>
      <c r="B769" s="1">
        <f>IFERROR(__xludf.DUMMYFUNCTION("""COMPUTED_VALUE"""),7.69)</f>
        <v>7.69</v>
      </c>
    </row>
    <row r="770">
      <c r="A770" s="2">
        <f>IFERROR(__xludf.DUMMYFUNCTION("""COMPUTED_VALUE"""),45219.66666666667)</f>
        <v>45219.66667</v>
      </c>
      <c r="B770" s="1">
        <f>IFERROR(__xludf.DUMMYFUNCTION("""COMPUTED_VALUE"""),7.58)</f>
        <v>7.58</v>
      </c>
    </row>
    <row r="771">
      <c r="A771" s="2">
        <f>IFERROR(__xludf.DUMMYFUNCTION("""COMPUTED_VALUE"""),45222.66666666667)</f>
        <v>45222.66667</v>
      </c>
      <c r="B771" s="1">
        <f>IFERROR(__xludf.DUMMYFUNCTION("""COMPUTED_VALUE"""),7.59)</f>
        <v>7.59</v>
      </c>
    </row>
    <row r="772">
      <c r="A772" s="2">
        <f>IFERROR(__xludf.DUMMYFUNCTION("""COMPUTED_VALUE"""),45223.66666666667)</f>
        <v>45223.66667</v>
      </c>
      <c r="B772" s="1">
        <f>IFERROR(__xludf.DUMMYFUNCTION("""COMPUTED_VALUE"""),8.09)</f>
        <v>8.09</v>
      </c>
    </row>
    <row r="773">
      <c r="A773" s="2">
        <f>IFERROR(__xludf.DUMMYFUNCTION("""COMPUTED_VALUE"""),45224.66666666667)</f>
        <v>45224.66667</v>
      </c>
      <c r="B773" s="1">
        <f>IFERROR(__xludf.DUMMYFUNCTION("""COMPUTED_VALUE"""),7.6)</f>
        <v>7.6</v>
      </c>
    </row>
    <row r="774">
      <c r="A774" s="2">
        <f>IFERROR(__xludf.DUMMYFUNCTION("""COMPUTED_VALUE"""),45225.66666666667)</f>
        <v>45225.66667</v>
      </c>
      <c r="B774" s="1">
        <f>IFERROR(__xludf.DUMMYFUNCTION("""COMPUTED_VALUE"""),7.63)</f>
        <v>7.63</v>
      </c>
    </row>
    <row r="775">
      <c r="A775" s="2">
        <f>IFERROR(__xludf.DUMMYFUNCTION("""COMPUTED_VALUE"""),45226.66666666667)</f>
        <v>45226.66667</v>
      </c>
      <c r="B775" s="1">
        <f>IFERROR(__xludf.DUMMYFUNCTION("""COMPUTED_VALUE"""),7.44)</f>
        <v>7.44</v>
      </c>
    </row>
    <row r="776">
      <c r="A776" s="2">
        <f>IFERROR(__xludf.DUMMYFUNCTION("""COMPUTED_VALUE"""),45229.66666666667)</f>
        <v>45229.66667</v>
      </c>
      <c r="B776" s="1">
        <f>IFERROR(__xludf.DUMMYFUNCTION("""COMPUTED_VALUE"""),7.52)</f>
        <v>7.52</v>
      </c>
    </row>
    <row r="777">
      <c r="A777" s="2">
        <f>IFERROR(__xludf.DUMMYFUNCTION("""COMPUTED_VALUE"""),45230.66666666667)</f>
        <v>45230.66667</v>
      </c>
      <c r="B777" s="1">
        <f>IFERROR(__xludf.DUMMYFUNCTION("""COMPUTED_VALUE"""),7.3)</f>
        <v>7.3</v>
      </c>
    </row>
    <row r="778">
      <c r="A778" s="2">
        <f>IFERROR(__xludf.DUMMYFUNCTION("""COMPUTED_VALUE"""),45231.66666666667)</f>
        <v>45231.66667</v>
      </c>
      <c r="B778" s="1">
        <f>IFERROR(__xludf.DUMMYFUNCTION("""COMPUTED_VALUE"""),7.45)</f>
        <v>7.45</v>
      </c>
    </row>
    <row r="779">
      <c r="A779" s="2">
        <f>IFERROR(__xludf.DUMMYFUNCTION("""COMPUTED_VALUE"""),45232.66666666667)</f>
        <v>45232.66667</v>
      </c>
      <c r="B779" s="1">
        <f>IFERROR(__xludf.DUMMYFUNCTION("""COMPUTED_VALUE"""),7.79)</f>
        <v>7.79</v>
      </c>
    </row>
    <row r="780">
      <c r="A780" s="2">
        <f>IFERROR(__xludf.DUMMYFUNCTION("""COMPUTED_VALUE"""),45233.66666666667)</f>
        <v>45233.66667</v>
      </c>
      <c r="B780" s="1">
        <f>IFERROR(__xludf.DUMMYFUNCTION("""COMPUTED_VALUE"""),8.23)</f>
        <v>8.23</v>
      </c>
    </row>
    <row r="781">
      <c r="A781" s="2">
        <f>IFERROR(__xludf.DUMMYFUNCTION("""COMPUTED_VALUE"""),45236.66666666667)</f>
        <v>45236.66667</v>
      </c>
      <c r="B781" s="1">
        <f>IFERROR(__xludf.DUMMYFUNCTION("""COMPUTED_VALUE"""),7.97)</f>
        <v>7.97</v>
      </c>
    </row>
    <row r="782">
      <c r="A782" s="2">
        <f>IFERROR(__xludf.DUMMYFUNCTION("""COMPUTED_VALUE"""),45237.66666666667)</f>
        <v>45237.66667</v>
      </c>
      <c r="B782" s="1">
        <f>IFERROR(__xludf.DUMMYFUNCTION("""COMPUTED_VALUE"""),7.89)</f>
        <v>7.89</v>
      </c>
    </row>
    <row r="783">
      <c r="A783" s="2">
        <f>IFERROR(__xludf.DUMMYFUNCTION("""COMPUTED_VALUE"""),45238.66666666667)</f>
        <v>45238.66667</v>
      </c>
      <c r="B783" s="1">
        <f>IFERROR(__xludf.DUMMYFUNCTION("""COMPUTED_VALUE"""),7.92)</f>
        <v>7.92</v>
      </c>
    </row>
    <row r="784">
      <c r="A784" s="2">
        <f>IFERROR(__xludf.DUMMYFUNCTION("""COMPUTED_VALUE"""),45239.66666666667)</f>
        <v>45239.66667</v>
      </c>
      <c r="B784" s="1">
        <f>IFERROR(__xludf.DUMMYFUNCTION("""COMPUTED_VALUE"""),7.47)</f>
        <v>7.47</v>
      </c>
    </row>
    <row r="785">
      <c r="A785" s="2">
        <f>IFERROR(__xludf.DUMMYFUNCTION("""COMPUTED_VALUE"""),45240.66666666667)</f>
        <v>45240.66667</v>
      </c>
      <c r="B785" s="1">
        <f>IFERROR(__xludf.DUMMYFUNCTION("""COMPUTED_VALUE"""),7.24)</f>
        <v>7.24</v>
      </c>
    </row>
    <row r="786">
      <c r="A786" s="2">
        <f>IFERROR(__xludf.DUMMYFUNCTION("""COMPUTED_VALUE"""),45243.66666666667)</f>
        <v>45243.66667</v>
      </c>
      <c r="B786" s="1">
        <f>IFERROR(__xludf.DUMMYFUNCTION("""COMPUTED_VALUE"""),7.22)</f>
        <v>7.22</v>
      </c>
    </row>
    <row r="787">
      <c r="A787" s="2">
        <f>IFERROR(__xludf.DUMMYFUNCTION("""COMPUTED_VALUE"""),45244.66666666667)</f>
        <v>45244.66667</v>
      </c>
      <c r="B787" s="1">
        <f>IFERROR(__xludf.DUMMYFUNCTION("""COMPUTED_VALUE"""),7.58)</f>
        <v>7.58</v>
      </c>
    </row>
    <row r="788">
      <c r="A788" s="2">
        <f>IFERROR(__xludf.DUMMYFUNCTION("""COMPUTED_VALUE"""),45245.66666666667)</f>
        <v>45245.66667</v>
      </c>
      <c r="B788" s="1">
        <f>IFERROR(__xludf.DUMMYFUNCTION("""COMPUTED_VALUE"""),7.94)</f>
        <v>7.94</v>
      </c>
    </row>
    <row r="789">
      <c r="A789" s="2">
        <f>IFERROR(__xludf.DUMMYFUNCTION("""COMPUTED_VALUE"""),45246.66666666667)</f>
        <v>45246.66667</v>
      </c>
      <c r="B789" s="1">
        <f>IFERROR(__xludf.DUMMYFUNCTION("""COMPUTED_VALUE"""),7.4)</f>
        <v>7.4</v>
      </c>
    </row>
    <row r="790">
      <c r="A790" s="2">
        <f>IFERROR(__xludf.DUMMYFUNCTION("""COMPUTED_VALUE"""),45247.66666666667)</f>
        <v>45247.66667</v>
      </c>
      <c r="B790" s="1">
        <f>IFERROR(__xludf.DUMMYFUNCTION("""COMPUTED_VALUE"""),7.39)</f>
        <v>7.39</v>
      </c>
    </row>
    <row r="791">
      <c r="A791" s="2">
        <f>IFERROR(__xludf.DUMMYFUNCTION("""COMPUTED_VALUE"""),45250.66666666667)</f>
        <v>45250.66667</v>
      </c>
      <c r="B791" s="1">
        <f>IFERROR(__xludf.DUMMYFUNCTION("""COMPUTED_VALUE"""),7.8)</f>
        <v>7.8</v>
      </c>
    </row>
    <row r="792">
      <c r="A792" s="2">
        <f>IFERROR(__xludf.DUMMYFUNCTION("""COMPUTED_VALUE"""),45251.66666666667)</f>
        <v>45251.66667</v>
      </c>
      <c r="B792" s="1">
        <f>IFERROR(__xludf.DUMMYFUNCTION("""COMPUTED_VALUE"""),7.51)</f>
        <v>7.51</v>
      </c>
    </row>
    <row r="793">
      <c r="A793" s="2">
        <f>IFERROR(__xludf.DUMMYFUNCTION("""COMPUTED_VALUE"""),45252.66666666667)</f>
        <v>45252.66667</v>
      </c>
      <c r="B793" s="1">
        <f>IFERROR(__xludf.DUMMYFUNCTION("""COMPUTED_VALUE"""),7.47)</f>
        <v>7.47</v>
      </c>
    </row>
    <row r="794">
      <c r="A794" s="2">
        <f>IFERROR(__xludf.DUMMYFUNCTION("""COMPUTED_VALUE"""),45254.54166666667)</f>
        <v>45254.54167</v>
      </c>
      <c r="B794" s="1">
        <f>IFERROR(__xludf.DUMMYFUNCTION("""COMPUTED_VALUE"""),7.4)</f>
        <v>7.4</v>
      </c>
    </row>
    <row r="795">
      <c r="A795" s="2">
        <f>IFERROR(__xludf.DUMMYFUNCTION("""COMPUTED_VALUE"""),45257.66666666667)</f>
        <v>45257.66667</v>
      </c>
      <c r="B795" s="1">
        <f>IFERROR(__xludf.DUMMYFUNCTION("""COMPUTED_VALUE"""),7.19)</f>
        <v>7.19</v>
      </c>
    </row>
    <row r="796">
      <c r="A796" s="2">
        <f>IFERROR(__xludf.DUMMYFUNCTION("""COMPUTED_VALUE"""),45258.66666666667)</f>
        <v>45258.66667</v>
      </c>
      <c r="B796" s="1">
        <f>IFERROR(__xludf.DUMMYFUNCTION("""COMPUTED_VALUE"""),7.21)</f>
        <v>7.21</v>
      </c>
    </row>
    <row r="797">
      <c r="A797" s="2">
        <f>IFERROR(__xludf.DUMMYFUNCTION("""COMPUTED_VALUE"""),45259.66666666667)</f>
        <v>45259.66667</v>
      </c>
      <c r="B797" s="1">
        <f>IFERROR(__xludf.DUMMYFUNCTION("""COMPUTED_VALUE"""),7.18)</f>
        <v>7.18</v>
      </c>
    </row>
    <row r="798">
      <c r="A798" s="2">
        <f>IFERROR(__xludf.DUMMYFUNCTION("""COMPUTED_VALUE"""),45260.66666666667)</f>
        <v>45260.66667</v>
      </c>
      <c r="B798" s="1">
        <f>IFERROR(__xludf.DUMMYFUNCTION("""COMPUTED_VALUE"""),7.27)</f>
        <v>7.27</v>
      </c>
    </row>
    <row r="799">
      <c r="A799" s="2">
        <f>IFERROR(__xludf.DUMMYFUNCTION("""COMPUTED_VALUE"""),45261.66666666667)</f>
        <v>45261.66667</v>
      </c>
      <c r="B799" s="1">
        <f>IFERROR(__xludf.DUMMYFUNCTION("""COMPUTED_VALUE"""),7.15)</f>
        <v>7.15</v>
      </c>
    </row>
    <row r="800">
      <c r="A800" s="2">
        <f>IFERROR(__xludf.DUMMYFUNCTION("""COMPUTED_VALUE"""),45264.66666666667)</f>
        <v>45264.66667</v>
      </c>
      <c r="B800" s="1">
        <f>IFERROR(__xludf.DUMMYFUNCTION("""COMPUTED_VALUE"""),7.32)</f>
        <v>7.32</v>
      </c>
    </row>
    <row r="801">
      <c r="A801" s="2">
        <f>IFERROR(__xludf.DUMMYFUNCTION("""COMPUTED_VALUE"""),45265.66666666667)</f>
        <v>45265.66667</v>
      </c>
      <c r="B801" s="1">
        <f>IFERROR(__xludf.DUMMYFUNCTION("""COMPUTED_VALUE"""),7.43)</f>
        <v>7.43</v>
      </c>
    </row>
    <row r="802">
      <c r="A802" s="2">
        <f>IFERROR(__xludf.DUMMYFUNCTION("""COMPUTED_VALUE"""),45266.66666666667)</f>
        <v>45266.66667</v>
      </c>
      <c r="B802" s="1">
        <f>IFERROR(__xludf.DUMMYFUNCTION("""COMPUTED_VALUE"""),7.75)</f>
        <v>7.75</v>
      </c>
    </row>
    <row r="803">
      <c r="A803" s="2">
        <f>IFERROR(__xludf.DUMMYFUNCTION("""COMPUTED_VALUE"""),45267.66666666667)</f>
        <v>45267.66667</v>
      </c>
      <c r="B803" s="1">
        <f>IFERROR(__xludf.DUMMYFUNCTION("""COMPUTED_VALUE"""),7.49)</f>
        <v>7.49</v>
      </c>
    </row>
    <row r="804">
      <c r="A804" s="2">
        <f>IFERROR(__xludf.DUMMYFUNCTION("""COMPUTED_VALUE"""),45268.66666666667)</f>
        <v>45268.66667</v>
      </c>
      <c r="B804" s="1">
        <f>IFERROR(__xludf.DUMMYFUNCTION("""COMPUTED_VALUE"""),7.38)</f>
        <v>7.38</v>
      </c>
    </row>
    <row r="805">
      <c r="A805" s="2">
        <f>IFERROR(__xludf.DUMMYFUNCTION("""COMPUTED_VALUE"""),45271.66666666667)</f>
        <v>45271.66667</v>
      </c>
      <c r="B805" s="1">
        <f>IFERROR(__xludf.DUMMYFUNCTION("""COMPUTED_VALUE"""),7.68)</f>
        <v>7.68</v>
      </c>
    </row>
    <row r="806">
      <c r="A806" s="2">
        <f>IFERROR(__xludf.DUMMYFUNCTION("""COMPUTED_VALUE"""),45272.66666666667)</f>
        <v>45272.66667</v>
      </c>
      <c r="B806" s="1">
        <f>IFERROR(__xludf.DUMMYFUNCTION("""COMPUTED_VALUE"""),7.27)</f>
        <v>7.27</v>
      </c>
    </row>
    <row r="807">
      <c r="A807" s="2">
        <f>IFERROR(__xludf.DUMMYFUNCTION("""COMPUTED_VALUE"""),45273.66666666667)</f>
        <v>45273.66667</v>
      </c>
      <c r="B807" s="1">
        <f>IFERROR(__xludf.DUMMYFUNCTION("""COMPUTED_VALUE"""),7.43)</f>
        <v>7.43</v>
      </c>
    </row>
    <row r="808">
      <c r="A808" s="2">
        <f>IFERROR(__xludf.DUMMYFUNCTION("""COMPUTED_VALUE"""),45274.66666666667)</f>
        <v>45274.66667</v>
      </c>
      <c r="B808" s="1">
        <f>IFERROR(__xludf.DUMMYFUNCTION("""COMPUTED_VALUE"""),7.86)</f>
        <v>7.86</v>
      </c>
    </row>
    <row r="809">
      <c r="A809" s="2">
        <f>IFERROR(__xludf.DUMMYFUNCTION("""COMPUTED_VALUE"""),45275.66666666667)</f>
        <v>45275.66667</v>
      </c>
      <c r="B809" s="1">
        <f>IFERROR(__xludf.DUMMYFUNCTION("""COMPUTED_VALUE"""),7.98)</f>
        <v>7.98</v>
      </c>
    </row>
    <row r="810">
      <c r="A810" s="2">
        <f>IFERROR(__xludf.DUMMYFUNCTION("""COMPUTED_VALUE"""),45278.66666666667)</f>
        <v>45278.66667</v>
      </c>
      <c r="B810" s="1">
        <f>IFERROR(__xludf.DUMMYFUNCTION("""COMPUTED_VALUE"""),8.35)</f>
        <v>8.35</v>
      </c>
    </row>
    <row r="811">
      <c r="A811" s="2">
        <f>IFERROR(__xludf.DUMMYFUNCTION("""COMPUTED_VALUE"""),45279.66666666667)</f>
        <v>45279.66667</v>
      </c>
      <c r="B811" s="1">
        <f>IFERROR(__xludf.DUMMYFUNCTION("""COMPUTED_VALUE"""),8.82)</f>
        <v>8.82</v>
      </c>
    </row>
    <row r="812">
      <c r="A812" s="2">
        <f>IFERROR(__xludf.DUMMYFUNCTION("""COMPUTED_VALUE"""),45280.66666666667)</f>
        <v>45280.66667</v>
      </c>
      <c r="B812" s="1">
        <f>IFERROR(__xludf.DUMMYFUNCTION("""COMPUTED_VALUE"""),7.92)</f>
        <v>7.92</v>
      </c>
    </row>
    <row r="813">
      <c r="A813" s="2">
        <f>IFERROR(__xludf.DUMMYFUNCTION("""COMPUTED_VALUE"""),45281.66666666667)</f>
        <v>45281.66667</v>
      </c>
      <c r="B813" s="1">
        <f>IFERROR(__xludf.DUMMYFUNCTION("""COMPUTED_VALUE"""),8.29)</f>
        <v>8.29</v>
      </c>
    </row>
    <row r="814">
      <c r="A814" s="2">
        <f>IFERROR(__xludf.DUMMYFUNCTION("""COMPUTED_VALUE"""),45282.66666666667)</f>
        <v>45282.66667</v>
      </c>
      <c r="B814" s="1">
        <f>IFERROR(__xludf.DUMMYFUNCTION("""COMPUTED_VALUE"""),8.42)</f>
        <v>8.42</v>
      </c>
    </row>
    <row r="815">
      <c r="A815" s="2">
        <f>IFERROR(__xludf.DUMMYFUNCTION("""COMPUTED_VALUE"""),45286.66666666667)</f>
        <v>45286.66667</v>
      </c>
      <c r="B815" s="1">
        <f>IFERROR(__xludf.DUMMYFUNCTION("""COMPUTED_VALUE"""),9.33)</f>
        <v>9.33</v>
      </c>
    </row>
    <row r="816">
      <c r="A816" s="2">
        <f>IFERROR(__xludf.DUMMYFUNCTION("""COMPUTED_VALUE"""),45287.66666666667)</f>
        <v>45287.66667</v>
      </c>
      <c r="B816" s="1">
        <f>IFERROR(__xludf.DUMMYFUNCTION("""COMPUTED_VALUE"""),9.1)</f>
        <v>9.1</v>
      </c>
    </row>
    <row r="817">
      <c r="A817" s="2">
        <f>IFERROR(__xludf.DUMMYFUNCTION("""COMPUTED_VALUE"""),45288.66666666667)</f>
        <v>45288.66667</v>
      </c>
      <c r="B817" s="1">
        <f>IFERROR(__xludf.DUMMYFUNCTION("""COMPUTED_VALUE"""),9.43)</f>
        <v>9.43</v>
      </c>
    </row>
    <row r="818">
      <c r="A818" s="2">
        <f>IFERROR(__xludf.DUMMYFUNCTION("""COMPUTED_VALUE"""),45289.66666666667)</f>
        <v>45289.66667</v>
      </c>
      <c r="B818" s="1">
        <f>IFERROR(__xludf.DUMMYFUNCTION("""COMPUTED_VALUE"""),9.07)</f>
        <v>9.07</v>
      </c>
    </row>
    <row r="819">
      <c r="A819" s="2">
        <f>IFERROR(__xludf.DUMMYFUNCTION("""COMPUTED_VALUE"""),45293.66666666667)</f>
        <v>45293.66667</v>
      </c>
      <c r="B819" s="1">
        <f>IFERROR(__xludf.DUMMYFUNCTION("""COMPUTED_VALUE"""),8.42)</f>
        <v>8.42</v>
      </c>
    </row>
    <row r="820">
      <c r="A820" s="2">
        <f>IFERROR(__xludf.DUMMYFUNCTION("""COMPUTED_VALUE"""),45294.66666666667)</f>
        <v>45294.66667</v>
      </c>
      <c r="B820" s="1">
        <f>IFERROR(__xludf.DUMMYFUNCTION("""COMPUTED_VALUE"""),8.5)</f>
        <v>8.5</v>
      </c>
    </row>
    <row r="821">
      <c r="A821" s="2">
        <f>IFERROR(__xludf.DUMMYFUNCTION("""COMPUTED_VALUE"""),45295.66666666667)</f>
        <v>45295.66667</v>
      </c>
      <c r="B821" s="1">
        <f>IFERROR(__xludf.DUMMYFUNCTION("""COMPUTED_VALUE"""),8.27)</f>
        <v>8.27</v>
      </c>
    </row>
    <row r="822">
      <c r="A822" s="2">
        <f>IFERROR(__xludf.DUMMYFUNCTION("""COMPUTED_VALUE"""),45296.66666666667)</f>
        <v>45296.66667</v>
      </c>
      <c r="B822" s="1">
        <f>IFERROR(__xludf.DUMMYFUNCTION("""COMPUTED_VALUE"""),8.06)</f>
        <v>8.06</v>
      </c>
    </row>
    <row r="823">
      <c r="A823" s="2">
        <f>IFERROR(__xludf.DUMMYFUNCTION("""COMPUTED_VALUE"""),45299.66666666667)</f>
        <v>45299.66667</v>
      </c>
      <c r="B823" s="1">
        <f>IFERROR(__xludf.DUMMYFUNCTION("""COMPUTED_VALUE"""),7.93)</f>
        <v>7.93</v>
      </c>
    </row>
    <row r="824">
      <c r="A824" s="2">
        <f>IFERROR(__xludf.DUMMYFUNCTION("""COMPUTED_VALUE"""),45300.66666666667)</f>
        <v>45300.66667</v>
      </c>
      <c r="B824" s="1">
        <f>IFERROR(__xludf.DUMMYFUNCTION("""COMPUTED_VALUE"""),7.56)</f>
        <v>7.56</v>
      </c>
    </row>
    <row r="825">
      <c r="A825" s="2">
        <f>IFERROR(__xludf.DUMMYFUNCTION("""COMPUTED_VALUE"""),45301.66666666667)</f>
        <v>45301.66667</v>
      </c>
      <c r="B825" s="1">
        <f>IFERROR(__xludf.DUMMYFUNCTION("""COMPUTED_VALUE"""),7.41)</f>
        <v>7.41</v>
      </c>
    </row>
    <row r="826">
      <c r="A826" s="2">
        <f>IFERROR(__xludf.DUMMYFUNCTION("""COMPUTED_VALUE"""),45302.66666666667)</f>
        <v>45302.66667</v>
      </c>
      <c r="B826" s="1">
        <f>IFERROR(__xludf.DUMMYFUNCTION("""COMPUTED_VALUE"""),7.4)</f>
        <v>7.4</v>
      </c>
    </row>
    <row r="827">
      <c r="A827" s="2">
        <f>IFERROR(__xludf.DUMMYFUNCTION("""COMPUTED_VALUE"""),45303.66666666667)</f>
        <v>45303.66667</v>
      </c>
      <c r="B827" s="1">
        <f>IFERROR(__xludf.DUMMYFUNCTION("""COMPUTED_VALUE"""),7.17)</f>
        <v>7.17</v>
      </c>
    </row>
    <row r="828">
      <c r="A828" s="2">
        <f>IFERROR(__xludf.DUMMYFUNCTION("""COMPUTED_VALUE"""),45307.66666666667)</f>
        <v>45307.66667</v>
      </c>
      <c r="B828" s="1">
        <f>IFERROR(__xludf.DUMMYFUNCTION("""COMPUTED_VALUE"""),6.55)</f>
        <v>6.55</v>
      </c>
    </row>
    <row r="829">
      <c r="A829" s="2">
        <f>IFERROR(__xludf.DUMMYFUNCTION("""COMPUTED_VALUE"""),45308.66666666667)</f>
        <v>45308.66667</v>
      </c>
      <c r="B829" s="1">
        <f>IFERROR(__xludf.DUMMYFUNCTION("""COMPUTED_VALUE"""),6.3)</f>
        <v>6.3</v>
      </c>
    </row>
    <row r="830">
      <c r="A830" s="2">
        <f>IFERROR(__xludf.DUMMYFUNCTION("""COMPUTED_VALUE"""),45309.66666666667)</f>
        <v>45309.66667</v>
      </c>
      <c r="B830" s="1">
        <f>IFERROR(__xludf.DUMMYFUNCTION("""COMPUTED_VALUE"""),6.28)</f>
        <v>6.28</v>
      </c>
    </row>
    <row r="831">
      <c r="A831" s="2">
        <f>IFERROR(__xludf.DUMMYFUNCTION("""COMPUTED_VALUE"""),45310.66666666667)</f>
        <v>45310.66667</v>
      </c>
      <c r="B831" s="1">
        <f>IFERROR(__xludf.DUMMYFUNCTION("""COMPUTED_VALUE"""),6.06)</f>
        <v>6.06</v>
      </c>
    </row>
    <row r="832">
      <c r="A832" s="2">
        <f>IFERROR(__xludf.DUMMYFUNCTION("""COMPUTED_VALUE"""),45313.66666666667)</f>
        <v>45313.66667</v>
      </c>
      <c r="B832" s="1">
        <f>IFERROR(__xludf.DUMMYFUNCTION("""COMPUTED_VALUE"""),5.98)</f>
        <v>5.98</v>
      </c>
    </row>
    <row r="833">
      <c r="A833" s="2">
        <f>IFERROR(__xludf.DUMMYFUNCTION("""COMPUTED_VALUE"""),45314.66666666667)</f>
        <v>45314.66667</v>
      </c>
      <c r="B833" s="1">
        <f>IFERROR(__xludf.DUMMYFUNCTION("""COMPUTED_VALUE"""),6.21)</f>
        <v>6.21</v>
      </c>
    </row>
    <row r="834">
      <c r="A834" s="2">
        <f>IFERROR(__xludf.DUMMYFUNCTION("""COMPUTED_VALUE"""),45315.66666666667)</f>
        <v>45315.66667</v>
      </c>
      <c r="B834" s="1">
        <f>IFERROR(__xludf.DUMMYFUNCTION("""COMPUTED_VALUE"""),6.07)</f>
        <v>6.07</v>
      </c>
    </row>
    <row r="835">
      <c r="A835" s="2">
        <f>IFERROR(__xludf.DUMMYFUNCTION("""COMPUTED_VALUE"""),45316.66666666667)</f>
        <v>45316.66667</v>
      </c>
      <c r="B835" s="1">
        <f>IFERROR(__xludf.DUMMYFUNCTION("""COMPUTED_VALUE"""),6.04)</f>
        <v>6.04</v>
      </c>
    </row>
    <row r="836">
      <c r="A836" s="2">
        <f>IFERROR(__xludf.DUMMYFUNCTION("""COMPUTED_VALUE"""),45317.66666666667)</f>
        <v>45317.66667</v>
      </c>
      <c r="B836" s="1">
        <f>IFERROR(__xludf.DUMMYFUNCTION("""COMPUTED_VALUE"""),6.14)</f>
        <v>6.14</v>
      </c>
    </row>
    <row r="837">
      <c r="A837" s="2">
        <f>IFERROR(__xludf.DUMMYFUNCTION("""COMPUTED_VALUE"""),45320.66666666667)</f>
        <v>45320.66667</v>
      </c>
      <c r="B837" s="1">
        <f>IFERROR(__xludf.DUMMYFUNCTION("""COMPUTED_VALUE"""),6.14)</f>
        <v>6.14</v>
      </c>
    </row>
    <row r="838">
      <c r="A838" s="2">
        <f>IFERROR(__xludf.DUMMYFUNCTION("""COMPUTED_VALUE"""),45321.66666666667)</f>
        <v>45321.66667</v>
      </c>
      <c r="B838" s="1">
        <f>IFERROR(__xludf.DUMMYFUNCTION("""COMPUTED_VALUE"""),5.79)</f>
        <v>5.79</v>
      </c>
    </row>
    <row r="839">
      <c r="A839" s="2">
        <f>IFERROR(__xludf.DUMMYFUNCTION("""COMPUTED_VALUE"""),45322.66666666667)</f>
        <v>45322.66667</v>
      </c>
      <c r="B839" s="1">
        <f>IFERROR(__xludf.DUMMYFUNCTION("""COMPUTED_VALUE"""),5.62)</f>
        <v>5.62</v>
      </c>
    </row>
    <row r="840">
      <c r="A840" s="2">
        <f>IFERROR(__xludf.DUMMYFUNCTION("""COMPUTED_VALUE"""),45323.66666666667)</f>
        <v>45323.66667</v>
      </c>
      <c r="B840" s="1">
        <f>IFERROR(__xludf.DUMMYFUNCTION("""COMPUTED_VALUE"""),5.71)</f>
        <v>5.71</v>
      </c>
    </row>
    <row r="841">
      <c r="A841" s="2">
        <f>IFERROR(__xludf.DUMMYFUNCTION("""COMPUTED_VALUE"""),45324.66666666667)</f>
        <v>45324.66667</v>
      </c>
      <c r="B841" s="1">
        <f>IFERROR(__xludf.DUMMYFUNCTION("""COMPUTED_VALUE"""),5.54)</f>
        <v>5.54</v>
      </c>
    </row>
    <row r="842">
      <c r="A842" s="2">
        <f>IFERROR(__xludf.DUMMYFUNCTION("""COMPUTED_VALUE"""),45327.66666666667)</f>
        <v>45327.66667</v>
      </c>
      <c r="B842" s="1">
        <f>IFERROR(__xludf.DUMMYFUNCTION("""COMPUTED_VALUE"""),5.38)</f>
        <v>5.38</v>
      </c>
    </row>
    <row r="843">
      <c r="A843" s="2">
        <f>IFERROR(__xludf.DUMMYFUNCTION("""COMPUTED_VALUE"""),45328.66666666667)</f>
        <v>45328.66667</v>
      </c>
      <c r="B843" s="1">
        <f>IFERROR(__xludf.DUMMYFUNCTION("""COMPUTED_VALUE"""),6.03)</f>
        <v>6.03</v>
      </c>
    </row>
    <row r="844">
      <c r="A844" s="2">
        <f>IFERROR(__xludf.DUMMYFUNCTION("""COMPUTED_VALUE"""),45329.66666666667)</f>
        <v>45329.66667</v>
      </c>
      <c r="B844" s="1">
        <f>IFERROR(__xludf.DUMMYFUNCTION("""COMPUTED_VALUE"""),5.86)</f>
        <v>5.86</v>
      </c>
    </row>
    <row r="845">
      <c r="A845" s="2">
        <f>IFERROR(__xludf.DUMMYFUNCTION("""COMPUTED_VALUE"""),45330.66666666667)</f>
        <v>45330.66667</v>
      </c>
      <c r="B845" s="1">
        <f>IFERROR(__xludf.DUMMYFUNCTION("""COMPUTED_VALUE"""),5.82)</f>
        <v>5.82</v>
      </c>
    </row>
    <row r="846">
      <c r="A846" s="2">
        <f>IFERROR(__xludf.DUMMYFUNCTION("""COMPUTED_VALUE"""),45331.66666666667)</f>
        <v>45331.66667</v>
      </c>
      <c r="B846" s="1">
        <f>IFERROR(__xludf.DUMMYFUNCTION("""COMPUTED_VALUE"""),5.93)</f>
        <v>5.93</v>
      </c>
    </row>
    <row r="847">
      <c r="A847" s="2">
        <f>IFERROR(__xludf.DUMMYFUNCTION("""COMPUTED_VALUE"""),45334.66666666667)</f>
        <v>45334.66667</v>
      </c>
      <c r="B847" s="1">
        <f>IFERROR(__xludf.DUMMYFUNCTION("""COMPUTED_VALUE"""),6.08)</f>
        <v>6.08</v>
      </c>
    </row>
    <row r="848">
      <c r="A848" s="2">
        <f>IFERROR(__xludf.DUMMYFUNCTION("""COMPUTED_VALUE"""),45335.66666666667)</f>
        <v>45335.66667</v>
      </c>
      <c r="B848" s="1">
        <f>IFERROR(__xludf.DUMMYFUNCTION("""COMPUTED_VALUE"""),5.7)</f>
        <v>5.7</v>
      </c>
    </row>
    <row r="849">
      <c r="A849" s="2">
        <f>IFERROR(__xludf.DUMMYFUNCTION("""COMPUTED_VALUE"""),45336.66666666667)</f>
        <v>45336.66667</v>
      </c>
      <c r="B849" s="1">
        <f>IFERROR(__xludf.DUMMYFUNCTION("""COMPUTED_VALUE"""),6.0)</f>
        <v>6</v>
      </c>
    </row>
    <row r="850">
      <c r="A850" s="2">
        <f>IFERROR(__xludf.DUMMYFUNCTION("""COMPUTED_VALUE"""),45337.66666666667)</f>
        <v>45337.66667</v>
      </c>
      <c r="B850" s="1">
        <f>IFERROR(__xludf.DUMMYFUNCTION("""COMPUTED_VALUE"""),6.09)</f>
        <v>6.09</v>
      </c>
    </row>
    <row r="851">
      <c r="A851" s="2">
        <f>IFERROR(__xludf.DUMMYFUNCTION("""COMPUTED_VALUE"""),45338.66666666667)</f>
        <v>45338.66667</v>
      </c>
      <c r="B851" s="1">
        <f>IFERROR(__xludf.DUMMYFUNCTION("""COMPUTED_VALUE"""),6.14)</f>
        <v>6.14</v>
      </c>
    </row>
    <row r="852">
      <c r="A852" s="2">
        <f>IFERROR(__xludf.DUMMYFUNCTION("""COMPUTED_VALUE"""),45342.66666666667)</f>
        <v>45342.66667</v>
      </c>
      <c r="B852" s="1">
        <f>IFERROR(__xludf.DUMMYFUNCTION("""COMPUTED_VALUE"""),5.96)</f>
        <v>5.96</v>
      </c>
    </row>
    <row r="853">
      <c r="A853" s="2">
        <f>IFERROR(__xludf.DUMMYFUNCTION("""COMPUTED_VALUE"""),45343.66666666667)</f>
        <v>45343.66667</v>
      </c>
      <c r="B853" s="1">
        <f>IFERROR(__xludf.DUMMYFUNCTION("""COMPUTED_VALUE"""),5.97)</f>
        <v>5.97</v>
      </c>
    </row>
    <row r="854">
      <c r="A854" s="2">
        <f>IFERROR(__xludf.DUMMYFUNCTION("""COMPUTED_VALUE"""),45344.66666666667)</f>
        <v>45344.66667</v>
      </c>
      <c r="B854" s="1">
        <f>IFERROR(__xludf.DUMMYFUNCTION("""COMPUTED_VALUE"""),5.85)</f>
        <v>5.85</v>
      </c>
    </row>
    <row r="855">
      <c r="A855" s="2">
        <f>IFERROR(__xludf.DUMMYFUNCTION("""COMPUTED_VALUE"""),45345.66666666667)</f>
        <v>45345.66667</v>
      </c>
      <c r="B855" s="1">
        <f>IFERROR(__xludf.DUMMYFUNCTION("""COMPUTED_VALUE"""),5.4)</f>
        <v>5.4</v>
      </c>
    </row>
    <row r="856">
      <c r="A856" s="2">
        <f>IFERROR(__xludf.DUMMYFUNCTION("""COMPUTED_VALUE"""),45348.66666666667)</f>
        <v>45348.66667</v>
      </c>
      <c r="B856" s="1">
        <f>IFERROR(__xludf.DUMMYFUNCTION("""COMPUTED_VALUE"""),5.65)</f>
        <v>5.65</v>
      </c>
    </row>
    <row r="857">
      <c r="A857" s="2">
        <f>IFERROR(__xludf.DUMMYFUNCTION("""COMPUTED_VALUE"""),45349.66666666667)</f>
        <v>45349.66667</v>
      </c>
      <c r="B857" s="1">
        <f>IFERROR(__xludf.DUMMYFUNCTION("""COMPUTED_VALUE"""),5.78)</f>
        <v>5.78</v>
      </c>
    </row>
    <row r="858">
      <c r="A858" s="2">
        <f>IFERROR(__xludf.DUMMYFUNCTION("""COMPUTED_VALUE"""),45350.66666666667)</f>
        <v>45350.66667</v>
      </c>
      <c r="B858" s="1">
        <f>IFERROR(__xludf.DUMMYFUNCTION("""COMPUTED_VALUE"""),5.43)</f>
        <v>5.43</v>
      </c>
    </row>
    <row r="859">
      <c r="A859" s="2">
        <f>IFERROR(__xludf.DUMMYFUNCTION("""COMPUTED_VALUE"""),45351.66666666667)</f>
        <v>45351.66667</v>
      </c>
      <c r="B859" s="1">
        <f>IFERROR(__xludf.DUMMYFUNCTION("""COMPUTED_VALUE"""),5.75)</f>
        <v>5.75</v>
      </c>
    </row>
    <row r="860">
      <c r="A860" s="2">
        <f>IFERROR(__xludf.DUMMYFUNCTION("""COMPUTED_VALUE"""),45352.66666666667)</f>
        <v>45352.66667</v>
      </c>
      <c r="B860" s="1">
        <f>IFERROR(__xludf.DUMMYFUNCTION("""COMPUTED_VALUE"""),5.78)</f>
        <v>5.78</v>
      </c>
    </row>
    <row r="861">
      <c r="A861" s="2">
        <f>IFERROR(__xludf.DUMMYFUNCTION("""COMPUTED_VALUE"""),45355.66666666667)</f>
        <v>45355.66667</v>
      </c>
      <c r="B861" s="1">
        <f>IFERROR(__xludf.DUMMYFUNCTION("""COMPUTED_VALUE"""),5.33)</f>
        <v>5.33</v>
      </c>
    </row>
    <row r="862">
      <c r="A862" s="2">
        <f>IFERROR(__xludf.DUMMYFUNCTION("""COMPUTED_VALUE"""),45356.66666666667)</f>
        <v>45356.66667</v>
      </c>
      <c r="B862" s="1">
        <f>IFERROR(__xludf.DUMMYFUNCTION("""COMPUTED_VALUE"""),5.48)</f>
        <v>5.48</v>
      </c>
    </row>
    <row r="863">
      <c r="A863" s="2">
        <f>IFERROR(__xludf.DUMMYFUNCTION("""COMPUTED_VALUE"""),45357.66666666667)</f>
        <v>45357.66667</v>
      </c>
      <c r="B863" s="1">
        <f>IFERROR(__xludf.DUMMYFUNCTION("""COMPUTED_VALUE"""),5.77)</f>
        <v>5.77</v>
      </c>
    </row>
    <row r="864">
      <c r="A864" s="2">
        <f>IFERROR(__xludf.DUMMYFUNCTION("""COMPUTED_VALUE"""),45358.66666666667)</f>
        <v>45358.66667</v>
      </c>
      <c r="B864" s="1">
        <f>IFERROR(__xludf.DUMMYFUNCTION("""COMPUTED_VALUE"""),5.77)</f>
        <v>5.77</v>
      </c>
    </row>
    <row r="865">
      <c r="A865" s="2">
        <f>IFERROR(__xludf.DUMMYFUNCTION("""COMPUTED_VALUE"""),45359.66666666667)</f>
        <v>45359.66667</v>
      </c>
      <c r="B865" s="1">
        <f>IFERROR(__xludf.DUMMYFUNCTION("""COMPUTED_VALUE"""),5.8)</f>
        <v>5.8</v>
      </c>
    </row>
    <row r="866">
      <c r="A866" s="2">
        <f>IFERROR(__xludf.DUMMYFUNCTION("""COMPUTED_VALUE"""),45362.66666666667)</f>
        <v>45362.66667</v>
      </c>
      <c r="B866" s="1">
        <f>IFERROR(__xludf.DUMMYFUNCTION("""COMPUTED_VALUE"""),6.1)</f>
        <v>6.1</v>
      </c>
    </row>
    <row r="867">
      <c r="A867" s="2">
        <f>IFERROR(__xludf.DUMMYFUNCTION("""COMPUTED_VALUE"""),45363.66666666667)</f>
        <v>45363.66667</v>
      </c>
      <c r="B867" s="1">
        <f>IFERROR(__xludf.DUMMYFUNCTION("""COMPUTED_VALUE"""),6.19)</f>
        <v>6.19</v>
      </c>
    </row>
    <row r="868">
      <c r="A868" s="2">
        <f>IFERROR(__xludf.DUMMYFUNCTION("""COMPUTED_VALUE"""),45364.66666666667)</f>
        <v>45364.66667</v>
      </c>
      <c r="B868" s="1">
        <f>IFERROR(__xludf.DUMMYFUNCTION("""COMPUTED_VALUE"""),5.92)</f>
        <v>5.92</v>
      </c>
    </row>
    <row r="869">
      <c r="A869" s="2">
        <f>IFERROR(__xludf.DUMMYFUNCTION("""COMPUTED_VALUE"""),45365.66666666667)</f>
        <v>45365.66667</v>
      </c>
      <c r="B869" s="1">
        <f>IFERROR(__xludf.DUMMYFUNCTION("""COMPUTED_VALUE"""),5.58)</f>
        <v>5.58</v>
      </c>
    </row>
    <row r="870">
      <c r="A870" s="2">
        <f>IFERROR(__xludf.DUMMYFUNCTION("""COMPUTED_VALUE"""),45366.66666666667)</f>
        <v>45366.66667</v>
      </c>
      <c r="B870" s="1">
        <f>IFERROR(__xludf.DUMMYFUNCTION("""COMPUTED_VALUE"""),5.58)</f>
        <v>5.58</v>
      </c>
    </row>
    <row r="871">
      <c r="A871" s="2">
        <f>IFERROR(__xludf.DUMMYFUNCTION("""COMPUTED_VALUE"""),45369.66666666667)</f>
        <v>45369.66667</v>
      </c>
      <c r="B871" s="1">
        <f>IFERROR(__xludf.DUMMYFUNCTION("""COMPUTED_VALUE"""),5.54)</f>
        <v>5.54</v>
      </c>
    </row>
    <row r="872">
      <c r="A872" s="2">
        <f>IFERROR(__xludf.DUMMYFUNCTION("""COMPUTED_VALUE"""),45370.66666666667)</f>
        <v>45370.66667</v>
      </c>
      <c r="B872" s="1">
        <f>IFERROR(__xludf.DUMMYFUNCTION("""COMPUTED_VALUE"""),5.19)</f>
        <v>5.19</v>
      </c>
    </row>
    <row r="873">
      <c r="A873" s="2">
        <f>IFERROR(__xludf.DUMMYFUNCTION("""COMPUTED_VALUE"""),45371.66666666667)</f>
        <v>45371.66667</v>
      </c>
      <c r="B873" s="1">
        <f>IFERROR(__xludf.DUMMYFUNCTION("""COMPUTED_VALUE"""),5.1)</f>
        <v>5.1</v>
      </c>
    </row>
    <row r="874">
      <c r="A874" s="2">
        <f>IFERROR(__xludf.DUMMYFUNCTION("""COMPUTED_VALUE"""),45372.66666666667)</f>
        <v>45372.66667</v>
      </c>
      <c r="B874" s="1">
        <f>IFERROR(__xludf.DUMMYFUNCTION("""COMPUTED_VALUE"""),5.0)</f>
        <v>5</v>
      </c>
    </row>
    <row r="875">
      <c r="A875" s="2">
        <f>IFERROR(__xludf.DUMMYFUNCTION("""COMPUTED_VALUE"""),45373.66666666667)</f>
        <v>45373.66667</v>
      </c>
      <c r="B875" s="1">
        <f>IFERROR(__xludf.DUMMYFUNCTION("""COMPUTED_VALUE"""),4.89)</f>
        <v>4.89</v>
      </c>
    </row>
    <row r="876">
      <c r="A876" s="2">
        <f>IFERROR(__xludf.DUMMYFUNCTION("""COMPUTED_VALUE"""),45376.66666666667)</f>
        <v>45376.66667</v>
      </c>
      <c r="B876" s="1">
        <f>IFERROR(__xludf.DUMMYFUNCTION("""COMPUTED_VALUE"""),4.91)</f>
        <v>4.91</v>
      </c>
    </row>
    <row r="877">
      <c r="A877" s="2">
        <f>IFERROR(__xludf.DUMMYFUNCTION("""COMPUTED_VALUE"""),45377.66666666667)</f>
        <v>45377.66667</v>
      </c>
      <c r="B877" s="1">
        <f>IFERROR(__xludf.DUMMYFUNCTION("""COMPUTED_VALUE"""),4.78)</f>
        <v>4.78</v>
      </c>
    </row>
    <row r="878">
      <c r="A878" s="2">
        <f>IFERROR(__xludf.DUMMYFUNCTION("""COMPUTED_VALUE"""),45378.66666666667)</f>
        <v>45378.66667</v>
      </c>
      <c r="B878" s="1">
        <f>IFERROR(__xludf.DUMMYFUNCTION("""COMPUTED_VALUE"""),4.67)</f>
        <v>4.67</v>
      </c>
    </row>
    <row r="879">
      <c r="A879" s="2">
        <f>IFERROR(__xludf.DUMMYFUNCTION("""COMPUTED_VALUE"""),45379.66666666667)</f>
        <v>45379.66667</v>
      </c>
      <c r="B879" s="1">
        <f>IFERROR(__xludf.DUMMYFUNCTION("""COMPUTED_VALUE"""),4.5)</f>
        <v>4.5</v>
      </c>
    </row>
    <row r="880">
      <c r="A880" s="2">
        <f>IFERROR(__xludf.DUMMYFUNCTION("""COMPUTED_VALUE"""),45383.66666666667)</f>
        <v>45383.66667</v>
      </c>
      <c r="B880" s="1">
        <f>IFERROR(__xludf.DUMMYFUNCTION("""COMPUTED_VALUE"""),4.64)</f>
        <v>4.64</v>
      </c>
    </row>
    <row r="881">
      <c r="A881" s="2">
        <f>IFERROR(__xludf.DUMMYFUNCTION("""COMPUTED_VALUE"""),45384.66666666667)</f>
        <v>45384.66667</v>
      </c>
      <c r="B881" s="1">
        <f>IFERROR(__xludf.DUMMYFUNCTION("""COMPUTED_VALUE"""),4.54)</f>
        <v>4.54</v>
      </c>
    </row>
    <row r="882">
      <c r="A882" s="2">
        <f>IFERROR(__xludf.DUMMYFUNCTION("""COMPUTED_VALUE"""),45385.66666666667)</f>
        <v>45385.66667</v>
      </c>
      <c r="B882" s="1">
        <f>IFERROR(__xludf.DUMMYFUNCTION("""COMPUTED_VALUE"""),4.49)</f>
        <v>4.49</v>
      </c>
    </row>
    <row r="883">
      <c r="A883" s="2">
        <f>IFERROR(__xludf.DUMMYFUNCTION("""COMPUTED_VALUE"""),45386.66666666667)</f>
        <v>45386.66667</v>
      </c>
      <c r="B883" s="1">
        <f>IFERROR(__xludf.DUMMYFUNCTION("""COMPUTED_VALUE"""),4.5)</f>
        <v>4.5</v>
      </c>
    </row>
    <row r="884">
      <c r="A884" s="2">
        <f>IFERROR(__xludf.DUMMYFUNCTION("""COMPUTED_VALUE"""),45387.66666666667)</f>
        <v>45387.66667</v>
      </c>
      <c r="B884" s="1">
        <f>IFERROR(__xludf.DUMMYFUNCTION("""COMPUTED_VALUE"""),4.39)</f>
        <v>4.39</v>
      </c>
    </row>
    <row r="885">
      <c r="A885" s="2">
        <f>IFERROR(__xludf.DUMMYFUNCTION("""COMPUTED_VALUE"""),45390.66666666667)</f>
        <v>45390.66667</v>
      </c>
      <c r="B885" s="1">
        <f>IFERROR(__xludf.DUMMYFUNCTION("""COMPUTED_VALUE"""),4.37)</f>
        <v>4.37</v>
      </c>
    </row>
    <row r="886">
      <c r="A886" s="2">
        <f>IFERROR(__xludf.DUMMYFUNCTION("""COMPUTED_VALUE"""),45391.66666666667)</f>
        <v>45391.66667</v>
      </c>
      <c r="B886" s="1">
        <f>IFERROR(__xludf.DUMMYFUNCTION("""COMPUTED_VALUE"""),4.71)</f>
        <v>4.71</v>
      </c>
    </row>
    <row r="887">
      <c r="A887" s="2">
        <f>IFERROR(__xludf.DUMMYFUNCTION("""COMPUTED_VALUE"""),45392.66666666667)</f>
        <v>45392.66667</v>
      </c>
      <c r="B887" s="1">
        <f>IFERROR(__xludf.DUMMYFUNCTION("""COMPUTED_VALUE"""),4.59)</f>
        <v>4.59</v>
      </c>
    </row>
    <row r="888">
      <c r="A888" s="2">
        <f>IFERROR(__xludf.DUMMYFUNCTION("""COMPUTED_VALUE"""),45393.66666666667)</f>
        <v>45393.66667</v>
      </c>
      <c r="B888" s="1">
        <f>IFERROR(__xludf.DUMMYFUNCTION("""COMPUTED_VALUE"""),4.46)</f>
        <v>4.46</v>
      </c>
    </row>
    <row r="889">
      <c r="A889" s="2">
        <f>IFERROR(__xludf.DUMMYFUNCTION("""COMPUTED_VALUE"""),45394.66666666667)</f>
        <v>45394.66667</v>
      </c>
      <c r="B889" s="1">
        <f>IFERROR(__xludf.DUMMYFUNCTION("""COMPUTED_VALUE"""),4.11)</f>
        <v>4.11</v>
      </c>
    </row>
    <row r="890">
      <c r="A890" s="2">
        <f>IFERROR(__xludf.DUMMYFUNCTION("""COMPUTED_VALUE"""),45397.66666666667)</f>
        <v>45397.66667</v>
      </c>
      <c r="B890" s="1">
        <f>IFERROR(__xludf.DUMMYFUNCTION("""COMPUTED_VALUE"""),3.89)</f>
        <v>3.89</v>
      </c>
    </row>
    <row r="891">
      <c r="A891" s="2">
        <f>IFERROR(__xludf.DUMMYFUNCTION("""COMPUTED_VALUE"""),45398.66666666667)</f>
        <v>45398.66667</v>
      </c>
      <c r="B891" s="1">
        <f>IFERROR(__xludf.DUMMYFUNCTION("""COMPUTED_VALUE"""),3.81)</f>
        <v>3.81</v>
      </c>
    </row>
    <row r="892">
      <c r="A892" s="2">
        <f>IFERROR(__xludf.DUMMYFUNCTION("""COMPUTED_VALUE"""),45399.66666666667)</f>
        <v>45399.66667</v>
      </c>
      <c r="B892" s="1">
        <f>IFERROR(__xludf.DUMMYFUNCTION("""COMPUTED_VALUE"""),3.91)</f>
        <v>3.91</v>
      </c>
    </row>
    <row r="893">
      <c r="A893" s="2">
        <f>IFERROR(__xludf.DUMMYFUNCTION("""COMPUTED_VALUE"""),45400.66666666667)</f>
        <v>45400.66667</v>
      </c>
      <c r="B893" s="1">
        <f>IFERROR(__xludf.DUMMYFUNCTION("""COMPUTED_VALUE"""),4.0)</f>
        <v>4</v>
      </c>
    </row>
    <row r="894">
      <c r="A894" s="2">
        <f>IFERROR(__xludf.DUMMYFUNCTION("""COMPUTED_VALUE"""),45401.66666666667)</f>
        <v>45401.66667</v>
      </c>
      <c r="B894" s="1">
        <f>IFERROR(__xludf.DUMMYFUNCTION("""COMPUTED_VALUE"""),3.8)</f>
        <v>3.8</v>
      </c>
    </row>
    <row r="895">
      <c r="A895" s="2">
        <f>IFERROR(__xludf.DUMMYFUNCTION("""COMPUTED_VALUE"""),45404.66666666667)</f>
        <v>45404.66667</v>
      </c>
      <c r="B895" s="1">
        <f>IFERROR(__xludf.DUMMYFUNCTION("""COMPUTED_VALUE"""),4.0)</f>
        <v>4</v>
      </c>
    </row>
    <row r="896">
      <c r="A896" s="2">
        <f>IFERROR(__xludf.DUMMYFUNCTION("""COMPUTED_VALUE"""),45405.66666666667)</f>
        <v>45405.66667</v>
      </c>
      <c r="B896" s="1">
        <f>IFERROR(__xludf.DUMMYFUNCTION("""COMPUTED_VALUE"""),4.01)</f>
        <v>4.01</v>
      </c>
    </row>
    <row r="897">
      <c r="A897" s="2">
        <f>IFERROR(__xludf.DUMMYFUNCTION("""COMPUTED_VALUE"""),45406.66666666667)</f>
        <v>45406.66667</v>
      </c>
      <c r="B897" s="1">
        <f>IFERROR(__xludf.DUMMYFUNCTION("""COMPUTED_VALUE"""),4.15)</f>
        <v>4.15</v>
      </c>
    </row>
    <row r="898">
      <c r="A898" s="2">
        <f>IFERROR(__xludf.DUMMYFUNCTION("""COMPUTED_VALUE"""),45407.66666666667)</f>
        <v>45407.66667</v>
      </c>
      <c r="B898" s="1">
        <f>IFERROR(__xludf.DUMMYFUNCTION("""COMPUTED_VALUE"""),4.13)</f>
        <v>4.13</v>
      </c>
    </row>
    <row r="899">
      <c r="A899" s="2">
        <f>IFERROR(__xludf.DUMMYFUNCTION("""COMPUTED_VALUE"""),45408.66666666667)</f>
        <v>45408.66667</v>
      </c>
      <c r="B899" s="1">
        <f>IFERROR(__xludf.DUMMYFUNCTION("""COMPUTED_VALUE"""),4.49)</f>
        <v>4.49</v>
      </c>
    </row>
    <row r="900">
      <c r="A900" s="2">
        <f>IFERROR(__xludf.DUMMYFUNCTION("""COMPUTED_VALUE"""),45411.66666666667)</f>
        <v>45411.66667</v>
      </c>
      <c r="B900" s="1">
        <f>IFERROR(__xludf.DUMMYFUNCTION("""COMPUTED_VALUE"""),4.6)</f>
        <v>4.6</v>
      </c>
    </row>
    <row r="901">
      <c r="A901" s="2">
        <f>IFERROR(__xludf.DUMMYFUNCTION("""COMPUTED_VALUE"""),45412.66666666667)</f>
        <v>45412.66667</v>
      </c>
      <c r="B901" s="1">
        <f>IFERROR(__xludf.DUMMYFUNCTION("""COMPUTED_VALUE"""),4.72)</f>
        <v>4.72</v>
      </c>
    </row>
    <row r="902">
      <c r="A902" s="2">
        <f>IFERROR(__xludf.DUMMYFUNCTION("""COMPUTED_VALUE"""),45413.66666666667)</f>
        <v>45413.66667</v>
      </c>
      <c r="B902" s="1">
        <f>IFERROR(__xludf.DUMMYFUNCTION("""COMPUTED_VALUE"""),5.27)</f>
        <v>5.27</v>
      </c>
    </row>
    <row r="903">
      <c r="A903" s="2">
        <f>IFERROR(__xludf.DUMMYFUNCTION("""COMPUTED_VALUE"""),45414.66666666667)</f>
        <v>45414.66667</v>
      </c>
      <c r="B903" s="1">
        <f>IFERROR(__xludf.DUMMYFUNCTION("""COMPUTED_VALUE"""),5.59)</f>
        <v>5.59</v>
      </c>
    </row>
    <row r="904">
      <c r="A904" s="2">
        <f>IFERROR(__xludf.DUMMYFUNCTION("""COMPUTED_VALUE"""),45415.66666666667)</f>
        <v>45415.66667</v>
      </c>
      <c r="B904" s="1">
        <f>IFERROR(__xludf.DUMMYFUNCTION("""COMPUTED_VALUE"""),5.57)</f>
        <v>5.57</v>
      </c>
    </row>
    <row r="905">
      <c r="A905" s="2">
        <f>IFERROR(__xludf.DUMMYFUNCTION("""COMPUTED_VALUE"""),45418.66666666667)</f>
        <v>45418.66667</v>
      </c>
      <c r="B905" s="1">
        <f>IFERROR(__xludf.DUMMYFUNCTION("""COMPUTED_VALUE"""),5.69)</f>
        <v>5.69</v>
      </c>
    </row>
    <row r="906">
      <c r="A906" s="2">
        <f>IFERROR(__xludf.DUMMYFUNCTION("""COMPUTED_VALUE"""),45419.66666666667)</f>
        <v>45419.66667</v>
      </c>
      <c r="B906" s="1">
        <f>IFERROR(__xludf.DUMMYFUNCTION("""COMPUTED_VALUE"""),5.51)</f>
        <v>5.51</v>
      </c>
    </row>
    <row r="907">
      <c r="A907" s="2">
        <f>IFERROR(__xludf.DUMMYFUNCTION("""COMPUTED_VALUE"""),45420.66666666667)</f>
        <v>45420.66667</v>
      </c>
      <c r="B907" s="1">
        <f>IFERROR(__xludf.DUMMYFUNCTION("""COMPUTED_VALUE"""),5.22)</f>
        <v>5.22</v>
      </c>
    </row>
    <row r="908">
      <c r="A908" s="2">
        <f>IFERROR(__xludf.DUMMYFUNCTION("""COMPUTED_VALUE"""),45421.66666666667)</f>
        <v>45421.66667</v>
      </c>
      <c r="B908" s="1">
        <f>IFERROR(__xludf.DUMMYFUNCTION("""COMPUTED_VALUE"""),5.33)</f>
        <v>5.33</v>
      </c>
    </row>
    <row r="909">
      <c r="A909" s="2">
        <f>IFERROR(__xludf.DUMMYFUNCTION("""COMPUTED_VALUE"""),45422.66666666667)</f>
        <v>45422.66667</v>
      </c>
      <c r="B909" s="1">
        <f>IFERROR(__xludf.DUMMYFUNCTION("""COMPUTED_VALUE"""),5.07)</f>
        <v>5.07</v>
      </c>
    </row>
    <row r="910">
      <c r="A910" s="2">
        <f>IFERROR(__xludf.DUMMYFUNCTION("""COMPUTED_VALUE"""),45425.66666666667)</f>
        <v>45425.66667</v>
      </c>
      <c r="B910" s="1">
        <f>IFERROR(__xludf.DUMMYFUNCTION("""COMPUTED_VALUE"""),5.41)</f>
        <v>5.41</v>
      </c>
    </row>
    <row r="911">
      <c r="A911" s="2">
        <f>IFERROR(__xludf.DUMMYFUNCTION("""COMPUTED_VALUE"""),45426.66666666667)</f>
        <v>45426.66667</v>
      </c>
      <c r="B911" s="1">
        <f>IFERROR(__xludf.DUMMYFUNCTION("""COMPUTED_VALUE"""),5.79)</f>
        <v>5.79</v>
      </c>
    </row>
    <row r="912">
      <c r="A912" s="2">
        <f>IFERROR(__xludf.DUMMYFUNCTION("""COMPUTED_VALUE"""),45427.66666666667)</f>
        <v>45427.66667</v>
      </c>
      <c r="B912" s="1">
        <f>IFERROR(__xludf.DUMMYFUNCTION("""COMPUTED_VALUE"""),5.33)</f>
        <v>5.33</v>
      </c>
    </row>
    <row r="913">
      <c r="A913" s="2">
        <f>IFERROR(__xludf.DUMMYFUNCTION("""COMPUTED_VALUE"""),45428.66666666667)</f>
        <v>45428.66667</v>
      </c>
      <c r="B913" s="1">
        <f>IFERROR(__xludf.DUMMYFUNCTION("""COMPUTED_VALUE"""),5.26)</f>
        <v>5.26</v>
      </c>
    </row>
    <row r="914">
      <c r="A914" s="2">
        <f>IFERROR(__xludf.DUMMYFUNCTION("""COMPUTED_VALUE"""),45429.66666666667)</f>
        <v>45429.66667</v>
      </c>
      <c r="B914" s="1">
        <f>IFERROR(__xludf.DUMMYFUNCTION("""COMPUTED_VALUE"""),5.28)</f>
        <v>5.28</v>
      </c>
    </row>
    <row r="915">
      <c r="A915" s="2">
        <f>IFERROR(__xludf.DUMMYFUNCTION("""COMPUTED_VALUE"""),45432.66666666667)</f>
        <v>45432.66667</v>
      </c>
      <c r="B915" s="1">
        <f>IFERROR(__xludf.DUMMYFUNCTION("""COMPUTED_VALUE"""),5.22)</f>
        <v>5.22</v>
      </c>
    </row>
    <row r="916">
      <c r="A916" s="2">
        <f>IFERROR(__xludf.DUMMYFUNCTION("""COMPUTED_VALUE"""),45433.66666666667)</f>
        <v>45433.66667</v>
      </c>
      <c r="B916" s="1">
        <f>IFERROR(__xludf.DUMMYFUNCTION("""COMPUTED_VALUE"""),5.25)</f>
        <v>5.25</v>
      </c>
    </row>
    <row r="917">
      <c r="A917" s="2">
        <f>IFERROR(__xludf.DUMMYFUNCTION("""COMPUTED_VALUE"""),45434.66666666667)</f>
        <v>45434.66667</v>
      </c>
      <c r="B917" s="1">
        <f>IFERROR(__xludf.DUMMYFUNCTION("""COMPUTED_VALUE"""),5.24)</f>
        <v>5.24</v>
      </c>
    </row>
    <row r="918">
      <c r="A918" s="2">
        <f>IFERROR(__xludf.DUMMYFUNCTION("""COMPUTED_VALUE"""),45435.66666666667)</f>
        <v>45435.66667</v>
      </c>
      <c r="B918" s="1">
        <f>IFERROR(__xludf.DUMMYFUNCTION("""COMPUTED_VALUE"""),4.8)</f>
        <v>4.8</v>
      </c>
    </row>
    <row r="919">
      <c r="A919" s="2">
        <f>IFERROR(__xludf.DUMMYFUNCTION("""COMPUTED_VALUE"""),45436.66666666667)</f>
        <v>45436.66667</v>
      </c>
      <c r="B919" s="1">
        <f>IFERROR(__xludf.DUMMYFUNCTION("""COMPUTED_VALUE"""),4.83)</f>
        <v>4.83</v>
      </c>
    </row>
    <row r="920">
      <c r="A920" s="2">
        <f>IFERROR(__xludf.DUMMYFUNCTION("""COMPUTED_VALUE"""),45440.66666666667)</f>
        <v>45440.66667</v>
      </c>
      <c r="B920" s="1">
        <f>IFERROR(__xludf.DUMMYFUNCTION("""COMPUTED_VALUE"""),4.9)</f>
        <v>4.9</v>
      </c>
    </row>
    <row r="921">
      <c r="A921" s="2">
        <f>IFERROR(__xludf.DUMMYFUNCTION("""COMPUTED_VALUE"""),45441.66666666667)</f>
        <v>45441.66667</v>
      </c>
      <c r="B921" s="1">
        <f>IFERROR(__xludf.DUMMYFUNCTION("""COMPUTED_VALUE"""),4.93)</f>
        <v>4.93</v>
      </c>
    </row>
    <row r="922">
      <c r="A922" s="2">
        <f>IFERROR(__xludf.DUMMYFUNCTION("""COMPUTED_VALUE"""),45442.66666666667)</f>
        <v>45442.66667</v>
      </c>
      <c r="B922" s="1">
        <f>IFERROR(__xludf.DUMMYFUNCTION("""COMPUTED_VALUE"""),5.4)</f>
        <v>5.4</v>
      </c>
    </row>
    <row r="923">
      <c r="A923" s="2">
        <f>IFERROR(__xludf.DUMMYFUNCTION("""COMPUTED_VALUE"""),45443.66666666667)</f>
        <v>45443.66667</v>
      </c>
      <c r="B923" s="1">
        <f>IFERROR(__xludf.DUMMYFUNCTION("""COMPUTED_VALUE"""),5.39)</f>
        <v>5.39</v>
      </c>
    </row>
    <row r="924">
      <c r="A924" s="2">
        <f>IFERROR(__xludf.DUMMYFUNCTION("""COMPUTED_VALUE"""),45446.66666666667)</f>
        <v>45446.66667</v>
      </c>
      <c r="B924" s="1">
        <f>IFERROR(__xludf.DUMMYFUNCTION("""COMPUTED_VALUE"""),5.34)</f>
        <v>5.34</v>
      </c>
    </row>
    <row r="925">
      <c r="A925" s="2">
        <f>IFERROR(__xludf.DUMMYFUNCTION("""COMPUTED_VALUE"""),45447.66666666667)</f>
        <v>45447.66667</v>
      </c>
      <c r="B925" s="1">
        <f>IFERROR(__xludf.DUMMYFUNCTION("""COMPUTED_VALUE"""),5.21)</f>
        <v>5.21</v>
      </c>
    </row>
    <row r="926">
      <c r="A926" s="2">
        <f>IFERROR(__xludf.DUMMYFUNCTION("""COMPUTED_VALUE"""),45448.66666666667)</f>
        <v>45448.66667</v>
      </c>
      <c r="B926" s="1">
        <f>IFERROR(__xludf.DUMMYFUNCTION("""COMPUTED_VALUE"""),5.27)</f>
        <v>5.27</v>
      </c>
    </row>
    <row r="927">
      <c r="A927" s="2">
        <f>IFERROR(__xludf.DUMMYFUNCTION("""COMPUTED_VALUE"""),45449.66666666667)</f>
        <v>45449.66667</v>
      </c>
      <c r="B927" s="1">
        <f>IFERROR(__xludf.DUMMYFUNCTION("""COMPUTED_VALUE"""),4.91)</f>
        <v>4.91</v>
      </c>
    </row>
    <row r="928">
      <c r="A928" s="2">
        <f>IFERROR(__xludf.DUMMYFUNCTION("""COMPUTED_VALUE"""),45450.66666666667)</f>
        <v>45450.66667</v>
      </c>
      <c r="B928" s="1">
        <f>IFERROR(__xludf.DUMMYFUNCTION("""COMPUTED_VALUE"""),4.83)</f>
        <v>4.83</v>
      </c>
    </row>
    <row r="929">
      <c r="A929" s="2">
        <f>IFERROR(__xludf.DUMMYFUNCTION("""COMPUTED_VALUE"""),45453.66666666667)</f>
        <v>45453.66667</v>
      </c>
      <c r="B929" s="1">
        <f>IFERROR(__xludf.DUMMYFUNCTION("""COMPUTED_VALUE"""),4.72)</f>
        <v>4.72</v>
      </c>
    </row>
    <row r="930">
      <c r="A930" s="2">
        <f>IFERROR(__xludf.DUMMYFUNCTION("""COMPUTED_VALUE"""),45454.66666666667)</f>
        <v>45454.66667</v>
      </c>
      <c r="B930" s="1">
        <f>IFERROR(__xludf.DUMMYFUNCTION("""COMPUTED_VALUE"""),4.46)</f>
        <v>4.46</v>
      </c>
    </row>
    <row r="931">
      <c r="A931" s="2">
        <f>IFERROR(__xludf.DUMMYFUNCTION("""COMPUTED_VALUE"""),45455.66666666667)</f>
        <v>45455.66667</v>
      </c>
      <c r="B931" s="1">
        <f>IFERROR(__xludf.DUMMYFUNCTION("""COMPUTED_VALUE"""),4.45)</f>
        <v>4.45</v>
      </c>
    </row>
    <row r="932">
      <c r="A932" s="2">
        <f>IFERROR(__xludf.DUMMYFUNCTION("""COMPUTED_VALUE"""),45456.66666666667)</f>
        <v>45456.66667</v>
      </c>
      <c r="B932" s="1">
        <f>IFERROR(__xludf.DUMMYFUNCTION("""COMPUTED_VALUE"""),4.41)</f>
        <v>4.41</v>
      </c>
    </row>
    <row r="933">
      <c r="A933" s="2">
        <f>IFERROR(__xludf.DUMMYFUNCTION("""COMPUTED_VALUE"""),45457.66666666667)</f>
        <v>45457.66667</v>
      </c>
      <c r="B933" s="1">
        <f>IFERROR(__xludf.DUMMYFUNCTION("""COMPUTED_VALUE"""),4.33)</f>
        <v>4.33</v>
      </c>
    </row>
    <row r="934">
      <c r="A934" s="2">
        <f>IFERROR(__xludf.DUMMYFUNCTION("""COMPUTED_VALUE"""),45460.66666666667)</f>
        <v>45460.66667</v>
      </c>
      <c r="B934" s="1">
        <f>IFERROR(__xludf.DUMMYFUNCTION("""COMPUTED_VALUE"""),4.43)</f>
        <v>4.43</v>
      </c>
    </row>
    <row r="935">
      <c r="A935" s="2">
        <f>IFERROR(__xludf.DUMMYFUNCTION("""COMPUTED_VALUE"""),45461.66666666667)</f>
        <v>45461.66667</v>
      </c>
      <c r="B935" s="1">
        <f>IFERROR(__xludf.DUMMYFUNCTION("""COMPUTED_VALUE"""),4.43)</f>
        <v>4.43</v>
      </c>
    </row>
    <row r="936">
      <c r="A936" s="2">
        <f>IFERROR(__xludf.DUMMYFUNCTION("""COMPUTED_VALUE"""),45463.66666666667)</f>
        <v>45463.66667</v>
      </c>
      <c r="B936" s="1">
        <f>IFERROR(__xludf.DUMMYFUNCTION("""COMPUTED_VALUE"""),4.33)</f>
        <v>4.33</v>
      </c>
    </row>
    <row r="937">
      <c r="A937" s="2">
        <f>IFERROR(__xludf.DUMMYFUNCTION("""COMPUTED_VALUE"""),45464.66666666667)</f>
        <v>45464.66667</v>
      </c>
      <c r="B937" s="1">
        <f>IFERROR(__xludf.DUMMYFUNCTION("""COMPUTED_VALUE"""),4.3)</f>
        <v>4.3</v>
      </c>
    </row>
    <row r="938">
      <c r="A938" s="2">
        <f>IFERROR(__xludf.DUMMYFUNCTION("""COMPUTED_VALUE"""),45467.66666666667)</f>
        <v>45467.66667</v>
      </c>
      <c r="B938" s="1">
        <f>IFERROR(__xludf.DUMMYFUNCTION("""COMPUTED_VALUE"""),4.44)</f>
        <v>4.44</v>
      </c>
    </row>
    <row r="939">
      <c r="A939" s="2">
        <f>IFERROR(__xludf.DUMMYFUNCTION("""COMPUTED_VALUE"""),45468.66666666667)</f>
        <v>45468.66667</v>
      </c>
      <c r="B939" s="1">
        <f>IFERROR(__xludf.DUMMYFUNCTION("""COMPUTED_VALUE"""),4.37)</f>
        <v>4.37</v>
      </c>
    </row>
    <row r="940">
      <c r="A940" s="2">
        <f>IFERROR(__xludf.DUMMYFUNCTION("""COMPUTED_VALUE"""),45469.66666666667)</f>
        <v>45469.66667</v>
      </c>
      <c r="B940" s="1">
        <f>IFERROR(__xludf.DUMMYFUNCTION("""COMPUTED_VALUE"""),4.64)</f>
        <v>4.64</v>
      </c>
    </row>
    <row r="941">
      <c r="A941" s="2">
        <f>IFERROR(__xludf.DUMMYFUNCTION("""COMPUTED_VALUE"""),45470.66666666667)</f>
        <v>45470.66667</v>
      </c>
      <c r="B941" s="1">
        <f>IFERROR(__xludf.DUMMYFUNCTION("""COMPUTED_VALUE"""),4.39)</f>
        <v>4.39</v>
      </c>
    </row>
    <row r="942">
      <c r="A942" s="2">
        <f>IFERROR(__xludf.DUMMYFUNCTION("""COMPUTED_VALUE"""),45471.66666666667)</f>
        <v>45471.66667</v>
      </c>
      <c r="B942" s="1">
        <f>IFERROR(__xludf.DUMMYFUNCTION("""COMPUTED_VALUE"""),4.16)</f>
        <v>4.16</v>
      </c>
    </row>
    <row r="943">
      <c r="A943" s="2">
        <f>IFERROR(__xludf.DUMMYFUNCTION("""COMPUTED_VALUE"""),45474.66666666667)</f>
        <v>45474.66667</v>
      </c>
      <c r="B943" s="1">
        <f>IFERROR(__xludf.DUMMYFUNCTION("""COMPUTED_VALUE"""),4.44)</f>
        <v>4.44</v>
      </c>
    </row>
    <row r="944">
      <c r="A944" s="2">
        <f>IFERROR(__xludf.DUMMYFUNCTION("""COMPUTED_VALUE"""),45475.66666666667)</f>
        <v>45475.66667</v>
      </c>
      <c r="B944" s="1">
        <f>IFERROR(__xludf.DUMMYFUNCTION("""COMPUTED_VALUE"""),4.53)</f>
        <v>4.53</v>
      </c>
    </row>
    <row r="945">
      <c r="A945" s="2">
        <f>IFERROR(__xludf.DUMMYFUNCTION("""COMPUTED_VALUE"""),45476.54166666667)</f>
        <v>45476.54167</v>
      </c>
      <c r="B945" s="1">
        <f>IFERROR(__xludf.DUMMYFUNCTION("""COMPUTED_VALUE"""),4.87)</f>
        <v>4.87</v>
      </c>
    </row>
    <row r="946">
      <c r="A946" s="2">
        <f>IFERROR(__xludf.DUMMYFUNCTION("""COMPUTED_VALUE"""),45478.66666666667)</f>
        <v>45478.66667</v>
      </c>
      <c r="B946" s="1">
        <f>IFERROR(__xludf.DUMMYFUNCTION("""COMPUTED_VALUE"""),4.62)</f>
        <v>4.62</v>
      </c>
    </row>
    <row r="947">
      <c r="A947" s="2">
        <f>IFERROR(__xludf.DUMMYFUNCTION("""COMPUTED_VALUE"""),45481.66666666667)</f>
        <v>45481.66667</v>
      </c>
      <c r="B947" s="1">
        <f>IFERROR(__xludf.DUMMYFUNCTION("""COMPUTED_VALUE"""),4.46)</f>
        <v>4.46</v>
      </c>
    </row>
    <row r="948">
      <c r="A948" s="2">
        <f>IFERROR(__xludf.DUMMYFUNCTION("""COMPUTED_VALUE"""),45482.66666666667)</f>
        <v>45482.66667</v>
      </c>
      <c r="B948" s="1">
        <f>IFERROR(__xludf.DUMMYFUNCTION("""COMPUTED_VALUE"""),4.5)</f>
        <v>4.5</v>
      </c>
    </row>
    <row r="949">
      <c r="A949" s="2">
        <f>IFERROR(__xludf.DUMMYFUNCTION("""COMPUTED_VALUE"""),45483.66666666667)</f>
        <v>45483.66667</v>
      </c>
      <c r="B949" s="1">
        <f>IFERROR(__xludf.DUMMYFUNCTION("""COMPUTED_VALUE"""),4.62)</f>
        <v>4.62</v>
      </c>
    </row>
    <row r="950">
      <c r="A950" s="2">
        <f>IFERROR(__xludf.DUMMYFUNCTION("""COMPUTED_VALUE"""),45484.66666666667)</f>
        <v>45484.66667</v>
      </c>
      <c r="B950" s="1">
        <f>IFERROR(__xludf.DUMMYFUNCTION("""COMPUTED_VALUE"""),4.68)</f>
        <v>4.68</v>
      </c>
    </row>
    <row r="951">
      <c r="A951" s="2">
        <f>IFERROR(__xludf.DUMMYFUNCTION("""COMPUTED_VALUE"""),45485.66666666667)</f>
        <v>45485.66667</v>
      </c>
      <c r="B951" s="1">
        <f>IFERROR(__xludf.DUMMYFUNCTION("""COMPUTED_VALUE"""),4.87)</f>
        <v>4.87</v>
      </c>
    </row>
    <row r="952">
      <c r="A952" s="2">
        <f>IFERROR(__xludf.DUMMYFUNCTION("""COMPUTED_VALUE"""),45488.66666666667)</f>
        <v>45488.66667</v>
      </c>
      <c r="B952" s="1">
        <f>IFERROR(__xludf.DUMMYFUNCTION("""COMPUTED_VALUE"""),4.63)</f>
        <v>4.63</v>
      </c>
    </row>
    <row r="953">
      <c r="A953" s="2">
        <f>IFERROR(__xludf.DUMMYFUNCTION("""COMPUTED_VALUE"""),45489.66666666667)</f>
        <v>45489.66667</v>
      </c>
      <c r="B953" s="1">
        <f>IFERROR(__xludf.DUMMYFUNCTION("""COMPUTED_VALUE"""),4.9)</f>
        <v>4.9</v>
      </c>
    </row>
    <row r="954">
      <c r="A954" s="2">
        <f>IFERROR(__xludf.DUMMYFUNCTION("""COMPUTED_VALUE"""),45490.66666666667)</f>
        <v>45490.66667</v>
      </c>
      <c r="B954" s="1">
        <f>IFERROR(__xludf.DUMMYFUNCTION("""COMPUTED_VALUE"""),4.59)</f>
        <v>4.59</v>
      </c>
    </row>
    <row r="955">
      <c r="A955" s="2">
        <f>IFERROR(__xludf.DUMMYFUNCTION("""COMPUTED_VALUE"""),45491.66666666667)</f>
        <v>45491.66667</v>
      </c>
      <c r="B955" s="1">
        <f>IFERROR(__xludf.DUMMYFUNCTION("""COMPUTED_VALUE"""),4.54)</f>
        <v>4.54</v>
      </c>
    </row>
    <row r="956">
      <c r="A956" s="2">
        <f>IFERROR(__xludf.DUMMYFUNCTION("""COMPUTED_VALUE"""),45492.66666666667)</f>
        <v>45492.66667</v>
      </c>
      <c r="B956" s="1">
        <f>IFERROR(__xludf.DUMMYFUNCTION("""COMPUTED_VALUE"""),4.46)</f>
        <v>4.46</v>
      </c>
    </row>
    <row r="957">
      <c r="A957" s="2">
        <f>IFERROR(__xludf.DUMMYFUNCTION("""COMPUTED_VALUE"""),45495.66666666667)</f>
        <v>45495.66667</v>
      </c>
      <c r="B957" s="1">
        <f>IFERROR(__xludf.DUMMYFUNCTION("""COMPUTED_VALUE"""),4.69)</f>
        <v>4.69</v>
      </c>
    </row>
    <row r="958">
      <c r="A958" s="2">
        <f>IFERROR(__xludf.DUMMYFUNCTION("""COMPUTED_VALUE"""),45496.66666666667)</f>
        <v>45496.66667</v>
      </c>
      <c r="B958" s="1">
        <f>IFERROR(__xludf.DUMMYFUNCTION("""COMPUTED_VALUE"""),4.48)</f>
        <v>4.48</v>
      </c>
    </row>
    <row r="959">
      <c r="A959" s="2">
        <f>IFERROR(__xludf.DUMMYFUNCTION("""COMPUTED_VALUE"""),45497.66666666667)</f>
        <v>45497.66667</v>
      </c>
      <c r="B959" s="1">
        <f>IFERROR(__xludf.DUMMYFUNCTION("""COMPUTED_VALUE"""),4.3)</f>
        <v>4.3</v>
      </c>
    </row>
    <row r="960">
      <c r="A960" s="2">
        <f>IFERROR(__xludf.DUMMYFUNCTION("""COMPUTED_VALUE"""),45498.66666666667)</f>
        <v>45498.66667</v>
      </c>
      <c r="B960" s="1">
        <f>IFERROR(__xludf.DUMMYFUNCTION("""COMPUTED_VALUE"""),4.27)</f>
        <v>4.27</v>
      </c>
    </row>
    <row r="961">
      <c r="A961" s="2">
        <f>IFERROR(__xludf.DUMMYFUNCTION("""COMPUTED_VALUE"""),45499.66666666667)</f>
        <v>45499.66667</v>
      </c>
      <c r="B961" s="1">
        <f>IFERROR(__xludf.DUMMYFUNCTION("""COMPUTED_VALUE"""),4.43)</f>
        <v>4.43</v>
      </c>
    </row>
    <row r="962">
      <c r="A962" s="2">
        <f>IFERROR(__xludf.DUMMYFUNCTION("""COMPUTED_VALUE"""),45502.66666666667)</f>
        <v>45502.66667</v>
      </c>
      <c r="B962" s="1">
        <f>IFERROR(__xludf.DUMMYFUNCTION("""COMPUTED_VALUE"""),4.39)</f>
        <v>4.39</v>
      </c>
    </row>
    <row r="963">
      <c r="A963" s="2">
        <f>IFERROR(__xludf.DUMMYFUNCTION("""COMPUTED_VALUE"""),45503.66666666667)</f>
        <v>45503.66667</v>
      </c>
      <c r="B963" s="1">
        <f>IFERROR(__xludf.DUMMYFUNCTION("""COMPUTED_VALUE"""),4.42)</f>
        <v>4.42</v>
      </c>
    </row>
    <row r="964">
      <c r="A964" s="2">
        <f>IFERROR(__xludf.DUMMYFUNCTION("""COMPUTED_VALUE"""),45504.66666666667)</f>
        <v>45504.66667</v>
      </c>
      <c r="B964" s="1">
        <f>IFERROR(__xludf.DUMMYFUNCTION("""COMPUTED_VALUE"""),4.44)</f>
        <v>4.44</v>
      </c>
    </row>
    <row r="965">
      <c r="A965" s="2">
        <f>IFERROR(__xludf.DUMMYFUNCTION("""COMPUTED_VALUE"""),45505.66666666667)</f>
        <v>45505.66667</v>
      </c>
      <c r="B965" s="1">
        <f>IFERROR(__xludf.DUMMYFUNCTION("""COMPUTED_VALUE"""),4.06)</f>
        <v>4.06</v>
      </c>
    </row>
    <row r="966">
      <c r="A966" s="2">
        <f>IFERROR(__xludf.DUMMYFUNCTION("""COMPUTED_VALUE"""),45506.66666666667)</f>
        <v>45506.66667</v>
      </c>
      <c r="B966" s="1">
        <f>IFERROR(__xludf.DUMMYFUNCTION("""COMPUTED_VALUE"""),4.05)</f>
        <v>4.05</v>
      </c>
    </row>
    <row r="967">
      <c r="A967" s="2">
        <f>IFERROR(__xludf.DUMMYFUNCTION("""COMPUTED_VALUE"""),45509.66666666667)</f>
        <v>45509.66667</v>
      </c>
      <c r="B967" s="1">
        <f>IFERROR(__xludf.DUMMYFUNCTION("""COMPUTED_VALUE"""),3.89)</f>
        <v>3.89</v>
      </c>
    </row>
    <row r="968">
      <c r="A968" s="2">
        <f>IFERROR(__xludf.DUMMYFUNCTION("""COMPUTED_VALUE"""),45510.66666666667)</f>
        <v>45510.66667</v>
      </c>
      <c r="B968" s="1">
        <f>IFERROR(__xludf.DUMMYFUNCTION("""COMPUTED_VALUE"""),3.77)</f>
        <v>3.77</v>
      </c>
    </row>
    <row r="969">
      <c r="A969" s="2">
        <f>IFERROR(__xludf.DUMMYFUNCTION("""COMPUTED_VALUE"""),45511.66666666667)</f>
        <v>45511.66667</v>
      </c>
      <c r="B969" s="1">
        <f>IFERROR(__xludf.DUMMYFUNCTION("""COMPUTED_VALUE"""),3.67)</f>
        <v>3.67</v>
      </c>
    </row>
    <row r="970">
      <c r="A970" s="2">
        <f>IFERROR(__xludf.DUMMYFUNCTION("""COMPUTED_VALUE"""),45512.66666666667)</f>
        <v>45512.66667</v>
      </c>
      <c r="B970" s="1">
        <f>IFERROR(__xludf.DUMMYFUNCTION("""COMPUTED_VALUE"""),3.82)</f>
        <v>3.82</v>
      </c>
    </row>
    <row r="971">
      <c r="A971" s="2">
        <f>IFERROR(__xludf.DUMMYFUNCTION("""COMPUTED_VALUE"""),45513.66666666667)</f>
        <v>45513.66667</v>
      </c>
      <c r="B971" s="1">
        <f>IFERROR(__xludf.DUMMYFUNCTION("""COMPUTED_VALUE"""),3.78)</f>
        <v>3.78</v>
      </c>
    </row>
    <row r="972">
      <c r="A972" s="2">
        <f>IFERROR(__xludf.DUMMYFUNCTION("""COMPUTED_VALUE"""),45516.66666666667)</f>
        <v>45516.66667</v>
      </c>
      <c r="B972" s="1">
        <f>IFERROR(__xludf.DUMMYFUNCTION("""COMPUTED_VALUE"""),3.76)</f>
        <v>3.76</v>
      </c>
    </row>
    <row r="973">
      <c r="A973" s="2">
        <f>IFERROR(__xludf.DUMMYFUNCTION("""COMPUTED_VALUE"""),45517.66666666667)</f>
        <v>45517.66667</v>
      </c>
      <c r="B973" s="1">
        <f>IFERROR(__xludf.DUMMYFUNCTION("""COMPUTED_VALUE"""),3.89)</f>
        <v>3.89</v>
      </c>
    </row>
    <row r="974">
      <c r="A974" s="2">
        <f>IFERROR(__xludf.DUMMYFUNCTION("""COMPUTED_VALUE"""),45518.66666666667)</f>
        <v>45518.66667</v>
      </c>
      <c r="B974" s="1">
        <f>IFERROR(__xludf.DUMMYFUNCTION("""COMPUTED_VALUE"""),3.72)</f>
        <v>3.72</v>
      </c>
    </row>
    <row r="975">
      <c r="A975" s="2">
        <f>IFERROR(__xludf.DUMMYFUNCTION("""COMPUTED_VALUE"""),45519.66666666667)</f>
        <v>45519.66667</v>
      </c>
      <c r="B975" s="1">
        <f>IFERROR(__xludf.DUMMYFUNCTION("""COMPUTED_VALUE"""),3.83)</f>
        <v>3.83</v>
      </c>
    </row>
    <row r="976">
      <c r="A976" s="2">
        <f>IFERROR(__xludf.DUMMYFUNCTION("""COMPUTED_VALUE"""),45520.66666666667)</f>
        <v>45520.66667</v>
      </c>
      <c r="B976" s="1">
        <f>IFERROR(__xludf.DUMMYFUNCTION("""COMPUTED_VALUE"""),3.95)</f>
        <v>3.95</v>
      </c>
    </row>
    <row r="977">
      <c r="A977" s="2">
        <f>IFERROR(__xludf.DUMMYFUNCTION("""COMPUTED_VALUE"""),45523.66666666667)</f>
        <v>45523.66667</v>
      </c>
      <c r="B977" s="1">
        <f>IFERROR(__xludf.DUMMYFUNCTION("""COMPUTED_VALUE"""),4.07)</f>
        <v>4.07</v>
      </c>
    </row>
    <row r="978">
      <c r="A978" s="2">
        <f>IFERROR(__xludf.DUMMYFUNCTION("""COMPUTED_VALUE"""),45524.66666666667)</f>
        <v>45524.66667</v>
      </c>
      <c r="B978" s="1">
        <f>IFERROR(__xludf.DUMMYFUNCTION("""COMPUTED_VALUE"""),3.85)</f>
        <v>3.85</v>
      </c>
    </row>
    <row r="979">
      <c r="A979" s="2">
        <f>IFERROR(__xludf.DUMMYFUNCTION("""COMPUTED_VALUE"""),45525.66666666667)</f>
        <v>45525.66667</v>
      </c>
      <c r="B979" s="1">
        <f>IFERROR(__xludf.DUMMYFUNCTION("""COMPUTED_VALUE"""),3.99)</f>
        <v>3.99</v>
      </c>
    </row>
    <row r="980">
      <c r="A980" s="2">
        <f>IFERROR(__xludf.DUMMYFUNCTION("""COMPUTED_VALUE"""),45526.66666666667)</f>
        <v>45526.66667</v>
      </c>
      <c r="B980" s="1">
        <f>IFERROR(__xludf.DUMMYFUNCTION("""COMPUTED_VALUE"""),3.99)</f>
        <v>3.99</v>
      </c>
    </row>
    <row r="981">
      <c r="A981" s="2">
        <f>IFERROR(__xludf.DUMMYFUNCTION("""COMPUTED_VALUE"""),45527.66666666667)</f>
        <v>45527.66667</v>
      </c>
      <c r="B981" s="1">
        <f>IFERROR(__xludf.DUMMYFUNCTION("""COMPUTED_VALUE"""),4.08)</f>
        <v>4.08</v>
      </c>
    </row>
    <row r="982">
      <c r="A982" s="2">
        <f>IFERROR(__xludf.DUMMYFUNCTION("""COMPUTED_VALUE"""),45530.66666666667)</f>
        <v>45530.66667</v>
      </c>
      <c r="B982" s="1">
        <f>IFERROR(__xludf.DUMMYFUNCTION("""COMPUTED_VALUE"""),4.03)</f>
        <v>4.03</v>
      </c>
    </row>
    <row r="983">
      <c r="A983" s="2">
        <f>IFERROR(__xludf.DUMMYFUNCTION("""COMPUTED_VALUE"""),45531.66666666667)</f>
        <v>45531.66667</v>
      </c>
      <c r="B983" s="1">
        <f>IFERROR(__xludf.DUMMYFUNCTION("""COMPUTED_VALUE"""),4.0)</f>
        <v>4</v>
      </c>
    </row>
    <row r="984">
      <c r="A984" s="2">
        <f>IFERROR(__xludf.DUMMYFUNCTION("""COMPUTED_VALUE"""),45532.66666666667)</f>
        <v>45532.66667</v>
      </c>
      <c r="B984" s="1">
        <f>IFERROR(__xludf.DUMMYFUNCTION("""COMPUTED_VALUE"""),3.7)</f>
        <v>3.7</v>
      </c>
    </row>
    <row r="985">
      <c r="A985" s="2">
        <f>IFERROR(__xludf.DUMMYFUNCTION("""COMPUTED_VALUE"""),45533.66666666667)</f>
        <v>45533.66667</v>
      </c>
      <c r="B985" s="1">
        <f>IFERROR(__xludf.DUMMYFUNCTION("""COMPUTED_VALUE"""),3.94)</f>
        <v>3.94</v>
      </c>
    </row>
    <row r="986">
      <c r="A986" s="2">
        <f>IFERROR(__xludf.DUMMYFUNCTION("""COMPUTED_VALUE"""),45534.66666666667)</f>
        <v>45534.66667</v>
      </c>
      <c r="B986" s="1">
        <f>IFERROR(__xludf.DUMMYFUNCTION("""COMPUTED_VALUE"""),4.04)</f>
        <v>4.04</v>
      </c>
    </row>
    <row r="987">
      <c r="A987" s="2">
        <f>IFERROR(__xludf.DUMMYFUNCTION("""COMPUTED_VALUE"""),45538.66666666667)</f>
        <v>45538.66667</v>
      </c>
      <c r="B987" s="1">
        <f>IFERROR(__xludf.DUMMYFUNCTION("""COMPUTED_VALUE"""),4.15)</f>
        <v>4.15</v>
      </c>
    </row>
    <row r="988">
      <c r="A988" s="2">
        <f>IFERROR(__xludf.DUMMYFUNCTION("""COMPUTED_VALUE"""),45539.66666666667)</f>
        <v>45539.66667</v>
      </c>
      <c r="B988" s="1">
        <f>IFERROR(__xludf.DUMMYFUNCTION("""COMPUTED_VALUE"""),4.24)</f>
        <v>4.24</v>
      </c>
    </row>
    <row r="989">
      <c r="A989" s="2">
        <f>IFERROR(__xludf.DUMMYFUNCTION("""COMPUTED_VALUE"""),45540.66666666667)</f>
        <v>45540.66667</v>
      </c>
      <c r="B989" s="1">
        <f>IFERROR(__xludf.DUMMYFUNCTION("""COMPUTED_VALUE"""),4.85)</f>
        <v>4.85</v>
      </c>
    </row>
    <row r="990">
      <c r="A990" s="2">
        <f>IFERROR(__xludf.DUMMYFUNCTION("""COMPUTED_VALUE"""),45541.66666666667)</f>
        <v>45541.66667</v>
      </c>
      <c r="B990" s="1">
        <f>IFERROR(__xludf.DUMMYFUNCTION("""COMPUTED_VALUE"""),5.02)</f>
        <v>5.02</v>
      </c>
    </row>
    <row r="991">
      <c r="A991" s="2">
        <f>IFERROR(__xludf.DUMMYFUNCTION("""COMPUTED_VALUE"""),45544.66666666667)</f>
        <v>45544.66667</v>
      </c>
      <c r="B991" s="1">
        <f>IFERROR(__xludf.DUMMYFUNCTION("""COMPUTED_VALUE"""),5.57)</f>
        <v>5.57</v>
      </c>
    </row>
    <row r="992">
      <c r="A992" s="2">
        <f>IFERROR(__xludf.DUMMYFUNCTION("""COMPUTED_VALUE"""),45545.66666666667)</f>
        <v>45545.66667</v>
      </c>
      <c r="B992" s="1">
        <f>IFERROR(__xludf.DUMMYFUNCTION("""COMPUTED_VALUE"""),5.48)</f>
        <v>5.48</v>
      </c>
    </row>
    <row r="993">
      <c r="A993" s="2">
        <f>IFERROR(__xludf.DUMMYFUNCTION("""COMPUTED_VALUE"""),45546.66666666667)</f>
        <v>45546.66667</v>
      </c>
      <c r="B993" s="1">
        <f>IFERROR(__xludf.DUMMYFUNCTION("""COMPUTED_VALUE"""),5.6)</f>
        <v>5.6</v>
      </c>
    </row>
    <row r="994">
      <c r="A994" s="2">
        <f>IFERROR(__xludf.DUMMYFUNCTION("""COMPUTED_VALUE"""),45547.66666666667)</f>
        <v>45547.66667</v>
      </c>
      <c r="B994" s="1">
        <f>IFERROR(__xludf.DUMMYFUNCTION("""COMPUTED_VALUE"""),5.28)</f>
        <v>5.28</v>
      </c>
    </row>
    <row r="995">
      <c r="A995" s="2">
        <f>IFERROR(__xludf.DUMMYFUNCTION("""COMPUTED_VALUE"""),45548.66666666667)</f>
        <v>45548.66667</v>
      </c>
      <c r="B995" s="1">
        <f>IFERROR(__xludf.DUMMYFUNCTION("""COMPUTED_VALUE"""),5.55)</f>
        <v>5.55</v>
      </c>
    </row>
    <row r="996">
      <c r="A996" s="2">
        <f>IFERROR(__xludf.DUMMYFUNCTION("""COMPUTED_VALUE"""),45551.66666666667)</f>
        <v>45551.66667</v>
      </c>
      <c r="B996" s="1">
        <f>IFERROR(__xludf.DUMMYFUNCTION("""COMPUTED_VALUE"""),5.4)</f>
        <v>5.4</v>
      </c>
    </row>
    <row r="997">
      <c r="A997" s="2">
        <f>IFERROR(__xludf.DUMMYFUNCTION("""COMPUTED_VALUE"""),45552.66666666667)</f>
        <v>45552.66667</v>
      </c>
      <c r="B997" s="1">
        <f>IFERROR(__xludf.DUMMYFUNCTION("""COMPUTED_VALUE"""),5.41)</f>
        <v>5.41</v>
      </c>
    </row>
    <row r="998">
      <c r="A998" s="2">
        <f>IFERROR(__xludf.DUMMYFUNCTION("""COMPUTED_VALUE"""),45553.66666666667)</f>
        <v>45553.66667</v>
      </c>
      <c r="B998" s="1">
        <f>IFERROR(__xludf.DUMMYFUNCTION("""COMPUTED_VALUE"""),5.02)</f>
        <v>5.02</v>
      </c>
    </row>
    <row r="999">
      <c r="A999" s="2">
        <f>IFERROR(__xludf.DUMMYFUNCTION("""COMPUTED_VALUE"""),45554.66666666667)</f>
        <v>45554.66667</v>
      </c>
      <c r="B999" s="1">
        <f>IFERROR(__xludf.DUMMYFUNCTION("""COMPUTED_VALUE"""),5.4)</f>
        <v>5.4</v>
      </c>
    </row>
    <row r="1000">
      <c r="A1000" s="2">
        <f>IFERROR(__xludf.DUMMYFUNCTION("""COMPUTED_VALUE"""),45555.66666666667)</f>
        <v>45555.66667</v>
      </c>
      <c r="B1000" s="1">
        <f>IFERROR(__xludf.DUMMYFUNCTION("""COMPUTED_VALUE"""),5.28)</f>
        <v>5.28</v>
      </c>
    </row>
    <row r="1001">
      <c r="A1001" s="2">
        <f>IFERROR(__xludf.DUMMYFUNCTION("""COMPUTED_VALUE"""),45558.66666666667)</f>
        <v>45558.66667</v>
      </c>
      <c r="B1001" s="1">
        <f>IFERROR(__xludf.DUMMYFUNCTION("""COMPUTED_VALUE"""),5.32)</f>
        <v>5.32</v>
      </c>
    </row>
    <row r="1002">
      <c r="A1002" s="2">
        <f>IFERROR(__xludf.DUMMYFUNCTION("""COMPUTED_VALUE"""),45559.66666666667)</f>
        <v>45559.66667</v>
      </c>
      <c r="B1002" s="1">
        <f>IFERROR(__xludf.DUMMYFUNCTION("""COMPUTED_VALUE"""),5.94)</f>
        <v>5.94</v>
      </c>
    </row>
    <row r="1003">
      <c r="A1003" s="2">
        <f>IFERROR(__xludf.DUMMYFUNCTION("""COMPUTED_VALUE"""),45560.66666666667)</f>
        <v>45560.66667</v>
      </c>
      <c r="B1003" s="1">
        <f>IFERROR(__xludf.DUMMYFUNCTION("""COMPUTED_VALUE"""),5.65)</f>
        <v>5.65</v>
      </c>
    </row>
    <row r="1004">
      <c r="A1004" s="2">
        <f>IFERROR(__xludf.DUMMYFUNCTION("""COMPUTED_VALUE"""),45561.66666666667)</f>
        <v>45561.66667</v>
      </c>
      <c r="B1004" s="1">
        <f>IFERROR(__xludf.DUMMYFUNCTION("""COMPUTED_VALUE"""),5.78)</f>
        <v>5.78</v>
      </c>
    </row>
    <row r="1005">
      <c r="A1005" s="2">
        <f>IFERROR(__xludf.DUMMYFUNCTION("""COMPUTED_VALUE"""),45562.66666666667)</f>
        <v>45562.66667</v>
      </c>
      <c r="B1005" s="1">
        <f>IFERROR(__xludf.DUMMYFUNCTION("""COMPUTED_VALUE"""),6.52)</f>
        <v>6.52</v>
      </c>
    </row>
    <row r="1006">
      <c r="A1006" s="2">
        <f>IFERROR(__xludf.DUMMYFUNCTION("""COMPUTED_VALUE"""),45565.66666666667)</f>
        <v>45565.66667</v>
      </c>
      <c r="B1006" s="1">
        <f>IFERROR(__xludf.DUMMYFUNCTION("""COMPUTED_VALUE"""),6.68)</f>
        <v>6.68</v>
      </c>
    </row>
    <row r="1007">
      <c r="A1007" s="2">
        <f>IFERROR(__xludf.DUMMYFUNCTION("""COMPUTED_VALUE"""),45566.66666666667)</f>
        <v>45566.66667</v>
      </c>
      <c r="B1007" s="1">
        <f>IFERROR(__xludf.DUMMYFUNCTION("""COMPUTED_VALUE"""),7.03)</f>
        <v>7.03</v>
      </c>
    </row>
    <row r="1008">
      <c r="A1008" s="2">
        <f>IFERROR(__xludf.DUMMYFUNCTION("""COMPUTED_VALUE"""),45567.66666666667)</f>
        <v>45567.66667</v>
      </c>
      <c r="B1008" s="1">
        <f>IFERROR(__xludf.DUMMYFUNCTION("""COMPUTED_VALUE"""),7.21)</f>
        <v>7.21</v>
      </c>
    </row>
    <row r="1009">
      <c r="A1009" s="2">
        <f>IFERROR(__xludf.DUMMYFUNCTION("""COMPUTED_VALUE"""),45568.66666666667)</f>
        <v>45568.66667</v>
      </c>
      <c r="B1009" s="1">
        <f>IFERROR(__xludf.DUMMYFUNCTION("""COMPUTED_VALUE"""),6.7)</f>
        <v>6.7</v>
      </c>
    </row>
    <row r="1010">
      <c r="A1010" s="2">
        <f>IFERROR(__xludf.DUMMYFUNCTION("""COMPUTED_VALUE"""),45569.66666666667)</f>
        <v>45569.66667</v>
      </c>
      <c r="B1010" s="1">
        <f>IFERROR(__xludf.DUMMYFUNCTION("""COMPUTED_VALUE"""),6.77)</f>
        <v>6.77</v>
      </c>
    </row>
    <row r="1011">
      <c r="A1011" s="2">
        <f>IFERROR(__xludf.DUMMYFUNCTION("""COMPUTED_VALUE"""),45572.66666666667)</f>
        <v>45572.66667</v>
      </c>
      <c r="B1011" s="1">
        <f>IFERROR(__xludf.DUMMYFUNCTION("""COMPUTED_VALUE"""),6.79)</f>
        <v>6.79</v>
      </c>
    </row>
    <row r="1012">
      <c r="A1012" s="2">
        <f>IFERROR(__xludf.DUMMYFUNCTION("""COMPUTED_VALUE"""),45573.66666666667)</f>
        <v>45573.66667</v>
      </c>
      <c r="B1012" s="1">
        <f>IFERROR(__xludf.DUMMYFUNCTION("""COMPUTED_VALUE"""),6.24)</f>
        <v>6.24</v>
      </c>
    </row>
    <row r="1013">
      <c r="A1013" s="2">
        <f>IFERROR(__xludf.DUMMYFUNCTION("""COMPUTED_VALUE"""),45574.66666666667)</f>
        <v>45574.66667</v>
      </c>
      <c r="B1013" s="1">
        <f>IFERROR(__xludf.DUMMYFUNCTION("""COMPUTED_VALUE"""),6.29)</f>
        <v>6.29</v>
      </c>
    </row>
    <row r="1014">
      <c r="A1014" s="2">
        <f>IFERROR(__xludf.DUMMYFUNCTION("""COMPUTED_VALUE"""),45575.66666666667)</f>
        <v>45575.66667</v>
      </c>
      <c r="B1014" s="1">
        <f>IFERROR(__xludf.DUMMYFUNCTION("""COMPUTED_VALUE"""),6.22)</f>
        <v>6.22</v>
      </c>
    </row>
    <row r="1015">
      <c r="A1015" s="2">
        <f>IFERROR(__xludf.DUMMYFUNCTION("""COMPUTED_VALUE"""),45576.66666666667)</f>
        <v>45576.66667</v>
      </c>
      <c r="B1015" s="1">
        <f>IFERROR(__xludf.DUMMYFUNCTION("""COMPUTED_VALUE"""),6.24)</f>
        <v>6.24</v>
      </c>
    </row>
    <row r="1016">
      <c r="A1016" s="2">
        <f>IFERROR(__xludf.DUMMYFUNCTION("""COMPUTED_VALUE"""),45579.66666666667)</f>
        <v>45579.66667</v>
      </c>
      <c r="B1016" s="1">
        <f>IFERROR(__xludf.DUMMYFUNCTION("""COMPUTED_VALUE"""),5.79)</f>
        <v>5.79</v>
      </c>
    </row>
    <row r="1017">
      <c r="A1017" s="2">
        <f>IFERROR(__xludf.DUMMYFUNCTION("""COMPUTED_VALUE"""),45580.66666666667)</f>
        <v>45580.66667</v>
      </c>
      <c r="B1017" s="1">
        <f>IFERROR(__xludf.DUMMYFUNCTION("""COMPUTED_VALUE"""),5.62)</f>
        <v>5.62</v>
      </c>
    </row>
    <row r="1018">
      <c r="A1018" s="2">
        <f>IFERROR(__xludf.DUMMYFUNCTION("""COMPUTED_VALUE"""),45581.66666666667)</f>
        <v>45581.66667</v>
      </c>
      <c r="B1018" s="1">
        <f>IFERROR(__xludf.DUMMYFUNCTION("""COMPUTED_VALUE"""),5.51)</f>
        <v>5.51</v>
      </c>
    </row>
    <row r="1019">
      <c r="A1019" s="2">
        <f>IFERROR(__xludf.DUMMYFUNCTION("""COMPUTED_VALUE"""),45582.66666666667)</f>
        <v>45582.66667</v>
      </c>
      <c r="B1019" s="1">
        <f>IFERROR(__xludf.DUMMYFUNCTION("""COMPUTED_VALUE"""),5.15)</f>
        <v>5.15</v>
      </c>
    </row>
    <row r="1020">
      <c r="A1020" s="2">
        <f>IFERROR(__xludf.DUMMYFUNCTION("""COMPUTED_VALUE"""),45583.66666666667)</f>
        <v>45583.66667</v>
      </c>
      <c r="B1020" s="1">
        <f>IFERROR(__xludf.DUMMYFUNCTION("""COMPUTED_VALUE"""),5.22)</f>
        <v>5.22</v>
      </c>
    </row>
    <row r="1021">
      <c r="A1021" s="2">
        <f>IFERROR(__xludf.DUMMYFUNCTION("""COMPUTED_VALUE"""),45586.66666666667)</f>
        <v>45586.66667</v>
      </c>
      <c r="B1021" s="1">
        <f>IFERROR(__xludf.DUMMYFUNCTION("""COMPUTED_VALUE"""),5.14)</f>
        <v>5.14</v>
      </c>
    </row>
    <row r="1022">
      <c r="A1022" s="2">
        <f>IFERROR(__xludf.DUMMYFUNCTION("""COMPUTED_VALUE"""),45587.66666666667)</f>
        <v>45587.66667</v>
      </c>
      <c r="B1022" s="1">
        <f>IFERROR(__xludf.DUMMYFUNCTION("""COMPUTED_VALUE"""),5.23)</f>
        <v>5.23</v>
      </c>
    </row>
    <row r="1023">
      <c r="A1023" s="2">
        <f>IFERROR(__xludf.DUMMYFUNCTION("""COMPUTED_VALUE"""),45588.66666666667)</f>
        <v>45588.66667</v>
      </c>
      <c r="B1023" s="1">
        <f>IFERROR(__xludf.DUMMYFUNCTION("""COMPUTED_VALUE"""),5.19)</f>
        <v>5.19</v>
      </c>
    </row>
    <row r="1024">
      <c r="A1024" s="2">
        <f>IFERROR(__xludf.DUMMYFUNCTION("""COMPUTED_VALUE"""),45589.66666666667)</f>
        <v>45589.66667</v>
      </c>
      <c r="B1024" s="1">
        <f>IFERROR(__xludf.DUMMYFUNCTION("""COMPUTED_VALUE"""),4.98)</f>
        <v>4.98</v>
      </c>
    </row>
    <row r="1025">
      <c r="A1025" s="2">
        <f>IFERROR(__xludf.DUMMYFUNCTION("""COMPUTED_VALUE"""),45590.66666666667)</f>
        <v>45590.66667</v>
      </c>
      <c r="B1025" s="1">
        <f>IFERROR(__xludf.DUMMYFUNCTION("""COMPUTED_VALUE"""),5.26)</f>
        <v>5.26</v>
      </c>
    </row>
    <row r="1026">
      <c r="A1026" s="2">
        <f>IFERROR(__xludf.DUMMYFUNCTION("""COMPUTED_VALUE"""),45593.66666666667)</f>
        <v>45593.66667</v>
      </c>
      <c r="B1026" s="1">
        <f>IFERROR(__xludf.DUMMYFUNCTION("""COMPUTED_VALUE"""),5.81)</f>
        <v>5.81</v>
      </c>
    </row>
    <row r="1027">
      <c r="A1027" s="2">
        <f>IFERROR(__xludf.DUMMYFUNCTION("""COMPUTED_VALUE"""),45594.66666666667)</f>
        <v>45594.66667</v>
      </c>
      <c r="B1027" s="1">
        <f>IFERROR(__xludf.DUMMYFUNCTION("""COMPUTED_VALUE"""),5.6)</f>
        <v>5.6</v>
      </c>
    </row>
    <row r="1028">
      <c r="A1028" s="2">
        <f>IFERROR(__xludf.DUMMYFUNCTION("""COMPUTED_VALUE"""),45595.66666666667)</f>
        <v>45595.66667</v>
      </c>
      <c r="B1028" s="1">
        <f>IFERROR(__xludf.DUMMYFUNCTION("""COMPUTED_VALUE"""),5.35)</f>
        <v>5.35</v>
      </c>
    </row>
    <row r="1029">
      <c r="A1029" s="2">
        <f>IFERROR(__xludf.DUMMYFUNCTION("""COMPUTED_VALUE"""),45596.66666666667)</f>
        <v>45596.66667</v>
      </c>
      <c r="B1029" s="1">
        <f>IFERROR(__xludf.DUMMYFUNCTION("""COMPUTED_VALUE"""),5.1)</f>
        <v>5.1</v>
      </c>
    </row>
    <row r="1030">
      <c r="A1030" s="2">
        <f>IFERROR(__xludf.DUMMYFUNCTION("""COMPUTED_VALUE"""),45597.66666666667)</f>
        <v>45597.66667</v>
      </c>
      <c r="B1030" s="1">
        <f>IFERROR(__xludf.DUMMYFUNCTION("""COMPUTED_VALUE"""),5.1)</f>
        <v>5.1</v>
      </c>
    </row>
    <row r="1031">
      <c r="A1031" s="2">
        <f>IFERROR(__xludf.DUMMYFUNCTION("""COMPUTED_VALUE"""),45600.66666666667)</f>
        <v>45600.66667</v>
      </c>
      <c r="B1031" s="1">
        <f>IFERROR(__xludf.DUMMYFUNCTION("""COMPUTED_VALUE"""),5.14)</f>
        <v>5.14</v>
      </c>
    </row>
    <row r="1032">
      <c r="A1032" s="2">
        <f>IFERROR(__xludf.DUMMYFUNCTION("""COMPUTED_VALUE"""),45601.66666666667)</f>
        <v>45601.66667</v>
      </c>
      <c r="B1032" s="1">
        <f>IFERROR(__xludf.DUMMYFUNCTION("""COMPUTED_VALUE"""),5.28)</f>
        <v>5.28</v>
      </c>
    </row>
    <row r="1033">
      <c r="A1033" s="2">
        <f>IFERROR(__xludf.DUMMYFUNCTION("""COMPUTED_VALUE"""),45602.66666666667)</f>
        <v>45602.66667</v>
      </c>
      <c r="B1033" s="1">
        <f>IFERROR(__xludf.DUMMYFUNCTION("""COMPUTED_VALUE"""),5.0)</f>
        <v>5</v>
      </c>
    </row>
    <row r="1034">
      <c r="A1034" s="2">
        <f>IFERROR(__xludf.DUMMYFUNCTION("""COMPUTED_VALUE"""),45603.66666666667)</f>
        <v>45603.66667</v>
      </c>
      <c r="B1034" s="1">
        <f>IFERROR(__xludf.DUMMYFUNCTION("""COMPUTED_VALUE"""),5.31)</f>
        <v>5.31</v>
      </c>
    </row>
    <row r="1035">
      <c r="A1035" s="2">
        <f>IFERROR(__xludf.DUMMYFUNCTION("""COMPUTED_VALUE"""),45604.66666666667)</f>
        <v>45604.66667</v>
      </c>
      <c r="B1035" s="1">
        <f>IFERROR(__xludf.DUMMYFUNCTION("""COMPUTED_VALUE"""),5.09)</f>
        <v>5.09</v>
      </c>
    </row>
    <row r="1036">
      <c r="A1036" s="2">
        <f>IFERROR(__xludf.DUMMYFUNCTION("""COMPUTED_VALUE"""),45607.66666666667)</f>
        <v>45607.66667</v>
      </c>
      <c r="B1036" s="1">
        <f>IFERROR(__xludf.DUMMYFUNCTION("""COMPUTED_VALUE"""),5.06)</f>
        <v>5.06</v>
      </c>
    </row>
    <row r="1037">
      <c r="A1037" s="2">
        <f>IFERROR(__xludf.DUMMYFUNCTION("""COMPUTED_VALUE"""),45608.66666666667)</f>
        <v>45608.66667</v>
      </c>
      <c r="B1037" s="1">
        <f>IFERROR(__xludf.DUMMYFUNCTION("""COMPUTED_VALUE"""),4.58)</f>
        <v>4.58</v>
      </c>
    </row>
    <row r="1038">
      <c r="A1038" s="2">
        <f>IFERROR(__xludf.DUMMYFUNCTION("""COMPUTED_VALUE"""),45609.66666666667)</f>
        <v>45609.66667</v>
      </c>
      <c r="B1038" s="1">
        <f>IFERROR(__xludf.DUMMYFUNCTION("""COMPUTED_VALUE"""),4.61)</f>
        <v>4.61</v>
      </c>
    </row>
    <row r="1039">
      <c r="A1039" s="2">
        <f>IFERROR(__xludf.DUMMYFUNCTION("""COMPUTED_VALUE"""),45610.66666666667)</f>
        <v>45610.66667</v>
      </c>
      <c r="B1039" s="1">
        <f>IFERROR(__xludf.DUMMYFUNCTION("""COMPUTED_VALUE"""),4.43)</f>
        <v>4.43</v>
      </c>
    </row>
    <row r="1040">
      <c r="A1040" s="2">
        <f>IFERROR(__xludf.DUMMYFUNCTION("""COMPUTED_VALUE"""),45611.66666666667)</f>
        <v>45611.66667</v>
      </c>
      <c r="B1040" s="1">
        <f>IFERROR(__xludf.DUMMYFUNCTION("""COMPUTED_VALUE"""),4.49)</f>
        <v>4.49</v>
      </c>
    </row>
    <row r="1041">
      <c r="A1041" s="2">
        <f>IFERROR(__xludf.DUMMYFUNCTION("""COMPUTED_VALUE"""),45614.66666666667)</f>
        <v>45614.66667</v>
      </c>
      <c r="B1041" s="1">
        <f>IFERROR(__xludf.DUMMYFUNCTION("""COMPUTED_VALUE"""),4.67)</f>
        <v>4.67</v>
      </c>
    </row>
    <row r="1042">
      <c r="A1042" s="2">
        <f>IFERROR(__xludf.DUMMYFUNCTION("""COMPUTED_VALUE"""),45615.66666666667)</f>
        <v>45615.66667</v>
      </c>
      <c r="B1042" s="1">
        <f>IFERROR(__xludf.DUMMYFUNCTION("""COMPUTED_VALUE"""),4.63)</f>
        <v>4.63</v>
      </c>
    </row>
    <row r="1043">
      <c r="A1043" s="2">
        <f>IFERROR(__xludf.DUMMYFUNCTION("""COMPUTED_VALUE"""),45616.66666666667)</f>
        <v>45616.66667</v>
      </c>
      <c r="B1043" s="1">
        <f>IFERROR(__xludf.DUMMYFUNCTION("""COMPUTED_VALUE"""),4.65)</f>
        <v>4.65</v>
      </c>
    </row>
    <row r="1044">
      <c r="A1044" s="2">
        <f>IFERROR(__xludf.DUMMYFUNCTION("""COMPUTED_VALUE"""),45617.66666666667)</f>
        <v>45617.66667</v>
      </c>
      <c r="B1044" s="1">
        <f>IFERROR(__xludf.DUMMYFUNCTION("""COMPUTED_VALUE"""),4.7)</f>
        <v>4.7</v>
      </c>
    </row>
    <row r="1045">
      <c r="A1045" s="2">
        <f>IFERROR(__xludf.DUMMYFUNCTION("""COMPUTED_VALUE"""),45618.66666666667)</f>
        <v>45618.66667</v>
      </c>
      <c r="B1045" s="1">
        <f>IFERROR(__xludf.DUMMYFUNCTION("""COMPUTED_VALUE"""),4.84)</f>
        <v>4.84</v>
      </c>
    </row>
    <row r="1046">
      <c r="A1046" s="2">
        <f>IFERROR(__xludf.DUMMYFUNCTION("""COMPUTED_VALUE"""),45621.66666666667)</f>
        <v>45621.66667</v>
      </c>
      <c r="B1046" s="1">
        <f>IFERROR(__xludf.DUMMYFUNCTION("""COMPUTED_VALUE"""),4.67)</f>
        <v>4.67</v>
      </c>
    </row>
    <row r="1047">
      <c r="A1047" s="2">
        <f>IFERROR(__xludf.DUMMYFUNCTION("""COMPUTED_VALUE"""),45622.66666666667)</f>
        <v>45622.66667</v>
      </c>
      <c r="B1047" s="1">
        <f>IFERROR(__xludf.DUMMYFUNCTION("""COMPUTED_VALUE"""),4.31)</f>
        <v>4.31</v>
      </c>
    </row>
    <row r="1048">
      <c r="A1048" s="2">
        <f>IFERROR(__xludf.DUMMYFUNCTION("""COMPUTED_VALUE"""),45623.66666666667)</f>
        <v>45623.66667</v>
      </c>
      <c r="B1048" s="1">
        <f>IFERROR(__xludf.DUMMYFUNCTION("""COMPUTED_VALUE"""),4.38)</f>
        <v>4.38</v>
      </c>
    </row>
    <row r="1049">
      <c r="A1049" s="2">
        <f>IFERROR(__xludf.DUMMYFUNCTION("""COMPUTED_VALUE"""),45625.54166666667)</f>
        <v>45625.54167</v>
      </c>
      <c r="B1049" s="1">
        <f>IFERROR(__xludf.DUMMYFUNCTION("""COMPUTED_VALUE"""),4.48)</f>
        <v>4.48</v>
      </c>
    </row>
    <row r="1050">
      <c r="A1050" s="2">
        <f>IFERROR(__xludf.DUMMYFUNCTION("""COMPUTED_VALUE"""),45628.66666666667)</f>
        <v>45628.66667</v>
      </c>
      <c r="B1050" s="1">
        <f>IFERROR(__xludf.DUMMYFUNCTION("""COMPUTED_VALUE"""),4.4)</f>
        <v>4.4</v>
      </c>
    </row>
    <row r="1051">
      <c r="A1051" s="2">
        <f>IFERROR(__xludf.DUMMYFUNCTION("""COMPUTED_VALUE"""),45629.66666666667)</f>
        <v>45629.66667</v>
      </c>
      <c r="B1051" s="1">
        <f>IFERROR(__xludf.DUMMYFUNCTION("""COMPUTED_VALUE"""),4.64)</f>
        <v>4.64</v>
      </c>
    </row>
    <row r="1052">
      <c r="A1052" s="2">
        <f>IFERROR(__xludf.DUMMYFUNCTION("""COMPUTED_VALUE"""),45630.66666666667)</f>
        <v>45630.66667</v>
      </c>
      <c r="B1052" s="1">
        <f>IFERROR(__xludf.DUMMYFUNCTION("""COMPUTED_VALUE"""),4.6)</f>
        <v>4.6</v>
      </c>
    </row>
    <row r="1053">
      <c r="A1053" s="2">
        <f>IFERROR(__xludf.DUMMYFUNCTION("""COMPUTED_VALUE"""),45631.66666666667)</f>
        <v>45631.66667</v>
      </c>
      <c r="B1053" s="1">
        <f>IFERROR(__xludf.DUMMYFUNCTION("""COMPUTED_VALUE"""),4.61)</f>
        <v>4.61</v>
      </c>
    </row>
    <row r="1054">
      <c r="A1054" s="2">
        <f>IFERROR(__xludf.DUMMYFUNCTION("""COMPUTED_VALUE"""),45632.66666666667)</f>
        <v>45632.66667</v>
      </c>
      <c r="B1054" s="1">
        <f>IFERROR(__xludf.DUMMYFUNCTION("""COMPUTED_VALUE"""),4.61)</f>
        <v>4.61</v>
      </c>
    </row>
    <row r="1055">
      <c r="A1055" s="2">
        <f>IFERROR(__xludf.DUMMYFUNCTION("""COMPUTED_VALUE"""),45635.66666666667)</f>
        <v>45635.66667</v>
      </c>
      <c r="B1055" s="1">
        <f>IFERROR(__xludf.DUMMYFUNCTION("""COMPUTED_VALUE"""),5.18)</f>
        <v>5.18</v>
      </c>
    </row>
    <row r="1056">
      <c r="A1056" s="2">
        <f>IFERROR(__xludf.DUMMYFUNCTION("""COMPUTED_VALUE"""),45636.66666666667)</f>
        <v>45636.66667</v>
      </c>
      <c r="B1056" s="1">
        <f>IFERROR(__xludf.DUMMYFUNCTION("""COMPUTED_VALUE"""),4.77)</f>
        <v>4.77</v>
      </c>
    </row>
    <row r="1057">
      <c r="A1057" s="2">
        <f>IFERROR(__xludf.DUMMYFUNCTION("""COMPUTED_VALUE"""),45637.66666666667)</f>
        <v>45637.66667</v>
      </c>
      <c r="B1057" s="1">
        <f>IFERROR(__xludf.DUMMYFUNCTION("""COMPUTED_VALUE"""),4.67)</f>
        <v>4.67</v>
      </c>
    </row>
    <row r="1058">
      <c r="A1058" s="2">
        <f>IFERROR(__xludf.DUMMYFUNCTION("""COMPUTED_VALUE"""),45638.66666666667)</f>
        <v>45638.66667</v>
      </c>
      <c r="B1058" s="1">
        <f>IFERROR(__xludf.DUMMYFUNCTION("""COMPUTED_VALUE"""),4.59)</f>
        <v>4.59</v>
      </c>
    </row>
    <row r="1059">
      <c r="A1059" s="2">
        <f>IFERROR(__xludf.DUMMYFUNCTION("""COMPUTED_VALUE"""),45639.66666666667)</f>
        <v>45639.66667</v>
      </c>
      <c r="B1059" s="1">
        <f>IFERROR(__xludf.DUMMYFUNCTION("""COMPUTED_VALUE"""),4.51)</f>
        <v>4.51</v>
      </c>
    </row>
    <row r="1060">
      <c r="A1060" s="2">
        <f>IFERROR(__xludf.DUMMYFUNCTION("""COMPUTED_VALUE"""),45642.66666666667)</f>
        <v>45642.66667</v>
      </c>
      <c r="B1060" s="1">
        <f>IFERROR(__xludf.DUMMYFUNCTION("""COMPUTED_VALUE"""),4.42)</f>
        <v>4.42</v>
      </c>
    </row>
    <row r="1061">
      <c r="A1061" s="2">
        <f>IFERROR(__xludf.DUMMYFUNCTION("""COMPUTED_VALUE"""),45643.66666666667)</f>
        <v>45643.66667</v>
      </c>
      <c r="B1061" s="1">
        <f>IFERROR(__xludf.DUMMYFUNCTION("""COMPUTED_VALUE"""),4.54)</f>
        <v>4.54</v>
      </c>
    </row>
    <row r="1062">
      <c r="A1062" s="2">
        <f>IFERROR(__xludf.DUMMYFUNCTION("""COMPUTED_VALUE"""),45644.66666666667)</f>
        <v>45644.66667</v>
      </c>
      <c r="B1062" s="1">
        <f>IFERROR(__xludf.DUMMYFUNCTION("""COMPUTED_VALUE"""),4.32)</f>
        <v>4.32</v>
      </c>
    </row>
    <row r="1063">
      <c r="A1063" s="2">
        <f>IFERROR(__xludf.DUMMYFUNCTION("""COMPUTED_VALUE"""),45645.66666666667)</f>
        <v>45645.66667</v>
      </c>
      <c r="B1063" s="1">
        <f>IFERROR(__xludf.DUMMYFUNCTION("""COMPUTED_VALUE"""),4.4)</f>
        <v>4.4</v>
      </c>
    </row>
    <row r="1064">
      <c r="A1064" s="2">
        <f>IFERROR(__xludf.DUMMYFUNCTION("""COMPUTED_VALUE"""),45646.66666666667)</f>
        <v>45646.66667</v>
      </c>
      <c r="B1064" s="1">
        <f>IFERROR(__xludf.DUMMYFUNCTION("""COMPUTED_VALUE"""),4.54)</f>
        <v>4.54</v>
      </c>
    </row>
    <row r="1065">
      <c r="A1065" s="2">
        <f>IFERROR(__xludf.DUMMYFUNCTION("""COMPUTED_VALUE"""),45649.66666666667)</f>
        <v>45649.66667</v>
      </c>
      <c r="B1065" s="1">
        <f>IFERROR(__xludf.DUMMYFUNCTION("""COMPUTED_VALUE"""),4.48)</f>
        <v>4.48</v>
      </c>
    </row>
    <row r="1066">
      <c r="A1066" s="2">
        <f>IFERROR(__xludf.DUMMYFUNCTION("""COMPUTED_VALUE"""),45650.54166666667)</f>
        <v>45650.54167</v>
      </c>
      <c r="B1066" s="1">
        <f>IFERROR(__xludf.DUMMYFUNCTION("""COMPUTED_VALUE"""),4.62)</f>
        <v>4.62</v>
      </c>
    </row>
    <row r="1067">
      <c r="A1067" s="2">
        <f>IFERROR(__xludf.DUMMYFUNCTION("""COMPUTED_VALUE"""),45652.66666666667)</f>
        <v>45652.66667</v>
      </c>
      <c r="B1067" s="1">
        <f>IFERROR(__xludf.DUMMYFUNCTION("""COMPUTED_VALUE"""),4.69)</f>
        <v>4.69</v>
      </c>
    </row>
    <row r="1068">
      <c r="A1068" s="2">
        <f>IFERROR(__xludf.DUMMYFUNCTION("""COMPUTED_VALUE"""),45653.66666666667)</f>
        <v>45653.66667</v>
      </c>
      <c r="B1068" s="1">
        <f>IFERROR(__xludf.DUMMYFUNCTION("""COMPUTED_VALUE"""),4.48)</f>
        <v>4.48</v>
      </c>
    </row>
    <row r="1069">
      <c r="A1069" s="2">
        <f>IFERROR(__xludf.DUMMYFUNCTION("""COMPUTED_VALUE"""),45656.66666666667)</f>
        <v>45656.66667</v>
      </c>
      <c r="B1069" s="1">
        <f>IFERROR(__xludf.DUMMYFUNCTION("""COMPUTED_VALUE"""),4.38)</f>
        <v>4.38</v>
      </c>
    </row>
    <row r="1070">
      <c r="A1070" s="2">
        <f>IFERROR(__xludf.DUMMYFUNCTION("""COMPUTED_VALUE"""),45657.66666666667)</f>
        <v>45657.66667</v>
      </c>
      <c r="B1070" s="1">
        <f>IFERROR(__xludf.DUMMYFUNCTION("""COMPUTED_VALUE"""),4.36)</f>
        <v>4.36</v>
      </c>
    </row>
    <row r="1071">
      <c r="A1071" s="2">
        <f>IFERROR(__xludf.DUMMYFUNCTION("""COMPUTED_VALUE"""),45659.66666666667)</f>
        <v>45659.66667</v>
      </c>
      <c r="B1071" s="1">
        <f>IFERROR(__xludf.DUMMYFUNCTION("""COMPUTED_VALUE"""),4.55)</f>
        <v>4.55</v>
      </c>
    </row>
    <row r="1072">
      <c r="A1072" s="2">
        <f>IFERROR(__xludf.DUMMYFUNCTION("""COMPUTED_VALUE"""),45660.66666666667)</f>
        <v>45660.66667</v>
      </c>
      <c r="B1072" s="1">
        <f>IFERROR(__xludf.DUMMYFUNCTION("""COMPUTED_VALUE"""),4.63)</f>
        <v>4.63</v>
      </c>
    </row>
    <row r="1073">
      <c r="A1073" s="2">
        <f>IFERROR(__xludf.DUMMYFUNCTION("""COMPUTED_VALUE"""),45663.66666666667)</f>
        <v>45663.66667</v>
      </c>
      <c r="B1073" s="1">
        <f>IFERROR(__xludf.DUMMYFUNCTION("""COMPUTED_VALUE"""),4.71)</f>
        <v>4.71</v>
      </c>
    </row>
    <row r="1074">
      <c r="A1074" s="2">
        <f>IFERROR(__xludf.DUMMYFUNCTION("""COMPUTED_VALUE"""),45664.66666666667)</f>
        <v>45664.66667</v>
      </c>
      <c r="B1074" s="1">
        <f>IFERROR(__xludf.DUMMYFUNCTION("""COMPUTED_VALUE"""),4.51)</f>
        <v>4.51</v>
      </c>
    </row>
    <row r="1075">
      <c r="A1075" s="2">
        <f>IFERROR(__xludf.DUMMYFUNCTION("""COMPUTED_VALUE"""),45665.66666666667)</f>
        <v>45665.66667</v>
      </c>
      <c r="B1075" s="1">
        <f>IFERROR(__xludf.DUMMYFUNCTION("""COMPUTED_VALUE"""),4.32)</f>
        <v>4.32</v>
      </c>
    </row>
    <row r="1076">
      <c r="A1076" s="2">
        <f>IFERROR(__xludf.DUMMYFUNCTION("""COMPUTED_VALUE"""),45667.66666666667)</f>
        <v>45667.66667</v>
      </c>
      <c r="B1076" s="1">
        <f>IFERROR(__xludf.DUMMYFUNCTION("""COMPUTED_VALUE"""),4.17)</f>
        <v>4.17</v>
      </c>
    </row>
    <row r="1077">
      <c r="A1077" s="2">
        <f>IFERROR(__xludf.DUMMYFUNCTION("""COMPUTED_VALUE"""),45670.66666666667)</f>
        <v>45670.66667</v>
      </c>
      <c r="B1077" s="1">
        <f>IFERROR(__xludf.DUMMYFUNCTION("""COMPUTED_VALUE"""),4.06)</f>
        <v>4.06</v>
      </c>
    </row>
    <row r="1078">
      <c r="A1078" s="2">
        <f>IFERROR(__xludf.DUMMYFUNCTION("""COMPUTED_VALUE"""),45671.66666666667)</f>
        <v>45671.66667</v>
      </c>
      <c r="B1078" s="1">
        <f>IFERROR(__xludf.DUMMYFUNCTION("""COMPUTED_VALUE"""),4.08)</f>
        <v>4.08</v>
      </c>
    </row>
    <row r="1079">
      <c r="A1079" s="2">
        <f>IFERROR(__xludf.DUMMYFUNCTION("""COMPUTED_VALUE"""),45672.66666666667)</f>
        <v>45672.66667</v>
      </c>
      <c r="B1079" s="1">
        <f>IFERROR(__xludf.DUMMYFUNCTION("""COMPUTED_VALUE"""),4.1)</f>
        <v>4.1</v>
      </c>
    </row>
    <row r="1080">
      <c r="A1080" s="2">
        <f>IFERROR(__xludf.DUMMYFUNCTION("""COMPUTED_VALUE"""),45673.66666666667)</f>
        <v>45673.66667</v>
      </c>
      <c r="B1080" s="1">
        <f>IFERROR(__xludf.DUMMYFUNCTION("""COMPUTED_VALUE"""),4.16)</f>
        <v>4.16</v>
      </c>
    </row>
    <row r="1081">
      <c r="A1081" s="2">
        <f>IFERROR(__xludf.DUMMYFUNCTION("""COMPUTED_VALUE"""),45674.66666666667)</f>
        <v>45674.66667</v>
      </c>
      <c r="B1081" s="1">
        <f>IFERROR(__xludf.DUMMYFUNCTION("""COMPUTED_VALUE"""),4.36)</f>
        <v>4.36</v>
      </c>
    </row>
    <row r="1082">
      <c r="A1082" s="2">
        <f>IFERROR(__xludf.DUMMYFUNCTION("""COMPUTED_VALUE"""),45678.66666666667)</f>
        <v>45678.66667</v>
      </c>
      <c r="B1082" s="1">
        <f>IFERROR(__xludf.DUMMYFUNCTION("""COMPUTED_VALUE"""),4.18)</f>
        <v>4.18</v>
      </c>
    </row>
    <row r="1083">
      <c r="A1083" s="2">
        <f>IFERROR(__xludf.DUMMYFUNCTION("""COMPUTED_VALUE"""),45679.66666666667)</f>
        <v>45679.66667</v>
      </c>
      <c r="B1083" s="1">
        <f>IFERROR(__xludf.DUMMYFUNCTION("""COMPUTED_VALUE"""),4.28)</f>
        <v>4.28</v>
      </c>
    </row>
    <row r="1084">
      <c r="A1084" s="2">
        <f>IFERROR(__xludf.DUMMYFUNCTION("""COMPUTED_VALUE"""),45680.66666666667)</f>
        <v>45680.66667</v>
      </c>
      <c r="B1084" s="1">
        <f>IFERROR(__xludf.DUMMYFUNCTION("""COMPUTED_VALUE"""),4.13)</f>
        <v>4.13</v>
      </c>
    </row>
    <row r="1085">
      <c r="A1085" s="2">
        <f>IFERROR(__xludf.DUMMYFUNCTION("""COMPUTED_VALUE"""),45681.66666666667)</f>
        <v>45681.66667</v>
      </c>
      <c r="B1085" s="1">
        <f>IFERROR(__xludf.DUMMYFUNCTION("""COMPUTED_VALUE"""),4.29)</f>
        <v>4.29</v>
      </c>
    </row>
    <row r="1086">
      <c r="A1086" s="2">
        <f>IFERROR(__xludf.DUMMYFUNCTION("""COMPUTED_VALUE"""),45684.66666666667)</f>
        <v>45684.66667</v>
      </c>
      <c r="B1086" s="1">
        <f>IFERROR(__xludf.DUMMYFUNCTION("""COMPUTED_VALUE"""),4.27)</f>
        <v>4.27</v>
      </c>
    </row>
    <row r="1087">
      <c r="A1087" s="2">
        <f>IFERROR(__xludf.DUMMYFUNCTION("""COMPUTED_VALUE"""),45685.66666666667)</f>
        <v>45685.66667</v>
      </c>
      <c r="B1087" s="1">
        <f>IFERROR(__xludf.DUMMYFUNCTION("""COMPUTED_VALUE"""),4.32)</f>
        <v>4.32</v>
      </c>
    </row>
    <row r="1088">
      <c r="A1088" s="2">
        <f>IFERROR(__xludf.DUMMYFUNCTION("""COMPUTED_VALUE"""),45686.66666666667)</f>
        <v>45686.66667</v>
      </c>
      <c r="B1088" s="1">
        <f>IFERROR(__xludf.DUMMYFUNCTION("""COMPUTED_VALUE"""),4.22)</f>
        <v>4.22</v>
      </c>
    </row>
    <row r="1089">
      <c r="A1089" s="2">
        <f>IFERROR(__xludf.DUMMYFUNCTION("""COMPUTED_VALUE"""),45687.66666666667)</f>
        <v>45687.66667</v>
      </c>
      <c r="B1089" s="1">
        <f>IFERROR(__xludf.DUMMYFUNCTION("""COMPUTED_VALUE"""),4.44)</f>
        <v>4.44</v>
      </c>
    </row>
    <row r="1090">
      <c r="A1090" s="2">
        <f>IFERROR(__xludf.DUMMYFUNCTION("""COMPUTED_VALUE"""),45688.66666666667)</f>
        <v>45688.66667</v>
      </c>
      <c r="B1090" s="1">
        <f>IFERROR(__xludf.DUMMYFUNCTION("""COMPUTED_VALUE"""),4.32)</f>
        <v>4.32</v>
      </c>
    </row>
    <row r="1091">
      <c r="A1091" s="2">
        <f>IFERROR(__xludf.DUMMYFUNCTION("""COMPUTED_VALUE"""),45691.66666666667)</f>
        <v>45691.66667</v>
      </c>
      <c r="B1091" s="1">
        <f>IFERROR(__xludf.DUMMYFUNCTION("""COMPUTED_VALUE"""),4.28)</f>
        <v>4.28</v>
      </c>
    </row>
    <row r="1092">
      <c r="A1092" s="2">
        <f>IFERROR(__xludf.DUMMYFUNCTION("""COMPUTED_VALUE"""),45692.66666666667)</f>
        <v>45692.66667</v>
      </c>
      <c r="B1092" s="1">
        <f>IFERROR(__xludf.DUMMYFUNCTION("""COMPUTED_VALUE"""),4.39)</f>
        <v>4.39</v>
      </c>
    </row>
    <row r="1093">
      <c r="A1093" s="2">
        <f>IFERROR(__xludf.DUMMYFUNCTION("""COMPUTED_VALUE"""),45693.66666666667)</f>
        <v>45693.66667</v>
      </c>
      <c r="B1093" s="1">
        <f>IFERROR(__xludf.DUMMYFUNCTION("""COMPUTED_VALUE"""),4.2)</f>
        <v>4.2</v>
      </c>
    </row>
    <row r="1094">
      <c r="A1094" s="2">
        <f>IFERROR(__xludf.DUMMYFUNCTION("""COMPUTED_VALUE"""),45694.66666666667)</f>
        <v>45694.66667</v>
      </c>
      <c r="B1094" s="1">
        <f>IFERROR(__xludf.DUMMYFUNCTION("""COMPUTED_VALUE"""),4.2)</f>
        <v>4.2</v>
      </c>
    </row>
    <row r="1095">
      <c r="A1095" s="2">
        <f>IFERROR(__xludf.DUMMYFUNCTION("""COMPUTED_VALUE"""),45695.66666666667)</f>
        <v>45695.66667</v>
      </c>
      <c r="B1095" s="1">
        <f>IFERROR(__xludf.DUMMYFUNCTION("""COMPUTED_VALUE"""),4.24)</f>
        <v>4.24</v>
      </c>
    </row>
    <row r="1096">
      <c r="A1096" s="2">
        <f>IFERROR(__xludf.DUMMYFUNCTION("""COMPUTED_VALUE"""),45698.66666666667)</f>
        <v>45698.66667</v>
      </c>
      <c r="B1096" s="1">
        <f>IFERROR(__xludf.DUMMYFUNCTION("""COMPUTED_VALUE"""),4.33)</f>
        <v>4.33</v>
      </c>
    </row>
    <row r="1097">
      <c r="A1097" s="2">
        <f>IFERROR(__xludf.DUMMYFUNCTION("""COMPUTED_VALUE"""),45699.66666666667)</f>
        <v>45699.66667</v>
      </c>
      <c r="B1097" s="1">
        <f>IFERROR(__xludf.DUMMYFUNCTION("""COMPUTED_VALUE"""),4.04)</f>
        <v>4.04</v>
      </c>
    </row>
    <row r="1098">
      <c r="A1098" s="2">
        <f>IFERROR(__xludf.DUMMYFUNCTION("""COMPUTED_VALUE"""),45700.66666666667)</f>
        <v>45700.66667</v>
      </c>
      <c r="B1098" s="1">
        <f>IFERROR(__xludf.DUMMYFUNCTION("""COMPUTED_VALUE"""),4.21)</f>
        <v>4.21</v>
      </c>
    </row>
    <row r="1099">
      <c r="A1099" s="2">
        <f>IFERROR(__xludf.DUMMYFUNCTION("""COMPUTED_VALUE"""),45701.66666666667)</f>
        <v>45701.66667</v>
      </c>
      <c r="B1099" s="1">
        <f>IFERROR(__xludf.DUMMYFUNCTION("""COMPUTED_VALUE"""),4.26)</f>
        <v>4.26</v>
      </c>
    </row>
    <row r="1100">
      <c r="A1100" s="2">
        <f>IFERROR(__xludf.DUMMYFUNCTION("""COMPUTED_VALUE"""),45702.66666666667)</f>
        <v>45702.66667</v>
      </c>
      <c r="B1100" s="1">
        <f>IFERROR(__xludf.DUMMYFUNCTION("""COMPUTED_VALUE"""),4.44)</f>
        <v>4.44</v>
      </c>
    </row>
    <row r="1101">
      <c r="A1101" s="2">
        <f>IFERROR(__xludf.DUMMYFUNCTION("""COMPUTED_VALUE"""),45706.66666666667)</f>
        <v>45706.66667</v>
      </c>
      <c r="B1101" s="1">
        <f>IFERROR(__xludf.DUMMYFUNCTION("""COMPUTED_VALUE"""),4.36)</f>
        <v>4.36</v>
      </c>
    </row>
    <row r="1102">
      <c r="A1102" s="2">
        <f>IFERROR(__xludf.DUMMYFUNCTION("""COMPUTED_VALUE"""),45707.66666666667)</f>
        <v>45707.66667</v>
      </c>
      <c r="B1102" s="1">
        <f>IFERROR(__xludf.DUMMYFUNCTION("""COMPUTED_VALUE"""),4.39)</f>
        <v>4.39</v>
      </c>
    </row>
    <row r="1103">
      <c r="A1103" s="2">
        <f>IFERROR(__xludf.DUMMYFUNCTION("""COMPUTED_VALUE"""),45708.66666666667)</f>
        <v>45708.66667</v>
      </c>
      <c r="B1103" s="1">
        <f>IFERROR(__xludf.DUMMYFUNCTION("""COMPUTED_VALUE"""),4.37)</f>
        <v>4.37</v>
      </c>
    </row>
    <row r="1104">
      <c r="A1104" s="2">
        <f>IFERROR(__xludf.DUMMYFUNCTION("""COMPUTED_VALUE"""),45709.66666666667)</f>
        <v>45709.66667</v>
      </c>
      <c r="B1104" s="1">
        <f>IFERROR(__xludf.DUMMYFUNCTION("""COMPUTED_VALUE"""),4.44)</f>
        <v>4.44</v>
      </c>
    </row>
    <row r="1105">
      <c r="A1105" s="2">
        <f>IFERROR(__xludf.DUMMYFUNCTION("""COMPUTED_VALUE"""),45712.66666666667)</f>
        <v>45712.66667</v>
      </c>
      <c r="B1105" s="1">
        <f>IFERROR(__xludf.DUMMYFUNCTION("""COMPUTED_VALUE"""),4.36)</f>
        <v>4.36</v>
      </c>
    </row>
    <row r="1106">
      <c r="A1106" s="2">
        <f>IFERROR(__xludf.DUMMYFUNCTION("""COMPUTED_VALUE"""),45713.66666666667)</f>
        <v>45713.66667</v>
      </c>
      <c r="B1106" s="1">
        <f>IFERROR(__xludf.DUMMYFUNCTION("""COMPUTED_VALUE"""),4.27)</f>
        <v>4.27</v>
      </c>
    </row>
    <row r="1107">
      <c r="A1107" s="2">
        <f>IFERROR(__xludf.DUMMYFUNCTION("""COMPUTED_VALUE"""),45714.66666666667)</f>
        <v>45714.66667</v>
      </c>
      <c r="B1107" s="1">
        <f>IFERROR(__xludf.DUMMYFUNCTION("""COMPUTED_VALUE"""),4.72)</f>
        <v>4.72</v>
      </c>
    </row>
    <row r="1108">
      <c r="A1108" s="2">
        <f>IFERROR(__xludf.DUMMYFUNCTION("""COMPUTED_VALUE"""),45715.66666666667)</f>
        <v>45715.66667</v>
      </c>
      <c r="B1108" s="1">
        <f>IFERROR(__xludf.DUMMYFUNCTION("""COMPUTED_VALUE"""),4.79)</f>
        <v>4.79</v>
      </c>
    </row>
    <row r="1109">
      <c r="A1109" s="2">
        <f>IFERROR(__xludf.DUMMYFUNCTION("""COMPUTED_VALUE"""),45716.66666666667)</f>
        <v>45716.66667</v>
      </c>
      <c r="B1109" s="1">
        <f>IFERROR(__xludf.DUMMYFUNCTION("""COMPUTED_VALUE"""),4.63)</f>
        <v>4.63</v>
      </c>
    </row>
    <row r="1110">
      <c r="A1110" s="2">
        <f>IFERROR(__xludf.DUMMYFUNCTION("""COMPUTED_VALUE"""),45719.66666666667)</f>
        <v>45719.66667</v>
      </c>
      <c r="B1110" s="1">
        <f>IFERROR(__xludf.DUMMYFUNCTION("""COMPUTED_VALUE"""),4.23)</f>
        <v>4.23</v>
      </c>
    </row>
    <row r="1111">
      <c r="A1111" s="2">
        <f>IFERROR(__xludf.DUMMYFUNCTION("""COMPUTED_VALUE"""),45720.66666666667)</f>
        <v>45720.66667</v>
      </c>
      <c r="B1111" s="1">
        <f>IFERROR(__xludf.DUMMYFUNCTION("""COMPUTED_VALUE"""),4.22)</f>
        <v>4.22</v>
      </c>
    </row>
    <row r="1112">
      <c r="A1112" s="2">
        <f>IFERROR(__xludf.DUMMYFUNCTION("""COMPUTED_VALUE"""),45721.66666666667)</f>
        <v>45721.66667</v>
      </c>
      <c r="B1112" s="1">
        <f>IFERROR(__xludf.DUMMYFUNCTION("""COMPUTED_VALUE"""),4.35)</f>
        <v>4.35</v>
      </c>
    </row>
    <row r="1113">
      <c r="A1113" s="2">
        <f>IFERROR(__xludf.DUMMYFUNCTION("""COMPUTED_VALUE"""),45722.66666666667)</f>
        <v>45722.66667</v>
      </c>
      <c r="B1113" s="1">
        <f>IFERROR(__xludf.DUMMYFUNCTION("""COMPUTED_VALUE"""),4.24)</f>
        <v>4.24</v>
      </c>
    </row>
    <row r="1114">
      <c r="A1114" s="2">
        <f>IFERROR(__xludf.DUMMYFUNCTION("""COMPUTED_VALUE"""),45723.66666666667)</f>
        <v>45723.66667</v>
      </c>
      <c r="B1114" s="1">
        <f>IFERROR(__xludf.DUMMYFUNCTION("""COMPUTED_VALUE"""),4.47)</f>
        <v>4.47</v>
      </c>
    </row>
    <row r="1115">
      <c r="A1115" s="2">
        <f>IFERROR(__xludf.DUMMYFUNCTION("""COMPUTED_VALUE"""),45726.66666666667)</f>
        <v>45726.66667</v>
      </c>
      <c r="B1115" s="1">
        <f>IFERROR(__xludf.DUMMYFUNCTION("""COMPUTED_VALUE"""),4.46)</f>
        <v>4.46</v>
      </c>
    </row>
    <row r="1116">
      <c r="A1116" s="2">
        <f>IFERROR(__xludf.DUMMYFUNCTION("""COMPUTED_VALUE"""),45727.66666666667)</f>
        <v>45727.66667</v>
      </c>
      <c r="B1116" s="1">
        <f>IFERROR(__xludf.DUMMYFUNCTION("""COMPUTED_VALUE"""),5.22)</f>
        <v>5.22</v>
      </c>
    </row>
    <row r="1117">
      <c r="A1117" s="2">
        <f>IFERROR(__xludf.DUMMYFUNCTION("""COMPUTED_VALUE"""),45728.66666666667)</f>
        <v>45728.66667</v>
      </c>
      <c r="B1117" s="1">
        <f>IFERROR(__xludf.DUMMYFUNCTION("""COMPUTED_VALUE"""),5.1)</f>
        <v>5.1</v>
      </c>
    </row>
    <row r="1118">
      <c r="A1118" s="2">
        <f>IFERROR(__xludf.DUMMYFUNCTION("""COMPUTED_VALUE"""),45729.66666666667)</f>
        <v>45729.66667</v>
      </c>
      <c r="B1118" s="1">
        <f>IFERROR(__xludf.DUMMYFUNCTION("""COMPUTED_VALUE"""),4.73)</f>
        <v>4.73</v>
      </c>
    </row>
    <row r="1119">
      <c r="A1119" s="2">
        <f>IFERROR(__xludf.DUMMYFUNCTION("""COMPUTED_VALUE"""),45730.66666666667)</f>
        <v>45730.66667</v>
      </c>
      <c r="B1119" s="1">
        <f>IFERROR(__xludf.DUMMYFUNCTION("""COMPUTED_VALUE"""),4.9)</f>
        <v>4.9</v>
      </c>
    </row>
    <row r="1120">
      <c r="A1120" s="2">
        <f>IFERROR(__xludf.DUMMYFUNCTION("""COMPUTED_VALUE"""),45733.66666666667)</f>
        <v>45733.66667</v>
      </c>
      <c r="B1120" s="1">
        <f>IFERROR(__xludf.DUMMYFUNCTION("""COMPUTED_VALUE"""),5.03)</f>
        <v>5.03</v>
      </c>
    </row>
    <row r="1121">
      <c r="A1121" s="2">
        <f>IFERROR(__xludf.DUMMYFUNCTION("""COMPUTED_VALUE"""),45734.66666666667)</f>
        <v>45734.66667</v>
      </c>
      <c r="B1121" s="1">
        <f>IFERROR(__xludf.DUMMYFUNCTION("""COMPUTED_VALUE"""),5.19)</f>
        <v>5.19</v>
      </c>
    </row>
    <row r="1122">
      <c r="A1122" s="2">
        <f>IFERROR(__xludf.DUMMYFUNCTION("""COMPUTED_VALUE"""),45735.66666666667)</f>
        <v>45735.66667</v>
      </c>
      <c r="B1122" s="1">
        <f>IFERROR(__xludf.DUMMYFUNCTION("""COMPUTED_VALUE"""),5.17)</f>
        <v>5.17</v>
      </c>
    </row>
    <row r="1123">
      <c r="A1123" s="2">
        <f>IFERROR(__xludf.DUMMYFUNCTION("""COMPUTED_VALUE"""),45736.66666666667)</f>
        <v>45736.66667</v>
      </c>
      <c r="B1123" s="1">
        <f>IFERROR(__xludf.DUMMYFUNCTION("""COMPUTED_VALUE"""),4.71)</f>
        <v>4.71</v>
      </c>
    </row>
    <row r="1124">
      <c r="A1124" s="2">
        <f>IFERROR(__xludf.DUMMYFUNCTION("""COMPUTED_VALUE"""),45737.66666666667)</f>
        <v>45737.66667</v>
      </c>
      <c r="B1124" s="1">
        <f>IFERROR(__xludf.DUMMYFUNCTION("""COMPUTED_VALUE"""),4.5)</f>
        <v>4.5</v>
      </c>
    </row>
    <row r="1125">
      <c r="A1125" s="2">
        <f>IFERROR(__xludf.DUMMYFUNCTION("""COMPUTED_VALUE"""),45740.66666666667)</f>
        <v>45740.66667</v>
      </c>
      <c r="B1125" s="1">
        <f>IFERROR(__xludf.DUMMYFUNCTION("""COMPUTED_VALUE"""),4.38)</f>
        <v>4.38</v>
      </c>
    </row>
    <row r="1126">
      <c r="A1126" s="2">
        <f>IFERROR(__xludf.DUMMYFUNCTION("""COMPUTED_VALUE"""),45741.66666666667)</f>
        <v>45741.66667</v>
      </c>
      <c r="B1126" s="1">
        <f>IFERROR(__xludf.DUMMYFUNCTION("""COMPUTED_VALUE"""),4.39)</f>
        <v>4.39</v>
      </c>
    </row>
    <row r="1127">
      <c r="A1127" s="2">
        <f>IFERROR(__xludf.DUMMYFUNCTION("""COMPUTED_VALUE"""),45742.66666666667)</f>
        <v>45742.66667</v>
      </c>
      <c r="B1127" s="1">
        <f>IFERROR(__xludf.DUMMYFUNCTION("""COMPUTED_VALUE"""),4.22)</f>
        <v>4.22</v>
      </c>
    </row>
    <row r="1128">
      <c r="A1128" s="2">
        <f>IFERROR(__xludf.DUMMYFUNCTION("""COMPUTED_VALUE"""),45743.66666666667)</f>
        <v>45743.66667</v>
      </c>
      <c r="B1128" s="1">
        <f>IFERROR(__xludf.DUMMYFUNCTION("""COMPUTED_VALUE"""),3.98)</f>
        <v>3.98</v>
      </c>
    </row>
    <row r="1129">
      <c r="A1129" s="2">
        <f>IFERROR(__xludf.DUMMYFUNCTION("""COMPUTED_VALUE"""),45744.66666666667)</f>
        <v>45744.66667</v>
      </c>
      <c r="B1129" s="1">
        <f>IFERROR(__xludf.DUMMYFUNCTION("""COMPUTED_VALUE"""),3.75)</f>
        <v>3.75</v>
      </c>
    </row>
    <row r="1130">
      <c r="A1130" s="2">
        <f>IFERROR(__xludf.DUMMYFUNCTION("""COMPUTED_VALUE"""),45747.66666666667)</f>
        <v>45747.66667</v>
      </c>
      <c r="B1130" s="1">
        <f>IFERROR(__xludf.DUMMYFUNCTION("""COMPUTED_VALUE"""),3.81)</f>
        <v>3.81</v>
      </c>
    </row>
    <row r="1131">
      <c r="A1131" s="2">
        <f>IFERROR(__xludf.DUMMYFUNCTION("""COMPUTED_VALUE"""),45748.66666666667)</f>
        <v>45748.66667</v>
      </c>
      <c r="B1131" s="1">
        <f>IFERROR(__xludf.DUMMYFUNCTION("""COMPUTED_VALUE"""),3.87)</f>
        <v>3.87</v>
      </c>
    </row>
    <row r="1132">
      <c r="A1132" s="2">
        <f>IFERROR(__xludf.DUMMYFUNCTION("""COMPUTED_VALUE"""),45749.66666666667)</f>
        <v>45749.66667</v>
      </c>
      <c r="B1132" s="1">
        <f>IFERROR(__xludf.DUMMYFUNCTION("""COMPUTED_VALUE"""),3.8)</f>
        <v>3.8</v>
      </c>
    </row>
    <row r="1133">
      <c r="A1133" s="2">
        <f>IFERROR(__xludf.DUMMYFUNCTION("""COMPUTED_VALUE"""),45750.66666666667)</f>
        <v>45750.66667</v>
      </c>
      <c r="B1133" s="1">
        <f>IFERROR(__xludf.DUMMYFUNCTION("""COMPUTED_VALUE"""),3.74)</f>
        <v>3.74</v>
      </c>
    </row>
    <row r="1134">
      <c r="A1134" s="2">
        <f>IFERROR(__xludf.DUMMYFUNCTION("""COMPUTED_VALUE"""),45751.66666666667)</f>
        <v>45751.66667</v>
      </c>
      <c r="B1134" s="1">
        <f>IFERROR(__xludf.DUMMYFUNCTION("""COMPUTED_VALUE"""),3.46)</f>
        <v>3.46</v>
      </c>
    </row>
    <row r="1135">
      <c r="A1135" s="2">
        <f>IFERROR(__xludf.DUMMYFUNCTION("""COMPUTED_VALUE"""),45754.66666666667)</f>
        <v>45754.66667</v>
      </c>
      <c r="B1135" s="1">
        <f>IFERROR(__xludf.DUMMYFUNCTION("""COMPUTED_VALUE"""),3.36)</f>
        <v>3.36</v>
      </c>
    </row>
    <row r="1136">
      <c r="A1136" s="2">
        <f>IFERROR(__xludf.DUMMYFUNCTION("""COMPUTED_VALUE"""),45755.66666666667)</f>
        <v>45755.66667</v>
      </c>
      <c r="B1136" s="1">
        <f>IFERROR(__xludf.DUMMYFUNCTION("""COMPUTED_VALUE"""),3.14)</f>
        <v>3.14</v>
      </c>
    </row>
    <row r="1137">
      <c r="A1137" s="2">
        <f>IFERROR(__xludf.DUMMYFUNCTION("""COMPUTED_VALUE"""),45756.66666666667)</f>
        <v>45756.66667</v>
      </c>
      <c r="B1137" s="1">
        <f>IFERROR(__xludf.DUMMYFUNCTION("""COMPUTED_VALUE"""),3.31)</f>
        <v>3.31</v>
      </c>
    </row>
    <row r="1138">
      <c r="A1138" s="2">
        <f>IFERROR(__xludf.DUMMYFUNCTION("""COMPUTED_VALUE"""),45757.66666666667)</f>
        <v>45757.66667</v>
      </c>
      <c r="B1138" s="1">
        <f>IFERROR(__xludf.DUMMYFUNCTION("""COMPUTED_VALUE"""),3.28)</f>
        <v>3.28</v>
      </c>
    </row>
    <row r="1139">
      <c r="A1139" s="2">
        <f>IFERROR(__xludf.DUMMYFUNCTION("""COMPUTED_VALUE"""),45758.66666666667)</f>
        <v>45758.66667</v>
      </c>
      <c r="B1139" s="1">
        <f>IFERROR(__xludf.DUMMYFUNCTION("""COMPUTED_VALUE"""),3.52)</f>
        <v>3.52</v>
      </c>
    </row>
    <row r="1140">
      <c r="A1140" s="2">
        <f>IFERROR(__xludf.DUMMYFUNCTION("""COMPUTED_VALUE"""),45761.66666666667)</f>
        <v>45761.66667</v>
      </c>
      <c r="B1140" s="1">
        <f>IFERROR(__xludf.DUMMYFUNCTION("""COMPUTED_VALUE"""),3.61)</f>
        <v>3.61</v>
      </c>
    </row>
    <row r="1141">
      <c r="A1141" s="2">
        <f>IFERROR(__xludf.DUMMYFUNCTION("""COMPUTED_VALUE"""),45762.66666666667)</f>
        <v>45762.66667</v>
      </c>
      <c r="B1141" s="1">
        <f>IFERROR(__xludf.DUMMYFUNCTION("""COMPUTED_VALUE"""),3.62)</f>
        <v>3.62</v>
      </c>
    </row>
    <row r="1142">
      <c r="A1142" s="2">
        <f>IFERROR(__xludf.DUMMYFUNCTION("""COMPUTED_VALUE"""),45763.66666666667)</f>
        <v>45763.66667</v>
      </c>
      <c r="B1142" s="1">
        <f>IFERROR(__xludf.DUMMYFUNCTION("""COMPUTED_VALUE"""),3.52)</f>
        <v>3.52</v>
      </c>
    </row>
    <row r="1143">
      <c r="A1143" s="2">
        <f>IFERROR(__xludf.DUMMYFUNCTION("""COMPUTED_VALUE"""),45764.66666666667)</f>
        <v>45764.66667</v>
      </c>
      <c r="B1143" s="1">
        <f>IFERROR(__xludf.DUMMYFUNCTION("""COMPUTED_VALUE"""),3.52)</f>
        <v>3.52</v>
      </c>
    </row>
    <row r="1144">
      <c r="A1144" s="2">
        <f>IFERROR(__xludf.DUMMYFUNCTION("""COMPUTED_VALUE"""),45768.66666666667)</f>
        <v>45768.66667</v>
      </c>
      <c r="B1144" s="1">
        <f>IFERROR(__xludf.DUMMYFUNCTION("""COMPUTED_VALUE"""),3.6)</f>
        <v>3.6</v>
      </c>
    </row>
    <row r="1145">
      <c r="A1145" s="2">
        <f>IFERROR(__xludf.DUMMYFUNCTION("""COMPUTED_VALUE"""),45769.66666666667)</f>
        <v>45769.66667</v>
      </c>
      <c r="B1145" s="1">
        <f>IFERROR(__xludf.DUMMYFUNCTION("""COMPUTED_VALUE"""),3.75)</f>
        <v>3.75</v>
      </c>
    </row>
    <row r="1146">
      <c r="A1146" s="2">
        <f>IFERROR(__xludf.DUMMYFUNCTION("""COMPUTED_VALUE"""),45770.66666666667)</f>
        <v>45770.66667</v>
      </c>
      <c r="B1146" s="1">
        <f>IFERROR(__xludf.DUMMYFUNCTION("""COMPUTED_VALUE"""),3.93)</f>
        <v>3.93</v>
      </c>
    </row>
    <row r="1147">
      <c r="A1147" s="2">
        <f>IFERROR(__xludf.DUMMYFUNCTION("""COMPUTED_VALUE"""),45771.66666666667)</f>
        <v>45771.66667</v>
      </c>
      <c r="B1147" s="1">
        <f>IFERROR(__xludf.DUMMYFUNCTION("""COMPUTED_VALUE"""),4.18)</f>
        <v>4.18</v>
      </c>
    </row>
    <row r="1148">
      <c r="A1148" s="2">
        <f>IFERROR(__xludf.DUMMYFUNCTION("""COMPUTED_VALUE"""),45772.66666666667)</f>
        <v>45772.66667</v>
      </c>
      <c r="B1148" s="1">
        <f>IFERROR(__xludf.DUMMYFUNCTION("""COMPUTED_VALUE"""),4.03)</f>
        <v>4.03</v>
      </c>
    </row>
    <row r="1149">
      <c r="A1149" s="2">
        <f>IFERROR(__xludf.DUMMYFUNCTION("""COMPUTED_VALUE"""),45775.66666666667)</f>
        <v>45775.66667</v>
      </c>
      <c r="B1149" s="1">
        <f>IFERROR(__xludf.DUMMYFUNCTION("""COMPUTED_VALUE"""),4.31)</f>
        <v>4.31</v>
      </c>
    </row>
    <row r="1150">
      <c r="A1150" s="2">
        <f>IFERROR(__xludf.DUMMYFUNCTION("""COMPUTED_VALUE"""),45776.66666666667)</f>
        <v>45776.66667</v>
      </c>
      <c r="B1150" s="1">
        <f>IFERROR(__xludf.DUMMYFUNCTION("""COMPUTED_VALUE"""),4.24)</f>
        <v>4.24</v>
      </c>
    </row>
    <row r="1151">
      <c r="A1151" s="2">
        <f>IFERROR(__xludf.DUMMYFUNCTION("""COMPUTED_VALUE"""),45777.66666666667)</f>
        <v>45777.66667</v>
      </c>
      <c r="B1151" s="1">
        <f>IFERROR(__xludf.DUMMYFUNCTION("""COMPUTED_VALUE"""),4.05)</f>
        <v>4.05</v>
      </c>
    </row>
    <row r="1152">
      <c r="A1152" s="2">
        <f>IFERROR(__xludf.DUMMYFUNCTION("""COMPUTED_VALUE"""),45778.66666666667)</f>
        <v>45778.66667</v>
      </c>
      <c r="B1152" s="1">
        <f>IFERROR(__xludf.DUMMYFUNCTION("""COMPUTED_VALUE"""),3.93)</f>
        <v>3.93</v>
      </c>
    </row>
    <row r="1153">
      <c r="A1153" s="2">
        <f>IFERROR(__xludf.DUMMYFUNCTION("""COMPUTED_VALUE"""),45779.66666666667)</f>
        <v>45779.66667</v>
      </c>
      <c r="B1153" s="1">
        <f>IFERROR(__xludf.DUMMYFUNCTION("""COMPUTED_VALUE"""),4.03)</f>
        <v>4.03</v>
      </c>
    </row>
    <row r="1154">
      <c r="A1154" s="2">
        <f>IFERROR(__xludf.DUMMYFUNCTION("""COMPUTED_VALUE"""),45782.66666666667)</f>
        <v>45782.66667</v>
      </c>
      <c r="B1154" s="1">
        <f>IFERROR(__xludf.DUMMYFUNCTION("""COMPUTED_VALUE"""),3.98)</f>
        <v>3.98</v>
      </c>
    </row>
    <row r="1155">
      <c r="A1155" s="2">
        <f>IFERROR(__xludf.DUMMYFUNCTION("""COMPUTED_VALUE"""),45783.66666666667)</f>
        <v>45783.66667</v>
      </c>
      <c r="B1155" s="1">
        <f>IFERROR(__xludf.DUMMYFUNCTION("""COMPUTED_VALUE"""),3.92)</f>
        <v>3.92</v>
      </c>
    </row>
    <row r="1156">
      <c r="A1156" s="2">
        <f>IFERROR(__xludf.DUMMYFUNCTION("""COMPUTED_VALUE"""),45784.66666666667)</f>
        <v>45784.66667</v>
      </c>
      <c r="B1156" s="1">
        <f>IFERROR(__xludf.DUMMYFUNCTION("""COMPUTED_VALUE"""),3.84)</f>
        <v>3.84</v>
      </c>
    </row>
    <row r="1157">
      <c r="A1157" s="2">
        <f>IFERROR(__xludf.DUMMYFUNCTION("""COMPUTED_VALUE"""),45785.66666666667)</f>
        <v>45785.66667</v>
      </c>
      <c r="B1157" s="1">
        <f>IFERROR(__xludf.DUMMYFUNCTION("""COMPUTED_VALUE"""),3.96)</f>
        <v>3.96</v>
      </c>
    </row>
    <row r="1158">
      <c r="A1158" s="2">
        <f>IFERROR(__xludf.DUMMYFUNCTION("""COMPUTED_VALUE"""),45786.66666666667)</f>
        <v>45786.66667</v>
      </c>
      <c r="B1158" s="1">
        <f>IFERROR(__xludf.DUMMYFUNCTION("""COMPUTED_VALUE"""),3.97)</f>
        <v>3.97</v>
      </c>
    </row>
    <row r="1159">
      <c r="A1159" s="2">
        <f>IFERROR(__xludf.DUMMYFUNCTION("""COMPUTED_VALUE"""),45789.66666666667)</f>
        <v>45789.66667</v>
      </c>
      <c r="B1159" s="1">
        <f>IFERROR(__xludf.DUMMYFUNCTION("""COMPUTED_VALUE"""),4.2)</f>
        <v>4.2</v>
      </c>
    </row>
    <row r="1160">
      <c r="A1160" s="2">
        <f>IFERROR(__xludf.DUMMYFUNCTION("""COMPUTED_VALUE"""),45790.66666666667)</f>
        <v>45790.66667</v>
      </c>
      <c r="B1160" s="1">
        <f>IFERROR(__xludf.DUMMYFUNCTION("""COMPUTED_VALUE"""),4.12)</f>
        <v>4.12</v>
      </c>
    </row>
    <row r="1161">
      <c r="A1161" s="2">
        <f>IFERROR(__xludf.DUMMYFUNCTION("""COMPUTED_VALUE"""),45791.66666666667)</f>
        <v>45791.66667</v>
      </c>
      <c r="B1161" s="1">
        <f>IFERROR(__xludf.DUMMYFUNCTION("""COMPUTED_VALUE"""),4.13)</f>
        <v>4.13</v>
      </c>
    </row>
    <row r="1162">
      <c r="A1162" s="2">
        <f>IFERROR(__xludf.DUMMYFUNCTION("""COMPUTED_VALUE"""),45792.66666666667)</f>
        <v>45792.66667</v>
      </c>
      <c r="B1162" s="1">
        <f>IFERROR(__xludf.DUMMYFUNCTION("""COMPUTED_VALUE"""),3.99)</f>
        <v>3.99</v>
      </c>
    </row>
    <row r="1163">
      <c r="A1163" s="2">
        <f>IFERROR(__xludf.DUMMYFUNCTION("""COMPUTED_VALUE"""),45793.66666666667)</f>
        <v>45793.66667</v>
      </c>
      <c r="B1163" s="1">
        <f>IFERROR(__xludf.DUMMYFUNCTION("""COMPUTED_VALUE"""),4.1)</f>
        <v>4.1</v>
      </c>
    </row>
    <row r="1164">
      <c r="A1164" s="2">
        <f>IFERROR(__xludf.DUMMYFUNCTION("""COMPUTED_VALUE"""),45796.66666666667)</f>
        <v>45796.66667</v>
      </c>
      <c r="B1164" s="1">
        <f>IFERROR(__xludf.DUMMYFUNCTION("""COMPUTED_VALUE"""),4.04)</f>
        <v>4.04</v>
      </c>
    </row>
    <row r="1165">
      <c r="A1165" s="2">
        <f>IFERROR(__xludf.DUMMYFUNCTION("""COMPUTED_VALUE"""),45797.66666666667)</f>
        <v>45797.66667</v>
      </c>
      <c r="B1165" s="1">
        <f>IFERROR(__xludf.DUMMYFUNCTION("""COMPUTED_VALUE"""),3.96)</f>
        <v>3.96</v>
      </c>
    </row>
    <row r="1166">
      <c r="A1166" s="2">
        <f>IFERROR(__xludf.DUMMYFUNCTION("""COMPUTED_VALUE"""),45798.66666666667)</f>
        <v>45798.66667</v>
      </c>
      <c r="B1166" s="1">
        <f>IFERROR(__xludf.DUMMYFUNCTION("""COMPUTED_VALUE"""),3.94)</f>
        <v>3.94</v>
      </c>
    </row>
    <row r="1167">
      <c r="A1167" s="2">
        <f>IFERROR(__xludf.DUMMYFUNCTION("""COMPUTED_VALUE"""),45799.66666666667)</f>
        <v>45799.66667</v>
      </c>
      <c r="B1167" s="1">
        <f>IFERROR(__xludf.DUMMYFUNCTION("""COMPUTED_VALUE"""),3.94)</f>
        <v>3.94</v>
      </c>
    </row>
    <row r="1168">
      <c r="A1168" s="2">
        <f>IFERROR(__xludf.DUMMYFUNCTION("""COMPUTED_VALUE"""),45800.66666666667)</f>
        <v>45800.66667</v>
      </c>
      <c r="B1168" s="1">
        <f>IFERROR(__xludf.DUMMYFUNCTION("""COMPUTED_VALUE"""),3.82)</f>
        <v>3.82</v>
      </c>
    </row>
    <row r="1169">
      <c r="A1169" s="2">
        <f>IFERROR(__xludf.DUMMYFUNCTION("""COMPUTED_VALUE"""),45804.66666666667)</f>
        <v>45804.66667</v>
      </c>
      <c r="B1169" s="1">
        <f>IFERROR(__xludf.DUMMYFUNCTION("""COMPUTED_VALUE"""),3.69)</f>
        <v>3.69</v>
      </c>
    </row>
    <row r="1170">
      <c r="A1170" s="2">
        <f>IFERROR(__xludf.DUMMYFUNCTION("""COMPUTED_VALUE"""),45805.66666666667)</f>
        <v>45805.66667</v>
      </c>
      <c r="B1170" s="1">
        <f>IFERROR(__xludf.DUMMYFUNCTION("""COMPUTED_VALUE"""),3.67)</f>
        <v>3.67</v>
      </c>
    </row>
    <row r="1171">
      <c r="A1171" s="2">
        <f>IFERROR(__xludf.DUMMYFUNCTION("""COMPUTED_VALUE"""),45806.66666666667)</f>
        <v>45806.66667</v>
      </c>
      <c r="B1171" s="1">
        <f>IFERROR(__xludf.DUMMYFUNCTION("""COMPUTED_VALUE"""),3.68)</f>
        <v>3.68</v>
      </c>
    </row>
    <row r="1172">
      <c r="A1172" s="2">
        <f>IFERROR(__xludf.DUMMYFUNCTION("""COMPUTED_VALUE"""),45807.66666666667)</f>
        <v>45807.66667</v>
      </c>
      <c r="B1172" s="1">
        <f>IFERROR(__xludf.DUMMYFUNCTION("""COMPUTED_VALUE"""),3.54)</f>
        <v>3.54</v>
      </c>
    </row>
    <row r="1173">
      <c r="A1173" s="2">
        <f>IFERROR(__xludf.DUMMYFUNCTION("""COMPUTED_VALUE"""),45810.66666666667)</f>
        <v>45810.66667</v>
      </c>
      <c r="B1173" s="1">
        <f>IFERROR(__xludf.DUMMYFUNCTION("""COMPUTED_VALUE"""),3.52)</f>
        <v>3.52</v>
      </c>
    </row>
    <row r="1174">
      <c r="A1174" s="2">
        <f>IFERROR(__xludf.DUMMYFUNCTION("""COMPUTED_VALUE"""),45811.66666666667)</f>
        <v>45811.66667</v>
      </c>
      <c r="B1174" s="1">
        <f>IFERROR(__xludf.DUMMYFUNCTION("""COMPUTED_VALUE"""),3.53)</f>
        <v>3.53</v>
      </c>
    </row>
    <row r="1175">
      <c r="A1175" s="2">
        <f>IFERROR(__xludf.DUMMYFUNCTION("""COMPUTED_VALUE"""),45812.66666666667)</f>
        <v>45812.66667</v>
      </c>
      <c r="B1175" s="1">
        <f>IFERROR(__xludf.DUMMYFUNCTION("""COMPUTED_VALUE"""),3.75)</f>
        <v>3.75</v>
      </c>
    </row>
    <row r="1176">
      <c r="A1176" s="2">
        <f>IFERROR(__xludf.DUMMYFUNCTION("""COMPUTED_VALUE"""),45813.66666666667)</f>
        <v>45813.66667</v>
      </c>
      <c r="B1176" s="1">
        <f>IFERROR(__xludf.DUMMYFUNCTION("""COMPUTED_VALUE"""),3.62)</f>
        <v>3.62</v>
      </c>
    </row>
    <row r="1177">
      <c r="A1177" s="2">
        <f>IFERROR(__xludf.DUMMYFUNCTION("""COMPUTED_VALUE"""),45814.66666666667)</f>
        <v>45814.66667</v>
      </c>
      <c r="B1177" s="1">
        <f>IFERROR(__xludf.DUMMYFUNCTION("""COMPUTED_VALUE"""),3.63)</f>
        <v>3.63</v>
      </c>
    </row>
    <row r="1178">
      <c r="A1178" s="2">
        <f>IFERROR(__xludf.DUMMYFUNCTION("""COMPUTED_VALUE"""),45817.66666666667)</f>
        <v>45817.66667</v>
      </c>
      <c r="B1178" s="1">
        <f>IFERROR(__xludf.DUMMYFUNCTION("""COMPUTED_VALUE"""),3.6)</f>
        <v>3.6</v>
      </c>
    </row>
    <row r="1179">
      <c r="A1179" s="2">
        <f>IFERROR(__xludf.DUMMYFUNCTION("""COMPUTED_VALUE"""),45818.66666666667)</f>
        <v>45818.66667</v>
      </c>
      <c r="B1179" s="1">
        <f>IFERROR(__xludf.DUMMYFUNCTION("""COMPUTED_VALUE"""),3.81)</f>
        <v>3.81</v>
      </c>
    </row>
    <row r="1180">
      <c r="A1180" s="2">
        <f>IFERROR(__xludf.DUMMYFUNCTION("""COMPUTED_VALUE"""),45819.66666666667)</f>
        <v>45819.66667</v>
      </c>
      <c r="B1180" s="1">
        <f>IFERROR(__xludf.DUMMYFUNCTION("""COMPUTED_VALUE"""),3.74)</f>
        <v>3.74</v>
      </c>
    </row>
    <row r="1181">
      <c r="A1181" s="2">
        <f>IFERROR(__xludf.DUMMYFUNCTION("""COMPUTED_VALUE"""),45820.66666666667)</f>
        <v>45820.66667</v>
      </c>
      <c r="B1181" s="1">
        <f>IFERROR(__xludf.DUMMYFUNCTION("""COMPUTED_VALUE"""),3.62)</f>
        <v>3.62</v>
      </c>
    </row>
    <row r="1182">
      <c r="A1182" s="2">
        <f>IFERROR(__xludf.DUMMYFUNCTION("""COMPUTED_VALUE"""),45821.66666666667)</f>
        <v>45821.66667</v>
      </c>
      <c r="B1182" s="1">
        <f>IFERROR(__xludf.DUMMYFUNCTION("""COMPUTED_VALUE"""),3.51)</f>
        <v>3.51</v>
      </c>
    </row>
    <row r="1183">
      <c r="A1183" s="2">
        <f>IFERROR(__xludf.DUMMYFUNCTION("""COMPUTED_VALUE"""),45824.66666666667)</f>
        <v>45824.66667</v>
      </c>
      <c r="B1183" s="1">
        <f>IFERROR(__xludf.DUMMYFUNCTION("""COMPUTED_VALUE"""),3.52)</f>
        <v>3.52</v>
      </c>
    </row>
    <row r="1184">
      <c r="A1184" s="2">
        <f>IFERROR(__xludf.DUMMYFUNCTION("""COMPUTED_VALUE"""),45825.66666666667)</f>
        <v>45825.66667</v>
      </c>
      <c r="B1184" s="1">
        <f>IFERROR(__xludf.DUMMYFUNCTION("""COMPUTED_VALUE"""),3.44)</f>
        <v>3.44</v>
      </c>
    </row>
    <row r="1185">
      <c r="A1185" s="2">
        <f>IFERROR(__xludf.DUMMYFUNCTION("""COMPUTED_VALUE"""),45826.66666666667)</f>
        <v>45826.66667</v>
      </c>
      <c r="B1185" s="1">
        <f>IFERROR(__xludf.DUMMYFUNCTION("""COMPUTED_VALUE"""),3.42)</f>
        <v>3.42</v>
      </c>
    </row>
    <row r="1186">
      <c r="A1186" s="2">
        <f>IFERROR(__xludf.DUMMYFUNCTION("""COMPUTED_VALUE"""),45828.66666666667)</f>
        <v>45828.66667</v>
      </c>
      <c r="B1186" s="1">
        <f>IFERROR(__xludf.DUMMYFUNCTION("""COMPUTED_VALUE"""),3.41)</f>
        <v>3.41</v>
      </c>
    </row>
    <row r="1187">
      <c r="A1187" s="2">
        <f>IFERROR(__xludf.DUMMYFUNCTION("""COMPUTED_VALUE"""),45831.66666666667)</f>
        <v>45831.66667</v>
      </c>
      <c r="B1187" s="1">
        <f>IFERROR(__xludf.DUMMYFUNCTION("""COMPUTED_VALUE"""),3.43)</f>
        <v>3.43</v>
      </c>
    </row>
    <row r="1188">
      <c r="A1188" s="2">
        <f>IFERROR(__xludf.DUMMYFUNCTION("""COMPUTED_VALUE"""),45832.66666666667)</f>
        <v>45832.66667</v>
      </c>
      <c r="B1188" s="1">
        <f>IFERROR(__xludf.DUMMYFUNCTION("""COMPUTED_VALUE"""),3.5)</f>
        <v>3.5</v>
      </c>
    </row>
    <row r="1189">
      <c r="A1189" s="2">
        <f>IFERROR(__xludf.DUMMYFUNCTION("""COMPUTED_VALUE"""),45833.66666666667)</f>
        <v>45833.66667</v>
      </c>
      <c r="B1189" s="1">
        <f>IFERROR(__xludf.DUMMYFUNCTION("""COMPUTED_VALUE"""),3.47)</f>
        <v>3.47</v>
      </c>
    </row>
    <row r="1190">
      <c r="A1190" s="2">
        <f>IFERROR(__xludf.DUMMYFUNCTION("""COMPUTED_VALUE"""),45834.66666666667)</f>
        <v>45834.66667</v>
      </c>
      <c r="B1190" s="1">
        <f>IFERROR(__xludf.DUMMYFUNCTION("""COMPUTED_VALUE"""),3.42)</f>
        <v>3.42</v>
      </c>
    </row>
    <row r="1191">
      <c r="A1191" s="2">
        <f>IFERROR(__xludf.DUMMYFUNCTION("""COMPUTED_VALUE"""),45835.66666666667)</f>
        <v>45835.66667</v>
      </c>
      <c r="B1191" s="1">
        <f>IFERROR(__xludf.DUMMYFUNCTION("""COMPUTED_VALUE"""),3.46)</f>
        <v>3.46</v>
      </c>
    </row>
    <row r="1192">
      <c r="A1192" s="2">
        <f>IFERROR(__xludf.DUMMYFUNCTION("""COMPUTED_VALUE"""),45838.66666666667)</f>
        <v>45838.66667</v>
      </c>
      <c r="B1192" s="1">
        <f>IFERROR(__xludf.DUMMYFUNCTION("""COMPUTED_VALUE"""),3.43)</f>
        <v>3.43</v>
      </c>
    </row>
    <row r="1193">
      <c r="A1193" s="2">
        <f>IFERROR(__xludf.DUMMYFUNCTION("""COMPUTED_VALUE"""),45839.66666666667)</f>
        <v>45839.66667</v>
      </c>
      <c r="B1193" s="1">
        <f>IFERROR(__xludf.DUMMYFUNCTION("""COMPUTED_VALUE"""),3.51)</f>
        <v>3.51</v>
      </c>
    </row>
    <row r="1194">
      <c r="A1194" s="2">
        <f>IFERROR(__xludf.DUMMYFUNCTION("""COMPUTED_VALUE"""),45840.66666666667)</f>
        <v>45840.66667</v>
      </c>
      <c r="B1194" s="1">
        <f>IFERROR(__xludf.DUMMYFUNCTION("""COMPUTED_VALUE"""),3.48)</f>
        <v>3.48</v>
      </c>
    </row>
    <row r="1195">
      <c r="A1195" s="2">
        <f>IFERROR(__xludf.DUMMYFUNCTION("""COMPUTED_VALUE"""),45841.54166666667)</f>
        <v>45841.54167</v>
      </c>
      <c r="B1195" s="1">
        <f>IFERROR(__xludf.DUMMYFUNCTION("""COMPUTED_VALUE"""),3.51)</f>
        <v>3.51</v>
      </c>
    </row>
    <row r="1196">
      <c r="A1196" s="2">
        <f>IFERROR(__xludf.DUMMYFUNCTION("""COMPUTED_VALUE"""),45845.66666666667)</f>
        <v>45845.66667</v>
      </c>
      <c r="B1196" s="1">
        <f>IFERROR(__xludf.DUMMYFUNCTION("""COMPUTED_VALUE"""),3.41)</f>
        <v>3.41</v>
      </c>
    </row>
    <row r="1197">
      <c r="A1197" s="2">
        <f>IFERROR(__xludf.DUMMYFUNCTION("""COMPUTED_VALUE"""),45846.66666666667)</f>
        <v>45846.66667</v>
      </c>
      <c r="B1197" s="1">
        <f>IFERROR(__xludf.DUMMYFUNCTION("""COMPUTED_VALUE"""),3.5)</f>
        <v>3.5</v>
      </c>
    </row>
    <row r="1198">
      <c r="A1198" s="2">
        <f>IFERROR(__xludf.DUMMYFUNCTION("""COMPUTED_VALUE"""),45847.66666666667)</f>
        <v>45847.66667</v>
      </c>
      <c r="B1198" s="1">
        <f>IFERROR(__xludf.DUMMYFUNCTION("""COMPUTED_VALUE"""),3.48)</f>
        <v>3.48</v>
      </c>
    </row>
    <row r="1199">
      <c r="A1199" s="2">
        <f>IFERROR(__xludf.DUMMYFUNCTION("""COMPUTED_VALUE"""),45848.66666666667)</f>
        <v>45848.66667</v>
      </c>
      <c r="B1199" s="1">
        <f>IFERROR(__xludf.DUMMYFUNCTION("""COMPUTED_VALUE"""),3.69)</f>
        <v>3.69</v>
      </c>
    </row>
    <row r="1200">
      <c r="A1200" s="2">
        <f>IFERROR(__xludf.DUMMYFUNCTION("""COMPUTED_VALUE"""),45849.66666666667)</f>
        <v>45849.66667</v>
      </c>
      <c r="B1200" s="1">
        <f>IFERROR(__xludf.DUMMYFUNCTION("""COMPUTED_VALUE"""),3.9)</f>
        <v>3.9</v>
      </c>
    </row>
    <row r="1201">
      <c r="A1201" s="2">
        <f>IFERROR(__xludf.DUMMYFUNCTION("""COMPUTED_VALUE"""),45852.66666666667)</f>
        <v>45852.66667</v>
      </c>
      <c r="B1201" s="1">
        <f>IFERROR(__xludf.DUMMYFUNCTION("""COMPUTED_VALUE"""),4.17)</f>
        <v>4.17</v>
      </c>
    </row>
    <row r="1202">
      <c r="A1202" s="2">
        <f>IFERROR(__xludf.DUMMYFUNCTION("""COMPUTED_VALUE"""),45853.66666666667)</f>
        <v>45853.66667</v>
      </c>
      <c r="B1202" s="1">
        <f>IFERROR(__xludf.DUMMYFUNCTION("""COMPUTED_VALUE"""),4.25)</f>
        <v>4.25</v>
      </c>
    </row>
    <row r="1203">
      <c r="A1203" s="2">
        <f>IFERROR(__xludf.DUMMYFUNCTION("""COMPUTED_VALUE"""),45854.66666666667)</f>
        <v>45854.66667</v>
      </c>
      <c r="B1203" s="1">
        <f>IFERROR(__xludf.DUMMYFUNCTION("""COMPUTED_VALUE"""),4.11)</f>
        <v>4.11</v>
      </c>
    </row>
    <row r="1204">
      <c r="A1204" s="2">
        <f>IFERROR(__xludf.DUMMYFUNCTION("""COMPUTED_VALUE"""),45855.66666666667)</f>
        <v>45855.66667</v>
      </c>
      <c r="B1204" s="1">
        <f>IFERROR(__xludf.DUMMYFUNCTION("""COMPUTED_VALUE"""),4.4)</f>
        <v>4.4</v>
      </c>
    </row>
    <row r="1205">
      <c r="A1205" s="2">
        <f>IFERROR(__xludf.DUMMYFUNCTION("""COMPUTED_VALUE"""),45856.66666666667)</f>
        <v>45856.66667</v>
      </c>
      <c r="B1205" s="1">
        <f>IFERROR(__xludf.DUMMYFUNCTION("""COMPUTED_VALUE"""),4.39)</f>
        <v>4.39</v>
      </c>
    </row>
    <row r="1206">
      <c r="A1206" s="2">
        <f>IFERROR(__xludf.DUMMYFUNCTION("""COMPUTED_VALUE"""),45859.66666666667)</f>
        <v>45859.66667</v>
      </c>
      <c r="B1206" s="1">
        <f>IFERROR(__xludf.DUMMYFUNCTION("""COMPUTED_VALUE"""),4.52)</f>
        <v>4.52</v>
      </c>
    </row>
    <row r="1207">
      <c r="A1207" s="2">
        <f>IFERROR(__xludf.DUMMYFUNCTION("""COMPUTED_VALUE"""),45860.66666666667)</f>
        <v>45860.66667</v>
      </c>
      <c r="B1207" s="1">
        <f>IFERROR(__xludf.DUMMYFUNCTION("""COMPUTED_VALUE"""),5.01)</f>
        <v>5.01</v>
      </c>
    </row>
    <row r="1208">
      <c r="A1208" s="2">
        <f>IFERROR(__xludf.DUMMYFUNCTION("""COMPUTED_VALUE"""),45861.66666666667)</f>
        <v>45861.66667</v>
      </c>
      <c r="B1208" s="1">
        <f>IFERROR(__xludf.DUMMYFUNCTION("""COMPUTED_VALUE"""),4.92)</f>
        <v>4.92</v>
      </c>
    </row>
    <row r="1209">
      <c r="A1209" s="2">
        <f>IFERROR(__xludf.DUMMYFUNCTION("""COMPUTED_VALUE"""),45862.66666666667)</f>
        <v>45862.66667</v>
      </c>
      <c r="B1209" s="1">
        <f>IFERROR(__xludf.DUMMYFUNCTION("""COMPUTED_VALUE"""),4.83)</f>
        <v>4.83</v>
      </c>
    </row>
    <row r="1210">
      <c r="A1210" s="2">
        <f>IFERROR(__xludf.DUMMYFUNCTION("""COMPUTED_VALUE"""),45863.66666666667)</f>
        <v>45863.66667</v>
      </c>
      <c r="B1210" s="1">
        <f>IFERROR(__xludf.DUMMYFUNCTION("""COMPUTED_VALUE"""),4.92)</f>
        <v>4.92</v>
      </c>
    </row>
    <row r="1211">
      <c r="A1211" s="2">
        <f>IFERROR(__xludf.DUMMYFUNCTION("""COMPUTED_VALUE"""),45866.66666666667)</f>
        <v>45866.66667</v>
      </c>
      <c r="B1211" s="1">
        <f>IFERROR(__xludf.DUMMYFUNCTION("""COMPUTED_VALUE"""),4.83)</f>
        <v>4.83</v>
      </c>
    </row>
    <row r="1212">
      <c r="A1212" s="2">
        <f>IFERROR(__xludf.DUMMYFUNCTION("""COMPUTED_VALUE"""),45867.66666666667)</f>
        <v>45867.66667</v>
      </c>
      <c r="B1212" s="1">
        <f>IFERROR(__xludf.DUMMYFUNCTION("""COMPUTED_VALUE"""),4.71)</f>
        <v>4.71</v>
      </c>
    </row>
    <row r="1213">
      <c r="A1213" s="2">
        <f>IFERROR(__xludf.DUMMYFUNCTION("""COMPUTED_VALUE"""),45868.66666666667)</f>
        <v>45868.66667</v>
      </c>
      <c r="B1213" s="1">
        <f>IFERROR(__xludf.DUMMYFUNCTION("""COMPUTED_VALUE"""),4.51)</f>
        <v>4.51</v>
      </c>
    </row>
    <row r="1214">
      <c r="A1214" s="2">
        <f>IFERROR(__xludf.DUMMYFUNCTION("""COMPUTED_VALUE"""),45869.66666666667)</f>
        <v>45869.66667</v>
      </c>
      <c r="B1214" s="1">
        <f>IFERROR(__xludf.DUMMYFUNCTION("""COMPUTED_VALUE"""),4.87)</f>
        <v>4.87</v>
      </c>
    </row>
    <row r="1215">
      <c r="A1215" s="2">
        <f>IFERROR(__xludf.DUMMYFUNCTION("""COMPUTED_VALUE"""),45870.66666666667)</f>
        <v>45870.66667</v>
      </c>
      <c r="B1215" s="1">
        <f>IFERROR(__xludf.DUMMYFUNCTION("""COMPUTED_VALUE"""),5.01)</f>
        <v>5.01</v>
      </c>
    </row>
    <row r="1216">
      <c r="A1216" s="2">
        <f>IFERROR(__xludf.DUMMYFUNCTION("""COMPUTED_VALUE"""),45873.66666666667)</f>
        <v>45873.66667</v>
      </c>
      <c r="B1216" s="1">
        <f>IFERROR(__xludf.DUMMYFUNCTION("""COMPUTED_VALUE"""),4.6)</f>
        <v>4.6</v>
      </c>
    </row>
    <row r="1217">
      <c r="A1217" s="2">
        <f>IFERROR(__xludf.DUMMYFUNCTION("""COMPUTED_VALUE"""),45874.66666666667)</f>
        <v>45874.66667</v>
      </c>
      <c r="B1217" s="1">
        <f>IFERROR(__xludf.DUMMYFUNCTION("""COMPUTED_VALUE"""),4.5)</f>
        <v>4.5</v>
      </c>
    </row>
    <row r="1218">
      <c r="A1218" s="2">
        <f>IFERROR(__xludf.DUMMYFUNCTION("""COMPUTED_VALUE"""),45875.66666666667)</f>
        <v>45875.66667</v>
      </c>
      <c r="B1218" s="1">
        <f>IFERROR(__xludf.DUMMYFUNCTION("""COMPUTED_VALUE"""),4.61)</f>
        <v>4.61</v>
      </c>
    </row>
    <row r="1219">
      <c r="A1219" s="2">
        <f>IFERROR(__xludf.DUMMYFUNCTION("""COMPUTED_VALUE"""),45876.66666666667)</f>
        <v>45876.66667</v>
      </c>
      <c r="B1219" s="1">
        <f>IFERROR(__xludf.DUMMYFUNCTION("""COMPUTED_VALUE"""),4.68)</f>
        <v>4.68</v>
      </c>
    </row>
    <row r="1220">
      <c r="A1220" s="2">
        <f>IFERROR(__xludf.DUMMYFUNCTION("""COMPUTED_VALUE"""),45877.66666666667)</f>
        <v>45877.66667</v>
      </c>
      <c r="B1220" s="1">
        <f>IFERROR(__xludf.DUMMYFUNCTION("""COMPUTED_VALUE"""),4.84)</f>
        <v>4.84</v>
      </c>
    </row>
    <row r="1221">
      <c r="A1221" s="2">
        <f>IFERROR(__xludf.DUMMYFUNCTION("""COMPUTED_VALUE"""),45880.66666666667)</f>
        <v>45880.66667</v>
      </c>
      <c r="B1221" s="1">
        <f>IFERROR(__xludf.DUMMYFUNCTION("""COMPUTED_VALUE"""),4.91)</f>
        <v>4.91</v>
      </c>
    </row>
    <row r="1222">
      <c r="A1222" s="2">
        <f>IFERROR(__xludf.DUMMYFUNCTION("""COMPUTED_VALUE"""),45881.66666666667)</f>
        <v>45881.66667</v>
      </c>
      <c r="B1222" s="1">
        <f>IFERROR(__xludf.DUMMYFUNCTION("""COMPUTED_VALUE"""),4.47)</f>
        <v>4.47</v>
      </c>
    </row>
    <row r="1223">
      <c r="A1223" s="2">
        <f>IFERROR(__xludf.DUMMYFUNCTION("""COMPUTED_VALUE"""),45882.66666666667)</f>
        <v>45882.66667</v>
      </c>
      <c r="B1223" s="1">
        <f>IFERROR(__xludf.DUMMYFUNCTION("""COMPUTED_VALUE"""),4.62)</f>
        <v>4.62</v>
      </c>
    </row>
    <row r="1224">
      <c r="A1224" s="2">
        <f>IFERROR(__xludf.DUMMYFUNCTION("""COMPUTED_VALUE"""),45883.66666666667)</f>
        <v>45883.66667</v>
      </c>
      <c r="B1224" s="1">
        <f>IFERROR(__xludf.DUMMYFUNCTION("""COMPUTED_VALUE"""),4.45)</f>
        <v>4.45</v>
      </c>
    </row>
    <row r="1225">
      <c r="A1225" s="2">
        <f>IFERROR(__xludf.DUMMYFUNCTION("""COMPUTED_VALUE"""),45884.66666666667)</f>
        <v>45884.66667</v>
      </c>
      <c r="B1225" s="1">
        <f>IFERROR(__xludf.DUMMYFUNCTION("""COMPUTED_VALUE"""),4.81)</f>
        <v>4.81</v>
      </c>
    </row>
    <row r="1226">
      <c r="A1226" s="2">
        <f>IFERROR(__xludf.DUMMYFUNCTION("""COMPUTED_VALUE"""),45887.66666666667)</f>
        <v>45887.66667</v>
      </c>
      <c r="B1226" s="1">
        <f>IFERROR(__xludf.DUMMYFUNCTION("""COMPUTED_VALUE"""),4.87)</f>
        <v>4.87</v>
      </c>
    </row>
    <row r="1227">
      <c r="A1227" s="2">
        <f>IFERROR(__xludf.DUMMYFUNCTION("""COMPUTED_VALUE"""),45888.66666666667)</f>
        <v>45888.66667</v>
      </c>
      <c r="B1227" s="1">
        <f>IFERROR(__xludf.DUMMYFUNCTION("""COMPUTED_VALUE"""),5.07)</f>
        <v>5.07</v>
      </c>
    </row>
    <row r="1228">
      <c r="A1228" s="2">
        <f>IFERROR(__xludf.DUMMYFUNCTION("""COMPUTED_VALUE"""),45889.66666666667)</f>
        <v>45889.66667</v>
      </c>
      <c r="B1228" s="1">
        <f>IFERROR(__xludf.DUMMYFUNCTION("""COMPUTED_VALUE"""),5.07)</f>
        <v>5.07</v>
      </c>
    </row>
    <row r="1229">
      <c r="A1229" s="2">
        <f>IFERROR(__xludf.DUMMYFUNCTION("""COMPUTED_VALUE"""),45890.66666666667)</f>
        <v>45890.66667</v>
      </c>
      <c r="B1229" s="1">
        <f>IFERROR(__xludf.DUMMYFUNCTION("""COMPUTED_VALUE"""),5.54)</f>
        <v>5.54</v>
      </c>
    </row>
    <row r="1230">
      <c r="A1230" s="2">
        <f>IFERROR(__xludf.DUMMYFUNCTION("""COMPUTED_VALUE"""),45891.66666666667)</f>
        <v>45891.66667</v>
      </c>
      <c r="B1230" s="1">
        <f>IFERROR(__xludf.DUMMYFUNCTION("""COMPUTED_VALUE"""),6.34)</f>
        <v>6.34</v>
      </c>
    </row>
    <row r="1231">
      <c r="A1231" s="2">
        <f>IFERROR(__xludf.DUMMYFUNCTION("""COMPUTED_VALUE"""),45894.66666666667)</f>
        <v>45894.66667</v>
      </c>
      <c r="B1231" s="1">
        <f>IFERROR(__xludf.DUMMYFUNCTION("""COMPUTED_VALUE"""),6.09)</f>
        <v>6.09</v>
      </c>
    </row>
    <row r="1232">
      <c r="A1232" s="2">
        <f>IFERROR(__xludf.DUMMYFUNCTION("""COMPUTED_VALUE"""),45895.66666666667)</f>
        <v>45895.66667</v>
      </c>
      <c r="B1232" s="1">
        <f>IFERROR(__xludf.DUMMYFUNCTION("""COMPUTED_VALUE"""),6.7)</f>
        <v>6.7</v>
      </c>
    </row>
    <row r="1233">
      <c r="A1233" s="2">
        <f>IFERROR(__xludf.DUMMYFUNCTION("""COMPUTED_VALUE"""),45896.66666666667)</f>
        <v>45896.66667</v>
      </c>
      <c r="B1233" s="1">
        <f>IFERROR(__xludf.DUMMYFUNCTION("""COMPUTED_VALUE"""),6.34)</f>
        <v>6.34</v>
      </c>
    </row>
    <row r="1234">
      <c r="A1234" s="2">
        <f>IFERROR(__xludf.DUMMYFUNCTION("""COMPUTED_VALUE"""),45897.66666666667)</f>
        <v>45897.66667</v>
      </c>
      <c r="B1234" s="1">
        <f>IFERROR(__xludf.DUMMYFUNCTION("""COMPUTED_VALUE"""),6.51)</f>
        <v>6.51</v>
      </c>
    </row>
    <row r="1235">
      <c r="A1235" s="2">
        <f>IFERROR(__xludf.DUMMYFUNCTION("""COMPUTED_VALUE"""),45898.66666666667)</f>
        <v>45898.66667</v>
      </c>
      <c r="B1235" s="1">
        <f>IFERROR(__xludf.DUMMYFUNCTION("""COMPUTED_VALUE"""),6.38)</f>
        <v>6.38</v>
      </c>
    </row>
    <row r="1236">
      <c r="A1236" s="2">
        <f>IFERROR(__xludf.DUMMYFUNCTION("""COMPUTED_VALUE"""),45902.66666666667)</f>
        <v>45902.66667</v>
      </c>
      <c r="B1236" s="1">
        <f>IFERROR(__xludf.DUMMYFUNCTION("""COMPUTED_VALUE"""),6.58)</f>
        <v>6.58</v>
      </c>
    </row>
    <row r="1237">
      <c r="A1237" s="2">
        <f>IFERROR(__xludf.DUMMYFUNCTION("""COMPUTED_VALUE"""),45903.66666666667)</f>
        <v>45903.66667</v>
      </c>
      <c r="B1237" s="1">
        <f>IFERROR(__xludf.DUMMYFUNCTION("""COMPUTED_VALUE"""),6.32)</f>
        <v>6.32</v>
      </c>
    </row>
    <row r="1238">
      <c r="A1238" s="2">
        <f>IFERROR(__xludf.DUMMYFUNCTION("""COMPUTED_VALUE"""),45904.66666666667)</f>
        <v>45904.66667</v>
      </c>
      <c r="B1238" s="1">
        <f>IFERROR(__xludf.DUMMYFUNCTION("""COMPUTED_VALUE"""),6.13)</f>
        <v>6.13</v>
      </c>
    </row>
    <row r="1239">
      <c r="A1239" s="2">
        <f>IFERROR(__xludf.DUMMYFUNCTION("""COMPUTED_VALUE"""),45905.66666666667)</f>
        <v>45905.66667</v>
      </c>
      <c r="B1239" s="1">
        <f>IFERROR(__xludf.DUMMYFUNCTION("""COMPUTED_VALUE"""),5.95)</f>
        <v>5.95</v>
      </c>
    </row>
    <row r="1240">
      <c r="A1240" s="2">
        <f>IFERROR(__xludf.DUMMYFUNCTION("""COMPUTED_VALUE"""),45908.66666666667)</f>
        <v>45908.66667</v>
      </c>
      <c r="B1240" s="1">
        <f>IFERROR(__xludf.DUMMYFUNCTION("""COMPUTED_VALUE"""),6.17)</f>
        <v>6.17</v>
      </c>
    </row>
    <row r="1241">
      <c r="A1241" s="2">
        <f>IFERROR(__xludf.DUMMYFUNCTION("""COMPUTED_VALUE"""),45909.66666666667)</f>
        <v>45909.66667</v>
      </c>
      <c r="B1241" s="1">
        <f>IFERROR(__xludf.DUMMYFUNCTION("""COMPUTED_VALUE"""),6.28)</f>
        <v>6.28</v>
      </c>
    </row>
    <row r="1242">
      <c r="A1242" s="2">
        <f>IFERROR(__xludf.DUMMYFUNCTION("""COMPUTED_VALUE"""),45910.66666666667)</f>
        <v>45910.66667</v>
      </c>
      <c r="B1242" s="1">
        <f>IFERROR(__xludf.DUMMYFUNCTION("""COMPUTED_VALUE"""),5.72)</f>
        <v>5.72</v>
      </c>
    </row>
    <row r="1243">
      <c r="A1243" s="2">
        <f>IFERROR(__xludf.DUMMYFUNCTION("""COMPUTED_VALUE"""),45911.66666666667)</f>
        <v>45911.66667</v>
      </c>
      <c r="B1243" s="1">
        <f>IFERROR(__xludf.DUMMYFUNCTION("""COMPUTED_VALUE"""),6.07)</f>
        <v>6.07</v>
      </c>
    </row>
    <row r="1244">
      <c r="A1244" s="2">
        <f>IFERROR(__xludf.DUMMYFUNCTION("""COMPUTED_VALUE"""),45912.66666666667)</f>
        <v>45912.66667</v>
      </c>
      <c r="B1244" s="1">
        <f>IFERROR(__xludf.DUMMYFUNCTION("""COMPUTED_VALUE"""),6.22)</f>
        <v>6.22</v>
      </c>
    </row>
    <row r="1245">
      <c r="A1245" s="2">
        <f>IFERROR(__xludf.DUMMYFUNCTION("""COMPUTED_VALUE"""),45915.66666666667)</f>
        <v>45915.66667</v>
      </c>
      <c r="B1245" s="1">
        <f>IFERROR(__xludf.DUMMYFUNCTION("""COMPUTED_VALUE"""),6.49)</f>
        <v>6.49</v>
      </c>
    </row>
    <row r="1246">
      <c r="A1246" s="2">
        <f>IFERROR(__xludf.DUMMYFUNCTION("""COMPUTED_VALUE"""),45916.66666666667)</f>
        <v>45916.66667</v>
      </c>
      <c r="B1246" s="1">
        <f>IFERROR(__xludf.DUMMYFUNCTION("""COMPUTED_VALUE"""),7.02)</f>
        <v>7.02</v>
      </c>
    </row>
    <row r="1247">
      <c r="A1247" s="2">
        <f>IFERROR(__xludf.DUMMYFUNCTION("""COMPUTED_VALUE"""),45917.66666666667)</f>
        <v>45917.66667</v>
      </c>
      <c r="B1247" s="1">
        <f>IFERROR(__xludf.DUMMYFUNCTION("""COMPUTED_VALUE"""),7.45)</f>
        <v>7.45</v>
      </c>
    </row>
    <row r="1248">
      <c r="A1248" s="2">
        <f>IFERROR(__xludf.DUMMYFUNCTION("""COMPUTED_VALUE"""),45918.66666666667)</f>
        <v>45918.66667</v>
      </c>
      <c r="B1248" s="1">
        <f>IFERROR(__xludf.DUMMYFUNCTION("""COMPUTED_VALUE"""),7.37)</f>
        <v>7.37</v>
      </c>
    </row>
    <row r="1249">
      <c r="A1249" s="2">
        <f>IFERROR(__xludf.DUMMYFUNCTION("""COMPUTED_VALUE"""),45919.66666666667)</f>
        <v>45919.66667</v>
      </c>
      <c r="B1249" s="1">
        <f>IFERROR(__xludf.DUMMYFUNCTION("""COMPUTED_VALUE"""),7.37)</f>
        <v>7.37</v>
      </c>
    </row>
    <row r="1250">
      <c r="A1250" s="2">
        <f>IFERROR(__xludf.DUMMYFUNCTION("""COMPUTED_VALUE"""),45922.66666666667)</f>
        <v>45922.66667</v>
      </c>
      <c r="B1250" s="1">
        <f>IFERROR(__xludf.DUMMYFUNCTION("""COMPUTED_VALUE"""),6.91)</f>
        <v>6.91</v>
      </c>
    </row>
    <row r="1251">
      <c r="A1251" s="2">
        <f>IFERROR(__xludf.DUMMYFUNCTION("""COMPUTED_VALUE"""),45923.66666666667)</f>
        <v>45923.66667</v>
      </c>
      <c r="B1251" s="1">
        <f>IFERROR(__xludf.DUMMYFUNCTION("""COMPUTED_VALUE"""),6.93)</f>
        <v>6.93</v>
      </c>
    </row>
    <row r="1252">
      <c r="A1252" s="2">
        <f>IFERROR(__xludf.DUMMYFUNCTION("""COMPUTED_VALUE"""),45924.66666666667)</f>
        <v>45924.66667</v>
      </c>
      <c r="B1252" s="1">
        <f>IFERROR(__xludf.DUMMYFUNCTION("""COMPUTED_VALUE"""),7.12)</f>
        <v>7.12</v>
      </c>
    </row>
    <row r="1253">
      <c r="A1253" s="2">
        <f>IFERROR(__xludf.DUMMYFUNCTION("""COMPUTED_VALUE"""),45925.66666666667)</f>
        <v>45925.66667</v>
      </c>
      <c r="B1253" s="1">
        <f>IFERROR(__xludf.DUMMYFUNCTION("""COMPUTED_VALUE"""),7.47)</f>
        <v>7.47</v>
      </c>
    </row>
    <row r="1254">
      <c r="A1254" s="2">
        <f>IFERROR(__xludf.DUMMYFUNCTION("""COMPUTED_VALUE"""),45926.66666666667)</f>
        <v>45926.66667</v>
      </c>
      <c r="B1254" s="1">
        <f>IFERROR(__xludf.DUMMYFUNCTION("""COMPUTED_VALUE"""),7.04)</f>
        <v>7.04</v>
      </c>
    </row>
    <row r="1255">
      <c r="A1255" s="2">
        <f>IFERROR(__xludf.DUMMYFUNCTION("""COMPUTED_VALUE"""),45929.66666666667)</f>
        <v>45929.66667</v>
      </c>
      <c r="B1255" s="1">
        <f>IFERROR(__xludf.DUMMYFUNCTION("""COMPUTED_VALUE"""),7.21)</f>
        <v>7.21</v>
      </c>
    </row>
    <row r="1256">
      <c r="A1256" s="2">
        <f>IFERROR(__xludf.DUMMYFUNCTION("""COMPUTED_VALUE"""),45930.66666666667)</f>
        <v>45930.66667</v>
      </c>
      <c r="B1256" s="1">
        <f>IFERROR(__xludf.DUMMYFUNCTION("""COMPUTED_VALUE"""),7.62)</f>
        <v>7.62</v>
      </c>
    </row>
    <row r="1257">
      <c r="A1257" s="2">
        <f>IFERROR(__xludf.DUMMYFUNCTION("""COMPUTED_VALUE"""),45931.66666666667)</f>
        <v>45931.66667</v>
      </c>
      <c r="B1257" s="1">
        <f>IFERROR(__xludf.DUMMYFUNCTION("""COMPUTED_VALUE"""),7.65)</f>
        <v>7.65</v>
      </c>
    </row>
    <row r="1258">
      <c r="A1258" s="2">
        <f>IFERROR(__xludf.DUMMYFUNCTION("""COMPUTED_VALUE"""),45932.66666666667)</f>
        <v>45932.66667</v>
      </c>
      <c r="B1258" s="1">
        <f>IFERROR(__xludf.DUMMYFUNCTION("""COMPUTED_VALUE"""),7.89)</f>
        <v>7.89</v>
      </c>
    </row>
    <row r="1259">
      <c r="A1259" s="2">
        <f>IFERROR(__xludf.DUMMYFUNCTION("""COMPUTED_VALUE"""),45933.66666666667)</f>
        <v>45933.66667</v>
      </c>
      <c r="B1259" s="1">
        <f>IFERROR(__xludf.DUMMYFUNCTION("""COMPUTED_VALUE"""),7.7)</f>
        <v>7.7</v>
      </c>
    </row>
    <row r="1260">
      <c r="A1260" s="2">
        <f>IFERROR(__xludf.DUMMYFUNCTION("""COMPUTED_VALUE"""),45936.66666666667)</f>
        <v>45936.66667</v>
      </c>
      <c r="B1260" s="1">
        <f>IFERROR(__xludf.DUMMYFUNCTION("""COMPUTED_VALUE"""),7.59)</f>
        <v>7.59</v>
      </c>
    </row>
    <row r="1261">
      <c r="A1261" s="2">
        <f>IFERROR(__xludf.DUMMYFUNCTION("""COMPUTED_VALUE"""),45937.66666666667)</f>
        <v>45937.66667</v>
      </c>
      <c r="B1261" s="1">
        <f>IFERROR(__xludf.DUMMYFUNCTION("""COMPUTED_VALUE"""),7.5)</f>
        <v>7.5</v>
      </c>
    </row>
    <row r="1262">
      <c r="A1262" s="2">
        <f>IFERROR(__xludf.DUMMYFUNCTION("""COMPUTED_VALUE"""),45938.66666666667)</f>
        <v>45938.66667</v>
      </c>
      <c r="B1262" s="1">
        <f>IFERROR(__xludf.DUMMYFUNCTION("""COMPUTED_VALUE"""),7.85)</f>
        <v>7.85</v>
      </c>
    </row>
    <row r="1263">
      <c r="A1263" s="2">
        <f>IFERROR(__xludf.DUMMYFUNCTION("""COMPUTED_VALUE"""),45939.66666666667)</f>
        <v>45939.66667</v>
      </c>
      <c r="B1263" s="1">
        <f>IFERROR(__xludf.DUMMYFUNCTION("""COMPUTED_VALUE"""),7.46)</f>
        <v>7.46</v>
      </c>
    </row>
    <row r="1264">
      <c r="A1264" s="2">
        <f>IFERROR(__xludf.DUMMYFUNCTION("""COMPUTED_VALUE"""),45940.66666666667)</f>
        <v>45940.66667</v>
      </c>
      <c r="B1264" s="1">
        <f>IFERROR(__xludf.DUMMYFUNCTION("""COMPUTED_VALUE"""),6.71)</f>
        <v>6.71</v>
      </c>
    </row>
    <row r="1265">
      <c r="A1265" s="2">
        <f>IFERROR(__xludf.DUMMYFUNCTION("""COMPUTED_VALUE"""),45943.66666666667)</f>
        <v>45943.66667</v>
      </c>
      <c r="B1265" s="1">
        <f>IFERROR(__xludf.DUMMYFUNCTION("""COMPUTED_VALUE"""),7.18)</f>
        <v>7.18</v>
      </c>
    </row>
    <row r="1266">
      <c r="A1266" s="2">
        <f>IFERROR(__xludf.DUMMYFUNCTION("""COMPUTED_VALUE"""),45944.66666666667)</f>
        <v>45944.66667</v>
      </c>
      <c r="B1266" s="1">
        <f>IFERROR(__xludf.DUMMYFUNCTION("""COMPUTED_VALUE"""),6.8)</f>
        <v>6.8</v>
      </c>
    </row>
    <row r="1267">
      <c r="A1267" s="2">
        <f>IFERROR(__xludf.DUMMYFUNCTION("""COMPUTED_VALUE"""),45945.66666666667)</f>
        <v>45945.66667</v>
      </c>
      <c r="B1267" s="1">
        <f>IFERROR(__xludf.DUMMYFUNCTION("""COMPUTED_VALUE"""),6.82)</f>
        <v>6.82</v>
      </c>
    </row>
    <row r="1268">
      <c r="A1268" s="2">
        <f>IFERROR(__xludf.DUMMYFUNCTION("""COMPUTED_VALUE"""),45946.66666666667)</f>
        <v>45946.66667</v>
      </c>
      <c r="B1268" s="1">
        <f>IFERROR(__xludf.DUMMYFUNCTION("""COMPUTED_VALUE"""),6.83)</f>
        <v>6.83</v>
      </c>
    </row>
    <row r="1269">
      <c r="A1269" s="2">
        <f>IFERROR(__xludf.DUMMYFUNCTION("""COMPUTED_VALUE"""),45947.66666666667)</f>
        <v>45947.66667</v>
      </c>
      <c r="B1269" s="1">
        <f>IFERROR(__xludf.DUMMYFUNCTION("""COMPUTED_VALUE"""),6.75)</f>
        <v>6.75</v>
      </c>
    </row>
    <row r="1270">
      <c r="A1270" s="2">
        <f>IFERROR(__xludf.DUMMYFUNCTION("""COMPUTED_VALUE"""),45950.66666666667)</f>
        <v>45950.66667</v>
      </c>
      <c r="B1270" s="1">
        <f>IFERROR(__xludf.DUMMYFUNCTION("""COMPUTED_VALUE"""),7.06)</f>
        <v>7.06</v>
      </c>
    </row>
    <row r="1271">
      <c r="A1271" s="2">
        <f>IFERROR(__xludf.DUMMYFUNCTION("""COMPUTED_VALUE"""),45951.66666666667)</f>
        <v>45951.66667</v>
      </c>
      <c r="B1271" s="1">
        <f>IFERROR(__xludf.DUMMYFUNCTION("""COMPUTED_VALUE"""),6.8)</f>
        <v>6.8</v>
      </c>
    </row>
    <row r="1272">
      <c r="A1272" s="2">
        <f>IFERROR(__xludf.DUMMYFUNCTION("""COMPUTED_VALUE"""),45952.66666666667)</f>
        <v>45952.66667</v>
      </c>
      <c r="B1272" s="1">
        <f>IFERROR(__xludf.DUMMYFUNCTION("""COMPUTED_VALUE"""),6.84)</f>
        <v>6.84</v>
      </c>
    </row>
    <row r="1273">
      <c r="A1273" s="2">
        <f>IFERROR(__xludf.DUMMYFUNCTION("""COMPUTED_VALUE"""),45953.66666666667)</f>
        <v>45953.66667</v>
      </c>
      <c r="B1273" s="1">
        <f>IFERROR(__xludf.DUMMYFUNCTION("""COMPUTED_VALUE"""),6.89)</f>
        <v>6.89</v>
      </c>
    </row>
    <row r="1274">
      <c r="A1274" s="2">
        <f>IFERROR(__xludf.DUMMYFUNCTION("""COMPUTED_VALUE"""),45954.66666666667)</f>
        <v>45954.66667</v>
      </c>
      <c r="B1274" s="1">
        <f>IFERROR(__xludf.DUMMYFUNCTION("""COMPUTED_VALUE"""),6.9)</f>
        <v>6.9</v>
      </c>
    </row>
    <row r="1275">
      <c r="A1275" s="2">
        <f>IFERROR(__xludf.DUMMYFUNCTION("""COMPUTED_VALUE"""),45957.66666666667)</f>
        <v>45957.66667</v>
      </c>
      <c r="B1275" s="1">
        <f>IFERROR(__xludf.DUMMYFUNCTION("""COMPUTED_VALUE"""),7.04)</f>
        <v>7.04</v>
      </c>
    </row>
    <row r="1276">
      <c r="A1276" s="2">
        <f>IFERROR(__xludf.DUMMYFUNCTION("""COMPUTED_VALUE"""),45958.66666666667)</f>
        <v>45958.66667</v>
      </c>
      <c r="B1276" s="1">
        <f>IFERROR(__xludf.DUMMYFUNCTION("""COMPUTED_VALUE"""),7.09)</f>
        <v>7.09</v>
      </c>
    </row>
    <row r="1277">
      <c r="A1277" s="2">
        <f>IFERROR(__xludf.DUMMYFUNCTION("""COMPUTED_VALUE"""),45959.66666666667)</f>
        <v>45959.66667</v>
      </c>
      <c r="B1277" s="1">
        <f>IFERROR(__xludf.DUMMYFUNCTION("""COMPUTED_VALUE"""),7.14)</f>
        <v>7.14</v>
      </c>
    </row>
    <row r="1278">
      <c r="A1278" s="2">
        <f>IFERROR(__xludf.DUMMYFUNCTION("""COMPUTED_VALUE"""),45960.66666666667)</f>
        <v>45960.66667</v>
      </c>
      <c r="B1278" s="1">
        <f>IFERROR(__xludf.DUMMYFUNCTION("""COMPUTED_VALUE"""),7.01)</f>
        <v>7.01</v>
      </c>
    </row>
    <row r="1279">
      <c r="A1279" s="2">
        <f>IFERROR(__xludf.DUMMYFUNCTION("""COMPUTED_VALUE"""),45961.66666666667)</f>
        <v>45961.66667</v>
      </c>
      <c r="B1279" s="1">
        <f>IFERROR(__xludf.DUMMYFUNCTION("""COMPUTED_VALUE"""),7.25)</f>
        <v>7.25</v>
      </c>
    </row>
    <row r="1280">
      <c r="A1280" s="2">
        <f>IFERROR(__xludf.DUMMYFUNCTION("""COMPUTED_VALUE"""),45964.66666666667)</f>
        <v>45964.66667</v>
      </c>
      <c r="B1280" s="1">
        <f>IFERROR(__xludf.DUMMYFUNCTION("""COMPUTED_VALUE"""),7.42)</f>
        <v>7.42</v>
      </c>
    </row>
    <row r="1281">
      <c r="A1281" s="2">
        <f>IFERROR(__xludf.DUMMYFUNCTION("""COMPUTED_VALUE"""),45965.66666666667)</f>
        <v>45965.66667</v>
      </c>
      <c r="B1281" s="1">
        <f>IFERROR(__xludf.DUMMYFUNCTION("""COMPUTED_VALUE"""),7.16)</f>
        <v>7.16</v>
      </c>
    </row>
    <row r="1282">
      <c r="A1282" s="2">
        <f>IFERROR(__xludf.DUMMYFUNCTION("""COMPUTED_VALUE"""),45966.66666666667)</f>
        <v>45966.66667</v>
      </c>
      <c r="B1282" s="1">
        <f>IFERROR(__xludf.DUMMYFUNCTION("""COMPUTED_VALUE"""),7.29)</f>
        <v>7.29</v>
      </c>
    </row>
    <row r="1283">
      <c r="A1283" s="2">
        <f>IFERROR(__xludf.DUMMYFUNCTION("""COMPUTED_VALUE"""),45967.66666666667)</f>
        <v>45967.66667</v>
      </c>
      <c r="B1283" s="1">
        <f>IFERROR(__xludf.DUMMYFUNCTION("""COMPUTED_VALUE"""),7.16)</f>
        <v>7.16</v>
      </c>
    </row>
    <row r="1284">
      <c r="A1284" s="2">
        <f>IFERROR(__xludf.DUMMYFUNCTION("""COMPUTED_VALUE"""),45968.66666666667)</f>
        <v>45968.66667</v>
      </c>
      <c r="B1284" s="1">
        <f>IFERROR(__xludf.DUMMYFUNCTION("""COMPUTED_VALUE"""),6.86)</f>
        <v>6.86</v>
      </c>
    </row>
    <row r="1285">
      <c r="A1285" s="2">
        <f>IFERROR(__xludf.DUMMYFUNCTION("""COMPUTED_VALUE"""),45971.66666666667)</f>
        <v>45971.66667</v>
      </c>
      <c r="B1285" s="1">
        <f>IFERROR(__xludf.DUMMYFUNCTION("""COMPUTED_VALUE"""),6.71)</f>
        <v>6.71</v>
      </c>
    </row>
    <row r="1286">
      <c r="A1286" s="2">
        <f>IFERROR(__xludf.DUMMYFUNCTION("""COMPUTED_VALUE"""),45972.66666666667)</f>
        <v>45972.66667</v>
      </c>
      <c r="B1286" s="1">
        <f>IFERROR(__xludf.DUMMYFUNCTION("""COMPUTED_VALUE"""),6.63)</f>
        <v>6.63</v>
      </c>
    </row>
    <row r="1287">
      <c r="A1287" s="2">
        <f>IFERROR(__xludf.DUMMYFUNCTION("""COMPUTED_VALUE"""),45973.66666666667)</f>
        <v>45973.66667</v>
      </c>
      <c r="B1287" s="1">
        <f>IFERROR(__xludf.DUMMYFUNCTION("""COMPUTED_VALUE"""),6.45)</f>
        <v>6.45</v>
      </c>
    </row>
    <row r="1288">
      <c r="A1288" s="2">
        <f>IFERROR(__xludf.DUMMYFUNCTION("""COMPUTED_VALUE"""),45974.66666666667)</f>
        <v>45974.66667</v>
      </c>
      <c r="B1288" s="1">
        <f>IFERROR(__xludf.DUMMYFUNCTION("""COMPUTED_VALUE"""),6.24)</f>
        <v>6.24</v>
      </c>
    </row>
    <row r="1289">
      <c r="A1289" s="2">
        <f>IFERROR(__xludf.DUMMYFUNCTION("""COMPUTED_VALUE"""),45975.66666666667)</f>
        <v>45975.66667</v>
      </c>
      <c r="B1289" s="1">
        <f>IFERROR(__xludf.DUMMYFUNCTION("""COMPUTED_VALUE"""),6.16)</f>
        <v>6.16</v>
      </c>
    </row>
    <row r="1290">
      <c r="A1290" s="2">
        <f>IFERROR(__xludf.DUMMYFUNCTION("""COMPUTED_VALUE"""),45978.66666666667)</f>
        <v>45978.66667</v>
      </c>
      <c r="B1290" s="1">
        <f>IFERROR(__xludf.DUMMYFUNCTION("""COMPUTED_VALUE"""),6.08)</f>
        <v>6.08</v>
      </c>
    </row>
    <row r="1291">
      <c r="A1291" s="2">
        <f>IFERROR(__xludf.DUMMYFUNCTION("""COMPUTED_VALUE"""),45979.66666666667)</f>
        <v>45979.66667</v>
      </c>
      <c r="B1291" s="1">
        <f>IFERROR(__xludf.DUMMYFUNCTION("""COMPUTED_VALUE"""),5.98)</f>
        <v>5.98</v>
      </c>
    </row>
    <row r="1292">
      <c r="A1292" s="2">
        <f>IFERROR(__xludf.DUMMYFUNCTION("""COMPUTED_VALUE"""),45980.66666666667)</f>
        <v>45980.66667</v>
      </c>
      <c r="B1292" s="1">
        <f>IFERROR(__xludf.DUMMYFUNCTION("""COMPUTED_VALUE"""),5.75)</f>
        <v>5.75</v>
      </c>
    </row>
    <row r="1293">
      <c r="A1293" s="2">
        <f>IFERROR(__xludf.DUMMYFUNCTION("""COMPUTED_VALUE"""),45981.66666666667)</f>
        <v>45981.66667</v>
      </c>
      <c r="B1293" s="1">
        <f>IFERROR(__xludf.DUMMYFUNCTION("""COMPUTED_VALUE"""),5.4)</f>
        <v>5.4</v>
      </c>
    </row>
    <row r="1294">
      <c r="A1294" s="2">
        <f>IFERROR(__xludf.DUMMYFUNCTION("""COMPUTED_VALUE"""),45982.66666666667)</f>
        <v>45982.66667</v>
      </c>
      <c r="B1294" s="1">
        <f>IFERROR(__xludf.DUMMYFUNCTION("""COMPUTED_VALUE"""),5.58)</f>
        <v>5.58</v>
      </c>
    </row>
    <row r="1295">
      <c r="A1295" s="2">
        <f>IFERROR(__xludf.DUMMYFUNCTION("""COMPUTED_VALUE"""),45985.66666666667)</f>
        <v>45985.66667</v>
      </c>
      <c r="B1295" s="1">
        <f>IFERROR(__xludf.DUMMYFUNCTION("""COMPUTED_VALUE"""),5.75)</f>
        <v>5.75</v>
      </c>
    </row>
    <row r="1296">
      <c r="A1296" s="2">
        <f>IFERROR(__xludf.DUMMYFUNCTION("""COMPUTED_VALUE"""),45986.66666666667)</f>
        <v>45986.66667</v>
      </c>
      <c r="B1296" s="1">
        <f>IFERROR(__xludf.DUMMYFUNCTION("""COMPUTED_VALUE"""),5.5)</f>
        <v>5.5</v>
      </c>
    </row>
    <row r="1297">
      <c r="A1297" s="2">
        <f>IFERROR(__xludf.DUMMYFUNCTION("""COMPUTED_VALUE"""),45987.66666666667)</f>
        <v>45987.66667</v>
      </c>
      <c r="B1297" s="1">
        <f>IFERROR(__xludf.DUMMYFUNCTION("""COMPUTED_VALUE"""),5.46)</f>
        <v>5.46</v>
      </c>
    </row>
    <row r="1298">
      <c r="A1298" s="2">
        <f>IFERROR(__xludf.DUMMYFUNCTION("""COMPUTED_VALUE"""),45989.54166666667)</f>
        <v>45989.54167</v>
      </c>
      <c r="B1298" s="1">
        <f>IFERROR(__xludf.DUMMYFUNCTION("""COMPUTED_VALUE"""),5.5)</f>
        <v>5.5</v>
      </c>
    </row>
    <row r="1299">
      <c r="A1299" s="2">
        <f>IFERROR(__xludf.DUMMYFUNCTION("""COMPUTED_VALUE"""),45992.66666666667)</f>
        <v>45992.66667</v>
      </c>
      <c r="B1299" s="1">
        <f>IFERROR(__xludf.DUMMYFUNCTION("""COMPUTED_VALUE"""),5.18)</f>
        <v>5.18</v>
      </c>
    </row>
    <row r="1300">
      <c r="A1300" s="2">
        <f>IFERROR(__xludf.DUMMYFUNCTION("""COMPUTED_VALUE"""),45993.66666666667)</f>
        <v>45993.66667</v>
      </c>
      <c r="B1300" s="1">
        <f>IFERROR(__xludf.DUMMYFUNCTION("""COMPUTED_VALUE"""),5.03)</f>
        <v>5.03</v>
      </c>
    </row>
    <row r="1301">
      <c r="A1301" s="2">
        <f>IFERROR(__xludf.DUMMYFUNCTION("""COMPUTED_VALUE"""),45994.66666666667)</f>
        <v>45994.66667</v>
      </c>
      <c r="B1301" s="1">
        <f>IFERROR(__xludf.DUMMYFUNCTION("""COMPUTED_VALUE"""),4.79)</f>
        <v>4.79</v>
      </c>
    </row>
    <row r="1302">
      <c r="A1302" s="2">
        <f>IFERROR(__xludf.DUMMYFUNCTION("""COMPUTED_VALUE"""),45995.66666666667)</f>
        <v>45995.66667</v>
      </c>
      <c r="B1302" s="1">
        <f>IFERROR(__xludf.DUMMYFUNCTION("""COMPUTED_VALUE"""),5.01)</f>
        <v>5.01</v>
      </c>
    </row>
    <row r="1303">
      <c r="A1303" s="2">
        <f>IFERROR(__xludf.DUMMYFUNCTION("""COMPUTED_VALUE"""),45996.66666666667)</f>
        <v>45996.66667</v>
      </c>
      <c r="B1303" s="1">
        <f>IFERROR(__xludf.DUMMYFUNCTION("""COMPUTED_VALUE"""),5.04)</f>
        <v>5.04</v>
      </c>
    </row>
    <row r="1304">
      <c r="A1304" s="2">
        <f>IFERROR(__xludf.DUMMYFUNCTION("""COMPUTED_VALUE"""),45999.66666666667)</f>
        <v>45999.66667</v>
      </c>
      <c r="B1304" s="1">
        <f>IFERROR(__xludf.DUMMYFUNCTION("""COMPUTED_VALUE"""),5.1)</f>
        <v>5.1</v>
      </c>
    </row>
    <row r="1305">
      <c r="A1305" s="2">
        <f>IFERROR(__xludf.DUMMYFUNCTION("""COMPUTED_VALUE"""),46000.66666666667)</f>
        <v>46000.66667</v>
      </c>
      <c r="B1305" s="1">
        <f>IFERROR(__xludf.DUMMYFUNCTION("""COMPUTED_VALUE"""),5.03)</f>
        <v>5.03</v>
      </c>
    </row>
    <row r="1306">
      <c r="A1306" s="2">
        <f>IFERROR(__xludf.DUMMYFUNCTION("""COMPUTED_VALUE"""),46001.66666666667)</f>
        <v>46001.66667</v>
      </c>
      <c r="B1306" s="1">
        <f>IFERROR(__xludf.DUMMYFUNCTION("""COMPUTED_VALUE"""),5.03)</f>
        <v>5.03</v>
      </c>
    </row>
    <row r="1307">
      <c r="A1307" s="2">
        <f>IFERROR(__xludf.DUMMYFUNCTION("""COMPUTED_VALUE"""),46002.66666666667)</f>
        <v>46002.66667</v>
      </c>
      <c r="B1307" s="1">
        <f>IFERROR(__xludf.DUMMYFUNCTION("""COMPUTED_VALUE"""),5.13)</f>
        <v>5.13</v>
      </c>
    </row>
    <row r="1308">
      <c r="A1308" s="2">
        <f>IFERROR(__xludf.DUMMYFUNCTION("""COMPUTED_VALUE"""),46003.66666666667)</f>
        <v>46003.66667</v>
      </c>
      <c r="B1308" s="1">
        <f>IFERROR(__xludf.DUMMYFUNCTION("""COMPUTED_VALUE"""),5.03)</f>
        <v>5.03</v>
      </c>
    </row>
    <row r="1309">
      <c r="A1309" s="2">
        <f>IFERROR(__xludf.DUMMYFUNCTION("""COMPUTED_VALUE"""),46006.66666666667)</f>
        <v>46006.66667</v>
      </c>
      <c r="B1309" s="1">
        <f>IFERROR(__xludf.DUMMYFUNCTION("""COMPUTED_VALUE"""),4.99)</f>
        <v>4.99</v>
      </c>
    </row>
    <row r="1310">
      <c r="A1310" s="2">
        <f>IFERROR(__xludf.DUMMYFUNCTION("""COMPUTED_VALUE"""),46007.66666666667)</f>
        <v>46007.66667</v>
      </c>
      <c r="B1310" s="1">
        <f>IFERROR(__xludf.DUMMYFUNCTION("""COMPUTED_VALUE"""),5.03)</f>
        <v>5.03</v>
      </c>
    </row>
    <row r="1311">
      <c r="A1311" s="2">
        <f>IFERROR(__xludf.DUMMYFUNCTION("""COMPUTED_VALUE"""),46008.66666666667)</f>
        <v>46008.66667</v>
      </c>
      <c r="B1311" s="1">
        <f>IFERROR(__xludf.DUMMYFUNCTION("""COMPUTED_VALUE"""),4.86)</f>
        <v>4.86</v>
      </c>
    </row>
    <row r="1312">
      <c r="A1312" s="2">
        <f>IFERROR(__xludf.DUMMYFUNCTION("""COMPUTED_VALUE"""),46009.66666666667)</f>
        <v>46009.66667</v>
      </c>
      <c r="B1312" s="1">
        <f>IFERROR(__xludf.DUMMYFUNCTION("""COMPUTED_VALUE"""),4.93)</f>
        <v>4.93</v>
      </c>
    </row>
    <row r="1313">
      <c r="A1313" s="2">
        <f>IFERROR(__xludf.DUMMYFUNCTION("""COMPUTED_VALUE"""),46010.66666666667)</f>
        <v>46010.66667</v>
      </c>
      <c r="B1313" s="1">
        <f>IFERROR(__xludf.DUMMYFUNCTION("""COMPUTED_VALUE"""),4.99)</f>
        <v>4.99</v>
      </c>
    </row>
    <row r="1314">
      <c r="A1314" s="2">
        <f>IFERROR(__xludf.DUMMYFUNCTION("""COMPUTED_VALUE"""),46013.66666666667)</f>
        <v>46013.66667</v>
      </c>
      <c r="B1314" s="1">
        <f>IFERROR(__xludf.DUMMYFUNCTION("""COMPUTED_VALUE"""),5.0)</f>
        <v>5</v>
      </c>
    </row>
    <row r="1315">
      <c r="A1315" s="2">
        <f>IFERROR(__xludf.DUMMYFUNCTION("""COMPUTED_VALUE"""),46014.66666666667)</f>
        <v>46014.66667</v>
      </c>
      <c r="B1315" s="1">
        <f>IFERROR(__xludf.DUMMYFUNCTION("""COMPUTED_VALUE"""),4.89)</f>
        <v>4.89</v>
      </c>
    </row>
    <row r="1316">
      <c r="A1316" s="2">
        <f>IFERROR(__xludf.DUMMYFUNCTION("""COMPUTED_VALUE"""),46015.54166666667)</f>
        <v>46015.54167</v>
      </c>
      <c r="B1316" s="1">
        <f>IFERROR(__xludf.DUMMYFUNCTION("""COMPUTED_VALUE"""),4.91)</f>
        <v>4.91</v>
      </c>
    </row>
    <row r="1317">
      <c r="A1317" s="2">
        <f>IFERROR(__xludf.DUMMYFUNCTION("""COMPUTED_VALUE"""),46017.66666666667)</f>
        <v>46017.66667</v>
      </c>
      <c r="B1317" s="1">
        <f>IFERROR(__xludf.DUMMYFUNCTION("""COMPUTED_VALUE"""),5.1)</f>
        <v>5.1</v>
      </c>
    </row>
    <row r="1318">
      <c r="A1318" s="2">
        <f>IFERROR(__xludf.DUMMYFUNCTION("""COMPUTED_VALUE"""),46020.66666666667)</f>
        <v>46020.66667</v>
      </c>
      <c r="B1318" s="1">
        <f>IFERROR(__xludf.DUMMYFUNCTION("""COMPUTED_VALUE"""),5.34)</f>
        <v>5.34</v>
      </c>
    </row>
    <row r="1319">
      <c r="A1319" s="2">
        <f>IFERROR(__xludf.DUMMYFUNCTION("""COMPUTED_VALUE"""),46021.66666666667)</f>
        <v>46021.66667</v>
      </c>
      <c r="B1319" s="1">
        <f>IFERROR(__xludf.DUMMYFUNCTION("""COMPUTED_VALUE"""),5.5)</f>
        <v>5.5</v>
      </c>
    </row>
    <row r="1320">
      <c r="A1320" s="2">
        <f>IFERROR(__xludf.DUMMYFUNCTION("""COMPUTED_VALUE"""),46022.66666666667)</f>
        <v>46022.66667</v>
      </c>
      <c r="B1320" s="1">
        <f>IFERROR(__xludf.DUMMYFUNCTION("""COMPUTED_VALUE"""),5.1)</f>
        <v>5.1</v>
      </c>
    </row>
    <row r="1321">
      <c r="A1321" s="2">
        <f>IFERROR(__xludf.DUMMYFUNCTION("""COMPUTED_VALUE"""),46024.66666666667)</f>
        <v>46024.66667</v>
      </c>
      <c r="B1321" s="1">
        <f>IFERROR(__xludf.DUMMYFUNCTION("""COMPUTED_VALUE"""),5.14)</f>
        <v>5.14</v>
      </c>
    </row>
    <row r="1322">
      <c r="A1322" s="2">
        <f>IFERROR(__xludf.DUMMYFUNCTION("""COMPUTED_VALUE"""),46027.66666666667)</f>
        <v>46027.66667</v>
      </c>
      <c r="B1322" s="1">
        <f>IFERROR(__xludf.DUMMYFUNCTION("""COMPUTED_VALUE"""),4.86)</f>
        <v>4.86</v>
      </c>
    </row>
    <row r="1323">
      <c r="A1323" s="2">
        <f>IFERROR(__xludf.DUMMYFUNCTION("""COMPUTED_VALUE"""),46028.66666666667)</f>
        <v>46028.66667</v>
      </c>
      <c r="B1323" s="1">
        <f>IFERROR(__xludf.DUMMYFUNCTION("""COMPUTED_VALUE"""),4.78)</f>
        <v>4.78</v>
      </c>
    </row>
    <row r="1324">
      <c r="A1324" s="2">
        <f>IFERROR(__xludf.DUMMYFUNCTION("""COMPUTED_VALUE"""),46029.66666666667)</f>
        <v>46029.66667</v>
      </c>
      <c r="B1324" s="1">
        <f>IFERROR(__xludf.DUMMYFUNCTION("""COMPUTED_VALUE"""),4.79)</f>
        <v>4.79</v>
      </c>
    </row>
    <row r="1325">
      <c r="A1325" s="2">
        <f>IFERROR(__xludf.DUMMYFUNCTION("""COMPUTED_VALUE"""),46030.66666666667)</f>
        <v>46030.66667</v>
      </c>
      <c r="B1325" s="1">
        <f>IFERROR(__xludf.DUMMYFUNCTION("""COMPUTED_VALUE"""),4.73)</f>
        <v>4.73</v>
      </c>
    </row>
    <row r="1326">
      <c r="A1326" s="2">
        <f>IFERROR(__xludf.DUMMYFUNCTION("""COMPUTED_VALUE"""),46031.66666666667)</f>
        <v>46031.66667</v>
      </c>
      <c r="B1326" s="1">
        <f>IFERROR(__xludf.DUMMYFUNCTION("""COMPUTED_VALUE"""),4.64)</f>
        <v>4.64</v>
      </c>
    </row>
    <row r="1327">
      <c r="A1327" s="2">
        <f>IFERROR(__xludf.DUMMYFUNCTION("""COMPUTED_VALUE"""),46034.66666666667)</f>
        <v>46034.66667</v>
      </c>
      <c r="B1327" s="1">
        <f>IFERROR(__xludf.DUMMYFUNCTION("""COMPUTED_VALUE"""),4.85)</f>
        <v>4.85</v>
      </c>
    </row>
    <row r="1328">
      <c r="A1328" s="2">
        <f>IFERROR(__xludf.DUMMYFUNCTION("""COMPUTED_VALUE"""),46035.66666666667)</f>
        <v>46035.66667</v>
      </c>
      <c r="B1328" s="1">
        <f>IFERROR(__xludf.DUMMYFUNCTION("""COMPUTED_VALUE"""),4.68)</f>
        <v>4.68</v>
      </c>
    </row>
    <row r="1329">
      <c r="A1329" s="2">
        <f>IFERROR(__xludf.DUMMYFUNCTION("""COMPUTED_VALUE"""),46036.66666666667)</f>
        <v>46036.66667</v>
      </c>
      <c r="B1329" s="1">
        <f>IFERROR(__xludf.DUMMYFUNCTION("""COMPUTED_VALUE"""),4.56)</f>
        <v>4.56</v>
      </c>
    </row>
    <row r="1330">
      <c r="A1330" s="2">
        <f>IFERROR(__xludf.DUMMYFUNCTION("""COMPUTED_VALUE"""),46037.66666666667)</f>
        <v>46037.66667</v>
      </c>
      <c r="B1330" s="1">
        <f>IFERROR(__xludf.DUMMYFUNCTION("""COMPUTED_VALUE"""),4.64)</f>
        <v>4.64</v>
      </c>
    </row>
    <row r="1331">
      <c r="A1331" s="2">
        <f>IFERROR(__xludf.DUMMYFUNCTION("""COMPUTED_VALUE"""),46038.66666666667)</f>
        <v>46038.66667</v>
      </c>
      <c r="B1331" s="1">
        <f>IFERROR(__xludf.DUMMYFUNCTION("""COMPUTED_VALUE"""),4.71)</f>
        <v>4.71</v>
      </c>
    </row>
    <row r="1332">
      <c r="A1332" s="2">
        <f>IFERROR(__xludf.DUMMYFUNCTION("""COMPUTED_VALUE"""),46042.66666666667)</f>
        <v>46042.66667</v>
      </c>
      <c r="B1332" s="1">
        <f>IFERROR(__xludf.DUMMYFUNCTION("""COMPUTED_VALUE"""),4.56)</f>
        <v>4.56</v>
      </c>
    </row>
    <row r="1333">
      <c r="A1333" s="2">
        <f>IFERROR(__xludf.DUMMYFUNCTION("""COMPUTED_VALUE"""),46043.66666666667)</f>
        <v>46043.66667</v>
      </c>
      <c r="B1333" s="1">
        <f>IFERROR(__xludf.DUMMYFUNCTION("""COMPUTED_VALUE"""),4.67)</f>
        <v>4.67</v>
      </c>
    </row>
    <row r="1334">
      <c r="A1334" s="2">
        <f>IFERROR(__xludf.DUMMYFUNCTION("""COMPUTED_VALUE"""),46044.66666666667)</f>
        <v>46044.66667</v>
      </c>
      <c r="B1334" s="1">
        <f>IFERROR(__xludf.DUMMYFUNCTION("""COMPUTED_VALUE"""),4.77)</f>
        <v>4.77</v>
      </c>
    </row>
    <row r="1335">
      <c r="A1335" s="2">
        <f>IFERROR(__xludf.DUMMYFUNCTION("""COMPUTED_VALUE"""),46045.66666666667)</f>
        <v>46045.66667</v>
      </c>
      <c r="B1335" s="1">
        <f>IFERROR(__xludf.DUMMYFUNCTION("""COMPUTED_VALUE"""),4.64)</f>
        <v>4.64</v>
      </c>
    </row>
    <row r="1336">
      <c r="A1336" s="2">
        <f>IFERROR(__xludf.DUMMYFUNCTION("""COMPUTED_VALUE"""),46048.66666666667)</f>
        <v>46048.66667</v>
      </c>
      <c r="B1336" s="1">
        <f>IFERROR(__xludf.DUMMYFUNCTION("""COMPUTED_VALUE"""),4.61)</f>
        <v>4.61</v>
      </c>
    </row>
    <row r="1337">
      <c r="A1337" s="2">
        <f>IFERROR(__xludf.DUMMYFUNCTION("""COMPUTED_VALUE"""),46049.66666666667)</f>
        <v>46049.66667</v>
      </c>
      <c r="B1337" s="1">
        <f>IFERROR(__xludf.DUMMYFUNCTION("""COMPUTED_VALUE"""),4.64)</f>
        <v>4.64</v>
      </c>
    </row>
    <row r="1338">
      <c r="A1338" s="2">
        <f>IFERROR(__xludf.DUMMYFUNCTION("""COMPUTED_VALUE"""),46050.66666666667)</f>
        <v>46050.66667</v>
      </c>
      <c r="B1338" s="1">
        <f>IFERROR(__xludf.DUMMYFUNCTION("""COMPUTED_VALUE"""),4.59)</f>
        <v>4.59</v>
      </c>
    </row>
    <row r="1339">
      <c r="A1339" s="2">
        <f>IFERROR(__xludf.DUMMYFUNCTION("""COMPUTED_VALUE"""),46051.66666666667)</f>
        <v>46051.66667</v>
      </c>
      <c r="B1339" s="1">
        <f>IFERROR(__xludf.DUMMYFUNCTION("""COMPUTED_VALUE"""),4.77)</f>
        <v>4.77</v>
      </c>
    </row>
    <row r="1340">
      <c r="A1340" s="2">
        <f>IFERROR(__xludf.DUMMYFUNCTION("""COMPUTED_VALUE"""),46052.66666666667)</f>
        <v>46052.66667</v>
      </c>
      <c r="B1340" s="1">
        <f>IFERROR(__xludf.DUMMYFUNCTION("""COMPUTED_VALUE"""),4.7)</f>
        <v>4.7</v>
      </c>
    </row>
    <row r="1341">
      <c r="A1341" s="2">
        <f>IFERROR(__xludf.DUMMYFUNCTION("""COMPUTED_VALUE"""),46055.66666666667)</f>
        <v>46055.66667</v>
      </c>
      <c r="B1341" s="1">
        <f>IFERROR(__xludf.DUMMYFUNCTION("""COMPUTED_VALUE"""),4.52)</f>
        <v>4.52</v>
      </c>
    </row>
    <row r="1342">
      <c r="A1342" s="2">
        <f>IFERROR(__xludf.DUMMYFUNCTION("""COMPUTED_VALUE"""),46056.66666666667)</f>
        <v>46056.66667</v>
      </c>
      <c r="B1342" s="1">
        <f>IFERROR(__xludf.DUMMYFUNCTION("""COMPUTED_VALUE"""),4.55)</f>
        <v>4.55</v>
      </c>
    </row>
    <row r="1343">
      <c r="A1343" s="2">
        <f>IFERROR(__xludf.DUMMYFUNCTION("""COMPUTED_VALUE"""),46057.66666666667)</f>
        <v>46057.66667</v>
      </c>
      <c r="B1343" s="1">
        <f>IFERROR(__xludf.DUMMYFUNCTION("""COMPUTED_VALUE"""),4.44)</f>
        <v>4.44</v>
      </c>
    </row>
    <row r="1344">
      <c r="A1344" s="2">
        <f>IFERROR(__xludf.DUMMYFUNCTION("""COMPUTED_VALUE"""),46058.66666666667)</f>
        <v>46058.66667</v>
      </c>
      <c r="B1344" s="1">
        <f>IFERROR(__xludf.DUMMYFUNCTION("""COMPUTED_VALUE"""),4.7)</f>
        <v>4.7</v>
      </c>
    </row>
    <row r="1345">
      <c r="A1345" s="2">
        <f>IFERROR(__xludf.DUMMYFUNCTION("""COMPUTED_VALUE"""),46059.66666666667)</f>
        <v>46059.66667</v>
      </c>
      <c r="B1345" s="1">
        <f>IFERROR(__xludf.DUMMYFUNCTION("""COMPUTED_VALUE"""),5.04)</f>
        <v>5.04</v>
      </c>
    </row>
    <row r="1346">
      <c r="A1346" s="2">
        <f>IFERROR(__xludf.DUMMYFUNCTION("""COMPUTED_VALUE"""),46062.66666666667)</f>
        <v>46062.66667</v>
      </c>
      <c r="B1346" s="1">
        <f>IFERROR(__xludf.DUMMYFUNCTION("""COMPUTED_VALUE"""),4.89)</f>
        <v>4.89</v>
      </c>
    </row>
    <row r="1347">
      <c r="A1347" s="2">
        <f>IFERROR(__xludf.DUMMYFUNCTION("""COMPUTED_VALUE"""),46063.66666666667)</f>
        <v>46063.66667</v>
      </c>
      <c r="B1347" s="1">
        <f>IFERROR(__xludf.DUMMYFUNCTION("""COMPUTED_VALUE"""),4.96)</f>
        <v>4.96</v>
      </c>
    </row>
    <row r="1348">
      <c r="A1348" s="2">
        <f>IFERROR(__xludf.DUMMYFUNCTION("""COMPUTED_VALUE"""),46064.66666666667)</f>
        <v>46064.66667</v>
      </c>
      <c r="B1348" s="1">
        <f>IFERROR(__xludf.DUMMYFUNCTION("""COMPUTED_VALUE"""),5.07)</f>
        <v>5.07</v>
      </c>
    </row>
    <row r="1349">
      <c r="A1349" s="2">
        <f>IFERROR(__xludf.DUMMYFUNCTION("""COMPUTED_VALUE"""),46065.66666666667)</f>
        <v>46065.66667</v>
      </c>
      <c r="B1349" s="1">
        <f>IFERROR(__xludf.DUMMYFUNCTION("""COMPUTED_VALUE"""),4.95)</f>
        <v>4.95</v>
      </c>
    </row>
    <row r="1350">
      <c r="A1350" s="2">
        <f>IFERROR(__xludf.DUMMYFUNCTION("""COMPUTED_VALUE"""),46066.66666666667)</f>
        <v>46066.66667</v>
      </c>
      <c r="B1350" s="1">
        <f>IFERROR(__xludf.DUMMYFUNCTION("""COMPUTED_VALUE"""),4.95)</f>
        <v>4.95</v>
      </c>
    </row>
    <row r="1351">
      <c r="A1351" s="2">
        <f>IFERROR(__xludf.DUMMYFUNCTION("""COMPUTED_VALUE"""),46070.66666666667)</f>
        <v>46070.66667</v>
      </c>
      <c r="B1351" s="1">
        <f>IFERROR(__xludf.DUMMYFUNCTION("""COMPUTED_VALUE"""),4.92)</f>
        <v>4.92</v>
      </c>
    </row>
    <row r="1352">
      <c r="A1352" s="2">
        <f>IFERROR(__xludf.DUMMYFUNCTION("""COMPUTED_VALUE"""),46071.66666666667)</f>
        <v>46071.66667</v>
      </c>
      <c r="B1352" s="1">
        <f>IFERROR(__xludf.DUMMYFUNCTION("""COMPUTED_VALUE"""),4.91)</f>
        <v>4.91</v>
      </c>
    </row>
    <row r="1353">
      <c r="A1353" s="2">
        <f>IFERROR(__xludf.DUMMYFUNCTION("""COMPUTED_VALUE"""),46072.66666666667)</f>
        <v>46072.66667</v>
      </c>
      <c r="B1353" s="1">
        <f>IFERROR(__xludf.DUMMYFUNCTION("""COMPUTED_VALUE"""),4.93)</f>
        <v>4.93</v>
      </c>
    </row>
    <row r="1354">
      <c r="A1354" s="2">
        <f>IFERROR(__xludf.DUMMYFUNCTION("""COMPUTED_VALUE"""),46073.66666666667)</f>
        <v>46073.66667</v>
      </c>
      <c r="B1354" s="1">
        <f>IFERROR(__xludf.DUMMYFUNCTION("""COMPUTED_VALUE"""),5.07)</f>
        <v>5.07</v>
      </c>
    </row>
    <row r="1355">
      <c r="A1355" s="2">
        <f>IFERROR(__xludf.DUMMYFUNCTION("""COMPUTED_VALUE"""),46076.66666666667)</f>
        <v>46076.66667</v>
      </c>
      <c r="B1355" s="1">
        <f>IFERROR(__xludf.DUMMYFUNCTION("""COMPUTED_VALUE"""),5.29)</f>
        <v>5.29</v>
      </c>
    </row>
    <row r="1356">
      <c r="A1356" s="2">
        <f>IFERROR(__xludf.DUMMYFUNCTION("""COMPUTED_VALUE"""),46077.66666666667)</f>
        <v>46077.66667</v>
      </c>
      <c r="B1356" s="1">
        <f>IFERROR(__xludf.DUMMYFUNCTION("""COMPUTED_VALUE"""),5.3)</f>
        <v>5.3</v>
      </c>
    </row>
    <row r="1357">
      <c r="A1357" s="2">
        <f>IFERROR(__xludf.DUMMYFUNCTION("""COMPUTED_VALUE"""),46078.66666666667)</f>
        <v>46078.66667</v>
      </c>
      <c r="B1357" s="1">
        <f>IFERROR(__xludf.DUMMYFUNCTION("""COMPUTED_VALUE"""),5.19)</f>
        <v>5.19</v>
      </c>
    </row>
    <row r="1358">
      <c r="A1358" s="2">
        <f>IFERROR(__xludf.DUMMYFUNCTION("""COMPUTED_VALUE"""),46079.66666666667)</f>
        <v>46079.66667</v>
      </c>
      <c r="B1358" s="1">
        <f>IFERROR(__xludf.DUMMYFUNCTION("""COMPUTED_VALUE"""),5.09)</f>
        <v>5.09</v>
      </c>
    </row>
    <row r="1359">
      <c r="A1359" s="2">
        <f>IFERROR(__xludf.DUMMYFUNCTION("""COMPUTED_VALUE"""),46080.66666666667)</f>
        <v>46080.66667</v>
      </c>
      <c r="B1359" s="1">
        <f>IFERROR(__xludf.DUMMYFUNCTION("""COMPUTED_VALUE"""),4.87)</f>
        <v>4.87</v>
      </c>
    </row>
    <row r="1360">
      <c r="A1360" s="2">
        <f>IFERROR(__xludf.DUMMYFUNCTION("""COMPUTED_VALUE"""),46083.66666666667)</f>
        <v>46083.66667</v>
      </c>
      <c r="B1360" s="1">
        <f>IFERROR(__xludf.DUMMYFUNCTION("""COMPUTED_VALUE"""),4.72)</f>
        <v>4.72</v>
      </c>
    </row>
    <row r="1361">
      <c r="A1361" s="2">
        <f>IFERROR(__xludf.DUMMYFUNCTION("""COMPUTED_VALUE"""),46084.66666666667)</f>
        <v>46084.66667</v>
      </c>
      <c r="B1361" s="1">
        <f>IFERROR(__xludf.DUMMYFUNCTION("""COMPUTED_VALUE"""),4.59)</f>
        <v>4.59</v>
      </c>
    </row>
    <row r="1362">
      <c r="A1362" s="2">
        <f>IFERROR(__xludf.DUMMYFUNCTION("""COMPUTED_VALUE"""),46085.66666666667)</f>
        <v>46085.66667</v>
      </c>
      <c r="B1362" s="1">
        <f>IFERROR(__xludf.DUMMYFUNCTION("""COMPUTED_VALUE"""),4.84)</f>
        <v>4.84</v>
      </c>
    </row>
    <row r="1363">
      <c r="A1363" s="2">
        <f>IFERROR(__xludf.DUMMYFUNCTION("""COMPUTED_VALUE"""),46086.66666666667)</f>
        <v>46086.66667</v>
      </c>
      <c r="B1363" s="1">
        <f>IFERROR(__xludf.DUMMYFUNCTION("""COMPUTED_VALUE"""),4.72)</f>
        <v>4.72</v>
      </c>
    </row>
    <row r="1364">
      <c r="A1364" s="2">
        <f>IFERROR(__xludf.DUMMYFUNCTION("""COMPUTED_VALUE"""),46087.66666666667)</f>
        <v>46087.66667</v>
      </c>
      <c r="B1364" s="1">
        <f>IFERROR(__xludf.DUMMYFUNCTION("""COMPUTED_VALUE"""),4.78)</f>
        <v>4.78</v>
      </c>
    </row>
    <row r="1365">
      <c r="A1365" s="2">
        <f>IFERROR(__xludf.DUMMYFUNCTION("""COMPUTED_VALUE"""),46090.66666666667)</f>
        <v>46090.66667</v>
      </c>
      <c r="B1365" s="1">
        <f>IFERROR(__xludf.DUMMYFUNCTION("""COMPUTED_VALUE"""),4.94)</f>
        <v>4.94</v>
      </c>
    </row>
    <row r="1366">
      <c r="A1366" s="2">
        <f>IFERROR(__xludf.DUMMYFUNCTION("""COMPUTED_VALUE"""),46091.66666666667)</f>
        <v>46091.66667</v>
      </c>
      <c r="B1366" s="1">
        <f>IFERROR(__xludf.DUMMYFUNCTION("""COMPUTED_VALUE"""),5.7)</f>
        <v>5.7</v>
      </c>
    </row>
    <row r="1367">
      <c r="A1367" s="2">
        <f>IFERROR(__xludf.DUMMYFUNCTION("""COMPUTED_VALUE"""),46092.66666666667)</f>
        <v>46092.66667</v>
      </c>
      <c r="B1367" s="1">
        <f>IFERROR(__xludf.DUMMYFUNCTION("""COMPUTED_VALUE"""),5.47)</f>
        <v>5.47</v>
      </c>
    </row>
    <row r="1368">
      <c r="A1368" s="2">
        <f>IFERROR(__xludf.DUMMYFUNCTION("""COMPUTED_VALUE"""),46093.66666666667)</f>
        <v>46093.66667</v>
      </c>
      <c r="B1368" s="1">
        <f>IFERROR(__xludf.DUMMYFUNCTION("""COMPUTED_VALUE"""),5.55)</f>
        <v>5.55</v>
      </c>
    </row>
    <row r="1369">
      <c r="A1369" s="2">
        <f>IFERROR(__xludf.DUMMYFUNCTION("""COMPUTED_VALUE"""),46094.66666666667)</f>
        <v>46094.66667</v>
      </c>
      <c r="B1369" s="1">
        <f>IFERROR(__xludf.DUMMYFUNCTION("""COMPUTED_VALUE"""),5.86)</f>
        <v>5.86</v>
      </c>
    </row>
  </sheetData>
  <drawing r:id="rId1"/>
</worksheet>
</file>