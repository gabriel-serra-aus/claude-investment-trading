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abri\Documents\Claude\Workspace\Investments &amp; Trading\"/>
    </mc:Choice>
  </mc:AlternateContent>
  <xr:revisionPtr revIDLastSave="0" documentId="13_ncr:1_{2F6FAEA4-65A0-4DF0-8799-40C110CB1658}" xr6:coauthVersionLast="47" xr6:coauthVersionMax="47" xr10:uidLastSave="{00000000-0000-0000-0000-000000000000}"/>
  <bookViews>
    <workbookView xWindow="-96" yWindow="0" windowWidth="23232" windowHeight="25296" firstSheet="3" activeTab="5" xr2:uid="{00000000-000D-0000-FFFF-FFFF00000000}"/>
    <workbookView xWindow="-21705" yWindow="0" windowWidth="21810" windowHeight="18945" firstSheet="1" activeTab="3" xr2:uid="{EC4A2702-BD7E-4F04-BCCB-ACFCE578B18D}"/>
  </bookViews>
  <sheets>
    <sheet name="Stake Raw" sheetId="2" state="hidden" r:id="rId1"/>
    <sheet name="Investment Properties Summary" sheetId="4" r:id="rId2"/>
    <sheet name="Summary v2" sheetId="15" r:id="rId3"/>
    <sheet name="Investment Properties Ongoing" sheetId="10" r:id="rId4"/>
    <sheet name="Super" sheetId="6" r:id="rId5"/>
    <sheet name="Summary v3" sheetId="1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16" l="1"/>
  <c r="D55" i="16" s="1"/>
  <c r="D30" i="16"/>
  <c r="E28" i="16"/>
  <c r="E41" i="16" s="1"/>
  <c r="C28" i="16"/>
  <c r="E56" i="16"/>
  <c r="C56" i="16"/>
  <c r="C55" i="16"/>
  <c r="C41" i="16"/>
  <c r="C42" i="16" s="1"/>
  <c r="E38" i="16"/>
  <c r="D38" i="16"/>
  <c r="C36" i="16"/>
  <c r="E32" i="16"/>
  <c r="E30" i="16"/>
  <c r="E75" i="16"/>
  <c r="E71" i="16"/>
  <c r="D75" i="16"/>
  <c r="D71" i="16"/>
  <c r="C75" i="16"/>
  <c r="C71" i="16"/>
  <c r="E59" i="16"/>
  <c r="E57" i="16"/>
  <c r="E51" i="16"/>
  <c r="E47" i="16"/>
  <c r="E50" i="16" s="1"/>
  <c r="D59" i="16"/>
  <c r="D57" i="16"/>
  <c r="D54" i="16"/>
  <c r="D51" i="16"/>
  <c r="D47" i="16"/>
  <c r="D50" i="16" s="1"/>
  <c r="D76" i="16" s="1"/>
  <c r="C59" i="16"/>
  <c r="E79" i="16" s="1"/>
  <c r="C57" i="16"/>
  <c r="C54" i="16"/>
  <c r="C66" i="16" s="1"/>
  <c r="C51" i="16"/>
  <c r="C47" i="16"/>
  <c r="C49" i="16" s="1"/>
  <c r="E22" i="16"/>
  <c r="E54" i="16" s="1"/>
  <c r="E66" i="16" s="1"/>
  <c r="E38" i="15"/>
  <c r="D39" i="15"/>
  <c r="E39" i="15"/>
  <c r="C39" i="15"/>
  <c r="C38" i="15"/>
  <c r="C37" i="15"/>
  <c r="E37" i="15"/>
  <c r="D37" i="15"/>
  <c r="C25" i="4"/>
  <c r="E22" i="15"/>
  <c r="E36" i="15" s="1"/>
  <c r="E48" i="15" s="1"/>
  <c r="E41" i="15"/>
  <c r="D41" i="15"/>
  <c r="C41" i="15"/>
  <c r="E61" i="15" s="1"/>
  <c r="E29" i="15"/>
  <c r="D29" i="15"/>
  <c r="D32" i="15" s="1"/>
  <c r="C29" i="15"/>
  <c r="E54" i="15" s="1"/>
  <c r="E57" i="15"/>
  <c r="D57" i="15"/>
  <c r="C57" i="15"/>
  <c r="E53" i="15"/>
  <c r="D53" i="15"/>
  <c r="C53" i="15"/>
  <c r="D36" i="15"/>
  <c r="C36" i="15"/>
  <c r="E60" i="15" s="1"/>
  <c r="E33" i="15"/>
  <c r="D33" i="15"/>
  <c r="C33" i="15"/>
  <c r="E67" i="15" s="1"/>
  <c r="C130" i="4"/>
  <c r="C126" i="4"/>
  <c r="C85" i="4"/>
  <c r="E20" i="10"/>
  <c r="E29" i="10"/>
  <c r="E28" i="10"/>
  <c r="E27" i="10"/>
  <c r="E26" i="10"/>
  <c r="E19" i="10"/>
  <c r="C56" i="4"/>
  <c r="E11" i="10"/>
  <c r="C124" i="4"/>
  <c r="C128" i="4" s="1"/>
  <c r="D41" i="16" l="1"/>
  <c r="D42" i="16" s="1"/>
  <c r="E55" i="16"/>
  <c r="E42" i="16"/>
  <c r="D85" i="16"/>
  <c r="D79" i="16"/>
  <c r="C72" i="16"/>
  <c r="C74" i="16" s="1"/>
  <c r="C50" i="16"/>
  <c r="E76" i="16" s="1"/>
  <c r="C85" i="16"/>
  <c r="C78" i="16"/>
  <c r="C79" i="16"/>
  <c r="D66" i="16"/>
  <c r="E48" i="16"/>
  <c r="E49" i="16"/>
  <c r="E78" i="16"/>
  <c r="E85" i="16"/>
  <c r="E58" i="16"/>
  <c r="C48" i="16"/>
  <c r="C58" i="16"/>
  <c r="C67" i="16" s="1"/>
  <c r="C68" i="16" s="1"/>
  <c r="D78" i="16"/>
  <c r="D58" i="16"/>
  <c r="D67" i="16" s="1"/>
  <c r="D68" i="16" s="1"/>
  <c r="E72" i="16"/>
  <c r="E74" i="16" s="1"/>
  <c r="D48" i="16"/>
  <c r="D72" i="16"/>
  <c r="D74" i="16" s="1"/>
  <c r="D49" i="16"/>
  <c r="C60" i="16"/>
  <c r="E60" i="16"/>
  <c r="E61" i="16" s="1"/>
  <c r="E63" i="16" s="1"/>
  <c r="D61" i="15"/>
  <c r="D67" i="15"/>
  <c r="D60" i="15"/>
  <c r="C40" i="15"/>
  <c r="C49" i="15" s="1"/>
  <c r="C50" i="15" s="1"/>
  <c r="D40" i="15"/>
  <c r="D49" i="15" s="1"/>
  <c r="D50" i="15" s="1"/>
  <c r="E40" i="15"/>
  <c r="E49" i="15" s="1"/>
  <c r="E50" i="15" s="1"/>
  <c r="C48" i="15"/>
  <c r="D48" i="15"/>
  <c r="D54" i="15"/>
  <c r="D55" i="15" s="1"/>
  <c r="C60" i="15"/>
  <c r="C67" i="15"/>
  <c r="E31" i="15"/>
  <c r="E30" i="15"/>
  <c r="C61" i="15"/>
  <c r="E32" i="15"/>
  <c r="D58" i="15" s="1"/>
  <c r="D30" i="15"/>
  <c r="D31" i="15"/>
  <c r="E55" i="15"/>
  <c r="E56" i="15"/>
  <c r="C31" i="15"/>
  <c r="C32" i="15"/>
  <c r="C54" i="15"/>
  <c r="C30" i="15"/>
  <c r="E31" i="10"/>
  <c r="E21" i="10"/>
  <c r="E12" i="10"/>
  <c r="E67" i="16" l="1"/>
  <c r="E68" i="16" s="1"/>
  <c r="E62" i="16"/>
  <c r="C76" i="16"/>
  <c r="D60" i="16"/>
  <c r="D61" i="16" s="1"/>
  <c r="D81" i="16" s="1"/>
  <c r="C73" i="16"/>
  <c r="E73" i="16"/>
  <c r="D73" i="16"/>
  <c r="E80" i="16"/>
  <c r="C61" i="16"/>
  <c r="D80" i="16"/>
  <c r="C42" i="15"/>
  <c r="E62" i="15" s="1"/>
  <c r="D42" i="15"/>
  <c r="D43" i="15" s="1"/>
  <c r="D44" i="15" s="1"/>
  <c r="E42" i="15"/>
  <c r="E43" i="15" s="1"/>
  <c r="E44" i="15" s="1"/>
  <c r="D56" i="15"/>
  <c r="C56" i="15"/>
  <c r="C55" i="15"/>
  <c r="E58" i="15"/>
  <c r="C58" i="15"/>
  <c r="C88" i="4"/>
  <c r="D63" i="16" l="1"/>
  <c r="D62" i="16"/>
  <c r="C80" i="16"/>
  <c r="D86" i="16"/>
  <c r="D83" i="16"/>
  <c r="D82" i="16"/>
  <c r="E81" i="16"/>
  <c r="C63" i="16"/>
  <c r="C62" i="16"/>
  <c r="C81" i="16"/>
  <c r="C43" i="15"/>
  <c r="E63" i="15" s="1"/>
  <c r="C62" i="15"/>
  <c r="E45" i="15"/>
  <c r="D62" i="15"/>
  <c r="D45" i="15"/>
  <c r="D63" i="15"/>
  <c r="D68" i="15" s="1"/>
  <c r="C24" i="4"/>
  <c r="C100" i="4" s="1"/>
  <c r="E56" i="4"/>
  <c r="C87" i="4"/>
  <c r="E87" i="4" s="1"/>
  <c r="C58" i="4"/>
  <c r="D58" i="4" s="1"/>
  <c r="C86" i="4"/>
  <c r="E85" i="4"/>
  <c r="D85" i="4"/>
  <c r="C81" i="4"/>
  <c r="C52" i="4"/>
  <c r="C20" i="4"/>
  <c r="E72" i="4"/>
  <c r="C91" i="4" s="1"/>
  <c r="C72" i="4"/>
  <c r="C79" i="4" s="1"/>
  <c r="C59" i="4"/>
  <c r="C57" i="4"/>
  <c r="E42" i="4"/>
  <c r="C62" i="4" s="1"/>
  <c r="C42" i="4"/>
  <c r="C47" i="4" s="1"/>
  <c r="C10" i="4"/>
  <c r="C18" i="4" s="1"/>
  <c r="E10" i="4"/>
  <c r="C30" i="4" s="1"/>
  <c r="C117" i="4" s="1"/>
  <c r="C26" i="4"/>
  <c r="D76" i="10"/>
  <c r="D68" i="10"/>
  <c r="D67" i="10"/>
  <c r="D63" i="10"/>
  <c r="F63" i="10" s="1"/>
  <c r="D62" i="10"/>
  <c r="F62" i="10" s="1"/>
  <c r="D55" i="10"/>
  <c r="D58" i="10" s="1"/>
  <c r="F35" i="6"/>
  <c r="F34" i="6"/>
  <c r="F33" i="6"/>
  <c r="F32" i="6"/>
  <c r="F31" i="6"/>
  <c r="F30" i="6"/>
  <c r="F29" i="6"/>
  <c r="F28" i="6"/>
  <c r="F7" i="6"/>
  <c r="F8" i="6"/>
  <c r="F9" i="6"/>
  <c r="F10" i="6"/>
  <c r="F11" i="6"/>
  <c r="F12" i="6"/>
  <c r="F13" i="6"/>
  <c r="F14" i="6"/>
  <c r="F15" i="6"/>
  <c r="C86" i="16" l="1"/>
  <c r="C83" i="16"/>
  <c r="C82" i="16"/>
  <c r="E83" i="16"/>
  <c r="E82" i="16"/>
  <c r="E86" i="16"/>
  <c r="C63" i="15"/>
  <c r="C64" i="15" s="1"/>
  <c r="C44" i="15"/>
  <c r="C45" i="15"/>
  <c r="D65" i="15"/>
  <c r="D64" i="15"/>
  <c r="E64" i="15"/>
  <c r="E65" i="15"/>
  <c r="E68" i="15"/>
  <c r="D26" i="4"/>
  <c r="C102" i="4"/>
  <c r="C111" i="4"/>
  <c r="D57" i="4"/>
  <c r="C16" i="4"/>
  <c r="E91" i="4"/>
  <c r="C99" i="4"/>
  <c r="E25" i="4"/>
  <c r="D25" i="4"/>
  <c r="C48" i="4"/>
  <c r="D87" i="4"/>
  <c r="D56" i="4"/>
  <c r="E58" i="4"/>
  <c r="D24" i="4"/>
  <c r="C29" i="4"/>
  <c r="D69" i="10"/>
  <c r="C120" i="4"/>
  <c r="E24" i="4"/>
  <c r="D59" i="10"/>
  <c r="D66" i="10"/>
  <c r="F66" i="10" s="1"/>
  <c r="F67" i="10"/>
  <c r="C61" i="4"/>
  <c r="E61" i="4" s="1"/>
  <c r="C78" i="4"/>
  <c r="C17" i="4"/>
  <c r="E57" i="4"/>
  <c r="D91" i="4"/>
  <c r="C109" i="4"/>
  <c r="C77" i="4"/>
  <c r="C50" i="4"/>
  <c r="C90" i="4"/>
  <c r="C92" i="4" s="1"/>
  <c r="C15" i="4"/>
  <c r="C49" i="4"/>
  <c r="E26" i="4"/>
  <c r="E30" i="4"/>
  <c r="D30" i="4"/>
  <c r="C108" i="4"/>
  <c r="E62" i="4"/>
  <c r="D62" i="4"/>
  <c r="E86" i="4"/>
  <c r="D86" i="4"/>
  <c r="C76" i="4"/>
  <c r="C65" i="15" l="1"/>
  <c r="C68" i="15"/>
  <c r="E29" i="4"/>
  <c r="C31" i="4"/>
  <c r="D29" i="4"/>
  <c r="C63" i="4"/>
  <c r="C64" i="4" s="1"/>
  <c r="D70" i="10"/>
  <c r="D61" i="4"/>
  <c r="E90" i="4"/>
  <c r="D90" i="4"/>
  <c r="C93" i="4"/>
  <c r="E92" i="4"/>
  <c r="D92" i="4"/>
  <c r="D75" i="10" l="1"/>
  <c r="F70" i="10"/>
  <c r="C119" i="4"/>
  <c r="C121" i="4" s="1"/>
  <c r="C32" i="4"/>
  <c r="C101" i="4"/>
  <c r="E63" i="4"/>
  <c r="D63" i="4"/>
  <c r="C110" i="4"/>
  <c r="C112" i="4" s="1"/>
  <c r="E64" i="4"/>
  <c r="D64" i="4"/>
  <c r="J64" i="4" s="1"/>
  <c r="E93" i="4"/>
  <c r="D93" i="4"/>
  <c r="D32" i="4" l="1"/>
  <c r="D31" i="4"/>
  <c r="E31" i="4"/>
  <c r="C103" i="4"/>
  <c r="E3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tc={6DD42BE2-1BA7-4891-A592-21CA318B47A1}</author>
    <author>tc={025AD086-10C6-45F7-8B1F-C7867AE18FD7}</author>
    <author>tc={57804BDD-AF28-4AFD-8EAA-04DD4FB2B3DD}</author>
    <author>tc={68052037-B0C2-419F-808B-EDC89B51837E}</author>
    <author>Gabriel Serra</author>
  </authors>
  <commentList>
    <comment ref="C9" authorId="0" shapeId="0" xr:uid="{6DD42BE2-1BA7-4891-A592-21CA318B47A1}">
      <text>
        <t>[Threaded comment]
Your version of Excel allows you to read this threaded comment; however, any edits to it will get removed if the file is opened in a newer version of Excel. Learn more: https://go.microsoft.com/fwlink/?linkid=870924
Comment:
    $1.29m
Low range
$1.44m
$1.59m
High range</t>
      </text>
    </comment>
    <comment ref="D9" authorId="1" shapeId="0" xr:uid="{025AD086-10C6-45F7-8B1F-C7867AE18FD7}">
      <text>
        <t>[Threaded comment]
Your version of Excel allows you to read this threaded comment; however, any edits to it will get removed if the file is opened in a newer version of Excel. Learn more: https://go.microsoft.com/fwlink/?linkid=870924
Comment:
    $1.29m
Low range
$1.43m
$1.57m
High range</t>
      </text>
    </comment>
    <comment ref="E9" authorId="2" shapeId="0" xr:uid="{57804BDD-AF28-4AFD-8EAA-04DD4FB2B3DD}">
      <text>
        <t>[Threaded comment]
Your version of Excel allows you to read this threaded comment; however, any edits to it will get removed if the file is opened in a newer version of Excel. Learn more: https://go.microsoft.com/fwlink/?linkid=870924
Comment:
    $860k
Low range
$956k
$1.05m
High range</t>
      </text>
    </comment>
    <comment ref="E14" authorId="3" shapeId="0" xr:uid="{68052037-B0C2-419F-808B-EDC89B51837E}">
      <text>
        <t xml:space="preserve">[Threaded comment]
Your version of Excel allows you to read this threaded comment; however, any edits to it will get removed if the file is opened in a newer version of Excel. Learn more: https://go.microsoft.com/fwlink/?linkid=870924
Comment:
    Needs to update after 24 Apri
</t>
      </text>
    </comment>
    <comment ref="C22" authorId="4" shapeId="0" xr:uid="{2AB06D66-0620-4D34-8A06-0FDCF24003D0}">
      <text>
        <r>
          <rPr>
            <b/>
            <sz val="9"/>
            <color indexed="81"/>
            <rFont val="Tahoma"/>
            <charset val="1"/>
          </rPr>
          <t>Gabriel Serra:</t>
        </r>
        <r>
          <rPr>
            <sz val="9"/>
            <color indexed="81"/>
            <rFont val="Tahoma"/>
            <charset val="1"/>
          </rPr>
          <t xml:space="preserve">
Home - not rented</t>
        </r>
      </text>
    </comment>
    <comment ref="B23" authorId="4" shapeId="0" xr:uid="{923E15B2-E224-4E2F-B93F-98334DE6DDC5}">
      <text>
        <r>
          <rPr>
            <b/>
            <sz val="9"/>
            <color indexed="81"/>
            <rFont val="Tahoma"/>
            <charset val="1"/>
          </rPr>
          <t>Gabriel Serra:</t>
        </r>
        <r>
          <rPr>
            <sz val="9"/>
            <color indexed="81"/>
            <rFont val="Tahoma"/>
            <charset val="1"/>
          </rPr>
          <t xml:space="preserve">
Applied to market value to estimate annual repairs/expenses</t>
        </r>
      </text>
    </comment>
    <comment ref="B32" authorId="4" shapeId="0" xr:uid="{89DA95BB-5A30-40A3-A52C-4736108E8166}">
      <text>
        <r>
          <rPr>
            <b/>
            <sz val="9"/>
            <color indexed="81"/>
            <rFont val="Tahoma"/>
            <charset val="1"/>
          </rPr>
          <t>Gabriel Serra:</t>
        </r>
        <r>
          <rPr>
            <sz val="9"/>
            <color indexed="81"/>
            <rFont val="Tahoma"/>
            <charset val="1"/>
          </rPr>
          <t xml:space="preserve">
Loan balance less offset — this is what interest is effectively charged on</t>
        </r>
      </text>
    </comment>
    <comment ref="B48" authorId="4" shapeId="0" xr:uid="{10DE7E47-F061-4D13-9275-4F239B8E0AF5}">
      <text>
        <r>
          <rPr>
            <b/>
            <sz val="9"/>
            <color indexed="81"/>
            <rFont val="Tahoma"/>
            <charset val="1"/>
          </rPr>
          <t>Gabriel Serra:</t>
        </r>
        <r>
          <rPr>
            <sz val="9"/>
            <color indexed="81"/>
            <rFont val="Tahoma"/>
            <charset val="1"/>
          </rPr>
          <t xml:space="preserve">
Annual rent / market value</t>
        </r>
      </text>
    </comment>
    <comment ref="B49" authorId="4" shapeId="0" xr:uid="{60675CAC-EFE3-482A-9AAE-A646FE95994A}">
      <text>
        <r>
          <rPr>
            <b/>
            <sz val="9"/>
            <color indexed="81"/>
            <rFont val="Tahoma"/>
            <charset val="1"/>
          </rPr>
          <t>Gabriel Serra:</t>
        </r>
        <r>
          <rPr>
            <sz val="9"/>
            <color indexed="81"/>
            <rFont val="Tahoma"/>
            <charset val="1"/>
          </rPr>
          <t xml:space="preserve">
(Rent - non-loan expenses) / market value</t>
        </r>
      </text>
    </comment>
    <comment ref="B50" authorId="4" shapeId="0" xr:uid="{5EB469A7-3760-4CF1-9C89-B01570B93D6A}">
      <text>
        <r>
          <rPr>
            <b/>
            <sz val="9"/>
            <color indexed="81"/>
            <rFont val="Tahoma"/>
            <charset val="1"/>
          </rPr>
          <t>Gabriel Serra:</t>
        </r>
        <r>
          <rPr>
            <sz val="9"/>
            <color indexed="81"/>
            <rFont val="Tahoma"/>
            <charset val="1"/>
          </rPr>
          <t xml:space="preserve">
Net yield + forecasted capital growth %</t>
        </r>
      </text>
    </comment>
    <comment ref="B62" authorId="4" shapeId="0" xr:uid="{D3449AFC-E824-4A53-8E85-462879C3D248}">
      <text>
        <r>
          <rPr>
            <b/>
            <sz val="9"/>
            <color indexed="81"/>
            <rFont val="Tahoma"/>
            <charset val="1"/>
          </rPr>
          <t>Gabriel Serra:</t>
        </r>
        <r>
          <rPr>
            <sz val="9"/>
            <color indexed="81"/>
            <rFont val="Tahoma"/>
            <charset val="1"/>
          </rPr>
          <t xml:space="preserve">
Total expenses less loan repayments (council, strata, repairs, agency)</t>
        </r>
      </text>
    </comment>
    <comment ref="B68" authorId="4" shapeId="0" xr:uid="{5328985A-183E-4976-BAC1-C4DD3BE15D0F}">
      <text>
        <r>
          <rPr>
            <b/>
            <sz val="9"/>
            <color indexed="81"/>
            <rFont val="Tahoma"/>
            <charset val="1"/>
          </rPr>
          <t>Gabriel Serra:</t>
        </r>
        <r>
          <rPr>
            <sz val="9"/>
            <color indexed="81"/>
            <rFont val="Tahoma"/>
            <charset val="1"/>
          </rPr>
          <t xml:space="preserve">
Forecasted yearly capital gain minus annual out-of-pocket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Gabriel Serra</author>
  </authors>
  <commentList>
    <comment ref="C22" authorId="0" shapeId="0" xr:uid="{A2BD03E7-75A2-4ACC-A3CA-5951394D6BD7}">
      <text>
        <r>
          <rPr>
            <b/>
            <sz val="9"/>
            <color indexed="81"/>
            <rFont val="Tahoma"/>
            <charset val="1"/>
          </rPr>
          <t>Gabriel Serra:</t>
        </r>
        <r>
          <rPr>
            <sz val="9"/>
            <color indexed="81"/>
            <rFont val="Tahoma"/>
            <charset val="1"/>
          </rPr>
          <t xml:space="preserve">
Home - not rented</t>
        </r>
      </text>
    </comment>
    <comment ref="B23" authorId="0" shapeId="0" xr:uid="{F4630FF4-CC40-42EC-B4E0-CFE851356847}">
      <text>
        <r>
          <rPr>
            <b/>
            <sz val="9"/>
            <color indexed="81"/>
            <rFont val="Tahoma"/>
            <charset val="1"/>
          </rPr>
          <t>Gabriel Serra:</t>
        </r>
        <r>
          <rPr>
            <sz val="9"/>
            <color indexed="81"/>
            <rFont val="Tahoma"/>
            <charset val="1"/>
          </rPr>
          <t xml:space="preserve">
Applied to market value to estimate annual repairs/expenses</t>
        </r>
      </text>
    </comment>
    <comment ref="B50" authorId="0" shapeId="0" xr:uid="{20460ACD-7A53-4DF3-964D-865792D0CACA}">
      <text>
        <r>
          <rPr>
            <b/>
            <sz val="9"/>
            <color indexed="81"/>
            <rFont val="Tahoma"/>
            <charset val="1"/>
          </rPr>
          <t>Gabriel Serra:</t>
        </r>
        <r>
          <rPr>
            <sz val="9"/>
            <color indexed="81"/>
            <rFont val="Tahoma"/>
            <charset val="1"/>
          </rPr>
          <t xml:space="preserve">
Loan balance less offset — this is what interest is effectively charged on</t>
        </r>
      </text>
    </comment>
    <comment ref="B66" authorId="0" shapeId="0" xr:uid="{62B43614-3450-40FA-AA8E-A6E423DEFAE7}">
      <text>
        <r>
          <rPr>
            <b/>
            <sz val="9"/>
            <color indexed="81"/>
            <rFont val="Tahoma"/>
            <charset val="1"/>
          </rPr>
          <t>Gabriel Serra:</t>
        </r>
        <r>
          <rPr>
            <sz val="9"/>
            <color indexed="81"/>
            <rFont val="Tahoma"/>
            <charset val="1"/>
          </rPr>
          <t xml:space="preserve">
Annual rent / market value</t>
        </r>
      </text>
    </comment>
    <comment ref="B67" authorId="0" shapeId="0" xr:uid="{484BF62A-084A-4369-AA6B-16F2A37C9D8F}">
      <text>
        <r>
          <rPr>
            <b/>
            <sz val="9"/>
            <color indexed="81"/>
            <rFont val="Tahoma"/>
            <charset val="1"/>
          </rPr>
          <t>Gabriel Serra:</t>
        </r>
        <r>
          <rPr>
            <sz val="9"/>
            <color indexed="81"/>
            <rFont val="Tahoma"/>
            <charset val="1"/>
          </rPr>
          <t xml:space="preserve">
(Rent - non-loan expenses) / market value</t>
        </r>
      </text>
    </comment>
    <comment ref="B68" authorId="0" shapeId="0" xr:uid="{29E173E6-13A8-4CF5-BB99-707C54FD3C8D}">
      <text>
        <r>
          <rPr>
            <b/>
            <sz val="9"/>
            <color indexed="81"/>
            <rFont val="Tahoma"/>
            <charset val="1"/>
          </rPr>
          <t>Gabriel Serra:</t>
        </r>
        <r>
          <rPr>
            <sz val="9"/>
            <color indexed="81"/>
            <rFont val="Tahoma"/>
            <charset val="1"/>
          </rPr>
          <t xml:space="preserve">
Net yield + forecasted capital growth %</t>
        </r>
      </text>
    </comment>
    <comment ref="B80" authorId="0" shapeId="0" xr:uid="{96A754B3-DCD6-4A4D-99DB-5F9E75113DB2}">
      <text>
        <r>
          <rPr>
            <b/>
            <sz val="9"/>
            <color indexed="81"/>
            <rFont val="Tahoma"/>
            <charset val="1"/>
          </rPr>
          <t>Gabriel Serra:</t>
        </r>
        <r>
          <rPr>
            <sz val="9"/>
            <color indexed="81"/>
            <rFont val="Tahoma"/>
            <charset val="1"/>
          </rPr>
          <t xml:space="preserve">
Total expenses less loan repayments (council, strata, repairs, agency)</t>
        </r>
      </text>
    </comment>
    <comment ref="B86" authorId="0" shapeId="0" xr:uid="{B04718FB-15A7-478F-A9D9-ABD459FBC879}">
      <text>
        <r>
          <rPr>
            <b/>
            <sz val="9"/>
            <color indexed="81"/>
            <rFont val="Tahoma"/>
            <charset val="1"/>
          </rPr>
          <t>Gabriel Serra:</t>
        </r>
        <r>
          <rPr>
            <sz val="9"/>
            <color indexed="81"/>
            <rFont val="Tahoma"/>
            <charset val="1"/>
          </rPr>
          <t xml:space="preserve">
Forecasted yearly capital gain minus annual out-of-pocket cost</t>
        </r>
      </text>
    </comment>
  </commentList>
</comments>
</file>

<file path=xl/sharedStrings.xml><?xml version="1.0" encoding="utf-8"?>
<sst xmlns="http://schemas.openxmlformats.org/spreadsheetml/2006/main" count="615" uniqueCount="302">
  <si>
    <t>Printed: 2020-07-04 01:33:22 (UTC)</t>
  </si>
  <si>
    <t xml:space="preserve">Page 1 of </t>
  </si>
  <si>
    <t>1</t>
  </si>
  <si>
    <t>Order Transactions Report</t>
  </si>
  <si>
    <t>Account #: STNR000103, Symbol: All</t>
  </si>
  <si>
    <t>Date Range: 2017-06-01 - 2020-07-04</t>
  </si>
  <si>
    <t>Order #</t>
  </si>
  <si>
    <t>Date/Time</t>
  </si>
  <si>
    <t>Status</t>
  </si>
  <si>
    <t>Order Type</t>
  </si>
  <si>
    <t>Side</t>
  </si>
  <si>
    <t>Symbol</t>
  </si>
  <si>
    <t>Qty</t>
  </si>
  <si>
    <t>Price</t>
  </si>
  <si>
    <t>Cum Qty</t>
  </si>
  <si>
    <t>Leaves Qty</t>
  </si>
  <si>
    <t>GFPG003530</t>
  </si>
  <si>
    <t>2019-06-17T13:31:50.000Z</t>
  </si>
  <si>
    <t>PARTIALLY_FILLED</t>
  </si>
  <si>
    <t>MKT</t>
  </si>
  <si>
    <t>B</t>
  </si>
  <si>
    <t>BRK.B</t>
  </si>
  <si>
    <t>9</t>
  </si>
  <si>
    <t>$ 205.31</t>
  </si>
  <si>
    <t>0.739681</t>
  </si>
  <si>
    <t>2019-06-17T13:31:51.013Z</t>
  </si>
  <si>
    <t>FILLED</t>
  </si>
  <si>
    <t>0.81510885</t>
  </si>
  <si>
    <t>9.81510885</t>
  </si>
  <si>
    <t>0</t>
  </si>
  <si>
    <t>HCTB000014</t>
  </si>
  <si>
    <t>2020-03-02T14:34:17.437Z</t>
  </si>
  <si>
    <t>S</t>
  </si>
  <si>
    <t>$ 207.89</t>
  </si>
  <si>
    <t>2020-03-02T14:34:18.922Z</t>
  </si>
  <si>
    <t>HFMP023789</t>
  </si>
  <si>
    <t>2020-06-16T13:30:09.920Z</t>
  </si>
  <si>
    <t>MSFT</t>
  </si>
  <si>
    <t>5</t>
  </si>
  <si>
    <t>$ 192.88</t>
  </si>
  <si>
    <t>0.38514492</t>
  </si>
  <si>
    <t>2020-06-16T13:31:10.483Z</t>
  </si>
  <si>
    <t>0.39407922</t>
  </si>
  <si>
    <t>5.39407922</t>
  </si>
  <si>
    <t>HFGQ023768</t>
  </si>
  <si>
    <t>2020-06-16T13:31:58.020Z</t>
  </si>
  <si>
    <t>AMZN</t>
  </si>
  <si>
    <t>0.3840821</t>
  </si>
  <si>
    <t>$ 2,603.61</t>
  </si>
  <si>
    <t>HFXC039231</t>
  </si>
  <si>
    <t>2020-06-29T14:39:01.530Z</t>
  </si>
  <si>
    <t>FB</t>
  </si>
  <si>
    <t>18</t>
  </si>
  <si>
    <t>$ 215.29</t>
  </si>
  <si>
    <t>0.57959032</t>
  </si>
  <si>
    <t>2020-06-29T14:39:01.743Z</t>
  </si>
  <si>
    <t>0.57963676</t>
  </si>
  <si>
    <t>18.57963676</t>
  </si>
  <si>
    <t>HFZU038461</t>
  </si>
  <si>
    <t>2020-06-29T14:46:20.750Z</t>
  </si>
  <si>
    <t>TSLA</t>
  </si>
  <si>
    <t>4</t>
  </si>
  <si>
    <t>$ 983.49</t>
  </si>
  <si>
    <t>0.88353719</t>
  </si>
  <si>
    <t>2020-06-29T14:46:20.951Z</t>
  </si>
  <si>
    <t>4.88353719</t>
  </si>
  <si>
    <t>HGKM000187</t>
  </si>
  <si>
    <t>2020-07-01T13:33:19.102Z</t>
  </si>
  <si>
    <t>6</t>
  </si>
  <si>
    <t>$ 1,103.64</t>
  </si>
  <si>
    <t>0.15274229</t>
  </si>
  <si>
    <t>2020-07-01T13:33:19.319Z</t>
  </si>
  <si>
    <t>0.15374578</t>
  </si>
  <si>
    <t>6.15374578</t>
  </si>
  <si>
    <t>HGWZ001691</t>
  </si>
  <si>
    <t>2020-07-02T14:07:12.741Z</t>
  </si>
  <si>
    <t>$ 234.92</t>
  </si>
  <si>
    <t>2020-07-02T14:07:12.942Z</t>
  </si>
  <si>
    <t>You expressly acknowledge and agree that the DriveWealth Platforms and Related Services provided by us are on an ��as is�� basis, and that you use such DriveWealth Platforms and Related Services at your sole risk. Neither we nor our Third Party Providers will have any responsibility to maintain the DriveWealth Platforms and Related Services or to supply any corrections, updates or releases concerning the DriveWealth Platforms and Related Services</t>
  </si>
  <si>
    <t>Date</t>
  </si>
  <si>
    <t>Total</t>
  </si>
  <si>
    <t>Rent</t>
  </si>
  <si>
    <t>3/116 Mount Street, Coogee NSW 2034</t>
  </si>
  <si>
    <t>Offset Account</t>
  </si>
  <si>
    <t>Annually</t>
  </si>
  <si>
    <t>Monthly</t>
  </si>
  <si>
    <t xml:space="preserve">Council/Water rates </t>
  </si>
  <si>
    <t>Strata</t>
  </si>
  <si>
    <t>Expenses/Repairs</t>
  </si>
  <si>
    <t>Agency Fee %</t>
  </si>
  <si>
    <t>Agency Fee $</t>
  </si>
  <si>
    <t xml:space="preserve">Repayment </t>
  </si>
  <si>
    <t>Out Off Pocket Repayment</t>
  </si>
  <si>
    <t>10 Arura Street, Mansfield QLD 4122</t>
  </si>
  <si>
    <t>Repayment Fixed</t>
  </si>
  <si>
    <t>Repayment Varible</t>
  </si>
  <si>
    <t>Repayment Total</t>
  </si>
  <si>
    <t>Investment Properties</t>
  </si>
  <si>
    <t>Total Offset Accounts</t>
  </si>
  <si>
    <t>Equity</t>
  </si>
  <si>
    <t>Totals</t>
  </si>
  <si>
    <t>Total Off Pocket Repayments</t>
  </si>
  <si>
    <t>Weekly</t>
  </si>
  <si>
    <t>Gabriel Supper - HostPlus</t>
  </si>
  <si>
    <t>Investment Option</t>
  </si>
  <si>
    <t>Diversified FixedInt</t>
  </si>
  <si>
    <t>Unit Price</t>
  </si>
  <si>
    <t>Units</t>
  </si>
  <si>
    <t>Value</t>
  </si>
  <si>
    <t xml:space="preserve">Insurance </t>
  </si>
  <si>
    <t>229,160.00 </t>
  </si>
  <si>
    <t>Total permanent disability</t>
  </si>
  <si>
    <t>Income Protection</t>
  </si>
  <si>
    <t>TODO</t>
  </si>
  <si>
    <t>TO CHANGE</t>
  </si>
  <si>
    <t>Arina Supper - AU Super</t>
  </si>
  <si>
    <t>Diversified Fixed Interes</t>
  </si>
  <si>
    <t>Discount: 1.84%</t>
  </si>
  <si>
    <t>Variable Loan 1</t>
  </si>
  <si>
    <t>Expiry</t>
  </si>
  <si>
    <t xml:space="preserve">IO Fixed Loan </t>
  </si>
  <si>
    <t>PI Fixed Loan</t>
  </si>
  <si>
    <t>NA</t>
  </si>
  <si>
    <t>Offset</t>
  </si>
  <si>
    <t>Market Value (CBA 30/3/21)</t>
  </si>
  <si>
    <t>LVR</t>
  </si>
  <si>
    <t>Updated on: 28/08/2021</t>
  </si>
  <si>
    <t>Randwick Council</t>
  </si>
  <si>
    <t>Strata Levis</t>
  </si>
  <si>
    <t>Description</t>
  </si>
  <si>
    <t>Payment Method</t>
  </si>
  <si>
    <t>Notifications go to</t>
  </si>
  <si>
    <t>Last Payment</t>
  </si>
  <si>
    <t>Next Payment</t>
  </si>
  <si>
    <t>Descriptions</t>
  </si>
  <si>
    <t>gabrielandarina@gmail.com</t>
  </si>
  <si>
    <t xml:space="preserve"> Direct Debit ??</t>
  </si>
  <si>
    <t>Sydney Water</t>
  </si>
  <si>
    <t>Direct Debit</t>
  </si>
  <si>
    <t>Login</t>
  </si>
  <si>
    <t>pass:Watergab1</t>
  </si>
  <si>
    <t>pass:AglMount15</t>
  </si>
  <si>
    <t>Amount</t>
  </si>
  <si>
    <t>gabrielponde/TpGgaser12</t>
  </si>
  <si>
    <t>Urban Util Water</t>
  </si>
  <si>
    <t>Brisbane Council</t>
  </si>
  <si>
    <t>Bpay View</t>
  </si>
  <si>
    <t>gabrielandarina@gmail.com.au</t>
  </si>
  <si>
    <t>Repayment</t>
  </si>
  <si>
    <t>Loan</t>
  </si>
  <si>
    <t>Interest</t>
  </si>
  <si>
    <t>RY Market Value</t>
  </si>
  <si>
    <t>Item</t>
  </si>
  <si>
    <t>RY Load</t>
  </si>
  <si>
    <t>Council/Water rates/Internet</t>
  </si>
  <si>
    <t>Out Off Pocket</t>
  </si>
  <si>
    <t>Total Repayments</t>
  </si>
  <si>
    <t>Total Rents</t>
  </si>
  <si>
    <t>Total Out Off Pocket</t>
  </si>
  <si>
    <t>Total Expenses</t>
  </si>
  <si>
    <t>23 St. Huberts, Carnegie VIC 3163</t>
  </si>
  <si>
    <t>Totals - Annual - Home + Inv. properties</t>
  </si>
  <si>
    <t>Total Forcasted Yearly CG</t>
  </si>
  <si>
    <t>Forecasted Yearly CG %</t>
  </si>
  <si>
    <t>Forecasted Yearly CG</t>
  </si>
  <si>
    <t>How to check</t>
  </si>
  <si>
    <t>Manual (offset)</t>
  </si>
  <si>
    <t>search for:strata</t>
  </si>
  <si>
    <t>searh for: Bcc rates</t>
  </si>
  <si>
    <t>search: URBAN UTILITIES</t>
  </si>
  <si>
    <t>Direct Debit (offset)</t>
  </si>
  <si>
    <t>not availiable</t>
  </si>
  <si>
    <t>email from: council@randwick.nsw.gov.au to checl instalments and direct debit is set on Our Acc. Search for  RANDWICK CITY CO</t>
  </si>
  <si>
    <t>Offset (acc. 1260 0659)</t>
  </si>
  <si>
    <t>St Hubert, Carnegie VIC ????</t>
  </si>
  <si>
    <t>South East Water</t>
  </si>
  <si>
    <t>GLEN EIRA COUNCIL</t>
  </si>
  <si>
    <t>Body corgporate Fees</t>
  </si>
  <si>
    <t>Totals - Annual - ONLY Inv. properties</t>
  </si>
  <si>
    <t>Investment</t>
  </si>
  <si>
    <t>Updated on: To update</t>
  </si>
  <si>
    <t>Totals - Annual - Home (Mount st)</t>
  </si>
  <si>
    <t>Total Owned</t>
  </si>
  <si>
    <t>Type</t>
  </si>
  <si>
    <t>S212 669 298 401
V PI</t>
  </si>
  <si>
    <t>Market Value 
(realestate)</t>
  </si>
  <si>
    <t>Updated on: 20/4/2024</t>
  </si>
  <si>
    <t>Market Value 
20/4/2024 (realestate)</t>
  </si>
  <si>
    <t>Land tax</t>
  </si>
  <si>
    <t xml:space="preserve">Belle property to pay. </t>
  </si>
  <si>
    <t>Belle property to pay. Sewage and base wter. Tenants pay usage.</t>
  </si>
  <si>
    <t>Total $958 per annum - to pay to Sabrina Sestito</t>
  </si>
  <si>
    <t>Total $715 per annum - paid in Sept to State Revenue</t>
  </si>
  <si>
    <t>Issues with Gary Peer paying in time</t>
  </si>
  <si>
    <t>Gary Peero to pay.</t>
  </si>
  <si>
    <t>TOTAL</t>
  </si>
  <si>
    <r>
      <t xml:space="preserve">STG S212 669 298 400
V PI </t>
    </r>
    <r>
      <rPr>
        <b/>
        <sz val="11"/>
        <color theme="1"/>
        <rFont val="Calibri"/>
        <family val="2"/>
        <scheme val="minor"/>
      </rPr>
      <t>(offseting)</t>
    </r>
  </si>
  <si>
    <r>
      <t>CBA 88255 2754
V IO</t>
    </r>
    <r>
      <rPr>
        <b/>
        <sz val="11"/>
        <color theme="1"/>
        <rFont val="Calibri"/>
        <family val="2"/>
        <scheme val="minor"/>
      </rPr>
      <t xml:space="preserve"> (offsetting)</t>
    </r>
  </si>
  <si>
    <t>Cost per person per month</t>
  </si>
  <si>
    <t>(realstate)</t>
  </si>
  <si>
    <t>Updated on: 26/01/2026</t>
  </si>
  <si>
    <t>Red energy (Eletricity)</t>
  </si>
  <si>
    <t>gabriel.serra@outlook.com.au</t>
  </si>
  <si>
    <t>Aussie Broadband (internet)</t>
  </si>
  <si>
    <t>Updated on:  26/01/2026</t>
  </si>
  <si>
    <r>
      <t xml:space="preserve">STG S212 669 139 101
V IO (equity release) </t>
    </r>
    <r>
      <rPr>
        <b/>
        <sz val="11"/>
        <color rgb="FFFF0000"/>
        <rFont val="Calibri"/>
        <family val="2"/>
        <scheme val="minor"/>
      </rPr>
      <t>(offseting this one I think)</t>
    </r>
  </si>
  <si>
    <r>
      <t xml:space="preserve">STG S212 669 139 100
V IO </t>
    </r>
    <r>
      <rPr>
        <b/>
        <sz val="11"/>
        <color theme="1"/>
        <rFont val="Calibri"/>
        <family val="2"/>
        <scheme val="minor"/>
      </rPr>
      <t xml:space="preserve">(offseting?) </t>
    </r>
  </si>
  <si>
    <t>notification ari receives</t>
  </si>
  <si>
    <t>arina.cociuban@gmail.com</t>
  </si>
  <si>
    <t>Total Offset Account</t>
  </si>
  <si>
    <t>Total Property Value</t>
  </si>
  <si>
    <t>Total Equity</t>
  </si>
  <si>
    <t>Property Portfolio Summary</t>
  </si>
  <si>
    <t>Blue = manual input   •   Black = calculated   •   Green = totals</t>
  </si>
  <si>
    <t>Last updated:</t>
  </si>
  <si>
    <t>26/01/2026</t>
  </si>
  <si>
    <t>INPUTS</t>
  </si>
  <si>
    <t>Home (Coogee)</t>
  </si>
  <si>
    <t>Investment (Mansfield)</t>
  </si>
  <si>
    <t>Investment (Carnegie)</t>
  </si>
  <si>
    <t>Address</t>
  </si>
  <si>
    <t>Home</t>
  </si>
  <si>
    <t>Market Value</t>
  </si>
  <si>
    <t>Loan 1 balance</t>
  </si>
  <si>
    <t>Loan 2 balance</t>
  </si>
  <si>
    <t>Loan 1 interest rate</t>
  </si>
  <si>
    <t>Loan 2 interest rate</t>
  </si>
  <si>
    <t>Offset balance</t>
  </si>
  <si>
    <t>Weekly rent</t>
  </si>
  <si>
    <t>Repairs buffer (% of value)</t>
  </si>
  <si>
    <t>Agency fee %</t>
  </si>
  <si>
    <t>Forecasted CG %</t>
  </si>
  <si>
    <t>CALCULATIONS</t>
  </si>
  <si>
    <t>Position</t>
  </si>
  <si>
    <t>Total loan</t>
  </si>
  <si>
    <t>Effective loan (net of offset)</t>
  </si>
  <si>
    <t>Forecasted capital gain ($/yr)</t>
  </si>
  <si>
    <t>Income &amp; Expenses (annual)</t>
  </si>
  <si>
    <t>Council / Water / Internet</t>
  </si>
  <si>
    <t>Repairs buffer</t>
  </si>
  <si>
    <t>Agency fee</t>
  </si>
  <si>
    <t>Loan repayments</t>
  </si>
  <si>
    <t>Total expenses</t>
  </si>
  <si>
    <t>Out-of-pocket (annual)</t>
  </si>
  <si>
    <t>Out-of-pocket (monthly)</t>
  </si>
  <si>
    <t>Out-of-pocket (weekly)</t>
  </si>
  <si>
    <t>Yields</t>
  </si>
  <si>
    <t>Gross rental yield</t>
  </si>
  <si>
    <t>Net yield (pre-repayments)</t>
  </si>
  <si>
    <t>Total return (yield + CG)</t>
  </si>
  <si>
    <t>PORTFOLIO TOTALS</t>
  </si>
  <si>
    <t>All Properties</t>
  </si>
  <si>
    <t>Investments Only</t>
  </si>
  <si>
    <t>Home Only</t>
  </si>
  <si>
    <t>Total property value</t>
  </si>
  <si>
    <t>Total loans</t>
  </si>
  <si>
    <t>Total equity</t>
  </si>
  <si>
    <t>Portfolio LVR</t>
  </si>
  <si>
    <t>Total offset</t>
  </si>
  <si>
    <t>Annual rent</t>
  </si>
  <si>
    <t>Annual repayments</t>
  </si>
  <si>
    <t>Annual other expenses</t>
  </si>
  <si>
    <t>Net position (CG − out-of-pocket)</t>
  </si>
  <si>
    <t>Loan 1 repayment (monthly)</t>
  </si>
  <si>
    <t>Loan 2 repayment (monthly)</t>
  </si>
  <si>
    <t>Bank</t>
  </si>
  <si>
    <t>St George</t>
  </si>
  <si>
    <t>CBA</t>
  </si>
  <si>
    <t>Inv IO Var</t>
  </si>
  <si>
    <t>OO P&amp;I Var</t>
  </si>
  <si>
    <t>Loan 1 type</t>
  </si>
  <si>
    <t>Loan 1 IO expiry</t>
  </si>
  <si>
    <t>Loan 2 type</t>
  </si>
  <si>
    <t>lot 2 23 St. Huberts, Carnegie VIC 3163</t>
  </si>
  <si>
    <t>Loan 2 IO expiry</t>
  </si>
  <si>
    <t>Water</t>
  </si>
  <si>
    <t>Strata / Body Corporate</t>
  </si>
  <si>
    <t>Electricity</t>
  </si>
  <si>
    <t>Internet</t>
  </si>
  <si>
    <t>Subtotal (as billed)</t>
  </si>
  <si>
    <t>Annualised total</t>
  </si>
  <si>
    <t>Council rates - notes</t>
  </si>
  <si>
    <t>Water - notes</t>
  </si>
  <si>
    <t>Sydney Water — Direct Debit — gabrielandarina@gmail.com — pass: Watergab1</t>
  </si>
  <si>
    <t>Urban Utilities — Direct Debit (offset) — gabrielandarina@gmail.com — Belle property to pay. Sewage and base water. Tenants pay usage. search: URBAN UTILITIES</t>
  </si>
  <si>
    <t>South East Water — Direct Debit (offset) — gabrielandarina@gmail.com — Gary Peer to pay</t>
  </si>
  <si>
    <t>Strata / Body Corporate - notes</t>
  </si>
  <si>
    <t>Strata Levies — Manual (offset) — gabrielandarina@gmail.com — search for: strata</t>
  </si>
  <si>
    <t>Body Corporate — Direct Debit (offset) — gabrielandarina@gmail.com — Total $998/yr — to pay to Sabrina Sestito</t>
  </si>
  <si>
    <t>Electricity - notes</t>
  </si>
  <si>
    <t>Red Energy — Direct Debit — gabriel.serra@outlook.com.au — pass: AglMount15</t>
  </si>
  <si>
    <t>Internet - notes</t>
  </si>
  <si>
    <t>Aussie Broadband — Direct Debit — gabrielandarina@gmail.com — login: gabrielponde / TpGgaser12</t>
  </si>
  <si>
    <t>Land tax - notes</t>
  </si>
  <si>
    <t>Land tax — arina.cociuban@gmail.com — notification ari receives</t>
  </si>
  <si>
    <t>Land tax — Total $3,330/yr — paid in Sept to State Revenue</t>
  </si>
  <si>
    <t>Council rates (charged quarterly)</t>
  </si>
  <si>
    <t>INPUT ONGOING EXPENSES MONTLY</t>
  </si>
  <si>
    <r>
      <t xml:space="preserve">Randwick Council — Direct Debit — gabrielandarina@gmail.com
email from: council@randwick.nsw.gov.au
</t>
    </r>
    <r>
      <rPr>
        <b/>
        <i/>
        <sz val="10"/>
        <color rgb="FF595959"/>
        <rFont val="Calibri"/>
        <family val="2"/>
        <scheme val="minor"/>
      </rPr>
      <t>LAST BILL: 28/02/2026</t>
    </r>
  </si>
  <si>
    <r>
      <t xml:space="preserve">Glen Eira Council — Bpay View — gabrielandarina@gmail.com 
Gary Peer to pay
Issues with Gary Peer paying in time
</t>
    </r>
    <r>
      <rPr>
        <b/>
        <i/>
        <sz val="10"/>
        <color rgb="FF595959"/>
        <rFont val="Calibri"/>
        <family val="2"/>
        <scheme val="minor"/>
      </rPr>
      <t>LAST BILL: 31/05/2026</t>
    </r>
  </si>
  <si>
    <r>
      <t xml:space="preserve">Brisbane Council — Bpay View — gabrielandarina@gmail.com 
Belle property to pay. search for: Brisbane City Council
</t>
    </r>
    <r>
      <rPr>
        <b/>
        <i/>
        <sz val="10"/>
        <color rgb="FF595959"/>
        <rFont val="Calibri"/>
        <family val="2"/>
        <scheme val="minor"/>
      </rPr>
      <t>LAST BILL: 06/02/2026</t>
    </r>
  </si>
  <si>
    <t>to update the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</si>
</sst>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Red]\-&quot;$&quot;#,##0"/>
    <numFmt numFmtId="8" formatCode="&quot;$&quot;#,##0.00;[Red]\-&quot;$&quot;#,##0.00"/>
    <numFmt numFmtId="44" formatCode="_-&quot;$&quot;* #,##0.00_-;\-&quot;$&quot;* #,##0.00_-;_-&quot;$&quot;* &quot;-&quot;??_-;_-@_-"/>
    <numFmt numFmtId="166" formatCode="_-[$$-C09]* #,##0.00_-;\-[$$-C09]* #,##0.00_-;_-[$$-C09]* &quot;-&quot;??_-;_-@_-"/>
    <numFmt numFmtId="167" formatCode="#,##0.000000000"/>
    <numFmt numFmtId="168" formatCode="&quot;$&quot;#,##0.0000000"/>
    <numFmt numFmtId="169" formatCode="_-[$$-409]* #,##0.00_ ;_-[$$-409]* \-#,##0.00\ ;_-[$$-409]* &quot;-&quot;??_ ;_-@_ "/>
    <numFmt numFmtId="172" formatCode="&quot;$&quot;#,##0;\(&quot;$&quot;#,##0\);&quot;-&quot;"/>
    <numFmt numFmtId="173" formatCode="&quot;$&quot;#,##0.00;\(&quot;$&quot;#,##0.00\);&quot;-&quot;"/>
    <numFmt numFmtId="174" formatCode="0.0%"/>
    <numFmt numFmtId="178" formatCode="m/d/yyyy"/>
  </numFmts>
  <fonts count="59">
    <font>
      <sz val="11"/>
      <color theme="1"/>
      <name val="Calibri"/>
      <family val="2"/>
      <scheme val="minor"/>
    </font>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indexed="8"/>
      <name val="SansSerif"/>
    </font>
    <font>
      <b/>
      <sz val="20"/>
      <color indexed="8"/>
      <name val="SansSerif"/>
    </font>
    <font>
      <sz val="14"/>
      <color indexed="8"/>
      <name val="SansSerif"/>
    </font>
    <font>
      <sz val="11"/>
      <color indexed="55"/>
      <name val="Arial"/>
      <family val="2"/>
    </font>
    <font>
      <sz val="11"/>
      <color indexed="8"/>
      <name val="Arial"/>
      <family val="2"/>
    </font>
    <font>
      <sz val="8"/>
      <color indexed="8"/>
      <name val="SansSerif"/>
    </font>
    <font>
      <b/>
      <sz val="16"/>
      <color theme="1"/>
      <name val="Calibri"/>
      <family val="2"/>
      <scheme val="minor"/>
    </font>
    <font>
      <b/>
      <sz val="12"/>
      <color theme="1"/>
      <name val="Calibri"/>
      <family val="2"/>
      <scheme val="minor"/>
    </font>
    <font>
      <b/>
      <sz val="14"/>
      <color theme="1"/>
      <name val="Calibri"/>
      <family val="2"/>
      <scheme val="minor"/>
    </font>
    <font>
      <i/>
      <sz val="11"/>
      <color theme="1"/>
      <name val="Calibri"/>
      <family val="2"/>
      <scheme val="minor"/>
    </font>
    <font>
      <b/>
      <sz val="10"/>
      <color theme="1"/>
      <name val="Calibri"/>
      <family val="2"/>
      <scheme val="minor"/>
    </font>
    <font>
      <sz val="11"/>
      <name val="Calibri"/>
      <family val="2"/>
      <scheme val="minor"/>
    </font>
    <font>
      <b/>
      <sz val="11"/>
      <color theme="4" tint="-0.499984740745262"/>
      <name val="Calibri"/>
      <family val="2"/>
      <scheme val="minor"/>
    </font>
    <font>
      <sz val="11"/>
      <color theme="4" tint="-0.499984740745262"/>
      <name val="Calibri"/>
      <family val="2"/>
      <scheme val="minor"/>
    </font>
    <font>
      <b/>
      <sz val="11"/>
      <color rgb="FF002060"/>
      <name val="Calibri"/>
      <family val="2"/>
      <scheme val="minor"/>
    </font>
    <font>
      <u/>
      <sz val="11"/>
      <color theme="10"/>
      <name val="Calibri"/>
      <family val="2"/>
      <scheme val="minor"/>
    </font>
    <font>
      <sz val="11"/>
      <color theme="1"/>
      <name val="Symbol"/>
      <family val="1"/>
      <charset val="2"/>
    </font>
    <font>
      <sz val="11"/>
      <color theme="1"/>
      <name val="Courier New"/>
      <family val="3"/>
    </font>
    <font>
      <sz val="11"/>
      <color theme="2" tint="-0.499984740745262"/>
      <name val="Calibri"/>
      <family val="2"/>
      <scheme val="minor"/>
    </font>
    <font>
      <sz val="11"/>
      <color rgb="FF3F3F76"/>
      <name val="Calibri"/>
      <family val="2"/>
      <scheme val="minor"/>
    </font>
    <font>
      <sz val="10"/>
      <color theme="1"/>
      <name val="Calibri"/>
      <family val="2"/>
      <scheme val="minor"/>
    </font>
    <font>
      <b/>
      <sz val="11"/>
      <name val="Calibri"/>
      <family val="2"/>
      <scheme val="minor"/>
    </font>
    <font>
      <sz val="11"/>
      <color rgb="FF002060"/>
      <name val="Calibri"/>
      <family val="2"/>
      <scheme val="minor"/>
    </font>
    <font>
      <b/>
      <sz val="14"/>
      <color rgb="FF002060"/>
      <name val="Calibri"/>
      <family val="2"/>
      <scheme val="minor"/>
    </font>
    <font>
      <sz val="11"/>
      <color rgb="FFFF0000"/>
      <name val="Calibri"/>
      <family val="2"/>
      <scheme val="minor"/>
    </font>
    <font>
      <sz val="8"/>
      <name val="Calibri"/>
      <family val="2"/>
      <scheme val="minor"/>
    </font>
    <font>
      <b/>
      <sz val="11"/>
      <color rgb="FF0000FF"/>
      <name val="Calibri"/>
      <family val="2"/>
      <scheme val="minor"/>
    </font>
    <font>
      <b/>
      <sz val="11"/>
      <color rgb="FFFF0000"/>
      <name val="Calibri"/>
      <family val="2"/>
      <scheme val="minor"/>
    </font>
    <font>
      <sz val="11"/>
      <color rgb="FF00B050"/>
      <name val="Calibri"/>
      <family val="2"/>
      <scheme val="minor"/>
    </font>
    <font>
      <sz val="11"/>
      <color theme="9" tint="-0.249977111117893"/>
      <name val="Calibri"/>
      <family val="2"/>
      <scheme val="minor"/>
    </font>
    <font>
      <b/>
      <sz val="11"/>
      <color theme="9" tint="-0.249977111117893"/>
      <name val="Calibri"/>
      <family val="2"/>
      <scheme val="minor"/>
    </font>
    <font>
      <sz val="11"/>
      <color rgb="FF9C0006"/>
      <name val="Calibri"/>
      <family val="2"/>
      <scheme val="minor"/>
    </font>
    <font>
      <b/>
      <sz val="11"/>
      <color rgb="FF9C0006"/>
      <name val="Calibri"/>
      <family val="2"/>
      <scheme val="minor"/>
    </font>
    <font>
      <b/>
      <sz val="18"/>
      <color rgb="FF1F4E78"/>
      <name val="Calibri"/>
      <family val="2"/>
      <scheme val="minor"/>
    </font>
    <font>
      <i/>
      <sz val="10"/>
      <color rgb="FF595959"/>
      <name val="Calibri"/>
      <family val="2"/>
      <scheme val="minor"/>
    </font>
    <font>
      <sz val="11"/>
      <color rgb="FF0000FF"/>
      <name val="Calibri"/>
      <family val="2"/>
      <scheme val="minor"/>
    </font>
    <font>
      <sz val="10"/>
      <color rgb="FF0000FF"/>
      <name val="Calibri"/>
      <family val="2"/>
      <scheme val="minor"/>
    </font>
    <font>
      <b/>
      <sz val="13"/>
      <color rgb="FFFFFFFF"/>
      <name val="Calibri"/>
      <family val="2"/>
      <scheme val="minor"/>
    </font>
    <font>
      <b/>
      <sz val="12"/>
      <color rgb="FFFFFFFF"/>
      <name val="Calibri"/>
      <family val="2"/>
      <scheme val="minor"/>
    </font>
    <font>
      <sz val="9"/>
      <color indexed="81"/>
      <name val="Tahoma"/>
      <charset val="1"/>
    </font>
    <font>
      <b/>
      <sz val="9"/>
      <color indexed="81"/>
      <name val="Tahoma"/>
      <charset val="1"/>
    </font>
    <font>
      <b/>
      <sz val="11"/>
      <color rgb="FFFFFFFF"/>
      <name val="Calibri"/>
      <family val="2"/>
      <scheme val="minor"/>
    </font>
    <font>
      <b/>
      <sz val="11"/>
      <color rgb="FF1F4E78"/>
      <name val="Calibri"/>
      <family val="2"/>
      <scheme val="minor"/>
    </font>
    <font>
      <b/>
      <sz val="11"/>
      <color rgb="FF548235"/>
      <name val="Calibri"/>
      <family val="2"/>
      <scheme val="minor"/>
    </font>
    <font>
      <b/>
      <sz val="18"/>
      <color rgb="FF1F4E78"/>
      <name val="Calibri"/>
      <scheme val="minor"/>
    </font>
    <font>
      <i/>
      <sz val="10"/>
      <color rgb="FF595959"/>
      <name val="Calibri"/>
      <scheme val="minor"/>
    </font>
    <font>
      <b/>
      <sz val="10"/>
      <color rgb="FF000000"/>
      <name val="Calibri"/>
      <scheme val="minor"/>
    </font>
    <font>
      <sz val="10"/>
      <color rgb="FF0000FF"/>
      <name val="Calibri"/>
      <scheme val="minor"/>
    </font>
    <font>
      <b/>
      <sz val="13"/>
      <color rgb="FFFFFFFF"/>
      <name val="Calibri"/>
      <scheme val="minor"/>
    </font>
    <font>
      <b/>
      <sz val="12"/>
      <color rgb="FFFFFFFF"/>
      <name val="Calibri"/>
      <scheme val="minor"/>
    </font>
    <font>
      <b/>
      <sz val="11"/>
      <color rgb="FF000000"/>
      <name val="Calibri"/>
      <scheme val="minor"/>
    </font>
    <font>
      <b/>
      <sz val="11"/>
      <color rgb="FFFFFFFF"/>
      <name val="Calibri"/>
      <scheme val="minor"/>
    </font>
    <font>
      <i/>
      <sz val="11"/>
      <color rgb="FF595959"/>
      <name val="Calibri"/>
      <family val="2"/>
      <scheme val="minor"/>
    </font>
    <font>
      <b/>
      <i/>
      <sz val="10"/>
      <color rgb="FF595959"/>
      <name val="Calibri"/>
      <family val="2"/>
      <scheme val="minor"/>
    </font>
  </fonts>
  <fills count="2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92D050"/>
        <bgColor indexed="64"/>
      </patternFill>
    </fill>
    <fill>
      <patternFill patternType="solid">
        <fgColor rgb="FFFFFF00"/>
        <bgColor indexed="64"/>
      </patternFill>
    </fill>
    <fill>
      <patternFill patternType="solid">
        <fgColor theme="7" tint="0.79998168889431442"/>
        <bgColor indexed="65"/>
      </patternFill>
    </fill>
    <fill>
      <patternFill patternType="solid">
        <fgColor rgb="FFFFCC99"/>
      </patternFill>
    </fill>
    <fill>
      <patternFill patternType="solid">
        <fgColor theme="4"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CC99"/>
        <bgColor indexed="64"/>
      </patternFill>
    </fill>
    <fill>
      <patternFill patternType="solid">
        <fgColor rgb="FF1F4E78"/>
        <bgColor indexed="64"/>
      </patternFill>
    </fill>
    <fill>
      <patternFill patternType="solid">
        <fgColor rgb="FF5B9BD5"/>
        <bgColor indexed="64"/>
      </patternFill>
    </fill>
    <fill>
      <patternFill patternType="solid">
        <fgColor rgb="FF70AD47"/>
        <bgColor indexed="64"/>
      </patternFill>
    </fill>
    <fill>
      <patternFill patternType="solid">
        <fgColor rgb="FFFFC000"/>
        <bgColor indexed="64"/>
      </patternFill>
    </fill>
    <fill>
      <patternFill patternType="solid">
        <fgColor rgb="FFD9E1F2"/>
        <bgColor indexed="64"/>
      </patternFill>
    </fill>
    <fill>
      <patternFill patternType="solid">
        <fgColor rgb="FFDDEBF7"/>
        <bgColor indexed="64"/>
      </patternFill>
    </fill>
    <fill>
      <patternFill patternType="solid">
        <fgColor rgb="FFE2EFDA"/>
        <bgColor indexed="64"/>
      </patternFill>
    </fill>
    <fill>
      <patternFill patternType="solid">
        <fgColor rgb="FFFFF2CC"/>
        <bgColor indexed="64"/>
      </patternFill>
    </fill>
    <fill>
      <patternFill patternType="solid">
        <fgColor rgb="FFF2F2F2"/>
        <bgColor indexed="64"/>
      </patternFill>
    </fill>
    <fill>
      <patternFill patternType="solid">
        <fgColor rgb="FF548235"/>
        <bgColor indexed="64"/>
      </patternFill>
    </fill>
    <fill>
      <patternFill patternType="solid">
        <fgColor rgb="FFBF8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style="thin">
        <color indexed="55"/>
      </top>
      <bottom style="thin">
        <color indexed="55"/>
      </bottom>
      <diagonal/>
    </border>
    <border>
      <left style="thin">
        <color rgb="FF7F7F7F"/>
      </left>
      <right style="thin">
        <color rgb="FF7F7F7F"/>
      </right>
      <top style="thin">
        <color rgb="FF7F7F7F"/>
      </top>
      <bottom style="thin">
        <color rgb="FF7F7F7F"/>
      </bottom>
      <diagonal/>
    </border>
    <border>
      <left/>
      <right style="thin">
        <color rgb="FF7F7F7F"/>
      </right>
      <top/>
      <bottom/>
      <diagonal/>
    </border>
    <border>
      <left style="thin">
        <color rgb="FF7F7F7F"/>
      </left>
      <right/>
      <top/>
      <bottom/>
      <diagonal/>
    </border>
    <border>
      <left style="thin">
        <color rgb="FF7F7F7F"/>
      </left>
      <right style="thin">
        <color rgb="FF7F7F7F"/>
      </right>
      <top style="thin">
        <color rgb="FF7F7F7F"/>
      </top>
      <bottom/>
      <diagonal/>
    </border>
    <border>
      <left/>
      <right/>
      <top/>
      <bottom style="thin">
        <color rgb="FF1F4E78"/>
      </bottom>
      <diagonal/>
    </border>
    <border>
      <left style="thin">
        <color rgb="FF1F4E78"/>
      </left>
      <right/>
      <top/>
      <bottom/>
      <diagonal/>
    </border>
    <border>
      <left style="thin">
        <color rgb="FF1F4E78"/>
      </left>
      <right/>
      <top/>
      <bottom style="thin">
        <color rgb="FF1F4E78"/>
      </bottom>
      <diagonal/>
    </border>
    <border>
      <left/>
      <right style="thin">
        <color rgb="FF1F4E78"/>
      </right>
      <top/>
      <bottom/>
      <diagonal/>
    </border>
    <border>
      <left/>
      <right style="thin">
        <color rgb="FF1F4E78"/>
      </right>
      <top/>
      <bottom style="thin">
        <color rgb="FF1F4E78"/>
      </bottom>
      <diagonal/>
    </border>
    <border>
      <left style="thin">
        <color rgb="FF1F4E78"/>
      </left>
      <right/>
      <top style="thin">
        <color rgb="FF1F4E78"/>
      </top>
      <bottom style="medium">
        <color rgb="FF1F4E78"/>
      </bottom>
      <diagonal/>
    </border>
    <border>
      <left/>
      <right/>
      <top style="thin">
        <color rgb="FF1F4E78"/>
      </top>
      <bottom style="medium">
        <color rgb="FF1F4E78"/>
      </bottom>
      <diagonal/>
    </border>
    <border>
      <left/>
      <right style="thin">
        <color rgb="FF1F4E78"/>
      </right>
      <top style="thin">
        <color rgb="FF1F4E78"/>
      </top>
      <bottom style="medium">
        <color rgb="FF1F4E78"/>
      </bottom>
      <diagonal/>
    </border>
  </borders>
  <cellStyleXfs count="8">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1" applyNumberFormat="0" applyFill="0" applyAlignment="0" applyProtection="0"/>
    <xf numFmtId="0" fontId="3" fillId="0" borderId="2" applyNumberFormat="0" applyFill="0" applyAlignment="0" applyProtection="0"/>
    <xf numFmtId="0" fontId="1" fillId="6" borderId="0" applyNumberFormat="0" applyBorder="0" applyAlignment="0" applyProtection="0"/>
    <xf numFmtId="0" fontId="20" fillId="0" borderId="0" applyNumberFormat="0" applyFill="0" applyBorder="0" applyAlignment="0" applyProtection="0"/>
    <xf numFmtId="0" fontId="24" fillId="7" borderId="4" applyNumberFormat="0" applyAlignment="0" applyProtection="0"/>
  </cellStyleXfs>
  <cellXfs count="319">
    <xf numFmtId="0" fontId="0" fillId="0" borderId="0" xfId="0"/>
    <xf numFmtId="0" fontId="0" fillId="2" borderId="0" xfId="0" applyFill="1"/>
    <xf numFmtId="0" fontId="5" fillId="3" borderId="0" xfId="0" applyFont="1" applyFill="1" applyAlignment="1">
      <alignment horizontal="left" vertical="top" wrapText="1"/>
    </xf>
    <xf numFmtId="0" fontId="8" fillId="3" borderId="3" xfId="0" applyFont="1" applyFill="1" applyBorder="1" applyAlignment="1">
      <alignment horizontal="center" vertical="center" wrapText="1"/>
    </xf>
    <xf numFmtId="0" fontId="8" fillId="3" borderId="3" xfId="0" applyFont="1" applyFill="1" applyBorder="1" applyAlignment="1">
      <alignment horizontal="right" vertical="center" wrapText="1"/>
    </xf>
    <xf numFmtId="0" fontId="9" fillId="3" borderId="0" xfId="0" applyFont="1" applyFill="1" applyAlignment="1">
      <alignment horizontal="center" vertical="center" wrapText="1"/>
    </xf>
    <xf numFmtId="0" fontId="9" fillId="3" borderId="0" xfId="0" applyFont="1" applyFill="1" applyAlignment="1">
      <alignment horizontal="right" vertical="center" wrapText="1"/>
    </xf>
    <xf numFmtId="14" fontId="0" fillId="0" borderId="0" xfId="0" applyNumberFormat="1"/>
    <xf numFmtId="0" fontId="2" fillId="2" borderId="1" xfId="3" applyFill="1"/>
    <xf numFmtId="0" fontId="2" fillId="0" borderId="1" xfId="3" applyFill="1"/>
    <xf numFmtId="0" fontId="11" fillId="2" borderId="0" xfId="0" applyFont="1" applyFill="1"/>
    <xf numFmtId="0" fontId="3" fillId="0" borderId="2" xfId="4"/>
    <xf numFmtId="0" fontId="3" fillId="2" borderId="2" xfId="4" applyFill="1"/>
    <xf numFmtId="0" fontId="0" fillId="0" borderId="0" xfId="0" applyAlignment="1">
      <alignment wrapText="1"/>
    </xf>
    <xf numFmtId="44" fontId="0" fillId="0" borderId="0" xfId="0" applyNumberFormat="1"/>
    <xf numFmtId="14" fontId="16" fillId="0" borderId="0" xfId="0" applyNumberFormat="1" applyFont="1"/>
    <xf numFmtId="49" fontId="16" fillId="0" borderId="0" xfId="0" applyNumberFormat="1" applyFont="1"/>
    <xf numFmtId="0" fontId="16" fillId="0" borderId="0" xfId="0" applyFont="1"/>
    <xf numFmtId="2" fontId="16" fillId="0" borderId="0" xfId="0" applyNumberFormat="1" applyFont="1"/>
    <xf numFmtId="167" fontId="16" fillId="0" borderId="0" xfId="0" applyNumberFormat="1" applyFont="1"/>
    <xf numFmtId="168" fontId="16" fillId="0" borderId="0" xfId="0" applyNumberFormat="1" applyFont="1"/>
    <xf numFmtId="0" fontId="3" fillId="0" borderId="2" xfId="4" applyFill="1"/>
    <xf numFmtId="0" fontId="4" fillId="0" borderId="0" xfId="0" applyFont="1"/>
    <xf numFmtId="44" fontId="4" fillId="0" borderId="0" xfId="1" applyFont="1" applyFill="1"/>
    <xf numFmtId="44" fontId="0" fillId="0" borderId="0" xfId="1" applyFont="1" applyFill="1"/>
    <xf numFmtId="0" fontId="4" fillId="5" borderId="0" xfId="0" applyFont="1" applyFill="1"/>
    <xf numFmtId="0" fontId="0" fillId="5" borderId="0" xfId="0" applyFill="1"/>
    <xf numFmtId="6" fontId="4" fillId="0" borderId="0" xfId="1" applyNumberFormat="1" applyFont="1" applyFill="1"/>
    <xf numFmtId="14" fontId="17" fillId="0" borderId="0" xfId="2" applyNumberFormat="1" applyFont="1" applyFill="1" applyBorder="1" applyAlignment="1"/>
    <xf numFmtId="0" fontId="21" fillId="0" borderId="0" xfId="0" applyFont="1" applyAlignment="1">
      <alignment horizontal="left" vertical="center" indent="5"/>
    </xf>
    <xf numFmtId="0" fontId="22" fillId="0" borderId="0" xfId="0" applyFont="1" applyAlignment="1">
      <alignment horizontal="left" vertical="center" indent="10"/>
    </xf>
    <xf numFmtId="44" fontId="17" fillId="0" borderId="0" xfId="1" applyFont="1" applyFill="1" applyBorder="1" applyAlignment="1"/>
    <xf numFmtId="0" fontId="0" fillId="0" borderId="0" xfId="0" applyAlignment="1">
      <alignment horizontal="left" vertical="center" indent="5"/>
    </xf>
    <xf numFmtId="0" fontId="11" fillId="0" borderId="0" xfId="0" applyFont="1"/>
    <xf numFmtId="0" fontId="15" fillId="0" borderId="0" xfId="0" applyFont="1"/>
    <xf numFmtId="10" fontId="17" fillId="0" borderId="0" xfId="2" applyNumberFormat="1" applyFont="1" applyFill="1" applyBorder="1" applyAlignment="1"/>
    <xf numFmtId="14" fontId="17" fillId="0" borderId="0" xfId="2" applyNumberFormat="1" applyFont="1" applyFill="1" applyBorder="1" applyAlignment="1">
      <alignment horizontal="center"/>
    </xf>
    <xf numFmtId="0" fontId="13" fillId="0" borderId="0" xfId="0" applyFont="1"/>
    <xf numFmtId="44" fontId="13" fillId="0" borderId="0" xfId="1" applyFont="1" applyFill="1" applyBorder="1" applyAlignment="1"/>
    <xf numFmtId="44" fontId="4" fillId="0" borderId="0" xfId="1" applyFont="1" applyFill="1" applyBorder="1" applyAlignment="1"/>
    <xf numFmtId="9" fontId="4" fillId="0" borderId="0" xfId="2" applyFont="1" applyFill="1" applyBorder="1" applyAlignment="1"/>
    <xf numFmtId="44" fontId="11" fillId="0" borderId="0" xfId="1" applyFont="1" applyFill="1" applyBorder="1"/>
    <xf numFmtId="44" fontId="4" fillId="0" borderId="0" xfId="1" applyFont="1" applyFill="1" applyAlignment="1"/>
    <xf numFmtId="44" fontId="18" fillId="0" borderId="0" xfId="1" applyFont="1" applyFill="1" applyBorder="1" applyAlignment="1"/>
    <xf numFmtId="4" fontId="16" fillId="0" borderId="0" xfId="0" applyNumberFormat="1" applyFont="1"/>
    <xf numFmtId="44" fontId="16" fillId="0" borderId="0" xfId="1" applyFont="1" applyFill="1" applyBorder="1" applyAlignment="1"/>
    <xf numFmtId="0" fontId="0" fillId="0" borderId="0" xfId="0" applyAlignment="1">
      <alignment horizontal="left"/>
    </xf>
    <xf numFmtId="4" fontId="4" fillId="0" borderId="0" xfId="0" applyNumberFormat="1" applyFont="1"/>
    <xf numFmtId="0" fontId="20" fillId="0" borderId="0" xfId="6" applyFill="1"/>
    <xf numFmtId="8" fontId="24" fillId="7" borderId="4" xfId="7" applyNumberFormat="1"/>
    <xf numFmtId="0" fontId="24" fillId="7" borderId="4" xfId="7"/>
    <xf numFmtId="44" fontId="26" fillId="0" borderId="0" xfId="1" applyFont="1" applyFill="1" applyAlignment="1"/>
    <xf numFmtId="44" fontId="28" fillId="0" borderId="0" xfId="1" applyFont="1" applyFill="1" applyBorder="1"/>
    <xf numFmtId="0" fontId="0" fillId="8" borderId="0" xfId="0" applyFill="1"/>
    <xf numFmtId="0" fontId="2" fillId="8" borderId="1" xfId="3" applyFill="1"/>
    <xf numFmtId="0" fontId="15" fillId="8" borderId="0" xfId="0" applyFont="1" applyFill="1"/>
    <xf numFmtId="14" fontId="4" fillId="8" borderId="0" xfId="0" applyNumberFormat="1" applyFont="1" applyFill="1"/>
    <xf numFmtId="0" fontId="4" fillId="8" borderId="0" xfId="0" applyFont="1" applyFill="1"/>
    <xf numFmtId="0" fontId="25" fillId="8" borderId="0" xfId="0" applyFont="1" applyFill="1"/>
    <xf numFmtId="0" fontId="0" fillId="8" borderId="0" xfId="0" applyFill="1" applyAlignment="1">
      <alignment wrapText="1"/>
    </xf>
    <xf numFmtId="44" fontId="4" fillId="8" borderId="0" xfId="1" applyFont="1" applyFill="1"/>
    <xf numFmtId="166" fontId="18" fillId="8" borderId="0" xfId="0" applyNumberFormat="1" applyFont="1" applyFill="1"/>
    <xf numFmtId="0" fontId="18" fillId="8" borderId="0" xfId="0" applyFont="1" applyFill="1"/>
    <xf numFmtId="44" fontId="18" fillId="8" borderId="0" xfId="0" applyNumberFormat="1" applyFont="1" applyFill="1"/>
    <xf numFmtId="44" fontId="0" fillId="8" borderId="0" xfId="1" applyFont="1" applyFill="1"/>
    <xf numFmtId="10" fontId="0" fillId="8" borderId="0" xfId="2" applyNumberFormat="1" applyFont="1" applyFill="1"/>
    <xf numFmtId="10" fontId="18" fillId="8" borderId="0" xfId="2" applyNumberFormat="1" applyFont="1" applyFill="1"/>
    <xf numFmtId="44" fontId="13" fillId="8" borderId="0" xfId="1" applyFont="1" applyFill="1" applyBorder="1" applyAlignment="1"/>
    <xf numFmtId="44" fontId="0" fillId="8" borderId="0" xfId="0" applyNumberFormat="1" applyFill="1"/>
    <xf numFmtId="44" fontId="18" fillId="8" borderId="0" xfId="1" applyFont="1" applyFill="1"/>
    <xf numFmtId="0" fontId="14" fillId="8" borderId="0" xfId="0" applyFont="1" applyFill="1"/>
    <xf numFmtId="44" fontId="18" fillId="8" borderId="0" xfId="1" applyFont="1" applyFill="1" applyBorder="1" applyAlignment="1"/>
    <xf numFmtId="0" fontId="23" fillId="8" borderId="0" xfId="0" applyFont="1" applyFill="1" applyAlignment="1">
      <alignment horizontal="center"/>
    </xf>
    <xf numFmtId="0" fontId="18" fillId="8" borderId="0" xfId="0" applyFont="1" applyFill="1" applyAlignment="1">
      <alignment horizontal="center"/>
    </xf>
    <xf numFmtId="10" fontId="26" fillId="8" borderId="0" xfId="0" applyNumberFormat="1" applyFont="1" applyFill="1" applyAlignment="1">
      <alignment horizontal="right"/>
    </xf>
    <xf numFmtId="10" fontId="18" fillId="8" borderId="0" xfId="0" applyNumberFormat="1" applyFont="1" applyFill="1" applyAlignment="1">
      <alignment horizontal="center"/>
    </xf>
    <xf numFmtId="44" fontId="27" fillId="8" borderId="0" xfId="1" applyFont="1" applyFill="1" applyBorder="1" applyAlignment="1"/>
    <xf numFmtId="44" fontId="27" fillId="8" borderId="0" xfId="0" applyNumberFormat="1" applyFont="1" applyFill="1"/>
    <xf numFmtId="44" fontId="27" fillId="8" borderId="0" xfId="5" applyNumberFormat="1" applyFont="1" applyFill="1" applyBorder="1" applyAlignment="1"/>
    <xf numFmtId="0" fontId="13" fillId="8" borderId="0" xfId="0" applyFont="1" applyFill="1"/>
    <xf numFmtId="44" fontId="19" fillId="8" borderId="0" xfId="1" applyFont="1" applyFill="1" applyBorder="1"/>
    <xf numFmtId="0" fontId="11" fillId="8" borderId="0" xfId="0" applyFont="1" applyFill="1"/>
    <xf numFmtId="0" fontId="16" fillId="8" borderId="0" xfId="0" applyFont="1" applyFill="1"/>
    <xf numFmtId="0" fontId="0" fillId="9" borderId="0" xfId="0" applyFill="1"/>
    <xf numFmtId="0" fontId="2" fillId="9" borderId="1" xfId="3" applyFill="1"/>
    <xf numFmtId="0" fontId="15" fillId="9" borderId="0" xfId="0" applyFont="1" applyFill="1"/>
    <xf numFmtId="14" fontId="4" fillId="9" borderId="0" xfId="0" applyNumberFormat="1" applyFont="1" applyFill="1"/>
    <xf numFmtId="0" fontId="11" fillId="9" borderId="0" xfId="0" applyFont="1" applyFill="1"/>
    <xf numFmtId="0" fontId="25" fillId="9" borderId="0" xfId="0" applyFont="1" applyFill="1"/>
    <xf numFmtId="0" fontId="0" fillId="9" borderId="0" xfId="0" applyFill="1" applyAlignment="1">
      <alignment wrapText="1"/>
    </xf>
    <xf numFmtId="166" fontId="18" fillId="9" borderId="0" xfId="0" applyNumberFormat="1" applyFont="1" applyFill="1"/>
    <xf numFmtId="0" fontId="18" fillId="9" borderId="0" xfId="0" applyFont="1" applyFill="1"/>
    <xf numFmtId="44" fontId="18" fillId="9" borderId="0" xfId="0" applyNumberFormat="1" applyFont="1" applyFill="1"/>
    <xf numFmtId="44" fontId="0" fillId="9" borderId="0" xfId="1" applyFont="1" applyFill="1"/>
    <xf numFmtId="10" fontId="0" fillId="9" borderId="0" xfId="2" applyNumberFormat="1" applyFont="1" applyFill="1"/>
    <xf numFmtId="10" fontId="18" fillId="9" borderId="0" xfId="2" applyNumberFormat="1" applyFont="1" applyFill="1"/>
    <xf numFmtId="44" fontId="13" fillId="9" borderId="0" xfId="1" applyFont="1" applyFill="1" applyBorder="1" applyAlignment="1"/>
    <xf numFmtId="44" fontId="0" fillId="9" borderId="0" xfId="0" applyNumberFormat="1" applyFill="1"/>
    <xf numFmtId="44" fontId="18" fillId="9" borderId="0" xfId="1" applyFont="1" applyFill="1"/>
    <xf numFmtId="10" fontId="26" fillId="9" borderId="0" xfId="2" applyNumberFormat="1" applyFont="1" applyFill="1"/>
    <xf numFmtId="0" fontId="4" fillId="9" borderId="0" xfId="0" applyFont="1" applyFill="1"/>
    <xf numFmtId="0" fontId="14" fillId="9" borderId="0" xfId="0" applyFont="1" applyFill="1"/>
    <xf numFmtId="44" fontId="4" fillId="9" borderId="0" xfId="1" applyFont="1" applyFill="1" applyBorder="1" applyAlignment="1"/>
    <xf numFmtId="0" fontId="29" fillId="9" borderId="0" xfId="0" applyFont="1" applyFill="1"/>
    <xf numFmtId="44" fontId="18" fillId="9" borderId="0" xfId="1" applyFont="1" applyFill="1" applyBorder="1" applyAlignment="1"/>
    <xf numFmtId="44" fontId="27" fillId="9" borderId="0" xfId="1" applyFont="1" applyFill="1" applyBorder="1" applyAlignment="1"/>
    <xf numFmtId="0" fontId="18" fillId="9" borderId="0" xfId="0" applyFont="1" applyFill="1" applyAlignment="1">
      <alignment horizontal="center"/>
    </xf>
    <xf numFmtId="10" fontId="18" fillId="9" borderId="0" xfId="0" applyNumberFormat="1" applyFont="1" applyFill="1" applyAlignment="1">
      <alignment horizontal="center"/>
    </xf>
    <xf numFmtId="44" fontId="27" fillId="9" borderId="0" xfId="0" applyNumberFormat="1" applyFont="1" applyFill="1"/>
    <xf numFmtId="44" fontId="27" fillId="9" borderId="0" xfId="1" applyFont="1" applyFill="1"/>
    <xf numFmtId="0" fontId="13" fillId="9" borderId="0" xfId="0" applyFont="1" applyFill="1"/>
    <xf numFmtId="44" fontId="19" fillId="9" borderId="0" xfId="1" applyFont="1" applyFill="1" applyBorder="1"/>
    <xf numFmtId="44" fontId="19" fillId="0" borderId="0" xfId="1" applyFont="1" applyFill="1" applyBorder="1"/>
    <xf numFmtId="44" fontId="4" fillId="0" borderId="0" xfId="0" applyNumberFormat="1" applyFont="1"/>
    <xf numFmtId="10" fontId="0" fillId="0" borderId="0" xfId="0" applyNumberFormat="1"/>
    <xf numFmtId="44" fontId="31" fillId="8" borderId="0" xfId="1" applyFont="1" applyFill="1"/>
    <xf numFmtId="8" fontId="31" fillId="8" borderId="0" xfId="1" applyNumberFormat="1" applyFont="1" applyFill="1"/>
    <xf numFmtId="10" fontId="31" fillId="8" borderId="0" xfId="2" applyNumberFormat="1" applyFont="1" applyFill="1"/>
    <xf numFmtId="44" fontId="31" fillId="8" borderId="0" xfId="1" applyFont="1" applyFill="1" applyBorder="1" applyAlignment="1"/>
    <xf numFmtId="169" fontId="31" fillId="7" borderId="4" xfId="7" applyNumberFormat="1" applyFont="1"/>
    <xf numFmtId="0" fontId="0" fillId="0" borderId="5" xfId="0" applyBorder="1"/>
    <xf numFmtId="14" fontId="0" fillId="0" borderId="6" xfId="0" applyNumberFormat="1" applyBorder="1"/>
    <xf numFmtId="44" fontId="31" fillId="9" borderId="0" xfId="1" applyFont="1" applyFill="1"/>
    <xf numFmtId="44" fontId="31" fillId="7" borderId="4" xfId="7" applyNumberFormat="1" applyFont="1"/>
    <xf numFmtId="44" fontId="31" fillId="7" borderId="4" xfId="1" applyFont="1" applyFill="1" applyBorder="1"/>
    <xf numFmtId="0" fontId="29" fillId="0" borderId="0" xfId="0" applyFont="1"/>
    <xf numFmtId="169" fontId="24" fillId="7" borderId="7" xfId="0" applyNumberFormat="1" applyFont="1" applyFill="1" applyBorder="1"/>
    <xf numFmtId="166" fontId="31" fillId="9" borderId="0" xfId="1" applyNumberFormat="1" applyFont="1" applyFill="1"/>
    <xf numFmtId="10" fontId="31" fillId="9" borderId="0" xfId="2" applyNumberFormat="1" applyFont="1" applyFill="1"/>
    <xf numFmtId="0" fontId="0" fillId="10" borderId="0" xfId="0" applyFill="1"/>
    <xf numFmtId="0" fontId="2" fillId="10" borderId="1" xfId="3" applyFill="1"/>
    <xf numFmtId="0" fontId="15" fillId="10" borderId="0" xfId="0" applyFont="1" applyFill="1"/>
    <xf numFmtId="14" fontId="4" fillId="10" borderId="0" xfId="0" applyNumberFormat="1" applyFont="1" applyFill="1"/>
    <xf numFmtId="0" fontId="11" fillId="10" borderId="0" xfId="0" applyFont="1" applyFill="1"/>
    <xf numFmtId="0" fontId="25" fillId="10" borderId="0" xfId="0" applyFont="1" applyFill="1"/>
    <xf numFmtId="0" fontId="0" fillId="10" borderId="0" xfId="0" applyFill="1" applyAlignment="1">
      <alignment wrapText="1"/>
    </xf>
    <xf numFmtId="166" fontId="31" fillId="10" borderId="0" xfId="1" applyNumberFormat="1" applyFont="1" applyFill="1"/>
    <xf numFmtId="10" fontId="31" fillId="10" borderId="0" xfId="2" applyNumberFormat="1" applyFont="1" applyFill="1"/>
    <xf numFmtId="8" fontId="31" fillId="10" borderId="0" xfId="1" applyNumberFormat="1" applyFont="1" applyFill="1"/>
    <xf numFmtId="166" fontId="18" fillId="10" borderId="0" xfId="0" applyNumberFormat="1" applyFont="1" applyFill="1"/>
    <xf numFmtId="0" fontId="18" fillId="10" borderId="0" xfId="0" applyFont="1" applyFill="1"/>
    <xf numFmtId="44" fontId="18" fillId="10" borderId="0" xfId="0" applyNumberFormat="1" applyFont="1" applyFill="1"/>
    <xf numFmtId="44" fontId="0" fillId="10" borderId="0" xfId="1" applyFont="1" applyFill="1"/>
    <xf numFmtId="10" fontId="0" fillId="10" borderId="0" xfId="2" applyNumberFormat="1" applyFont="1" applyFill="1"/>
    <xf numFmtId="44" fontId="31" fillId="10" borderId="0" xfId="1" applyFont="1" applyFill="1"/>
    <xf numFmtId="10" fontId="18" fillId="10" borderId="0" xfId="2" applyNumberFormat="1" applyFont="1" applyFill="1"/>
    <xf numFmtId="44" fontId="0" fillId="10" borderId="0" xfId="0" applyNumberFormat="1" applyFill="1"/>
    <xf numFmtId="44" fontId="18" fillId="10" borderId="0" xfId="1" applyFont="1" applyFill="1"/>
    <xf numFmtId="10" fontId="16" fillId="10" borderId="0" xfId="2" applyNumberFormat="1" applyFont="1" applyFill="1"/>
    <xf numFmtId="0" fontId="4" fillId="10" borderId="0" xfId="0" applyFont="1" applyFill="1"/>
    <xf numFmtId="0" fontId="14" fillId="10" borderId="0" xfId="0" applyFont="1" applyFill="1"/>
    <xf numFmtId="44" fontId="4" fillId="10" borderId="0" xfId="1" applyFont="1" applyFill="1" applyBorder="1" applyAlignment="1"/>
    <xf numFmtId="44" fontId="18" fillId="10" borderId="0" xfId="1" applyFont="1" applyFill="1" applyBorder="1" applyAlignment="1"/>
    <xf numFmtId="44" fontId="27" fillId="10" borderId="0" xfId="1" applyFont="1" applyFill="1" applyBorder="1" applyAlignment="1"/>
    <xf numFmtId="0" fontId="18" fillId="10" borderId="0" xfId="0" applyFont="1" applyFill="1" applyAlignment="1">
      <alignment horizontal="center"/>
    </xf>
    <xf numFmtId="10" fontId="26" fillId="10" borderId="0" xfId="0" applyNumberFormat="1" applyFont="1" applyFill="1" applyAlignment="1">
      <alignment horizontal="right"/>
    </xf>
    <xf numFmtId="10" fontId="18" fillId="10" borderId="0" xfId="0" applyNumberFormat="1" applyFont="1" applyFill="1" applyAlignment="1">
      <alignment horizontal="center"/>
    </xf>
    <xf numFmtId="44" fontId="27" fillId="10" borderId="0" xfId="0" applyNumberFormat="1" applyFont="1" applyFill="1"/>
    <xf numFmtId="44" fontId="27" fillId="10" borderId="0" xfId="1" applyFont="1" applyFill="1"/>
    <xf numFmtId="0" fontId="13" fillId="10" borderId="0" xfId="0" applyFont="1" applyFill="1"/>
    <xf numFmtId="44" fontId="19" fillId="10" borderId="0" xfId="1" applyFont="1" applyFill="1" applyBorder="1"/>
    <xf numFmtId="10" fontId="29" fillId="9" borderId="0" xfId="2" applyNumberFormat="1" applyFont="1" applyFill="1"/>
    <xf numFmtId="0" fontId="33" fillId="10" borderId="0" xfId="0" applyFont="1" applyFill="1"/>
    <xf numFmtId="10" fontId="33" fillId="8" borderId="0" xfId="2" applyNumberFormat="1" applyFont="1" applyFill="1"/>
    <xf numFmtId="0" fontId="20" fillId="0" borderId="0" xfId="6"/>
    <xf numFmtId="44" fontId="17" fillId="10" borderId="0" xfId="1" applyFont="1" applyFill="1"/>
    <xf numFmtId="44" fontId="17" fillId="8" borderId="0" xfId="1" applyFont="1" applyFill="1"/>
    <xf numFmtId="44" fontId="24" fillId="7" borderId="7" xfId="0" applyNumberFormat="1" applyFont="1" applyFill="1" applyBorder="1"/>
    <xf numFmtId="44" fontId="24" fillId="11" borderId="7" xfId="0" applyNumberFormat="1" applyFont="1" applyFill="1" applyBorder="1"/>
    <xf numFmtId="0" fontId="34" fillId="0" borderId="0" xfId="0" applyFont="1"/>
    <xf numFmtId="44" fontId="35" fillId="0" borderId="0" xfId="1" applyFont="1" applyFill="1" applyAlignment="1"/>
    <xf numFmtId="166" fontId="4" fillId="0" borderId="0" xfId="0" applyNumberFormat="1" applyFont="1"/>
    <xf numFmtId="0" fontId="10" fillId="3" borderId="0" xfId="0" applyFont="1" applyFill="1" applyAlignment="1">
      <alignment horizontal="left" vertical="top" wrapText="1"/>
    </xf>
    <xf numFmtId="0" fontId="9" fillId="4" borderId="0" xfId="0" applyFont="1" applyFill="1" applyAlignment="1">
      <alignment horizontal="center" vertical="center" wrapText="1"/>
    </xf>
    <xf numFmtId="0" fontId="9" fillId="3" borderId="0" xfId="0" applyFont="1" applyFill="1" applyAlignment="1">
      <alignment horizontal="center" vertical="center" wrapText="1"/>
    </xf>
    <xf numFmtId="0" fontId="9" fillId="3" borderId="0" xfId="0" applyFont="1" applyFill="1" applyAlignment="1">
      <alignment horizontal="right" vertical="center" wrapText="1"/>
    </xf>
    <xf numFmtId="0" fontId="8" fillId="3" borderId="3" xfId="0" applyFont="1" applyFill="1" applyBorder="1" applyAlignment="1">
      <alignment horizontal="center" vertical="center" wrapText="1"/>
    </xf>
    <xf numFmtId="0" fontId="8" fillId="3" borderId="3" xfId="0" applyFont="1" applyFill="1" applyBorder="1" applyAlignment="1">
      <alignment horizontal="right" vertical="center" wrapText="1"/>
    </xf>
    <xf numFmtId="0" fontId="5" fillId="3" borderId="0" xfId="0" applyFont="1" applyFill="1" applyAlignment="1">
      <alignment horizontal="left" vertical="top" wrapText="1"/>
    </xf>
    <xf numFmtId="0" fontId="5" fillId="3" borderId="0" xfId="0" applyFont="1" applyFill="1" applyAlignment="1">
      <alignment horizontal="right" vertical="top" wrapText="1"/>
    </xf>
    <xf numFmtId="0" fontId="6" fillId="3" borderId="0" xfId="0" applyFont="1" applyFill="1" applyAlignment="1">
      <alignment horizontal="right" vertical="top" wrapText="1"/>
    </xf>
    <xf numFmtId="0" fontId="7" fillId="3" borderId="0" xfId="0" applyFont="1" applyFill="1" applyAlignment="1">
      <alignment horizontal="right" vertical="top" wrapText="1"/>
    </xf>
    <xf numFmtId="0" fontId="0" fillId="0" borderId="0" xfId="0" applyAlignment="1">
      <alignment horizontal="left"/>
    </xf>
    <xf numFmtId="44" fontId="11" fillId="0" borderId="0" xfId="0" applyNumberFormat="1" applyFont="1" applyAlignment="1">
      <alignment horizontal="left"/>
    </xf>
    <xf numFmtId="0" fontId="11" fillId="0" borderId="0" xfId="0" applyFont="1" applyAlignment="1">
      <alignment horizontal="left"/>
    </xf>
    <xf numFmtId="0" fontId="0" fillId="0" borderId="0" xfId="0" applyAlignment="1">
      <alignment horizontal="center"/>
    </xf>
    <xf numFmtId="9" fontId="18" fillId="0" borderId="0" xfId="2" applyFont="1" applyFill="1" applyBorder="1" applyAlignment="1">
      <alignment horizontal="center"/>
    </xf>
    <xf numFmtId="0" fontId="12" fillId="0" borderId="0" xfId="0" applyFont="1" applyAlignment="1">
      <alignment horizontal="left"/>
    </xf>
    <xf numFmtId="44" fontId="11" fillId="0" borderId="0" xfId="1" applyFont="1" applyFill="1" applyBorder="1" applyAlignment="1">
      <alignment horizontal="center"/>
    </xf>
    <xf numFmtId="0" fontId="38" fillId="0" borderId="0" xfId="0" applyFont="1"/>
    <xf numFmtId="0" fontId="39" fillId="0" borderId="0" xfId="0" applyFont="1"/>
    <xf numFmtId="0" fontId="41" fillId="0" borderId="0" xfId="0" applyFont="1"/>
    <xf numFmtId="0" fontId="40" fillId="17" borderId="0" xfId="0" applyFont="1" applyFill="1"/>
    <xf numFmtId="0" fontId="40" fillId="18" borderId="0" xfId="0" applyFont="1" applyFill="1"/>
    <xf numFmtId="0" fontId="40" fillId="19" borderId="0" xfId="0" applyFont="1" applyFill="1"/>
    <xf numFmtId="172" fontId="40" fillId="17" borderId="0" xfId="0" applyNumberFormat="1" applyFont="1" applyFill="1"/>
    <xf numFmtId="172" fontId="40" fillId="18" borderId="0" xfId="0" applyNumberFormat="1" applyFont="1" applyFill="1"/>
    <xf numFmtId="172" fontId="40" fillId="19" borderId="0" xfId="0" applyNumberFormat="1" applyFont="1" applyFill="1"/>
    <xf numFmtId="10" fontId="40" fillId="17" borderId="0" xfId="0" applyNumberFormat="1" applyFont="1" applyFill="1"/>
    <xf numFmtId="10" fontId="40" fillId="18" borderId="0" xfId="0" applyNumberFormat="1" applyFont="1" applyFill="1"/>
    <xf numFmtId="10" fontId="40" fillId="19" borderId="0" xfId="0" applyNumberFormat="1" applyFont="1" applyFill="1"/>
    <xf numFmtId="173" fontId="40" fillId="17" borderId="0" xfId="0" applyNumberFormat="1" applyFont="1" applyFill="1"/>
    <xf numFmtId="173" fontId="40" fillId="18" borderId="0" xfId="0" applyNumberFormat="1" applyFont="1" applyFill="1"/>
    <xf numFmtId="173" fontId="40" fillId="19" borderId="0" xfId="0" applyNumberFormat="1" applyFont="1" applyFill="1"/>
    <xf numFmtId="0" fontId="47" fillId="20" borderId="0" xfId="0" applyFont="1" applyFill="1"/>
    <xf numFmtId="172" fontId="0" fillId="0" borderId="0" xfId="0" applyNumberFormat="1"/>
    <xf numFmtId="174" fontId="0" fillId="0" borderId="0" xfId="0" applyNumberFormat="1"/>
    <xf numFmtId="0" fontId="4" fillId="20" borderId="0" xfId="0" applyFont="1" applyFill="1"/>
    <xf numFmtId="172" fontId="4" fillId="20" borderId="0" xfId="0" applyNumberFormat="1" applyFont="1" applyFill="1"/>
    <xf numFmtId="172" fontId="4" fillId="0" borderId="0" xfId="0" applyNumberFormat="1" applyFont="1"/>
    <xf numFmtId="0" fontId="46" fillId="12" borderId="0" xfId="0" applyFont="1" applyFill="1"/>
    <xf numFmtId="0" fontId="48" fillId="0" borderId="0" xfId="0" applyFont="1"/>
    <xf numFmtId="172" fontId="48" fillId="0" borderId="0" xfId="0" applyNumberFormat="1" applyFont="1"/>
    <xf numFmtId="0" fontId="0" fillId="20" borderId="0" xfId="0" applyFill="1"/>
    <xf numFmtId="172" fontId="0" fillId="20" borderId="0" xfId="0" applyNumberFormat="1" applyFill="1"/>
    <xf numFmtId="0" fontId="36" fillId="0" borderId="0" xfId="0" applyFont="1"/>
    <xf numFmtId="0" fontId="37" fillId="0" borderId="0" xfId="0" applyFont="1"/>
    <xf numFmtId="172" fontId="37" fillId="0" borderId="0" xfId="0" applyNumberFormat="1" applyFont="1"/>
    <xf numFmtId="172" fontId="36" fillId="0" borderId="0" xfId="0" applyNumberFormat="1" applyFont="1"/>
    <xf numFmtId="0" fontId="40" fillId="17" borderId="0" xfId="0" applyFont="1" applyFill="1" applyBorder="1"/>
    <xf numFmtId="0" fontId="40" fillId="18" borderId="0" xfId="0" applyFont="1" applyFill="1" applyBorder="1"/>
    <xf numFmtId="172" fontId="40" fillId="17" borderId="0" xfId="0" applyNumberFormat="1" applyFont="1" applyFill="1" applyBorder="1"/>
    <xf numFmtId="172" fontId="40" fillId="18" borderId="0" xfId="0" applyNumberFormat="1" applyFont="1" applyFill="1" applyBorder="1"/>
    <xf numFmtId="10" fontId="40" fillId="17" borderId="0" xfId="0" applyNumberFormat="1" applyFont="1" applyFill="1" applyBorder="1"/>
    <xf numFmtId="10" fontId="40" fillId="18" borderId="0" xfId="0" applyNumberFormat="1" applyFont="1" applyFill="1" applyBorder="1"/>
    <xf numFmtId="173" fontId="40" fillId="17" borderId="0" xfId="0" applyNumberFormat="1" applyFont="1" applyFill="1" applyBorder="1"/>
    <xf numFmtId="173" fontId="40" fillId="18" borderId="0" xfId="0" applyNumberFormat="1" applyFont="1" applyFill="1" applyBorder="1"/>
    <xf numFmtId="10" fontId="40" fillId="17" borderId="8" xfId="0" applyNumberFormat="1" applyFont="1" applyFill="1" applyBorder="1"/>
    <xf numFmtId="10" fontId="40" fillId="18" borderId="8" xfId="0" applyNumberFormat="1" applyFont="1" applyFill="1" applyBorder="1"/>
    <xf numFmtId="0" fontId="4" fillId="16" borderId="9" xfId="0" applyFont="1" applyFill="1" applyBorder="1"/>
    <xf numFmtId="0" fontId="4" fillId="16" borderId="10" xfId="0" applyFont="1" applyFill="1" applyBorder="1"/>
    <xf numFmtId="0" fontId="40" fillId="19" borderId="11" xfId="0" applyFont="1" applyFill="1" applyBorder="1"/>
    <xf numFmtId="172" fontId="40" fillId="19" borderId="11" xfId="0" applyNumberFormat="1" applyFont="1" applyFill="1" applyBorder="1"/>
    <xf numFmtId="10" fontId="40" fillId="19" borderId="11" xfId="0" applyNumberFormat="1" applyFont="1" applyFill="1" applyBorder="1"/>
    <xf numFmtId="173" fontId="40" fillId="19" borderId="11" xfId="0" applyNumberFormat="1" applyFont="1" applyFill="1" applyBorder="1"/>
    <xf numFmtId="10" fontId="40" fillId="19" borderId="12" xfId="0" applyNumberFormat="1" applyFont="1" applyFill="1" applyBorder="1"/>
    <xf numFmtId="0" fontId="0" fillId="0" borderId="0" xfId="0" applyBorder="1"/>
    <xf numFmtId="172" fontId="0" fillId="0" borderId="0" xfId="0" applyNumberFormat="1" applyBorder="1"/>
    <xf numFmtId="174" fontId="0" fillId="0" borderId="0" xfId="0" applyNumberFormat="1" applyBorder="1"/>
    <xf numFmtId="172" fontId="4" fillId="20" borderId="0" xfId="0" applyNumberFormat="1" applyFont="1" applyFill="1" applyBorder="1"/>
    <xf numFmtId="172" fontId="4" fillId="0" borderId="0" xfId="0" applyNumberFormat="1" applyFont="1" applyBorder="1"/>
    <xf numFmtId="10" fontId="0" fillId="0" borderId="0" xfId="0" applyNumberFormat="1" applyBorder="1"/>
    <xf numFmtId="10" fontId="0" fillId="0" borderId="8" xfId="0" applyNumberFormat="1" applyBorder="1"/>
    <xf numFmtId="0" fontId="47" fillId="20" borderId="9" xfId="0" applyFont="1" applyFill="1" applyBorder="1"/>
    <xf numFmtId="0" fontId="4" fillId="0" borderId="9" xfId="0" applyFont="1" applyBorder="1"/>
    <xf numFmtId="0" fontId="0" fillId="0" borderId="9" xfId="0" applyBorder="1"/>
    <xf numFmtId="0" fontId="4" fillId="20" borderId="9" xfId="0" applyFont="1" applyFill="1" applyBorder="1"/>
    <xf numFmtId="0" fontId="0" fillId="0" borderId="10" xfId="0" applyBorder="1"/>
    <xf numFmtId="0" fontId="0" fillId="0" borderId="11" xfId="0" applyBorder="1"/>
    <xf numFmtId="172" fontId="0" fillId="0" borderId="11" xfId="0" applyNumberFormat="1" applyBorder="1"/>
    <xf numFmtId="174" fontId="0" fillId="0" borderId="11" xfId="0" applyNumberFormat="1" applyBorder="1"/>
    <xf numFmtId="172" fontId="4" fillId="20" borderId="11" xfId="0" applyNumberFormat="1" applyFont="1" applyFill="1" applyBorder="1"/>
    <xf numFmtId="172" fontId="4" fillId="0" borderId="11" xfId="0" applyNumberFormat="1" applyFont="1" applyBorder="1"/>
    <xf numFmtId="10" fontId="0" fillId="0" borderId="11" xfId="0" applyNumberFormat="1" applyBorder="1"/>
    <xf numFmtId="10" fontId="0" fillId="0" borderId="12" xfId="0" applyNumberFormat="1" applyBorder="1"/>
    <xf numFmtId="172" fontId="48" fillId="0" borderId="0" xfId="0" applyNumberFormat="1" applyFont="1" applyBorder="1"/>
    <xf numFmtId="172" fontId="0" fillId="20" borderId="0" xfId="0" applyNumberFormat="1" applyFill="1" applyBorder="1"/>
    <xf numFmtId="172" fontId="37" fillId="0" borderId="0" xfId="0" applyNumberFormat="1" applyFont="1" applyBorder="1"/>
    <xf numFmtId="172" fontId="36" fillId="0" borderId="0" xfId="0" applyNumberFormat="1" applyFont="1" applyBorder="1"/>
    <xf numFmtId="172" fontId="48" fillId="0" borderId="8" xfId="0" applyNumberFormat="1" applyFont="1" applyBorder="1"/>
    <xf numFmtId="0" fontId="48" fillId="0" borderId="9" xfId="0" applyFont="1" applyBorder="1"/>
    <xf numFmtId="0" fontId="0" fillId="20" borderId="9" xfId="0" applyFill="1" applyBorder="1"/>
    <xf numFmtId="0" fontId="37" fillId="0" borderId="9" xfId="0" applyFont="1" applyBorder="1"/>
    <xf numFmtId="0" fontId="36" fillId="0" borderId="9" xfId="0" applyFont="1" applyBorder="1"/>
    <xf numFmtId="0" fontId="48" fillId="0" borderId="10" xfId="0" applyFont="1" applyBorder="1"/>
    <xf numFmtId="172" fontId="48" fillId="0" borderId="11" xfId="0" applyNumberFormat="1" applyFont="1" applyBorder="1"/>
    <xf numFmtId="172" fontId="0" fillId="20" borderId="11" xfId="0" applyNumberFormat="1" applyFill="1" applyBorder="1"/>
    <xf numFmtId="172" fontId="37" fillId="0" borderId="11" xfId="0" applyNumberFormat="1" applyFont="1" applyBorder="1"/>
    <xf numFmtId="172" fontId="36" fillId="0" borderId="11" xfId="0" applyNumberFormat="1" applyFont="1" applyBorder="1"/>
    <xf numFmtId="172" fontId="48" fillId="0" borderId="12" xfId="0" applyNumberFormat="1" applyFont="1" applyBorder="1"/>
    <xf numFmtId="0" fontId="42" fillId="12" borderId="13" xfId="0" applyFont="1" applyFill="1" applyBorder="1"/>
    <xf numFmtId="0" fontId="43" fillId="13" borderId="14" xfId="0" applyFont="1" applyFill="1" applyBorder="1" applyAlignment="1">
      <alignment horizontal="center"/>
    </xf>
    <xf numFmtId="0" fontId="43" fillId="14" borderId="14" xfId="0" applyFont="1" applyFill="1" applyBorder="1" applyAlignment="1">
      <alignment horizontal="center"/>
    </xf>
    <xf numFmtId="0" fontId="43" fillId="15" borderId="15" xfId="0" applyFont="1" applyFill="1" applyBorder="1" applyAlignment="1">
      <alignment horizontal="center"/>
    </xf>
    <xf numFmtId="0" fontId="0" fillId="0" borderId="14" xfId="0" applyBorder="1"/>
    <xf numFmtId="0" fontId="0" fillId="0" borderId="15" xfId="0" applyBorder="1"/>
    <xf numFmtId="0" fontId="46" fillId="12" borderId="14" xfId="0" applyFont="1" applyFill="1" applyBorder="1" applyAlignment="1">
      <alignment horizontal="center"/>
    </xf>
    <xf numFmtId="0" fontId="46" fillId="21" borderId="14" xfId="0" applyFont="1" applyFill="1" applyBorder="1" applyAlignment="1">
      <alignment horizontal="center"/>
    </xf>
    <xf numFmtId="0" fontId="46" fillId="22" borderId="15" xfId="0" applyFont="1" applyFill="1" applyBorder="1" applyAlignment="1">
      <alignment horizontal="center"/>
    </xf>
    <xf numFmtId="172" fontId="40" fillId="17" borderId="0" xfId="0" applyNumberFormat="1" applyFont="1" applyFill="1" applyBorder="1" applyAlignment="1">
      <alignment horizontal="right"/>
    </xf>
    <xf numFmtId="172" fontId="40" fillId="18" borderId="0" xfId="0" applyNumberFormat="1" applyFont="1" applyFill="1" applyBorder="1" applyAlignment="1">
      <alignment horizontal="right"/>
    </xf>
    <xf numFmtId="172" fontId="40" fillId="19" borderId="11" xfId="0" applyNumberFormat="1" applyFont="1" applyFill="1" applyBorder="1" applyAlignment="1">
      <alignment horizontal="right"/>
    </xf>
    <xf numFmtId="14" fontId="40" fillId="18" borderId="0" xfId="0" applyNumberFormat="1" applyFont="1" applyFill="1" applyBorder="1"/>
    <xf numFmtId="14" fontId="40" fillId="19" borderId="11" xfId="0" applyNumberFormat="1" applyFont="1" applyFill="1" applyBorder="1"/>
    <xf numFmtId="14" fontId="40" fillId="17" borderId="0" xfId="0" applyNumberFormat="1" applyFont="1" applyFill="1" applyBorder="1"/>
    <xf numFmtId="0" fontId="40" fillId="18" borderId="0" xfId="0" applyFont="1" applyFill="1" applyBorder="1" applyAlignment="1">
      <alignment horizontal="right"/>
    </xf>
    <xf numFmtId="0" fontId="40" fillId="19" borderId="11" xfId="0" applyFont="1" applyFill="1" applyBorder="1" applyAlignment="1">
      <alignment horizontal="right"/>
    </xf>
    <xf numFmtId="0" fontId="49" fillId="0" borderId="0" xfId="0" applyFont="1"/>
    <xf numFmtId="0" fontId="50" fillId="0" borderId="0" xfId="0" applyFont="1"/>
    <xf numFmtId="0" fontId="51" fillId="0" borderId="0" xfId="0" applyFont="1"/>
    <xf numFmtId="0" fontId="52" fillId="0" borderId="0" xfId="0" applyFont="1"/>
    <xf numFmtId="0" fontId="53" fillId="12" borderId="0" xfId="0" applyFont="1" applyFill="1"/>
    <xf numFmtId="0" fontId="54" fillId="13" borderId="0" xfId="0" applyFont="1" applyFill="1" applyAlignment="1">
      <alignment horizontal="center"/>
    </xf>
    <xf numFmtId="0" fontId="54" fillId="14" borderId="0" xfId="0" applyFont="1" applyFill="1" applyAlignment="1">
      <alignment horizontal="center"/>
    </xf>
    <xf numFmtId="0" fontId="54" fillId="15" borderId="0" xfId="0" applyFont="1" applyFill="1" applyAlignment="1">
      <alignment horizontal="center"/>
    </xf>
    <xf numFmtId="0" fontId="55" fillId="16" borderId="0" xfId="0" applyFont="1" applyFill="1"/>
    <xf numFmtId="0" fontId="40" fillId="17" borderId="0" xfId="0" applyFont="1" applyFill="1" applyAlignment="1">
      <alignment horizontal="right"/>
    </xf>
    <xf numFmtId="178" fontId="40" fillId="17" borderId="0" xfId="0" applyNumberFormat="1" applyFont="1" applyFill="1"/>
    <xf numFmtId="0" fontId="40" fillId="18" borderId="0" xfId="0" applyFont="1" applyFill="1" applyAlignment="1">
      <alignment horizontal="right"/>
    </xf>
    <xf numFmtId="178" fontId="40" fillId="18" borderId="0" xfId="0" applyNumberFormat="1" applyFont="1" applyFill="1"/>
    <xf numFmtId="0" fontId="40" fillId="19" borderId="0" xfId="0" applyFont="1" applyFill="1" applyAlignment="1">
      <alignment horizontal="right"/>
    </xf>
    <xf numFmtId="178" fontId="40" fillId="19" borderId="0" xfId="0" applyNumberFormat="1" applyFont="1" applyFill="1"/>
    <xf numFmtId="0" fontId="56" fillId="12" borderId="0" xfId="0" applyFont="1" applyFill="1" applyAlignment="1">
      <alignment horizontal="center"/>
    </xf>
    <xf numFmtId="0" fontId="56" fillId="21" borderId="0" xfId="0" applyFont="1" applyFill="1" applyAlignment="1">
      <alignment horizontal="center"/>
    </xf>
    <xf numFmtId="0" fontId="56" fillId="22" borderId="0" xfId="0" applyFont="1" applyFill="1" applyAlignment="1">
      <alignment horizontal="center"/>
    </xf>
    <xf numFmtId="0" fontId="57" fillId="0" borderId="0" xfId="0" applyFont="1"/>
    <xf numFmtId="173" fontId="4" fillId="17" borderId="0" xfId="0" applyNumberFormat="1" applyFont="1" applyFill="1"/>
    <xf numFmtId="173" fontId="4" fillId="18" borderId="0" xfId="0" applyNumberFormat="1" applyFont="1" applyFill="1"/>
    <xf numFmtId="173" fontId="4" fillId="19" borderId="0" xfId="0" applyNumberFormat="1" applyFont="1" applyFill="1"/>
    <xf numFmtId="173" fontId="46" fillId="12" borderId="0" xfId="0" applyNumberFormat="1" applyFont="1" applyFill="1"/>
    <xf numFmtId="0" fontId="55" fillId="20" borderId="0" xfId="0" applyFont="1" applyFill="1"/>
    <xf numFmtId="173" fontId="40" fillId="17" borderId="0" xfId="0" applyNumberFormat="1" applyFont="1" applyFill="1" applyAlignment="1">
      <alignment wrapText="1"/>
    </xf>
    <xf numFmtId="173" fontId="40" fillId="18" borderId="0" xfId="0" applyNumberFormat="1" applyFont="1" applyFill="1" applyAlignment="1">
      <alignment wrapText="1"/>
    </xf>
    <xf numFmtId="173" fontId="0" fillId="19" borderId="0" xfId="0" applyNumberFormat="1" applyFill="1" applyAlignment="1">
      <alignment wrapText="1"/>
    </xf>
    <xf numFmtId="0" fontId="39" fillId="17" borderId="0" xfId="0" applyFont="1" applyFill="1" applyAlignment="1">
      <alignment wrapText="1"/>
    </xf>
    <xf numFmtId="0" fontId="39" fillId="18" borderId="0" xfId="0" applyFont="1" applyFill="1" applyAlignment="1">
      <alignment wrapText="1"/>
    </xf>
    <xf numFmtId="0" fontId="39" fillId="19" borderId="0" xfId="0" applyFont="1" applyFill="1" applyAlignment="1">
      <alignment wrapText="1"/>
    </xf>
    <xf numFmtId="173" fontId="0" fillId="17" borderId="0" xfId="0" applyNumberFormat="1" applyFill="1" applyAlignment="1">
      <alignment wrapText="1"/>
    </xf>
    <xf numFmtId="173" fontId="0" fillId="18" borderId="0" xfId="0" applyNumberFormat="1" applyFill="1" applyAlignment="1">
      <alignment wrapText="1"/>
    </xf>
  </cellXfs>
  <cellStyles count="8">
    <cellStyle name="20% - Accent4" xfId="5" builtinId="42"/>
    <cellStyle name="Currency" xfId="1" builtinId="4"/>
    <cellStyle name="Heading 1" xfId="3" builtinId="16"/>
    <cellStyle name="Heading 2" xfId="4" builtinId="17"/>
    <cellStyle name="Hyperlink" xfId="6" builtinId="8"/>
    <cellStyle name="Input" xfId="7" builtinId="20"/>
    <cellStyle name="Normal" xfId="0" builtinId="0"/>
    <cellStyle name="Percent" xfId="2" builtinId="5"/>
  </cellStyles>
  <dxfs count="174">
    <dxf>
      <numFmt numFmtId="19" formatCode="d/mm/yyyy"/>
    </dxf>
    <dxf>
      <numFmt numFmtId="19" formatCode="d/mm/yyyy"/>
      <border diagonalUp="0" diagonalDown="0" outline="0">
        <left style="thin">
          <color rgb="FF7F7F7F"/>
        </left>
        <right/>
        <top/>
        <bottom/>
      </border>
    </dxf>
    <dxf>
      <font>
        <b val="0"/>
        <i val="0"/>
        <strike val="0"/>
        <condense val="0"/>
        <extend val="0"/>
        <outline val="0"/>
        <shadow val="0"/>
        <u val="none"/>
        <vertAlign val="baseline"/>
        <sz val="11"/>
        <color rgb="FF3F3F76"/>
        <name val="Calibri"/>
        <family val="2"/>
        <scheme val="minor"/>
      </font>
      <numFmt numFmtId="169" formatCode="_-[$$-409]* #,##0.00_ ;_-[$$-409]* \-#,##0.00\ ;_-[$$-409]* &quot;-&quot;??_ ;_-@_ "/>
      <fill>
        <patternFill patternType="solid">
          <fgColor indexed="64"/>
          <bgColor rgb="FFFFCC99"/>
        </patternFill>
      </fill>
      <border diagonalUp="0" diagonalDown="0" outline="0">
        <left style="thin">
          <color rgb="FF7F7F7F"/>
        </left>
        <right style="thin">
          <color rgb="FF7F7F7F"/>
        </right>
        <top style="thin">
          <color rgb="FF7F7F7F"/>
        </top>
        <bottom/>
      </border>
    </dxf>
    <dxf>
      <border diagonalUp="0" diagonalDown="0" outline="0">
        <left/>
        <right style="thin">
          <color rgb="FF7F7F7F"/>
        </right>
        <top/>
        <bottom/>
      </border>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strike val="0"/>
        <outline val="0"/>
        <shadow val="0"/>
        <u val="none"/>
        <vertAlign val="baseline"/>
        <sz val="11"/>
        <color auto="1"/>
        <name val="Calibri"/>
        <family val="2"/>
        <scheme val="minor"/>
      </font>
      <numFmt numFmtId="168" formatCode="&quot;$&quot;#,##0.0000000"/>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2" formatCode="0.00"/>
      <fill>
        <patternFill patternType="none">
          <fgColor indexed="64"/>
          <bgColor auto="1"/>
        </patternFill>
      </fill>
    </dxf>
    <dxf>
      <font>
        <strike val="0"/>
        <outline val="0"/>
        <shadow val="0"/>
        <u val="none"/>
        <vertAlign val="baseline"/>
        <sz val="11"/>
        <color auto="1"/>
        <name val="Calibri"/>
        <family val="2"/>
        <scheme val="minor"/>
      </font>
      <numFmt numFmtId="30" formatCode="@"/>
      <fill>
        <patternFill patternType="none">
          <fgColor indexed="64"/>
          <bgColor auto="1"/>
        </patternFill>
      </fill>
    </dxf>
    <dxf>
      <font>
        <strike val="0"/>
        <outline val="0"/>
        <shadow val="0"/>
        <u val="none"/>
        <vertAlign val="baseline"/>
        <sz val="11"/>
        <color auto="1"/>
        <name val="Calibri"/>
        <family val="2"/>
        <scheme val="minor"/>
      </font>
      <numFmt numFmtId="19" formatCode="d/mm/yyyy"/>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ill>
        <patternFill patternType="none">
          <fgColor indexed="64"/>
          <bgColor auto="1"/>
        </patternFill>
      </fill>
    </dxf>
    <dxf>
      <font>
        <strike val="0"/>
        <outline val="0"/>
        <shadow val="0"/>
        <u val="none"/>
        <vertAlign val="baseline"/>
        <sz val="11"/>
        <color auto="1"/>
        <name val="Calibri"/>
        <family val="2"/>
        <scheme val="minor"/>
      </font>
      <numFmt numFmtId="168" formatCode="&quot;$&quot;#,##0.0000000"/>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ont>
        <strike val="0"/>
        <outline val="0"/>
        <shadow val="0"/>
        <u val="none"/>
        <vertAlign val="baseline"/>
        <sz val="11"/>
        <color auto="1"/>
        <name val="Calibri"/>
        <family val="2"/>
        <scheme val="minor"/>
      </font>
      <numFmt numFmtId="2" formatCode="0.00"/>
      <fill>
        <patternFill patternType="none">
          <fgColor indexed="64"/>
          <bgColor auto="1"/>
        </patternFill>
      </fill>
    </dxf>
    <dxf>
      <font>
        <strike val="0"/>
        <outline val="0"/>
        <shadow val="0"/>
        <u val="none"/>
        <vertAlign val="baseline"/>
        <sz val="11"/>
        <color auto="1"/>
        <name val="Calibri"/>
        <family val="2"/>
        <scheme val="minor"/>
      </font>
      <numFmt numFmtId="30" formatCode="@"/>
      <fill>
        <patternFill patternType="none">
          <fgColor indexed="64"/>
          <bgColor auto="1"/>
        </patternFill>
      </fill>
    </dxf>
    <dxf>
      <font>
        <strike val="0"/>
        <outline val="0"/>
        <shadow val="0"/>
        <u val="none"/>
        <vertAlign val="baseline"/>
        <sz val="11"/>
        <color auto="1"/>
        <name val="Calibri"/>
        <family val="2"/>
        <scheme val="minor"/>
      </font>
      <numFmt numFmtId="19" formatCode="d/mm/yyyy"/>
      <fill>
        <patternFill patternType="none">
          <fgColor indexed="64"/>
          <bgColor auto="1"/>
        </patternFill>
      </fill>
    </dxf>
    <dxf>
      <font>
        <strike val="0"/>
        <outline val="0"/>
        <shadow val="0"/>
        <u val="none"/>
        <vertAlign val="baseline"/>
        <sz val="11"/>
        <color auto="1"/>
        <name val="Calibri"/>
        <family val="2"/>
        <scheme val="minor"/>
      </font>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mm/yyyy"/>
    </dxf>
    <dxf>
      <numFmt numFmtId="19" formatCode="d/mm/yyyy"/>
      <fill>
        <patternFill patternType="none">
          <fgColor indexed="64"/>
          <bgColor auto="1"/>
        </patternFill>
      </fill>
    </dxf>
    <dxf>
      <numFmt numFmtId="19" formatCode="d/mm/yyyy"/>
    </dxf>
    <dxf>
      <numFmt numFmtId="19" formatCode="d/mm/yyyy"/>
      <fill>
        <patternFill patternType="none">
          <fgColor indexed="64"/>
          <bgColor auto="1"/>
        </patternFill>
      </fill>
    </dxf>
    <dxf>
      <font>
        <b val="0"/>
        <i val="0"/>
        <strike val="0"/>
        <condense val="0"/>
        <extend val="0"/>
        <outline val="0"/>
        <shadow val="0"/>
        <u val="none"/>
        <vertAlign val="baseline"/>
        <sz val="11"/>
        <color rgb="FF3F3F76"/>
        <name val="Calibri"/>
        <family val="2"/>
        <scheme val="minor"/>
      </font>
      <numFmt numFmtId="34" formatCode="_-&quot;$&quot;* #,##0.00_-;\-&quot;$&quot;* #,##0.00_-;_-&quot;$&quot;* &quot;-&quot;??_-;_-@_-"/>
      <fill>
        <patternFill patternType="solid">
          <fgColor indexed="64"/>
          <bgColor rgb="FFFFCC99"/>
        </patternFill>
      </fill>
      <border diagonalUp="0" diagonalDown="0" outline="0">
        <left style="thin">
          <color rgb="FF7F7F7F"/>
        </left>
        <right style="thin">
          <color rgb="FF7F7F7F"/>
        </right>
        <top style="thin">
          <color rgb="FF7F7F7F"/>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mm/yyyy"/>
    </dxf>
    <dxf>
      <numFmt numFmtId="19" formatCode="d/mm/yyyy"/>
      <fill>
        <patternFill patternType="none">
          <fgColor indexed="64"/>
          <bgColor auto="1"/>
        </patternFill>
      </fill>
    </dxf>
    <dxf>
      <numFmt numFmtId="19" formatCode="d/mm/yyyy"/>
    </dxf>
    <dxf>
      <numFmt numFmtId="19" formatCode="d/mm/yyyy"/>
      <fill>
        <patternFill patternType="none">
          <fgColor indexed="64"/>
          <bgColor auto="1"/>
        </patternFill>
      </fill>
    </dxf>
    <dxf>
      <font>
        <b val="0"/>
        <i val="0"/>
        <strike val="0"/>
        <condense val="0"/>
        <extend val="0"/>
        <outline val="0"/>
        <shadow val="0"/>
        <u val="none"/>
        <vertAlign val="baseline"/>
        <sz val="11"/>
        <color rgb="FF3F3F76"/>
        <name val="Calibri"/>
        <family val="2"/>
        <scheme val="minor"/>
      </font>
      <numFmt numFmtId="34" formatCode="_-&quot;$&quot;* #,##0.00_-;\-&quot;$&quot;* #,##0.00_-;_-&quot;$&quot;* &quot;-&quot;??_-;_-@_-"/>
      <fill>
        <patternFill patternType="solid">
          <fgColor indexed="64"/>
          <bgColor rgb="FFFFCC99"/>
        </patternFill>
      </fill>
      <border diagonalUp="0" diagonalDown="0" outline="0">
        <left style="thin">
          <color rgb="FF7F7F7F"/>
        </left>
        <right style="thin">
          <color rgb="FF7F7F7F"/>
        </right>
        <top style="thin">
          <color rgb="FF7F7F7F"/>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19" formatCode="d/mm/yyyy"/>
      <fill>
        <patternFill patternType="none">
          <fgColor indexed="64"/>
          <bgColor auto="1"/>
        </patternFill>
      </fill>
    </dxf>
    <dxf>
      <numFmt numFmtId="19" formatCode="d/mm/yyyy"/>
      <fill>
        <patternFill patternType="none">
          <fgColor indexed="64"/>
          <bgColor auto="1"/>
        </patternFill>
      </fill>
      <border outline="0">
        <left style="thin">
          <color rgb="FF7F7F7F"/>
        </left>
      </border>
    </dxf>
    <dxf>
      <numFmt numFmtId="169" formatCode="_-[$$-409]* #,##0.00_ ;_-[$$-409]* \-#,##0.00\ ;_-[$$-409]* &quot;-&quot;??_ ;_-@_ "/>
    </dxf>
    <dxf>
      <fill>
        <patternFill patternType="none">
          <fgColor indexed="64"/>
          <bgColor auto="1"/>
        </patternFill>
      </fill>
      <border outline="0">
        <right style="thin">
          <color rgb="FF7F7F7F"/>
        </right>
      </border>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2"/>
        </patternFill>
      </fill>
      <alignment horizontal="left" vertical="bottom" textRotation="0" wrapText="0" indent="0" justifyLastLine="0" shrinkToFit="0" readingOrder="0"/>
      <border diagonalUp="0" diagonalDown="0" outline="0">
        <left/>
        <right/>
        <top/>
        <bottom/>
      </border>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solid">
          <fgColor indexed="64"/>
          <bgColor theme="2"/>
        </patternFill>
      </fill>
      <alignment horizontal="left" vertical="bottom" textRotation="0" wrapText="0" indent="0" justifyLastLine="0" shrinkToFit="0" readingOrder="0"/>
      <border diagonalUp="0" diagonalDown="0" outline="0">
        <left/>
        <right/>
        <top/>
        <bottom/>
      </border>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2"/>
        </patternFill>
      </fill>
      <alignment horizontal="left" vertical="bottom" textRotation="0" wrapText="0" indent="0" justifyLastLine="0" shrinkToFit="0" readingOrder="0"/>
      <border diagonalUp="0" diagonalDown="0" outline="0">
        <left/>
        <right/>
        <top/>
        <bottom/>
      </border>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solid">
          <fgColor indexed="64"/>
          <bgColor theme="2"/>
        </patternFill>
      </fill>
      <alignment horizontal="left" vertical="bottom" textRotation="0" wrapText="0" indent="0" justifyLastLine="0" shrinkToFit="0" readingOrder="0"/>
      <border diagonalUp="0" diagonalDown="0" outline="0">
        <left/>
        <right/>
        <top/>
        <bottom/>
      </border>
    </dxf>
    <dxf>
      <fill>
        <patternFill patternType="none">
          <fgColor indexed="64"/>
          <bgColor auto="1"/>
        </patternFill>
      </fill>
    </dxf>
    <dxf>
      <fill>
        <patternFill patternType="none">
          <fgColor indexed="64"/>
          <bgColor auto="1"/>
        </patternFill>
      </fill>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dxf>
    <dxf>
      <font>
        <b/>
        <i val="0"/>
        <strike val="0"/>
        <condense val="0"/>
        <extend val="0"/>
        <outline val="0"/>
        <shadow val="0"/>
        <u val="none"/>
        <vertAlign val="baseline"/>
        <sz val="12"/>
        <color theme="1"/>
        <name val="Calibri"/>
        <family val="2"/>
        <scheme val="minor"/>
      </font>
      <fill>
        <patternFill patternType="solid">
          <fgColor indexed="64"/>
          <bgColor theme="2"/>
        </patternFill>
      </fill>
      <alignment horizontal="left" vertical="bottom" textRotation="0" wrapText="0" indent="0" justifyLastLine="0" shrinkToFit="0" readingOrder="0"/>
      <border diagonalUp="0" diagonalDown="0" outline="0">
        <left/>
        <right/>
        <top/>
        <bottom/>
      </border>
    </dxf>
    <dxf>
      <fill>
        <patternFill patternType="none">
          <fgColor indexed="64"/>
          <bgColor auto="1"/>
        </patternFill>
      </fill>
    </dxf>
    <dxf>
      <font>
        <b/>
        <i val="0"/>
        <strike val="0"/>
        <condense val="0"/>
        <extend val="0"/>
        <outline val="0"/>
        <shadow val="0"/>
        <u val="none"/>
        <vertAlign val="baseline"/>
        <sz val="12"/>
        <color theme="1"/>
        <name val="Calibri"/>
        <family val="2"/>
        <scheme val="minor"/>
      </font>
      <fill>
        <patternFill patternType="solid">
          <fgColor indexed="64"/>
          <bgColor theme="2"/>
        </patternFill>
      </fill>
      <alignment horizontal="left" vertical="bottom" textRotation="0" wrapText="0" indent="0" justifyLastLine="0" shrinkToFit="0" readingOrder="0"/>
      <border diagonalUp="0" diagonalDown="0" outline="0">
        <left/>
        <right/>
        <top/>
        <bottom/>
      </border>
    </dxf>
    <dxf>
      <fill>
        <patternFill patternType="none">
          <fgColor indexed="64"/>
          <bgColor auto="1"/>
        </patternFill>
      </fill>
    </dxf>
    <dxf>
      <fill>
        <patternFill patternType="none">
          <fgColor indexed="64"/>
          <bgColor auto="1"/>
        </patternFill>
      </fill>
    </dxf>
    <dxf>
      <fill>
        <patternFill>
          <fgColor indexed="64"/>
          <bgColor theme="7" tint="0.79998168889431442"/>
        </patternFill>
      </fill>
    </dxf>
    <dxf>
      <fill>
        <patternFill>
          <fgColor indexed="64"/>
          <bgColor theme="7" tint="0.79998168889431442"/>
        </patternFill>
      </fill>
    </dxf>
    <dxf>
      <fill>
        <patternFill>
          <fgColor indexed="64"/>
          <bgColor theme="7"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alignment horizontal="general" vertical="bottom" textRotation="0" wrapText="0" indent="0" justifyLastLine="0" shrinkToFit="0" readingOrder="0"/>
    </dxf>
    <dxf>
      <fill>
        <patternFill>
          <fgColor indexed="64"/>
          <bgColor theme="7"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7" tint="0.79998168889431442"/>
        </patternFill>
      </fill>
    </dxf>
    <dxf>
      <fill>
        <patternFill>
          <fgColor indexed="64"/>
          <bgColor theme="7" tint="0.79998168889431442"/>
        </patternFill>
      </fill>
    </dxf>
    <dxf>
      <fill>
        <patternFill>
          <fgColor indexed="64"/>
          <bgColor theme="7" tint="0.79998168889431442"/>
        </patternFill>
      </fill>
    </dxf>
    <dxf>
      <fill>
        <patternFill>
          <fgColor indexed="64"/>
          <bgColor theme="7" tint="0.79998168889431442"/>
        </patternFill>
      </fill>
    </dxf>
    <dxf>
      <font>
        <b val="0"/>
        <i val="0"/>
        <strike val="0"/>
        <condense val="0"/>
        <extend val="0"/>
        <outline val="0"/>
        <shadow val="0"/>
        <u val="none"/>
        <vertAlign val="baseline"/>
        <sz val="11"/>
        <color theme="1"/>
        <name val="Calibri"/>
        <family val="2"/>
        <scheme val="minor"/>
      </font>
    </dxf>
    <dxf>
      <font>
        <b val="0"/>
      </font>
      <fill>
        <patternFill>
          <fgColor indexed="64"/>
          <bgColor theme="7" tint="0.79998168889431442"/>
        </patternFill>
      </fill>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ill>
        <patternFill>
          <fgColor indexed="64"/>
          <bgColor theme="7" tint="0.79998168889431442"/>
        </patternFill>
      </fill>
    </dxf>
    <dxf>
      <fill>
        <patternFill>
          <fgColor indexed="64"/>
          <bgColor theme="7" tint="0.79998168889431442"/>
        </patternFill>
      </fill>
    </dxf>
    <dxf>
      <fill>
        <patternFill patternType="solid">
          <fgColor indexed="64"/>
          <bgColor theme="7" tint="0.79998168889431442"/>
        </patternFill>
      </fill>
    </dxf>
    <dxf>
      <font>
        <b/>
      </font>
      <fill>
        <patternFill>
          <fgColor indexed="64"/>
          <bgColor theme="7" tint="0.79998168889431442"/>
        </patternFill>
      </fill>
    </dxf>
    <dxf>
      <font>
        <b val="0"/>
        <i val="0"/>
        <strike val="0"/>
        <condense val="0"/>
        <extend val="0"/>
        <outline val="0"/>
        <shadow val="0"/>
        <u val="none"/>
        <vertAlign val="baseline"/>
        <sz val="11"/>
        <color theme="4" tint="-0.499984740745262"/>
        <name val="Calibri"/>
        <family val="2"/>
        <scheme val="minor"/>
      </font>
      <numFmt numFmtId="34" formatCode="_-&quot;$&quot;* #,##0.00_-;\-&quot;$&quot;* #,##0.00_-;_-&quot;$&quot;* &quot;-&quot;??_-;_-@_-"/>
      <fill>
        <patternFill patternType="solid">
          <fgColor indexed="64"/>
          <bgColor theme="7" tint="0.79998168889431442"/>
        </patternFill>
      </fill>
    </dxf>
    <dxf>
      <font>
        <b/>
        <strike val="0"/>
        <outline val="0"/>
        <shadow val="0"/>
        <u val="none"/>
        <vertAlign val="baseline"/>
        <sz val="11"/>
        <color rgb="FF0000FF"/>
        <name val="Calibri"/>
        <family val="2"/>
        <scheme val="minor"/>
      </font>
      <fill>
        <patternFill>
          <fgColor indexed="64"/>
          <bgColor theme="7" tint="0.79998168889431442"/>
        </patternFill>
      </fill>
    </dxf>
    <dxf>
      <font>
        <b val="0"/>
        <i val="0"/>
        <strike val="0"/>
        <condense val="0"/>
        <extend val="0"/>
        <outline val="0"/>
        <shadow val="0"/>
        <u val="none"/>
        <vertAlign val="baseline"/>
        <sz val="11"/>
        <color theme="4" tint="-0.499984740745262"/>
        <name val="Calibri"/>
        <family val="2"/>
        <scheme val="minor"/>
      </font>
      <fill>
        <patternFill patternType="solid">
          <fgColor indexed="64"/>
          <bgColor theme="7" tint="0.79998168889431442"/>
        </patternFill>
      </fill>
    </dxf>
    <dxf>
      <font>
        <b/>
        <i val="0"/>
        <strike val="0"/>
        <condense val="0"/>
        <extend val="0"/>
        <outline val="0"/>
        <shadow val="0"/>
        <u val="none"/>
        <vertAlign val="baseline"/>
        <sz val="11"/>
        <color rgb="FF0000FF"/>
        <name val="Calibri"/>
        <family val="2"/>
        <scheme val="minor"/>
      </font>
      <numFmt numFmtId="14" formatCode="0.00%"/>
      <fill>
        <patternFill>
          <fgColor indexed="64"/>
          <bgColor theme="7" tint="0.79998168889431442"/>
        </patternFill>
      </fill>
    </dxf>
    <dxf>
      <font>
        <b val="0"/>
        <i val="0"/>
        <strike val="0"/>
        <condense val="0"/>
        <extend val="0"/>
        <outline val="0"/>
        <shadow val="0"/>
        <u val="none"/>
        <vertAlign val="baseline"/>
        <sz val="11"/>
        <color theme="4" tint="-0.499984740745262"/>
        <name val="Calibri"/>
        <family val="2"/>
        <scheme val="minor"/>
      </font>
      <numFmt numFmtId="166" formatCode="_-[$$-C09]* #,##0.00_-;\-[$$-C09]* #,##0.00_-;_-[$$-C09]* &quot;-&quot;??_-;_-@_-"/>
      <fill>
        <patternFill patternType="solid">
          <fgColor indexed="64"/>
          <bgColor theme="7" tint="0.79998168889431442"/>
        </patternFill>
      </fill>
    </dxf>
    <dxf>
      <font>
        <b/>
        <i val="0"/>
        <strike val="0"/>
        <condense val="0"/>
        <extend val="0"/>
        <outline val="0"/>
        <shadow val="0"/>
        <u val="none"/>
        <vertAlign val="baseline"/>
        <sz val="11"/>
        <color rgb="FF0000FF"/>
        <name val="Calibri"/>
        <family val="2"/>
        <scheme val="minor"/>
      </font>
      <numFmt numFmtId="166" formatCode="_-[$$-C09]* #,##0.00_-;\-[$$-C09]* #,##0.00_-;_-[$$-C09]* &quot;-&quot;??_-;_-@_-"/>
      <fill>
        <patternFill>
          <fgColor indexed="64"/>
          <bgColor theme="7" tint="0.79998168889431442"/>
        </patternFill>
      </fill>
    </dxf>
    <dxf>
      <fill>
        <patternFill patternType="solid">
          <fgColor indexed="64"/>
          <bgColor theme="7" tint="0.79998168889431442"/>
        </patternFill>
      </fill>
    </dxf>
    <dxf>
      <fill>
        <patternFill>
          <fgColor indexed="64"/>
          <bgColor theme="7" tint="0.79998168889431442"/>
        </patternFill>
      </fill>
    </dxf>
    <dxf>
      <fill>
        <patternFill>
          <fgColor indexed="64"/>
          <bgColor theme="7" tint="0.79998168889431442"/>
        </patternFill>
      </fill>
    </dxf>
    <dxf>
      <fill>
        <patternFill>
          <fgColor indexed="64"/>
          <bgColor theme="7" tint="0.79998168889431442"/>
        </patternFill>
      </fill>
    </dxf>
    <dxf>
      <font>
        <b val="0"/>
        <i val="0"/>
        <strike val="0"/>
        <condense val="0"/>
        <extend val="0"/>
        <outline val="0"/>
        <shadow val="0"/>
        <u val="none"/>
        <vertAlign val="baseline"/>
        <sz val="10"/>
        <color theme="1"/>
        <name val="Calibri"/>
        <family val="2"/>
        <scheme val="minor"/>
      </font>
      <fill>
        <patternFill patternType="solid">
          <fgColor indexed="64"/>
          <bgColor theme="7"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b val="0"/>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alignment horizontal="general" vertical="bottom" textRotation="0" wrapText="0" indent="0" justifyLastLine="0" shrinkToFit="0" readingOrder="0"/>
    </dxf>
    <dxf>
      <fill>
        <patternFill patternType="solid">
          <fgColor indexed="64"/>
          <bgColor theme="9" tint="0.79998168889431442"/>
        </patternFill>
      </fill>
    </dxf>
    <dxf>
      <font>
        <b/>
        <i val="0"/>
        <strike val="0"/>
        <condense val="0"/>
        <extend val="0"/>
        <outline val="0"/>
        <shadow val="0"/>
        <u val="none"/>
        <vertAlign val="baseline"/>
        <sz val="11"/>
        <color theme="1"/>
        <name val="Calibri"/>
        <family val="2"/>
        <scheme val="minor"/>
      </font>
      <fill>
        <patternFill patternType="solid">
          <fgColor indexed="64"/>
          <bgColor theme="9" tint="0.79998168889431442"/>
        </patternFill>
      </fill>
    </dxf>
    <dxf>
      <fill>
        <patternFill patternType="solid">
          <fgColor indexed="64"/>
          <bgColor theme="9" tint="0.79998168889431442"/>
        </patternFill>
      </fill>
    </dxf>
    <dxf>
      <fill>
        <patternFill>
          <fgColor indexed="64"/>
          <bgColor theme="6" tint="0.79998168889431442"/>
        </patternFill>
      </fill>
    </dxf>
    <dxf>
      <fill>
        <patternFill patternType="solid">
          <fgColor indexed="64"/>
          <bgColor theme="9" tint="0.79998168889431442"/>
        </patternFill>
      </fill>
    </dxf>
    <dxf>
      <font>
        <b val="0"/>
        <i val="0"/>
        <strike val="0"/>
        <condense val="0"/>
        <extend val="0"/>
        <outline val="0"/>
        <shadow val="0"/>
        <u val="none"/>
        <vertAlign val="baseline"/>
        <sz val="11"/>
        <color theme="1"/>
        <name val="Calibri"/>
        <family val="2"/>
        <scheme val="minor"/>
      </font>
    </dxf>
    <dxf>
      <font>
        <b val="0"/>
      </font>
      <fill>
        <patternFill patternType="solid">
          <fgColor indexed="64"/>
          <bgColor theme="9" tint="0.79998168889431442"/>
        </patternFill>
      </fill>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b/>
      </font>
      <fill>
        <patternFill patternType="solid">
          <fgColor indexed="64"/>
          <bgColor theme="9" tint="0.79998168889431442"/>
        </patternFill>
      </fill>
    </dxf>
    <dxf>
      <font>
        <b val="0"/>
        <i val="0"/>
        <strike val="0"/>
        <condense val="0"/>
        <extend val="0"/>
        <outline val="0"/>
        <shadow val="0"/>
        <u val="none"/>
        <vertAlign val="baseline"/>
        <sz val="11"/>
        <color theme="4" tint="-0.499984740745262"/>
        <name val="Calibri"/>
        <family val="2"/>
        <scheme val="minor"/>
      </font>
      <numFmt numFmtId="34" formatCode="_-&quot;$&quot;* #,##0.00_-;\-&quot;$&quot;* #,##0.00_-;_-&quot;$&quot;* &quot;-&quot;??_-;_-@_-"/>
      <fill>
        <patternFill patternType="solid">
          <fgColor indexed="64"/>
          <bgColor theme="9" tint="0.79998168889431442"/>
        </patternFill>
      </fill>
    </dxf>
    <dxf>
      <font>
        <b/>
        <strike val="0"/>
        <outline val="0"/>
        <shadow val="0"/>
        <u val="none"/>
        <vertAlign val="baseline"/>
        <sz val="11"/>
        <color rgb="FF0000FF"/>
        <name val="Calibri"/>
        <family val="2"/>
        <scheme val="minor"/>
      </font>
      <fill>
        <patternFill patternType="solid">
          <fgColor indexed="64"/>
          <bgColor theme="9" tint="0.79998168889431442"/>
        </patternFill>
      </fill>
    </dxf>
    <dxf>
      <font>
        <b val="0"/>
        <i val="0"/>
        <strike val="0"/>
        <condense val="0"/>
        <extend val="0"/>
        <outline val="0"/>
        <shadow val="0"/>
        <u val="none"/>
        <vertAlign val="baseline"/>
        <sz val="11"/>
        <color theme="4" tint="-0.499984740745262"/>
        <name val="Calibri"/>
        <family val="2"/>
        <scheme val="minor"/>
      </font>
      <fill>
        <patternFill patternType="solid">
          <fgColor indexed="64"/>
          <bgColor theme="9" tint="0.79998168889431442"/>
        </patternFill>
      </fill>
    </dxf>
    <dxf>
      <font>
        <b/>
        <i val="0"/>
        <strike val="0"/>
        <condense val="0"/>
        <extend val="0"/>
        <outline val="0"/>
        <shadow val="0"/>
        <u val="none"/>
        <vertAlign val="baseline"/>
        <sz val="11"/>
        <color rgb="FF0000FF"/>
        <name val="Calibri"/>
        <family val="2"/>
        <scheme val="minor"/>
      </font>
      <numFmt numFmtId="14" formatCode="0.00%"/>
      <fill>
        <patternFill patternType="solid">
          <fgColor indexed="64"/>
          <bgColor theme="9" tint="0.79998168889431442"/>
        </patternFill>
      </fill>
    </dxf>
    <dxf>
      <font>
        <b val="0"/>
        <i val="0"/>
        <strike val="0"/>
        <condense val="0"/>
        <extend val="0"/>
        <outline val="0"/>
        <shadow val="0"/>
        <u val="none"/>
        <vertAlign val="baseline"/>
        <sz val="11"/>
        <color theme="4" tint="-0.499984740745262"/>
        <name val="Calibri"/>
        <family val="2"/>
        <scheme val="minor"/>
      </font>
      <numFmt numFmtId="166" formatCode="_-[$$-C09]* #,##0.00_-;\-[$$-C09]* #,##0.00_-;_-[$$-C09]* &quot;-&quot;??_-;_-@_-"/>
      <fill>
        <patternFill patternType="solid">
          <fgColor indexed="64"/>
          <bgColor theme="9" tint="0.79998168889431442"/>
        </patternFill>
      </fill>
    </dxf>
    <dxf>
      <font>
        <b/>
        <i val="0"/>
        <strike val="0"/>
        <condense val="0"/>
        <extend val="0"/>
        <outline val="0"/>
        <shadow val="0"/>
        <u val="none"/>
        <vertAlign val="baseline"/>
        <sz val="11"/>
        <color rgb="FF0000FF"/>
        <name val="Calibri"/>
        <family val="2"/>
        <scheme val="minor"/>
      </font>
      <numFmt numFmtId="166" formatCode="_-[$$-C09]* #,##0.00_-;\-[$$-C09]* #,##0.00_-;_-[$$-C09]* &quot;-&quot;??_-;_-@_-"/>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ill>
        <patternFill patternType="solid">
          <fgColor indexed="64"/>
          <bgColor theme="9" tint="0.79998168889431442"/>
        </patternFill>
      </fill>
    </dxf>
    <dxf>
      <font>
        <b val="0"/>
        <i val="0"/>
        <strike val="0"/>
        <condense val="0"/>
        <extend val="0"/>
        <outline val="0"/>
        <shadow val="0"/>
        <u val="none"/>
        <vertAlign val="baseline"/>
        <sz val="10"/>
        <color theme="1"/>
        <name val="Calibri"/>
        <family val="2"/>
        <scheme val="minor"/>
      </font>
      <fill>
        <patternFill patternType="solid">
          <fgColor indexed="64"/>
          <bgColor theme="9" tint="0.79998168889431442"/>
        </patternFill>
      </fill>
    </dxf>
    <dxf>
      <fill>
        <patternFill>
          <fgColor indexed="64"/>
          <bgColor theme="4" tint="0.59999389629810485"/>
        </patternFill>
      </fill>
    </dxf>
    <dxf>
      <fill>
        <patternFill>
          <fgColor indexed="64"/>
          <bgColor theme="4" tint="0.59999389629810485"/>
        </patternFill>
      </fill>
    </dxf>
    <dxf>
      <fill>
        <patternFill>
          <fgColor indexed="64"/>
          <bgColor theme="4" tint="0.59999389629810485"/>
        </patternFill>
      </fill>
    </dxf>
    <dxf>
      <font>
        <b val="0"/>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alignment horizontal="general" vertical="bottom" textRotation="0" wrapText="0" indent="0" justifyLastLine="0" shrinkToFit="0" readingOrder="0"/>
    </dxf>
    <dxf>
      <fill>
        <patternFill>
          <fgColor indexed="64"/>
          <bgColor theme="4" tint="0.59999389629810485"/>
        </patternFill>
      </fill>
    </dxf>
    <dxf>
      <font>
        <b/>
        <i val="0"/>
        <strike val="0"/>
        <condense val="0"/>
        <extend val="0"/>
        <outline val="0"/>
        <shadow val="0"/>
        <u val="none"/>
        <vertAlign val="baseline"/>
        <sz val="11"/>
        <color theme="1"/>
        <name val="Calibri"/>
        <family val="2"/>
        <scheme val="minor"/>
      </font>
      <fill>
        <patternFill patternType="solid">
          <fgColor indexed="64"/>
          <bgColor theme="4" tint="0.59999389629810485"/>
        </patternFill>
      </fill>
    </dxf>
    <dxf>
      <fill>
        <patternFill>
          <fgColor indexed="64"/>
          <bgColor theme="4" tint="0.59999389629810485"/>
        </patternFill>
      </fill>
    </dxf>
    <dxf>
      <fill>
        <patternFill>
          <fgColor indexed="64"/>
          <bgColor theme="4" tint="0.59999389629810485"/>
        </patternFill>
      </fill>
    </dxf>
    <dxf>
      <fill>
        <patternFill>
          <fgColor indexed="64"/>
          <bgColor theme="4" tint="0.59999389629810485"/>
        </patternFill>
      </fill>
    </dxf>
    <dxf>
      <font>
        <b val="0"/>
        <i val="0"/>
        <strike val="0"/>
        <condense val="0"/>
        <extend val="0"/>
        <outline val="0"/>
        <shadow val="0"/>
        <u val="none"/>
        <vertAlign val="baseline"/>
        <sz val="11"/>
        <color theme="1"/>
        <name val="Calibri"/>
        <family val="2"/>
        <scheme val="minor"/>
      </font>
    </dxf>
    <dxf>
      <font>
        <b val="0"/>
      </font>
      <fill>
        <patternFill>
          <fgColor indexed="64"/>
          <bgColor theme="4" tint="0.59999389629810485"/>
        </patternFill>
      </fill>
    </dxf>
    <dxf>
      <font>
        <b/>
        <i val="0"/>
        <strike val="0"/>
        <condense val="0"/>
        <extend val="0"/>
        <outline val="0"/>
        <shadow val="0"/>
        <u val="none"/>
        <vertAlign val="baseline"/>
        <sz val="11"/>
        <color theme="1"/>
        <name val="Calibri"/>
        <family val="2"/>
        <scheme val="minor"/>
      </font>
      <alignment horizontal="general" vertical="bottom" textRotation="0" wrapText="1" indent="0" justifyLastLine="0" shrinkToFit="0" readingOrder="0"/>
    </dxf>
    <dxf>
      <fill>
        <patternFill>
          <fgColor indexed="64"/>
          <bgColor theme="4" tint="0.59999389629810485"/>
        </patternFill>
      </fill>
    </dxf>
    <dxf>
      <fill>
        <patternFill>
          <fgColor indexed="64"/>
          <bgColor theme="4" tint="0.59999389629810485"/>
        </patternFill>
      </fill>
    </dxf>
    <dxf>
      <fill>
        <patternFill patternType="solid">
          <fgColor indexed="64"/>
          <bgColor theme="4" tint="0.59999389629810485"/>
        </patternFill>
      </fill>
    </dxf>
    <dxf>
      <font>
        <b/>
      </font>
      <fill>
        <patternFill>
          <fgColor indexed="64"/>
          <bgColor theme="4" tint="0.59999389629810485"/>
        </patternFill>
      </fill>
    </dxf>
    <dxf>
      <font>
        <b val="0"/>
        <i val="0"/>
        <strike val="0"/>
        <condense val="0"/>
        <extend val="0"/>
        <outline val="0"/>
        <shadow val="0"/>
        <u val="none"/>
        <vertAlign val="baseline"/>
        <sz val="11"/>
        <color theme="4" tint="-0.499984740745262"/>
        <name val="Calibri"/>
        <family val="2"/>
        <scheme val="minor"/>
      </font>
      <numFmt numFmtId="34" formatCode="_-&quot;$&quot;* #,##0.00_-;\-&quot;$&quot;* #,##0.00_-;_-&quot;$&quot;* &quot;-&quot;??_-;_-@_-"/>
      <fill>
        <patternFill patternType="solid">
          <fgColor indexed="64"/>
          <bgColor theme="4" tint="0.59999389629810485"/>
        </patternFill>
      </fill>
    </dxf>
    <dxf>
      <font>
        <b/>
        <strike val="0"/>
        <outline val="0"/>
        <shadow val="0"/>
        <u val="none"/>
        <vertAlign val="baseline"/>
        <sz val="11"/>
        <color rgb="FF0000FF"/>
        <name val="Calibri"/>
        <family val="2"/>
        <scheme val="minor"/>
      </font>
      <fill>
        <patternFill>
          <fgColor indexed="64"/>
          <bgColor theme="4" tint="0.59999389629810485"/>
        </patternFill>
      </fill>
    </dxf>
    <dxf>
      <font>
        <b val="0"/>
        <i val="0"/>
        <strike val="0"/>
        <condense val="0"/>
        <extend val="0"/>
        <outline val="0"/>
        <shadow val="0"/>
        <u val="none"/>
        <vertAlign val="baseline"/>
        <sz val="11"/>
        <color theme="4" tint="-0.499984740745262"/>
        <name val="Calibri"/>
        <family val="2"/>
        <scheme val="minor"/>
      </font>
      <fill>
        <patternFill patternType="solid">
          <fgColor indexed="64"/>
          <bgColor theme="4" tint="0.59999389629810485"/>
        </patternFill>
      </fill>
    </dxf>
    <dxf>
      <font>
        <b/>
        <i val="0"/>
        <strike val="0"/>
        <condense val="0"/>
        <extend val="0"/>
        <outline val="0"/>
        <shadow val="0"/>
        <u val="none"/>
        <vertAlign val="baseline"/>
        <sz val="11"/>
        <color rgb="FF0000FF"/>
        <name val="Calibri"/>
        <family val="2"/>
        <scheme val="minor"/>
      </font>
      <numFmt numFmtId="14" formatCode="0.00%"/>
      <fill>
        <patternFill patternType="solid">
          <fgColor indexed="64"/>
          <bgColor theme="4" tint="0.59999389629810485"/>
        </patternFill>
      </fill>
    </dxf>
    <dxf>
      <font>
        <b val="0"/>
        <i val="0"/>
        <strike val="0"/>
        <condense val="0"/>
        <extend val="0"/>
        <outline val="0"/>
        <shadow val="0"/>
        <u val="none"/>
        <vertAlign val="baseline"/>
        <sz val="11"/>
        <color theme="4" tint="-0.499984740745262"/>
        <name val="Calibri"/>
        <family val="2"/>
        <scheme val="minor"/>
      </font>
      <numFmt numFmtId="166" formatCode="_-[$$-C09]* #,##0.00_-;\-[$$-C09]* #,##0.00_-;_-[$$-C09]* &quot;-&quot;??_-;_-@_-"/>
      <fill>
        <patternFill patternType="solid">
          <fgColor indexed="64"/>
          <bgColor theme="4" tint="0.59999389629810485"/>
        </patternFill>
      </fill>
    </dxf>
    <dxf>
      <font>
        <b/>
        <i val="0"/>
        <strike val="0"/>
        <condense val="0"/>
        <extend val="0"/>
        <outline val="0"/>
        <shadow val="0"/>
        <u val="none"/>
        <vertAlign val="baseline"/>
        <sz val="11"/>
        <color rgb="FF0000FF"/>
        <name val="Calibri"/>
        <family val="2"/>
        <scheme val="minor"/>
      </font>
      <numFmt numFmtId="166" formatCode="_-[$$-C09]* #,##0.00_-;\-[$$-C09]* #,##0.00_-;_-[$$-C09]* &quot;-&quot;??_-;_-@_-"/>
      <fill>
        <patternFill patternType="solid">
          <fgColor indexed="64"/>
          <bgColor theme="4" tint="0.59999389629810485"/>
        </patternFill>
      </fill>
    </dxf>
    <dxf>
      <fill>
        <patternFill patternType="solid">
          <fgColor indexed="64"/>
          <bgColor theme="4" tint="0.59999389629810485"/>
        </patternFill>
      </fill>
    </dxf>
    <dxf>
      <fill>
        <patternFill>
          <fgColor indexed="64"/>
          <bgColor theme="4" tint="0.59999389629810485"/>
        </patternFill>
      </fill>
    </dxf>
    <dxf>
      <fill>
        <patternFill>
          <fgColor indexed="64"/>
          <bgColor theme="4" tint="0.59999389629810485"/>
        </patternFill>
      </fill>
    </dxf>
    <dxf>
      <fill>
        <patternFill>
          <fgColor indexed="64"/>
          <bgColor theme="4" tint="0.59999389629810485"/>
        </patternFill>
      </fill>
    </dxf>
    <dxf>
      <font>
        <b val="0"/>
        <i val="0"/>
        <strike val="0"/>
        <condense val="0"/>
        <extend val="0"/>
        <outline val="0"/>
        <shadow val="0"/>
        <u val="none"/>
        <vertAlign val="baseline"/>
        <sz val="10"/>
        <color theme="1"/>
        <name val="Calibri"/>
        <family val="2"/>
        <scheme val="minor"/>
      </font>
      <fill>
        <patternFill patternType="solid">
          <fgColor indexed="64"/>
          <bgColor theme="4" tint="0.59999389629810485"/>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8</xdr:col>
      <xdr:colOff>0</xdr:colOff>
      <xdr:row>6</xdr:row>
      <xdr:rowOff>104775</xdr:rowOff>
    </xdr:to>
    <xdr:pic>
      <xdr:nvPicPr>
        <xdr:cNvPr id="2" name="Picture 1">
          <a:extLst>
            <a:ext uri="{FF2B5EF4-FFF2-40B4-BE49-F238E27FC236}">
              <a16:creationId xmlns:a16="http://schemas.microsoft.com/office/drawing/2014/main" id="{FFF44A5A-1F84-4BDF-98A7-0B813746DF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342900"/>
          <a:ext cx="3381375" cy="8667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Gabriel Serra" id="{011352BE-F046-4A2F-BAD9-25DBD3449E43}" userId="673afae304bddc6f"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5CC1571-07B3-4577-86A8-ACF59B529142}" name="Table6" displayName="Table6" ref="B7:F10" totalsRowCount="1" headerRowDxfId="173" dataDxfId="172" totalsRowDxfId="171">
  <autoFilter ref="B7:F9" xr:uid="{F5CC1571-07B3-4577-86A8-ACF59B529142}">
    <filterColumn colId="0" hiddenButton="1"/>
    <filterColumn colId="1" hiddenButton="1"/>
    <filterColumn colId="2" hiddenButton="1"/>
    <filterColumn colId="3" hiddenButton="1"/>
    <filterColumn colId="4" hiddenButton="1"/>
  </autoFilter>
  <tableColumns count="5">
    <tableColumn id="1" xr3:uid="{2AB0364C-344A-4BA4-8492-A5EF6AB4356B}" name="Loan" dataDxfId="170" totalsRowDxfId="169"/>
    <tableColumn id="2" xr3:uid="{F51BBD8F-69C4-4B85-9C69-8094551B26A5}" name="Value" totalsRowFunction="sum" dataDxfId="168" totalsRowDxfId="167" dataCellStyle="Currency"/>
    <tableColumn id="3" xr3:uid="{B56A4C5A-7159-4F44-8AA7-BCBA8416C94D}" name="Interest" dataDxfId="166" totalsRowDxfId="165" dataCellStyle="Currency"/>
    <tableColumn id="4" xr3:uid="{4AAD3856-960D-44F8-9087-062112491A6E}" name="Repayment" totalsRowFunction="sum" dataDxfId="164" totalsRowDxfId="163" dataCellStyle="Currency"/>
    <tableColumn id="5" xr3:uid="{19639F91-4299-42F8-A00C-FD72AA971DAB}" name="Expiry" dataDxfId="162" totalsRowDxfId="16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C5F7687-F304-4032-98FB-EE959505A41E}" name="Table9" displayName="Table9" ref="B13:D20" headerRowCount="0" totalsRowShown="0" headerRowDxfId="160" dataDxfId="159">
  <tableColumns count="3">
    <tableColumn id="1" xr3:uid="{7613C019-F94E-4AC3-84D0-9996777F904D}" name="Column1" headerRowDxfId="158" dataDxfId="157"/>
    <tableColumn id="2" xr3:uid="{66E8797F-E95D-476C-896A-0BE5736BBC3A}" name="Column2" headerRowDxfId="156" dataDxfId="155" headerRowCellStyle="Currency"/>
    <tableColumn id="3" xr3:uid="{49BEA2F2-6978-4123-99D6-D82DD392D3F7}" name="Column3" headerRowDxfId="154" dataDxfId="15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81B47AB-C431-43DD-A838-9F4CD12CDF10}" name="Table10" displayName="Table10" ref="B23:E32" totalsRowShown="0" headerRowDxfId="152" dataDxfId="151">
  <autoFilter ref="B23:E32" xr:uid="{381B47AB-C431-43DD-A838-9F4CD12CDF10}"/>
  <tableColumns count="4">
    <tableColumn id="1" xr3:uid="{6453A007-E0EE-4960-839D-2FAB5CD59F4D}" name="Item" dataDxfId="150"/>
    <tableColumn id="2" xr3:uid="{0267DF6B-5448-4429-92B6-3E2FC1CF6188}" name="Annually" dataDxfId="149"/>
    <tableColumn id="3" xr3:uid="{D5EFA1A2-4E26-43BA-8C58-CBB61E3F9F00}" name="Monthly" dataDxfId="148"/>
    <tableColumn id="4" xr3:uid="{CE2902F2-F0A1-4F09-874D-516CA1F7B80D}" name="Weekly" dataDxfId="147"/>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5E07A9E-1801-477A-80A1-FC293207C38D}" name="Table612" displayName="Table612" ref="B39:F42" totalsRowCount="1" headerRowDxfId="146" dataDxfId="145" totalsRowDxfId="144">
  <autoFilter ref="B39:F41" xr:uid="{95E07A9E-1801-477A-80A1-FC293207C38D}"/>
  <tableColumns count="5">
    <tableColumn id="1" xr3:uid="{41CDB4F0-2FF2-42B7-B1AD-F20BF64C7DE4}" name="Loan" dataDxfId="143" totalsRowDxfId="142"/>
    <tableColumn id="2" xr3:uid="{93ACBB9B-0D29-425A-9B14-B6A4567D0B49}" name="Value" totalsRowFunction="sum" dataDxfId="141" totalsRowDxfId="140" dataCellStyle="Currency"/>
    <tableColumn id="3" xr3:uid="{BADE98C3-0836-4F42-A98F-A7CAE6E594D5}" name="Interest" dataDxfId="139" totalsRowDxfId="138" dataCellStyle="Percent"/>
    <tableColumn id="4" xr3:uid="{F1E6F20D-4B96-4B75-8C40-139A6C8EDF18}" name="Repayment" totalsRowFunction="sum" dataDxfId="137" totalsRowDxfId="136" dataCellStyle="Currency"/>
    <tableColumn id="5" xr3:uid="{BCA6DCD4-A921-49CC-BCDE-36949FD4DC57}" name="Expiry" dataDxfId="135" totalsRowDxfId="134"/>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F998779-0033-42A0-BC6C-BE727AB73285}" name="Table913" displayName="Table913" ref="B45:D52" headerRowCount="0" totalsRowShown="0" headerRowDxfId="133" dataDxfId="132">
  <tableColumns count="3">
    <tableColumn id="1" xr3:uid="{C4FBB25C-CAAB-40FD-BE06-E1E1434AF361}" name="Column1" headerRowDxfId="131" dataDxfId="130"/>
    <tableColumn id="2" xr3:uid="{B237C967-C072-40D8-8CAA-EF910592FFD8}" name="Column2" headerRowDxfId="129" dataDxfId="128" headerRowCellStyle="Currency"/>
    <tableColumn id="3" xr3:uid="{BFBE5216-EFFE-4D31-94DE-14110A0D3300}" name="Column3" headerRowDxfId="127" dataDxfId="126"/>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7E125AE4-0494-4A2C-9FD2-922A322804C6}" name="Table1014" displayName="Table1014" ref="B55:E64" totalsRowShown="0" headerRowDxfId="125" dataDxfId="124">
  <autoFilter ref="B55:E64" xr:uid="{7E125AE4-0494-4A2C-9FD2-922A322804C6}"/>
  <tableColumns count="4">
    <tableColumn id="1" xr3:uid="{A8A5A52C-008D-4D0B-A18B-CE0C84CD782D}" name="Item" dataDxfId="123"/>
    <tableColumn id="2" xr3:uid="{8156639C-E670-476B-BA6C-63B2A68085E0}" name="Annually" dataDxfId="122"/>
    <tableColumn id="3" xr3:uid="{37F24114-6210-4A8C-9750-881EDBD97EEB}" name="Monthly" dataDxfId="121"/>
    <tableColumn id="4" xr3:uid="{6D9950A3-AF63-4844-A2CC-D7526ED1BCED}" name="Weekly" dataDxfId="120"/>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D0571D8-AB05-4C5D-8F70-5A8E4D12C673}" name="Table61216" displayName="Table61216" ref="B70:F72" totalsRowCount="1" headerRowDxfId="119" dataDxfId="118" totalsRowDxfId="117">
  <autoFilter ref="B70:F71" xr:uid="{1D0571D8-AB05-4C5D-8F70-5A8E4D12C673}"/>
  <tableColumns count="5">
    <tableColumn id="1" xr3:uid="{EFB7FAC2-F2C7-4A65-830D-85ECEC45529C}" name="Loan" dataDxfId="116" totalsRowDxfId="115"/>
    <tableColumn id="2" xr3:uid="{8BC59564-D94B-4A7B-8D77-4FA8BBA4E2DB}" name="Value" totalsRowFunction="sum" dataDxfId="114" totalsRowDxfId="113" dataCellStyle="Currency"/>
    <tableColumn id="3" xr3:uid="{230B092D-A66F-4E68-BBC1-B0802CBBA21F}" name="Interest" dataDxfId="112" totalsRowDxfId="111" dataCellStyle="Percent"/>
    <tableColumn id="4" xr3:uid="{A7F49097-8BFC-4B7E-A8E3-C20119DF15F1}" name="Repayment" totalsRowFunction="sum" dataDxfId="110" totalsRowDxfId="109" dataCellStyle="Currency"/>
    <tableColumn id="5" xr3:uid="{6F806836-D5F9-47B4-B6AD-070384CBB171}" name="Expiry" dataDxfId="108" totalsRowDxfId="107"/>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931BA52-18F0-4E60-B9D1-45CC9017BE2C}" name="Table91317" displayName="Table91317" ref="B74:D81" headerRowCount="0" totalsRowShown="0" headerRowDxfId="106" dataDxfId="105">
  <tableColumns count="3">
    <tableColumn id="1" xr3:uid="{B80CA955-3313-4B48-B474-FFB8A610912C}" name="Column1" headerRowDxfId="104" dataDxfId="103"/>
    <tableColumn id="2" xr3:uid="{A072118E-03A1-4611-964B-ECAEAB228F76}" name="Column2" headerRowDxfId="102" dataDxfId="101" headerRowCellStyle="Currency"/>
    <tableColumn id="3" xr3:uid="{341215B8-C5C4-4165-B73A-06C25B869FA1}" name="Column3" headerRowDxfId="100" dataDxfId="99"/>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1E6BA66-751A-43C3-8AE4-B7F6B7B47EF8}" name="Table101418" displayName="Table101418" ref="B84:E93" totalsRowShown="0" headerRowDxfId="98" dataDxfId="97">
  <autoFilter ref="B84:E93" xr:uid="{11E6BA66-751A-43C3-8AE4-B7F6B7B47EF8}"/>
  <tableColumns count="4">
    <tableColumn id="1" xr3:uid="{6184C003-E045-4275-876F-61075C14353B}" name="Item" dataDxfId="96"/>
    <tableColumn id="2" xr3:uid="{12B2C672-AC0E-460D-AB3D-436EFE46E0FA}" name="Annually" dataDxfId="95"/>
    <tableColumn id="3" xr3:uid="{FEAA55C5-DCE9-476B-B18C-2EEFE91FF363}" name="Monthly" dataDxfId="94"/>
    <tableColumn id="4" xr3:uid="{4E8427A6-20DC-4FEB-A920-9E66AC299D49}" name="Weekly" dataDxfId="93"/>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3822915-1EFB-4DC5-B67A-8A7CE0036FD1}" name="Table1519" displayName="Table1519" ref="B99:C103" headerRowCount="0" totalsRowShown="0" headerRowDxfId="92" dataDxfId="91">
  <tableColumns count="2">
    <tableColumn id="1" xr3:uid="{13EE44AE-D11C-496D-9819-9D5FAFCFF542}" name="Column1" headerRowDxfId="90" dataDxfId="89"/>
    <tableColumn id="2" xr3:uid="{E138B30C-3FB6-43EC-B493-AC80C2650D6A}" name="Column2" headerRowDxfId="88" dataDxfId="87" dataCellStyle="Currency"/>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91CE97-D43A-4F2A-A45C-015FA9070788}" name="Table151915" displayName="Table151915" ref="B108:C112" headerRowCount="0" totalsRowShown="0" headerRowDxfId="86" dataDxfId="85">
  <tableColumns count="2">
    <tableColumn id="1" xr3:uid="{886735E4-FE61-41EF-8A48-20FC4C47D72D}" name="Column1" headerRowDxfId="84" dataDxfId="83"/>
    <tableColumn id="2" xr3:uid="{B355BF9D-B5D3-401D-AD82-D6F73679C6C4}" name="Column2" headerRowDxfId="82" dataDxfId="81" dataCellStyle="Currency"/>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0F08C31-C9E1-4B6C-A23E-066B657F6C01}" name="Table151922" displayName="Table151922" ref="B117:C121" headerRowCount="0" totalsRowShown="0" headerRowDxfId="80" dataDxfId="79">
  <tableColumns count="2">
    <tableColumn id="1" xr3:uid="{22A3D22B-81D2-4DCA-B684-3FF9ED064E20}" name="Column1" headerRowDxfId="78" dataDxfId="77"/>
    <tableColumn id="2" xr3:uid="{5CA0C4CC-A670-4EB5-8C52-3834AD8417F7}" name="Column2" headerRowDxfId="76" dataDxfId="75" dataCellStyle="Currency"/>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ADC280-E859-46BA-8313-E094B1B4A86A}" name="Table1" displayName="Table1" ref="B6:J12" totalsRowCount="1" headerRowDxfId="74" dataDxfId="73">
  <autoFilter ref="B6:J11" xr:uid="{24ADC280-E859-46BA-8313-E094B1B4A86A}"/>
  <tableColumns count="9">
    <tableColumn id="1" xr3:uid="{4BC49354-F6ED-4BF2-AC89-BA8EF55CAB4D}" name="Description" totalsRowLabel="TOTAL" dataDxfId="72"/>
    <tableColumn id="2" xr3:uid="{5464CAC9-58EF-4367-9142-3C371FA7FF01}" name="Payment Method" dataDxfId="71"/>
    <tableColumn id="3" xr3:uid="{131A4D0E-4F7E-4570-8E11-41F6DA13E7C4}" name="Notifications go to" dataDxfId="70" totalsRowDxfId="3"/>
    <tableColumn id="8" xr3:uid="{A0ABE97D-56BB-4875-9506-9E76A10AAD33}" name="Amount" totalsRowFunction="custom" dataDxfId="69" totalsRowDxfId="2" dataCellStyle="Input">
      <totalsRowFormula>SUM(Table1[Amount])</totalsRowFormula>
    </tableColumn>
    <tableColumn id="4" xr3:uid="{FF176052-C240-41AF-AB22-45F2BCD4C03D}" name="Last Payment" dataDxfId="68" totalsRowDxfId="1"/>
    <tableColumn id="5" xr3:uid="{C0193673-1B80-4F15-A785-A7FEFF699EE3}" name="Next Payment" dataDxfId="67" totalsRowDxfId="0"/>
    <tableColumn id="6" xr3:uid="{DA0C0EB7-1B16-4195-BB4F-03CB50EB7C0E}" name="Descriptions" dataDxfId="66"/>
    <tableColumn id="7" xr3:uid="{592A8C9A-5157-4947-A1FE-305F74E2CCA4}" name="Login" dataDxfId="65"/>
    <tableColumn id="9" xr3:uid="{05749A1B-8322-4AC4-9548-2B47F4379B02}" name="How to check" dataDxfId="64"/>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FB3C80-8957-4A2A-8662-E9BC1BA66DEC}" name="Table13" displayName="Table13" ref="B17:J21" totalsRowCount="1" headerRowDxfId="63" dataDxfId="62">
  <autoFilter ref="B17:J20" xr:uid="{8DFB3C80-8957-4A2A-8662-E9BC1BA66DEC}"/>
  <tableColumns count="9">
    <tableColumn id="1" xr3:uid="{4D8E820F-01B2-4211-9003-16ABD868BDFA}" name="Description" totalsRowLabel="TOTAL" dataDxfId="61"/>
    <tableColumn id="2" xr3:uid="{14ADE79F-2FFE-49B5-A8E9-962A4F40745B}" name="Payment Method" dataDxfId="60"/>
    <tableColumn id="3" xr3:uid="{7EEEE5B3-7228-4A8A-BAF8-2BA0A4D37699}" name="Notifications go to" dataDxfId="59"/>
    <tableColumn id="8" xr3:uid="{2C8C7D62-C37D-4870-95E1-4BFD8D31A12C}" name="Amount" totalsRowFunction="custom" totalsRowDxfId="58" dataCellStyle="Input">
      <totalsRowFormula>SUM(Table13[Amount])</totalsRowFormula>
    </tableColumn>
    <tableColumn id="4" xr3:uid="{019D863B-FECC-4A7B-A5F1-64CE506DE75F}" name="Last Payment" dataDxfId="57" totalsRowDxfId="56"/>
    <tableColumn id="5" xr3:uid="{68FA76F2-30C5-471F-A6C0-CB54AC894545}" name="Next Payment" dataDxfId="55" totalsRowDxfId="54"/>
    <tableColumn id="6" xr3:uid="{9EE8C333-6980-4426-9FAD-B40D4B7222D2}" name="Descriptions" dataDxfId="53"/>
    <tableColumn id="7" xr3:uid="{63B8EEB0-CADB-45F4-A2D6-73EE1944D0C9}" name="Login" dataDxfId="52"/>
    <tableColumn id="9" xr3:uid="{58092A2A-0091-406D-A2BA-8D9E5C55FAE1}" name="How to check" dataDxfId="51"/>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2D44B0-5206-422A-8E8E-0711CEF4BBFF}" name="Table138" displayName="Table138" ref="B25:J31" totalsRowCount="1" headerRowDxfId="50" dataDxfId="49">
  <autoFilter ref="B25:J30" xr:uid="{4A2D44B0-5206-422A-8E8E-0711CEF4BBFF}"/>
  <tableColumns count="9">
    <tableColumn id="1" xr3:uid="{83BC6849-E529-4E28-B0BD-442168DE6922}" name="Description" totalsRowLabel="TOTAL" dataDxfId="48"/>
    <tableColumn id="2" xr3:uid="{62BCF64F-87A9-4BDB-91A1-70D9FFE9ABE1}" name="Payment Method" dataDxfId="47"/>
    <tableColumn id="3" xr3:uid="{FB1DB888-8D9C-4199-84AB-21B3455837CA}" name="Notifications go to" dataDxfId="46"/>
    <tableColumn id="8" xr3:uid="{68CB85A9-92E2-4B38-AE88-4FC3CC7F6F04}" name="Amount" totalsRowFunction="custom" totalsRowDxfId="45" dataCellStyle="Input">
      <totalsRowFormula>SUM(E26:E29)</totalsRowFormula>
    </tableColumn>
    <tableColumn id="4" xr3:uid="{01B23A1B-2479-4618-80B1-377FB90C62A3}" name="Last Payment" dataDxfId="44" totalsRowDxfId="43"/>
    <tableColumn id="5" xr3:uid="{0C08BE0D-7ABA-4E0C-A515-50743F94E2A4}" name="Next Payment" dataDxfId="42" totalsRowDxfId="41"/>
    <tableColumn id="6" xr3:uid="{C1AAAF81-AA35-4B23-9F3D-2351E365D4B3}" name="Descriptions" dataDxfId="40"/>
    <tableColumn id="7" xr3:uid="{DD524AAD-4844-48FA-B89B-6970F6CB6A5D}" name="Login" dataDxfId="39"/>
    <tableColumn id="9" xr3:uid="{3E251BA1-A49C-4995-8EAD-AD16E9861E61}" name="How to check" dataDxfId="38"/>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CB6FB15-95D6-4B5B-921C-3DAC48E3ACC3}" name="Table14" displayName="Table14" ref="B6:F15" totalsRowShown="0" headerRowDxfId="37" dataDxfId="36">
  <autoFilter ref="B6:F15" xr:uid="{493463B4-61D0-40FD-8410-15DB0C7D0E9A}"/>
  <tableColumns count="5">
    <tableColumn id="8" xr3:uid="{48564411-9E47-48CE-9AB4-36DA4D981D1D}" name="Date" dataDxfId="35">
      <calculatedColumnFormula>IF(ISBLANK(#REF!),"", DATE(LEFT(#REF!,4),MID(#REF!,6,2),MID(#REF!,9,2)))</calculatedColumnFormula>
    </tableColumn>
    <tableColumn id="2" xr3:uid="{6B118065-AC2B-4579-B034-6E65773F2156}" name="Investment Option" dataDxfId="34"/>
    <tableColumn id="1" xr3:uid="{34A0443A-59D0-46E4-B9D2-4CAD9B3276BF}" name="Unit Price" dataDxfId="33"/>
    <tableColumn id="3" xr3:uid="{A75C4546-516D-4C2C-8957-2FE4754292AC}" name="Units" dataDxfId="32"/>
    <tableColumn id="4" xr3:uid="{4B61F814-54F5-4228-BFCE-8A4BB5882F75}" name="Value" dataDxfId="31">
      <calculatedColumnFormula>Table14[[#This Row],[Unit Price]]*Table14[[#This Row],[Units]]</calculatedColumnFormula>
    </tableColum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D6720ED-D136-4A13-81D1-9A9F7F459890}" name="Table145" displayName="Table145" ref="B26:F35" totalsRowShown="0" headerRowDxfId="30" dataDxfId="29">
  <autoFilter ref="B26:F35" xr:uid="{5AF63268-05D2-4B8E-9630-D39009E6DF78}"/>
  <tableColumns count="5">
    <tableColumn id="8" xr3:uid="{29B13FBB-BC4D-4EC1-9ACF-DDD0C4E39C48}" name="Date" dataDxfId="28">
      <calculatedColumnFormula>IF(ISBLANK(#REF!),"", DATE(LEFT(#REF!,4),MID(#REF!,6,2),MID(#REF!,9,2)))</calculatedColumnFormula>
    </tableColumn>
    <tableColumn id="2" xr3:uid="{144DFEE7-6BAB-40C7-98C0-641B6B342DEB}" name="Investment Option" dataDxfId="27"/>
    <tableColumn id="1" xr3:uid="{1AD2FDDA-F4D5-4901-9E32-9830863C9228}" name="Unit Price" dataDxfId="26"/>
    <tableColumn id="3" xr3:uid="{1FE2ED5D-9271-4D0F-AF00-F9B556256B35}" name="Units" dataDxfId="25"/>
    <tableColumn id="4" xr3:uid="{DB907FED-6678-4A6C-9610-212A96EACAFD}" name="Value" dataDxfId="24">
      <calculatedColumnFormula>Table145[[#This Row],[Unit Price]]*Table145[[#This Row],[Units]]</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6-04-17T05:46:38.79" personId="{011352BE-F046-4A2F-BAD9-25DBD3449E43}" id="{6DD42BE2-1BA7-4891-A592-21CA318B47A1}">
    <text>$1.29m
Low range
$1.44m
$1.59m
High range</text>
  </threadedComment>
  <threadedComment ref="D9" dT="2026-04-17T04:52:32.40" personId="{011352BE-F046-4A2F-BAD9-25DBD3449E43}" id="{025AD086-10C6-45F7-8B1F-C7867AE18FD7}">
    <text>$1.29m
Low range
$1.43m
$1.57m
High range</text>
  </threadedComment>
  <threadedComment ref="E9" dT="2026-04-17T04:51:35.99" personId="{011352BE-F046-4A2F-BAD9-25DBD3449E43}" id="{57804BDD-AF28-4AFD-8EAA-04DD4FB2B3DD}">
    <text>$860k
Low range
$956k
$1.05m
High range</text>
  </threadedComment>
  <threadedComment ref="E14" dT="2026-04-17T04:22:34.37" personId="{011352BE-F046-4A2F-BAD9-25DBD3449E43}" id="{68052037-B0C2-419F-808B-EDC89B51837E}">
    <text xml:space="preserve">Needs to update after 24 Apri
</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45CE0AD4-1883-4C6B-8135-59ABE60A2064}">
  <we:reference id="wa200009404" version="1.0.0.8" store="en-US" storeType="OMEX"/>
  <we:alternateReferences>
    <we:reference id="WA200009404" version="1.0.0.8" store="" storeType="OMEX"/>
  </we:alternateReferences>
  <we:properties>
    <we:property name="claude.fileId" value="&quot;bacc975f-c0da-4171-9602-0273cb56a2ea&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hyperlink" Target="mailto:gabriel.serra@outlook.com.au" TargetMode="External"/><Relationship Id="rId7" Type="http://schemas.openxmlformats.org/officeDocument/2006/relationships/table" Target="../tables/table14.xml"/><Relationship Id="rId2" Type="http://schemas.openxmlformats.org/officeDocument/2006/relationships/hyperlink" Target="mailto:gabrielandarina@gmail.com.au" TargetMode="External"/><Relationship Id="rId1" Type="http://schemas.openxmlformats.org/officeDocument/2006/relationships/hyperlink" Target="mailto:gabrielandarina@gmail.com/Watergab1" TargetMode="External"/><Relationship Id="rId6" Type="http://schemas.openxmlformats.org/officeDocument/2006/relationships/table" Target="../tables/table13.xml"/><Relationship Id="rId5" Type="http://schemas.openxmlformats.org/officeDocument/2006/relationships/printerSettings" Target="../printerSettings/printerSettings2.bin"/><Relationship Id="rId4" Type="http://schemas.openxmlformats.org/officeDocument/2006/relationships/hyperlink" Target="mailto:arina.cociuban@gmail.com"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F18A5-56CF-4FEC-A42F-889F1C02DDBD}">
  <dimension ref="A1:U26"/>
  <sheetViews>
    <sheetView topLeftCell="A4" workbookViewId="0">
      <selection activeCell="W15" sqref="W15"/>
    </sheetView>
    <sheetView workbookViewId="1"/>
  </sheetViews>
  <sheetFormatPr defaultRowHeight="15"/>
  <cols>
    <col min="1" max="1" width="3.42578125" customWidth="1"/>
    <col min="2" max="2" width="0.5703125" customWidth="1"/>
    <col min="3" max="3" width="22.7109375" customWidth="1"/>
    <col min="4" max="4" width="19.28515625" customWidth="1"/>
    <col min="5" max="5" width="12.28515625" customWidth="1"/>
    <col min="6" max="6" width="24.28515625" customWidth="1"/>
    <col min="7" max="7" width="1.7109375" customWidth="1"/>
    <col min="8" max="8" width="0.28515625" customWidth="1"/>
    <col min="9" max="9" width="3.85546875" customWidth="1"/>
    <col min="10" max="10" width="15.7109375" customWidth="1"/>
    <col min="11" max="11" width="13" customWidth="1"/>
    <col min="12" max="12" width="14.140625" customWidth="1"/>
    <col min="13" max="13" width="27" customWidth="1"/>
    <col min="14" max="14" width="26" customWidth="1"/>
    <col min="15" max="15" width="15.28515625" customWidth="1"/>
    <col min="16" max="16" width="12.28515625" customWidth="1"/>
    <col min="17" max="17" width="6" customWidth="1"/>
    <col min="18" max="18" width="1.28515625" customWidth="1"/>
    <col min="19" max="19" width="3.7109375" customWidth="1"/>
    <col min="20" max="20" width="0.28515625" customWidth="1"/>
    <col min="21" max="21" width="3.42578125" customWidth="1"/>
    <col min="257" max="257" width="3.42578125" customWidth="1"/>
    <col min="258" max="258" width="0.5703125" customWidth="1"/>
    <col min="259" max="259" width="22.7109375" customWidth="1"/>
    <col min="260" max="260" width="19.28515625" customWidth="1"/>
    <col min="261" max="261" width="12.28515625" customWidth="1"/>
    <col min="262" max="262" width="24.28515625" customWidth="1"/>
    <col min="263" max="263" width="1.7109375" customWidth="1"/>
    <col min="264" max="264" width="0.28515625" customWidth="1"/>
    <col min="265" max="265" width="3.85546875" customWidth="1"/>
    <col min="266" max="266" width="15.7109375" customWidth="1"/>
    <col min="267" max="267" width="13" customWidth="1"/>
    <col min="268" max="268" width="14.140625" customWidth="1"/>
    <col min="269" max="269" width="27" customWidth="1"/>
    <col min="270" max="270" width="26" customWidth="1"/>
    <col min="271" max="271" width="15.28515625" customWidth="1"/>
    <col min="272" max="272" width="20.28515625" customWidth="1"/>
    <col min="273" max="273" width="6" customWidth="1"/>
    <col min="274" max="274" width="1.28515625" customWidth="1"/>
    <col min="275" max="275" width="3.7109375" customWidth="1"/>
    <col min="276" max="276" width="0.28515625" customWidth="1"/>
    <col min="277" max="277" width="3.42578125" customWidth="1"/>
    <col min="513" max="513" width="3.42578125" customWidth="1"/>
    <col min="514" max="514" width="0.5703125" customWidth="1"/>
    <col min="515" max="515" width="22.7109375" customWidth="1"/>
    <col min="516" max="516" width="19.28515625" customWidth="1"/>
    <col min="517" max="517" width="12.28515625" customWidth="1"/>
    <col min="518" max="518" width="24.28515625" customWidth="1"/>
    <col min="519" max="519" width="1.7109375" customWidth="1"/>
    <col min="520" max="520" width="0.28515625" customWidth="1"/>
    <col min="521" max="521" width="3.85546875" customWidth="1"/>
    <col min="522" max="522" width="15.7109375" customWidth="1"/>
    <col min="523" max="523" width="13" customWidth="1"/>
    <col min="524" max="524" width="14.140625" customWidth="1"/>
    <col min="525" max="525" width="27" customWidth="1"/>
    <col min="526" max="526" width="26" customWidth="1"/>
    <col min="527" max="527" width="15.28515625" customWidth="1"/>
    <col min="528" max="528" width="20.28515625" customWidth="1"/>
    <col min="529" max="529" width="6" customWidth="1"/>
    <col min="530" max="530" width="1.28515625" customWidth="1"/>
    <col min="531" max="531" width="3.7109375" customWidth="1"/>
    <col min="532" max="532" width="0.28515625" customWidth="1"/>
    <col min="533" max="533" width="3.42578125" customWidth="1"/>
    <col min="769" max="769" width="3.42578125" customWidth="1"/>
    <col min="770" max="770" width="0.5703125" customWidth="1"/>
    <col min="771" max="771" width="22.7109375" customWidth="1"/>
    <col min="772" max="772" width="19.28515625" customWidth="1"/>
    <col min="773" max="773" width="12.28515625" customWidth="1"/>
    <col min="774" max="774" width="24.28515625" customWidth="1"/>
    <col min="775" max="775" width="1.7109375" customWidth="1"/>
    <col min="776" max="776" width="0.28515625" customWidth="1"/>
    <col min="777" max="777" width="3.85546875" customWidth="1"/>
    <col min="778" max="778" width="15.7109375" customWidth="1"/>
    <col min="779" max="779" width="13" customWidth="1"/>
    <col min="780" max="780" width="14.140625" customWidth="1"/>
    <col min="781" max="781" width="27" customWidth="1"/>
    <col min="782" max="782" width="26" customWidth="1"/>
    <col min="783" max="783" width="15.28515625" customWidth="1"/>
    <col min="784" max="784" width="20.28515625" customWidth="1"/>
    <col min="785" max="785" width="6" customWidth="1"/>
    <col min="786" max="786" width="1.28515625" customWidth="1"/>
    <col min="787" max="787" width="3.7109375" customWidth="1"/>
    <col min="788" max="788" width="0.28515625" customWidth="1"/>
    <col min="789" max="789" width="3.42578125" customWidth="1"/>
    <col min="1025" max="1025" width="3.42578125" customWidth="1"/>
    <col min="1026" max="1026" width="0.5703125" customWidth="1"/>
    <col min="1027" max="1027" width="22.7109375" customWidth="1"/>
    <col min="1028" max="1028" width="19.28515625" customWidth="1"/>
    <col min="1029" max="1029" width="12.28515625" customWidth="1"/>
    <col min="1030" max="1030" width="24.28515625" customWidth="1"/>
    <col min="1031" max="1031" width="1.7109375" customWidth="1"/>
    <col min="1032" max="1032" width="0.28515625" customWidth="1"/>
    <col min="1033" max="1033" width="3.85546875" customWidth="1"/>
    <col min="1034" max="1034" width="15.7109375" customWidth="1"/>
    <col min="1035" max="1035" width="13" customWidth="1"/>
    <col min="1036" max="1036" width="14.140625" customWidth="1"/>
    <col min="1037" max="1037" width="27" customWidth="1"/>
    <col min="1038" max="1038" width="26" customWidth="1"/>
    <col min="1039" max="1039" width="15.28515625" customWidth="1"/>
    <col min="1040" max="1040" width="20.28515625" customWidth="1"/>
    <col min="1041" max="1041" width="6" customWidth="1"/>
    <col min="1042" max="1042" width="1.28515625" customWidth="1"/>
    <col min="1043" max="1043" width="3.7109375" customWidth="1"/>
    <col min="1044" max="1044" width="0.28515625" customWidth="1"/>
    <col min="1045" max="1045" width="3.42578125" customWidth="1"/>
    <col min="1281" max="1281" width="3.42578125" customWidth="1"/>
    <col min="1282" max="1282" width="0.5703125" customWidth="1"/>
    <col min="1283" max="1283" width="22.7109375" customWidth="1"/>
    <col min="1284" max="1284" width="19.28515625" customWidth="1"/>
    <col min="1285" max="1285" width="12.28515625" customWidth="1"/>
    <col min="1286" max="1286" width="24.28515625" customWidth="1"/>
    <col min="1287" max="1287" width="1.7109375" customWidth="1"/>
    <col min="1288" max="1288" width="0.28515625" customWidth="1"/>
    <col min="1289" max="1289" width="3.85546875" customWidth="1"/>
    <col min="1290" max="1290" width="15.7109375" customWidth="1"/>
    <col min="1291" max="1291" width="13" customWidth="1"/>
    <col min="1292" max="1292" width="14.140625" customWidth="1"/>
    <col min="1293" max="1293" width="27" customWidth="1"/>
    <col min="1294" max="1294" width="26" customWidth="1"/>
    <col min="1295" max="1295" width="15.28515625" customWidth="1"/>
    <col min="1296" max="1296" width="20.28515625" customWidth="1"/>
    <col min="1297" max="1297" width="6" customWidth="1"/>
    <col min="1298" max="1298" width="1.28515625" customWidth="1"/>
    <col min="1299" max="1299" width="3.7109375" customWidth="1"/>
    <col min="1300" max="1300" width="0.28515625" customWidth="1"/>
    <col min="1301" max="1301" width="3.42578125" customWidth="1"/>
    <col min="1537" max="1537" width="3.42578125" customWidth="1"/>
    <col min="1538" max="1538" width="0.5703125" customWidth="1"/>
    <col min="1539" max="1539" width="22.7109375" customWidth="1"/>
    <col min="1540" max="1540" width="19.28515625" customWidth="1"/>
    <col min="1541" max="1541" width="12.28515625" customWidth="1"/>
    <col min="1542" max="1542" width="24.28515625" customWidth="1"/>
    <col min="1543" max="1543" width="1.7109375" customWidth="1"/>
    <col min="1544" max="1544" width="0.28515625" customWidth="1"/>
    <col min="1545" max="1545" width="3.85546875" customWidth="1"/>
    <col min="1546" max="1546" width="15.7109375" customWidth="1"/>
    <col min="1547" max="1547" width="13" customWidth="1"/>
    <col min="1548" max="1548" width="14.140625" customWidth="1"/>
    <col min="1549" max="1549" width="27" customWidth="1"/>
    <col min="1550" max="1550" width="26" customWidth="1"/>
    <col min="1551" max="1551" width="15.28515625" customWidth="1"/>
    <col min="1552" max="1552" width="20.28515625" customWidth="1"/>
    <col min="1553" max="1553" width="6" customWidth="1"/>
    <col min="1554" max="1554" width="1.28515625" customWidth="1"/>
    <col min="1555" max="1555" width="3.7109375" customWidth="1"/>
    <col min="1556" max="1556" width="0.28515625" customWidth="1"/>
    <col min="1557" max="1557" width="3.42578125" customWidth="1"/>
    <col min="1793" max="1793" width="3.42578125" customWidth="1"/>
    <col min="1794" max="1794" width="0.5703125" customWidth="1"/>
    <col min="1795" max="1795" width="22.7109375" customWidth="1"/>
    <col min="1796" max="1796" width="19.28515625" customWidth="1"/>
    <col min="1797" max="1797" width="12.28515625" customWidth="1"/>
    <col min="1798" max="1798" width="24.28515625" customWidth="1"/>
    <col min="1799" max="1799" width="1.7109375" customWidth="1"/>
    <col min="1800" max="1800" width="0.28515625" customWidth="1"/>
    <col min="1801" max="1801" width="3.85546875" customWidth="1"/>
    <col min="1802" max="1802" width="15.7109375" customWidth="1"/>
    <col min="1803" max="1803" width="13" customWidth="1"/>
    <col min="1804" max="1804" width="14.140625" customWidth="1"/>
    <col min="1805" max="1805" width="27" customWidth="1"/>
    <col min="1806" max="1806" width="26" customWidth="1"/>
    <col min="1807" max="1807" width="15.28515625" customWidth="1"/>
    <col min="1808" max="1808" width="20.28515625" customWidth="1"/>
    <col min="1809" max="1809" width="6" customWidth="1"/>
    <col min="1810" max="1810" width="1.28515625" customWidth="1"/>
    <col min="1811" max="1811" width="3.7109375" customWidth="1"/>
    <col min="1812" max="1812" width="0.28515625" customWidth="1"/>
    <col min="1813" max="1813" width="3.42578125" customWidth="1"/>
    <col min="2049" max="2049" width="3.42578125" customWidth="1"/>
    <col min="2050" max="2050" width="0.5703125" customWidth="1"/>
    <col min="2051" max="2051" width="22.7109375" customWidth="1"/>
    <col min="2052" max="2052" width="19.28515625" customWidth="1"/>
    <col min="2053" max="2053" width="12.28515625" customWidth="1"/>
    <col min="2054" max="2054" width="24.28515625" customWidth="1"/>
    <col min="2055" max="2055" width="1.7109375" customWidth="1"/>
    <col min="2056" max="2056" width="0.28515625" customWidth="1"/>
    <col min="2057" max="2057" width="3.85546875" customWidth="1"/>
    <col min="2058" max="2058" width="15.7109375" customWidth="1"/>
    <col min="2059" max="2059" width="13" customWidth="1"/>
    <col min="2060" max="2060" width="14.140625" customWidth="1"/>
    <col min="2061" max="2061" width="27" customWidth="1"/>
    <col min="2062" max="2062" width="26" customWidth="1"/>
    <col min="2063" max="2063" width="15.28515625" customWidth="1"/>
    <col min="2064" max="2064" width="20.28515625" customWidth="1"/>
    <col min="2065" max="2065" width="6" customWidth="1"/>
    <col min="2066" max="2066" width="1.28515625" customWidth="1"/>
    <col min="2067" max="2067" width="3.7109375" customWidth="1"/>
    <col min="2068" max="2068" width="0.28515625" customWidth="1"/>
    <col min="2069" max="2069" width="3.42578125" customWidth="1"/>
    <col min="2305" max="2305" width="3.42578125" customWidth="1"/>
    <col min="2306" max="2306" width="0.5703125" customWidth="1"/>
    <col min="2307" max="2307" width="22.7109375" customWidth="1"/>
    <col min="2308" max="2308" width="19.28515625" customWidth="1"/>
    <col min="2309" max="2309" width="12.28515625" customWidth="1"/>
    <col min="2310" max="2310" width="24.28515625" customWidth="1"/>
    <col min="2311" max="2311" width="1.7109375" customWidth="1"/>
    <col min="2312" max="2312" width="0.28515625" customWidth="1"/>
    <col min="2313" max="2313" width="3.85546875" customWidth="1"/>
    <col min="2314" max="2314" width="15.7109375" customWidth="1"/>
    <col min="2315" max="2315" width="13" customWidth="1"/>
    <col min="2316" max="2316" width="14.140625" customWidth="1"/>
    <col min="2317" max="2317" width="27" customWidth="1"/>
    <col min="2318" max="2318" width="26" customWidth="1"/>
    <col min="2319" max="2319" width="15.28515625" customWidth="1"/>
    <col min="2320" max="2320" width="20.28515625" customWidth="1"/>
    <col min="2321" max="2321" width="6" customWidth="1"/>
    <col min="2322" max="2322" width="1.28515625" customWidth="1"/>
    <col min="2323" max="2323" width="3.7109375" customWidth="1"/>
    <col min="2324" max="2324" width="0.28515625" customWidth="1"/>
    <col min="2325" max="2325" width="3.42578125" customWidth="1"/>
    <col min="2561" max="2561" width="3.42578125" customWidth="1"/>
    <col min="2562" max="2562" width="0.5703125" customWidth="1"/>
    <col min="2563" max="2563" width="22.7109375" customWidth="1"/>
    <col min="2564" max="2564" width="19.28515625" customWidth="1"/>
    <col min="2565" max="2565" width="12.28515625" customWidth="1"/>
    <col min="2566" max="2566" width="24.28515625" customWidth="1"/>
    <col min="2567" max="2567" width="1.7109375" customWidth="1"/>
    <col min="2568" max="2568" width="0.28515625" customWidth="1"/>
    <col min="2569" max="2569" width="3.85546875" customWidth="1"/>
    <col min="2570" max="2570" width="15.7109375" customWidth="1"/>
    <col min="2571" max="2571" width="13" customWidth="1"/>
    <col min="2572" max="2572" width="14.140625" customWidth="1"/>
    <col min="2573" max="2573" width="27" customWidth="1"/>
    <col min="2574" max="2574" width="26" customWidth="1"/>
    <col min="2575" max="2575" width="15.28515625" customWidth="1"/>
    <col min="2576" max="2576" width="20.28515625" customWidth="1"/>
    <col min="2577" max="2577" width="6" customWidth="1"/>
    <col min="2578" max="2578" width="1.28515625" customWidth="1"/>
    <col min="2579" max="2579" width="3.7109375" customWidth="1"/>
    <col min="2580" max="2580" width="0.28515625" customWidth="1"/>
    <col min="2581" max="2581" width="3.42578125" customWidth="1"/>
    <col min="2817" max="2817" width="3.42578125" customWidth="1"/>
    <col min="2818" max="2818" width="0.5703125" customWidth="1"/>
    <col min="2819" max="2819" width="22.7109375" customWidth="1"/>
    <col min="2820" max="2820" width="19.28515625" customWidth="1"/>
    <col min="2821" max="2821" width="12.28515625" customWidth="1"/>
    <col min="2822" max="2822" width="24.28515625" customWidth="1"/>
    <col min="2823" max="2823" width="1.7109375" customWidth="1"/>
    <col min="2824" max="2824" width="0.28515625" customWidth="1"/>
    <col min="2825" max="2825" width="3.85546875" customWidth="1"/>
    <col min="2826" max="2826" width="15.7109375" customWidth="1"/>
    <col min="2827" max="2827" width="13" customWidth="1"/>
    <col min="2828" max="2828" width="14.140625" customWidth="1"/>
    <col min="2829" max="2829" width="27" customWidth="1"/>
    <col min="2830" max="2830" width="26" customWidth="1"/>
    <col min="2831" max="2831" width="15.28515625" customWidth="1"/>
    <col min="2832" max="2832" width="20.28515625" customWidth="1"/>
    <col min="2833" max="2833" width="6" customWidth="1"/>
    <col min="2834" max="2834" width="1.28515625" customWidth="1"/>
    <col min="2835" max="2835" width="3.7109375" customWidth="1"/>
    <col min="2836" max="2836" width="0.28515625" customWidth="1"/>
    <col min="2837" max="2837" width="3.42578125" customWidth="1"/>
    <col min="3073" max="3073" width="3.42578125" customWidth="1"/>
    <col min="3074" max="3074" width="0.5703125" customWidth="1"/>
    <col min="3075" max="3075" width="22.7109375" customWidth="1"/>
    <col min="3076" max="3076" width="19.28515625" customWidth="1"/>
    <col min="3077" max="3077" width="12.28515625" customWidth="1"/>
    <col min="3078" max="3078" width="24.28515625" customWidth="1"/>
    <col min="3079" max="3079" width="1.7109375" customWidth="1"/>
    <col min="3080" max="3080" width="0.28515625" customWidth="1"/>
    <col min="3081" max="3081" width="3.85546875" customWidth="1"/>
    <col min="3082" max="3082" width="15.7109375" customWidth="1"/>
    <col min="3083" max="3083" width="13" customWidth="1"/>
    <col min="3084" max="3084" width="14.140625" customWidth="1"/>
    <col min="3085" max="3085" width="27" customWidth="1"/>
    <col min="3086" max="3086" width="26" customWidth="1"/>
    <col min="3087" max="3087" width="15.28515625" customWidth="1"/>
    <col min="3088" max="3088" width="20.28515625" customWidth="1"/>
    <col min="3089" max="3089" width="6" customWidth="1"/>
    <col min="3090" max="3090" width="1.28515625" customWidth="1"/>
    <col min="3091" max="3091" width="3.7109375" customWidth="1"/>
    <col min="3092" max="3092" width="0.28515625" customWidth="1"/>
    <col min="3093" max="3093" width="3.42578125" customWidth="1"/>
    <col min="3329" max="3329" width="3.42578125" customWidth="1"/>
    <col min="3330" max="3330" width="0.5703125" customWidth="1"/>
    <col min="3331" max="3331" width="22.7109375" customWidth="1"/>
    <col min="3332" max="3332" width="19.28515625" customWidth="1"/>
    <col min="3333" max="3333" width="12.28515625" customWidth="1"/>
    <col min="3334" max="3334" width="24.28515625" customWidth="1"/>
    <col min="3335" max="3335" width="1.7109375" customWidth="1"/>
    <col min="3336" max="3336" width="0.28515625" customWidth="1"/>
    <col min="3337" max="3337" width="3.85546875" customWidth="1"/>
    <col min="3338" max="3338" width="15.7109375" customWidth="1"/>
    <col min="3339" max="3339" width="13" customWidth="1"/>
    <col min="3340" max="3340" width="14.140625" customWidth="1"/>
    <col min="3341" max="3341" width="27" customWidth="1"/>
    <col min="3342" max="3342" width="26" customWidth="1"/>
    <col min="3343" max="3343" width="15.28515625" customWidth="1"/>
    <col min="3344" max="3344" width="20.28515625" customWidth="1"/>
    <col min="3345" max="3345" width="6" customWidth="1"/>
    <col min="3346" max="3346" width="1.28515625" customWidth="1"/>
    <col min="3347" max="3347" width="3.7109375" customWidth="1"/>
    <col min="3348" max="3348" width="0.28515625" customWidth="1"/>
    <col min="3349" max="3349" width="3.42578125" customWidth="1"/>
    <col min="3585" max="3585" width="3.42578125" customWidth="1"/>
    <col min="3586" max="3586" width="0.5703125" customWidth="1"/>
    <col min="3587" max="3587" width="22.7109375" customWidth="1"/>
    <col min="3588" max="3588" width="19.28515625" customWidth="1"/>
    <col min="3589" max="3589" width="12.28515625" customWidth="1"/>
    <col min="3590" max="3590" width="24.28515625" customWidth="1"/>
    <col min="3591" max="3591" width="1.7109375" customWidth="1"/>
    <col min="3592" max="3592" width="0.28515625" customWidth="1"/>
    <col min="3593" max="3593" width="3.85546875" customWidth="1"/>
    <col min="3594" max="3594" width="15.7109375" customWidth="1"/>
    <col min="3595" max="3595" width="13" customWidth="1"/>
    <col min="3596" max="3596" width="14.140625" customWidth="1"/>
    <col min="3597" max="3597" width="27" customWidth="1"/>
    <col min="3598" max="3598" width="26" customWidth="1"/>
    <col min="3599" max="3599" width="15.28515625" customWidth="1"/>
    <col min="3600" max="3600" width="20.28515625" customWidth="1"/>
    <col min="3601" max="3601" width="6" customWidth="1"/>
    <col min="3602" max="3602" width="1.28515625" customWidth="1"/>
    <col min="3603" max="3603" width="3.7109375" customWidth="1"/>
    <col min="3604" max="3604" width="0.28515625" customWidth="1"/>
    <col min="3605" max="3605" width="3.42578125" customWidth="1"/>
    <col min="3841" max="3841" width="3.42578125" customWidth="1"/>
    <col min="3842" max="3842" width="0.5703125" customWidth="1"/>
    <col min="3843" max="3843" width="22.7109375" customWidth="1"/>
    <col min="3844" max="3844" width="19.28515625" customWidth="1"/>
    <col min="3845" max="3845" width="12.28515625" customWidth="1"/>
    <col min="3846" max="3846" width="24.28515625" customWidth="1"/>
    <col min="3847" max="3847" width="1.7109375" customWidth="1"/>
    <col min="3848" max="3848" width="0.28515625" customWidth="1"/>
    <col min="3849" max="3849" width="3.85546875" customWidth="1"/>
    <col min="3850" max="3850" width="15.7109375" customWidth="1"/>
    <col min="3851" max="3851" width="13" customWidth="1"/>
    <col min="3852" max="3852" width="14.140625" customWidth="1"/>
    <col min="3853" max="3853" width="27" customWidth="1"/>
    <col min="3854" max="3854" width="26" customWidth="1"/>
    <col min="3855" max="3855" width="15.28515625" customWidth="1"/>
    <col min="3856" max="3856" width="20.28515625" customWidth="1"/>
    <col min="3857" max="3857" width="6" customWidth="1"/>
    <col min="3858" max="3858" width="1.28515625" customWidth="1"/>
    <col min="3859" max="3859" width="3.7109375" customWidth="1"/>
    <col min="3860" max="3860" width="0.28515625" customWidth="1"/>
    <col min="3861" max="3861" width="3.42578125" customWidth="1"/>
    <col min="4097" max="4097" width="3.42578125" customWidth="1"/>
    <col min="4098" max="4098" width="0.5703125" customWidth="1"/>
    <col min="4099" max="4099" width="22.7109375" customWidth="1"/>
    <col min="4100" max="4100" width="19.28515625" customWidth="1"/>
    <col min="4101" max="4101" width="12.28515625" customWidth="1"/>
    <col min="4102" max="4102" width="24.28515625" customWidth="1"/>
    <col min="4103" max="4103" width="1.7109375" customWidth="1"/>
    <col min="4104" max="4104" width="0.28515625" customWidth="1"/>
    <col min="4105" max="4105" width="3.85546875" customWidth="1"/>
    <col min="4106" max="4106" width="15.7109375" customWidth="1"/>
    <col min="4107" max="4107" width="13" customWidth="1"/>
    <col min="4108" max="4108" width="14.140625" customWidth="1"/>
    <col min="4109" max="4109" width="27" customWidth="1"/>
    <col min="4110" max="4110" width="26" customWidth="1"/>
    <col min="4111" max="4111" width="15.28515625" customWidth="1"/>
    <col min="4112" max="4112" width="20.28515625" customWidth="1"/>
    <col min="4113" max="4113" width="6" customWidth="1"/>
    <col min="4114" max="4114" width="1.28515625" customWidth="1"/>
    <col min="4115" max="4115" width="3.7109375" customWidth="1"/>
    <col min="4116" max="4116" width="0.28515625" customWidth="1"/>
    <col min="4117" max="4117" width="3.42578125" customWidth="1"/>
    <col min="4353" max="4353" width="3.42578125" customWidth="1"/>
    <col min="4354" max="4354" width="0.5703125" customWidth="1"/>
    <col min="4355" max="4355" width="22.7109375" customWidth="1"/>
    <col min="4356" max="4356" width="19.28515625" customWidth="1"/>
    <col min="4357" max="4357" width="12.28515625" customWidth="1"/>
    <col min="4358" max="4358" width="24.28515625" customWidth="1"/>
    <col min="4359" max="4359" width="1.7109375" customWidth="1"/>
    <col min="4360" max="4360" width="0.28515625" customWidth="1"/>
    <col min="4361" max="4361" width="3.85546875" customWidth="1"/>
    <col min="4362" max="4362" width="15.7109375" customWidth="1"/>
    <col min="4363" max="4363" width="13" customWidth="1"/>
    <col min="4364" max="4364" width="14.140625" customWidth="1"/>
    <col min="4365" max="4365" width="27" customWidth="1"/>
    <col min="4366" max="4366" width="26" customWidth="1"/>
    <col min="4367" max="4367" width="15.28515625" customWidth="1"/>
    <col min="4368" max="4368" width="20.28515625" customWidth="1"/>
    <col min="4369" max="4369" width="6" customWidth="1"/>
    <col min="4370" max="4370" width="1.28515625" customWidth="1"/>
    <col min="4371" max="4371" width="3.7109375" customWidth="1"/>
    <col min="4372" max="4372" width="0.28515625" customWidth="1"/>
    <col min="4373" max="4373" width="3.42578125" customWidth="1"/>
    <col min="4609" max="4609" width="3.42578125" customWidth="1"/>
    <col min="4610" max="4610" width="0.5703125" customWidth="1"/>
    <col min="4611" max="4611" width="22.7109375" customWidth="1"/>
    <col min="4612" max="4612" width="19.28515625" customWidth="1"/>
    <col min="4613" max="4613" width="12.28515625" customWidth="1"/>
    <col min="4614" max="4614" width="24.28515625" customWidth="1"/>
    <col min="4615" max="4615" width="1.7109375" customWidth="1"/>
    <col min="4616" max="4616" width="0.28515625" customWidth="1"/>
    <col min="4617" max="4617" width="3.85546875" customWidth="1"/>
    <col min="4618" max="4618" width="15.7109375" customWidth="1"/>
    <col min="4619" max="4619" width="13" customWidth="1"/>
    <col min="4620" max="4620" width="14.140625" customWidth="1"/>
    <col min="4621" max="4621" width="27" customWidth="1"/>
    <col min="4622" max="4622" width="26" customWidth="1"/>
    <col min="4623" max="4623" width="15.28515625" customWidth="1"/>
    <col min="4624" max="4624" width="20.28515625" customWidth="1"/>
    <col min="4625" max="4625" width="6" customWidth="1"/>
    <col min="4626" max="4626" width="1.28515625" customWidth="1"/>
    <col min="4627" max="4627" width="3.7109375" customWidth="1"/>
    <col min="4628" max="4628" width="0.28515625" customWidth="1"/>
    <col min="4629" max="4629" width="3.42578125" customWidth="1"/>
    <col min="4865" max="4865" width="3.42578125" customWidth="1"/>
    <col min="4866" max="4866" width="0.5703125" customWidth="1"/>
    <col min="4867" max="4867" width="22.7109375" customWidth="1"/>
    <col min="4868" max="4868" width="19.28515625" customWidth="1"/>
    <col min="4869" max="4869" width="12.28515625" customWidth="1"/>
    <col min="4870" max="4870" width="24.28515625" customWidth="1"/>
    <col min="4871" max="4871" width="1.7109375" customWidth="1"/>
    <col min="4872" max="4872" width="0.28515625" customWidth="1"/>
    <col min="4873" max="4873" width="3.85546875" customWidth="1"/>
    <col min="4874" max="4874" width="15.7109375" customWidth="1"/>
    <col min="4875" max="4875" width="13" customWidth="1"/>
    <col min="4876" max="4876" width="14.140625" customWidth="1"/>
    <col min="4877" max="4877" width="27" customWidth="1"/>
    <col min="4878" max="4878" width="26" customWidth="1"/>
    <col min="4879" max="4879" width="15.28515625" customWidth="1"/>
    <col min="4880" max="4880" width="20.28515625" customWidth="1"/>
    <col min="4881" max="4881" width="6" customWidth="1"/>
    <col min="4882" max="4882" width="1.28515625" customWidth="1"/>
    <col min="4883" max="4883" width="3.7109375" customWidth="1"/>
    <col min="4884" max="4884" width="0.28515625" customWidth="1"/>
    <col min="4885" max="4885" width="3.42578125" customWidth="1"/>
    <col min="5121" max="5121" width="3.42578125" customWidth="1"/>
    <col min="5122" max="5122" width="0.5703125" customWidth="1"/>
    <col min="5123" max="5123" width="22.7109375" customWidth="1"/>
    <col min="5124" max="5124" width="19.28515625" customWidth="1"/>
    <col min="5125" max="5125" width="12.28515625" customWidth="1"/>
    <col min="5126" max="5126" width="24.28515625" customWidth="1"/>
    <col min="5127" max="5127" width="1.7109375" customWidth="1"/>
    <col min="5128" max="5128" width="0.28515625" customWidth="1"/>
    <col min="5129" max="5129" width="3.85546875" customWidth="1"/>
    <col min="5130" max="5130" width="15.7109375" customWidth="1"/>
    <col min="5131" max="5131" width="13" customWidth="1"/>
    <col min="5132" max="5132" width="14.140625" customWidth="1"/>
    <col min="5133" max="5133" width="27" customWidth="1"/>
    <col min="5134" max="5134" width="26" customWidth="1"/>
    <col min="5135" max="5135" width="15.28515625" customWidth="1"/>
    <col min="5136" max="5136" width="20.28515625" customWidth="1"/>
    <col min="5137" max="5137" width="6" customWidth="1"/>
    <col min="5138" max="5138" width="1.28515625" customWidth="1"/>
    <col min="5139" max="5139" width="3.7109375" customWidth="1"/>
    <col min="5140" max="5140" width="0.28515625" customWidth="1"/>
    <col min="5141" max="5141" width="3.42578125" customWidth="1"/>
    <col min="5377" max="5377" width="3.42578125" customWidth="1"/>
    <col min="5378" max="5378" width="0.5703125" customWidth="1"/>
    <col min="5379" max="5379" width="22.7109375" customWidth="1"/>
    <col min="5380" max="5380" width="19.28515625" customWidth="1"/>
    <col min="5381" max="5381" width="12.28515625" customWidth="1"/>
    <col min="5382" max="5382" width="24.28515625" customWidth="1"/>
    <col min="5383" max="5383" width="1.7109375" customWidth="1"/>
    <col min="5384" max="5384" width="0.28515625" customWidth="1"/>
    <col min="5385" max="5385" width="3.85546875" customWidth="1"/>
    <col min="5386" max="5386" width="15.7109375" customWidth="1"/>
    <col min="5387" max="5387" width="13" customWidth="1"/>
    <col min="5388" max="5388" width="14.140625" customWidth="1"/>
    <col min="5389" max="5389" width="27" customWidth="1"/>
    <col min="5390" max="5390" width="26" customWidth="1"/>
    <col min="5391" max="5391" width="15.28515625" customWidth="1"/>
    <col min="5392" max="5392" width="20.28515625" customWidth="1"/>
    <col min="5393" max="5393" width="6" customWidth="1"/>
    <col min="5394" max="5394" width="1.28515625" customWidth="1"/>
    <col min="5395" max="5395" width="3.7109375" customWidth="1"/>
    <col min="5396" max="5396" width="0.28515625" customWidth="1"/>
    <col min="5397" max="5397" width="3.42578125" customWidth="1"/>
    <col min="5633" max="5633" width="3.42578125" customWidth="1"/>
    <col min="5634" max="5634" width="0.5703125" customWidth="1"/>
    <col min="5635" max="5635" width="22.7109375" customWidth="1"/>
    <col min="5636" max="5636" width="19.28515625" customWidth="1"/>
    <col min="5637" max="5637" width="12.28515625" customWidth="1"/>
    <col min="5638" max="5638" width="24.28515625" customWidth="1"/>
    <col min="5639" max="5639" width="1.7109375" customWidth="1"/>
    <col min="5640" max="5640" width="0.28515625" customWidth="1"/>
    <col min="5641" max="5641" width="3.85546875" customWidth="1"/>
    <col min="5642" max="5642" width="15.7109375" customWidth="1"/>
    <col min="5643" max="5643" width="13" customWidth="1"/>
    <col min="5644" max="5644" width="14.140625" customWidth="1"/>
    <col min="5645" max="5645" width="27" customWidth="1"/>
    <col min="5646" max="5646" width="26" customWidth="1"/>
    <col min="5647" max="5647" width="15.28515625" customWidth="1"/>
    <col min="5648" max="5648" width="20.28515625" customWidth="1"/>
    <col min="5649" max="5649" width="6" customWidth="1"/>
    <col min="5650" max="5650" width="1.28515625" customWidth="1"/>
    <col min="5651" max="5651" width="3.7109375" customWidth="1"/>
    <col min="5652" max="5652" width="0.28515625" customWidth="1"/>
    <col min="5653" max="5653" width="3.42578125" customWidth="1"/>
    <col min="5889" max="5889" width="3.42578125" customWidth="1"/>
    <col min="5890" max="5890" width="0.5703125" customWidth="1"/>
    <col min="5891" max="5891" width="22.7109375" customWidth="1"/>
    <col min="5892" max="5892" width="19.28515625" customWidth="1"/>
    <col min="5893" max="5893" width="12.28515625" customWidth="1"/>
    <col min="5894" max="5894" width="24.28515625" customWidth="1"/>
    <col min="5895" max="5895" width="1.7109375" customWidth="1"/>
    <col min="5896" max="5896" width="0.28515625" customWidth="1"/>
    <col min="5897" max="5897" width="3.85546875" customWidth="1"/>
    <col min="5898" max="5898" width="15.7109375" customWidth="1"/>
    <col min="5899" max="5899" width="13" customWidth="1"/>
    <col min="5900" max="5900" width="14.140625" customWidth="1"/>
    <col min="5901" max="5901" width="27" customWidth="1"/>
    <col min="5902" max="5902" width="26" customWidth="1"/>
    <col min="5903" max="5903" width="15.28515625" customWidth="1"/>
    <col min="5904" max="5904" width="20.28515625" customWidth="1"/>
    <col min="5905" max="5905" width="6" customWidth="1"/>
    <col min="5906" max="5906" width="1.28515625" customWidth="1"/>
    <col min="5907" max="5907" width="3.7109375" customWidth="1"/>
    <col min="5908" max="5908" width="0.28515625" customWidth="1"/>
    <col min="5909" max="5909" width="3.42578125" customWidth="1"/>
    <col min="6145" max="6145" width="3.42578125" customWidth="1"/>
    <col min="6146" max="6146" width="0.5703125" customWidth="1"/>
    <col min="6147" max="6147" width="22.7109375" customWidth="1"/>
    <col min="6148" max="6148" width="19.28515625" customWidth="1"/>
    <col min="6149" max="6149" width="12.28515625" customWidth="1"/>
    <col min="6150" max="6150" width="24.28515625" customWidth="1"/>
    <col min="6151" max="6151" width="1.7109375" customWidth="1"/>
    <col min="6152" max="6152" width="0.28515625" customWidth="1"/>
    <col min="6153" max="6153" width="3.85546875" customWidth="1"/>
    <col min="6154" max="6154" width="15.7109375" customWidth="1"/>
    <col min="6155" max="6155" width="13" customWidth="1"/>
    <col min="6156" max="6156" width="14.140625" customWidth="1"/>
    <col min="6157" max="6157" width="27" customWidth="1"/>
    <col min="6158" max="6158" width="26" customWidth="1"/>
    <col min="6159" max="6159" width="15.28515625" customWidth="1"/>
    <col min="6160" max="6160" width="20.28515625" customWidth="1"/>
    <col min="6161" max="6161" width="6" customWidth="1"/>
    <col min="6162" max="6162" width="1.28515625" customWidth="1"/>
    <col min="6163" max="6163" width="3.7109375" customWidth="1"/>
    <col min="6164" max="6164" width="0.28515625" customWidth="1"/>
    <col min="6165" max="6165" width="3.42578125" customWidth="1"/>
    <col min="6401" max="6401" width="3.42578125" customWidth="1"/>
    <col min="6402" max="6402" width="0.5703125" customWidth="1"/>
    <col min="6403" max="6403" width="22.7109375" customWidth="1"/>
    <col min="6404" max="6404" width="19.28515625" customWidth="1"/>
    <col min="6405" max="6405" width="12.28515625" customWidth="1"/>
    <col min="6406" max="6406" width="24.28515625" customWidth="1"/>
    <col min="6407" max="6407" width="1.7109375" customWidth="1"/>
    <col min="6408" max="6408" width="0.28515625" customWidth="1"/>
    <col min="6409" max="6409" width="3.85546875" customWidth="1"/>
    <col min="6410" max="6410" width="15.7109375" customWidth="1"/>
    <col min="6411" max="6411" width="13" customWidth="1"/>
    <col min="6412" max="6412" width="14.140625" customWidth="1"/>
    <col min="6413" max="6413" width="27" customWidth="1"/>
    <col min="6414" max="6414" width="26" customWidth="1"/>
    <col min="6415" max="6415" width="15.28515625" customWidth="1"/>
    <col min="6416" max="6416" width="20.28515625" customWidth="1"/>
    <col min="6417" max="6417" width="6" customWidth="1"/>
    <col min="6418" max="6418" width="1.28515625" customWidth="1"/>
    <col min="6419" max="6419" width="3.7109375" customWidth="1"/>
    <col min="6420" max="6420" width="0.28515625" customWidth="1"/>
    <col min="6421" max="6421" width="3.42578125" customWidth="1"/>
    <col min="6657" max="6657" width="3.42578125" customWidth="1"/>
    <col min="6658" max="6658" width="0.5703125" customWidth="1"/>
    <col min="6659" max="6659" width="22.7109375" customWidth="1"/>
    <col min="6660" max="6660" width="19.28515625" customWidth="1"/>
    <col min="6661" max="6661" width="12.28515625" customWidth="1"/>
    <col min="6662" max="6662" width="24.28515625" customWidth="1"/>
    <col min="6663" max="6663" width="1.7109375" customWidth="1"/>
    <col min="6664" max="6664" width="0.28515625" customWidth="1"/>
    <col min="6665" max="6665" width="3.85546875" customWidth="1"/>
    <col min="6666" max="6666" width="15.7109375" customWidth="1"/>
    <col min="6667" max="6667" width="13" customWidth="1"/>
    <col min="6668" max="6668" width="14.140625" customWidth="1"/>
    <col min="6669" max="6669" width="27" customWidth="1"/>
    <col min="6670" max="6670" width="26" customWidth="1"/>
    <col min="6671" max="6671" width="15.28515625" customWidth="1"/>
    <col min="6672" max="6672" width="20.28515625" customWidth="1"/>
    <col min="6673" max="6673" width="6" customWidth="1"/>
    <col min="6674" max="6674" width="1.28515625" customWidth="1"/>
    <col min="6675" max="6675" width="3.7109375" customWidth="1"/>
    <col min="6676" max="6676" width="0.28515625" customWidth="1"/>
    <col min="6677" max="6677" width="3.42578125" customWidth="1"/>
    <col min="6913" max="6913" width="3.42578125" customWidth="1"/>
    <col min="6914" max="6914" width="0.5703125" customWidth="1"/>
    <col min="6915" max="6915" width="22.7109375" customWidth="1"/>
    <col min="6916" max="6916" width="19.28515625" customWidth="1"/>
    <col min="6917" max="6917" width="12.28515625" customWidth="1"/>
    <col min="6918" max="6918" width="24.28515625" customWidth="1"/>
    <col min="6919" max="6919" width="1.7109375" customWidth="1"/>
    <col min="6920" max="6920" width="0.28515625" customWidth="1"/>
    <col min="6921" max="6921" width="3.85546875" customWidth="1"/>
    <col min="6922" max="6922" width="15.7109375" customWidth="1"/>
    <col min="6923" max="6923" width="13" customWidth="1"/>
    <col min="6924" max="6924" width="14.140625" customWidth="1"/>
    <col min="6925" max="6925" width="27" customWidth="1"/>
    <col min="6926" max="6926" width="26" customWidth="1"/>
    <col min="6927" max="6927" width="15.28515625" customWidth="1"/>
    <col min="6928" max="6928" width="20.28515625" customWidth="1"/>
    <col min="6929" max="6929" width="6" customWidth="1"/>
    <col min="6930" max="6930" width="1.28515625" customWidth="1"/>
    <col min="6931" max="6931" width="3.7109375" customWidth="1"/>
    <col min="6932" max="6932" width="0.28515625" customWidth="1"/>
    <col min="6933" max="6933" width="3.42578125" customWidth="1"/>
    <col min="7169" max="7169" width="3.42578125" customWidth="1"/>
    <col min="7170" max="7170" width="0.5703125" customWidth="1"/>
    <col min="7171" max="7171" width="22.7109375" customWidth="1"/>
    <col min="7172" max="7172" width="19.28515625" customWidth="1"/>
    <col min="7173" max="7173" width="12.28515625" customWidth="1"/>
    <col min="7174" max="7174" width="24.28515625" customWidth="1"/>
    <col min="7175" max="7175" width="1.7109375" customWidth="1"/>
    <col min="7176" max="7176" width="0.28515625" customWidth="1"/>
    <col min="7177" max="7177" width="3.85546875" customWidth="1"/>
    <col min="7178" max="7178" width="15.7109375" customWidth="1"/>
    <col min="7179" max="7179" width="13" customWidth="1"/>
    <col min="7180" max="7180" width="14.140625" customWidth="1"/>
    <col min="7181" max="7181" width="27" customWidth="1"/>
    <col min="7182" max="7182" width="26" customWidth="1"/>
    <col min="7183" max="7183" width="15.28515625" customWidth="1"/>
    <col min="7184" max="7184" width="20.28515625" customWidth="1"/>
    <col min="7185" max="7185" width="6" customWidth="1"/>
    <col min="7186" max="7186" width="1.28515625" customWidth="1"/>
    <col min="7187" max="7187" width="3.7109375" customWidth="1"/>
    <col min="7188" max="7188" width="0.28515625" customWidth="1"/>
    <col min="7189" max="7189" width="3.42578125" customWidth="1"/>
    <col min="7425" max="7425" width="3.42578125" customWidth="1"/>
    <col min="7426" max="7426" width="0.5703125" customWidth="1"/>
    <col min="7427" max="7427" width="22.7109375" customWidth="1"/>
    <col min="7428" max="7428" width="19.28515625" customWidth="1"/>
    <col min="7429" max="7429" width="12.28515625" customWidth="1"/>
    <col min="7430" max="7430" width="24.28515625" customWidth="1"/>
    <col min="7431" max="7431" width="1.7109375" customWidth="1"/>
    <col min="7432" max="7432" width="0.28515625" customWidth="1"/>
    <col min="7433" max="7433" width="3.85546875" customWidth="1"/>
    <col min="7434" max="7434" width="15.7109375" customWidth="1"/>
    <col min="7435" max="7435" width="13" customWidth="1"/>
    <col min="7436" max="7436" width="14.140625" customWidth="1"/>
    <col min="7437" max="7437" width="27" customWidth="1"/>
    <col min="7438" max="7438" width="26" customWidth="1"/>
    <col min="7439" max="7439" width="15.28515625" customWidth="1"/>
    <col min="7440" max="7440" width="20.28515625" customWidth="1"/>
    <col min="7441" max="7441" width="6" customWidth="1"/>
    <col min="7442" max="7442" width="1.28515625" customWidth="1"/>
    <col min="7443" max="7443" width="3.7109375" customWidth="1"/>
    <col min="7444" max="7444" width="0.28515625" customWidth="1"/>
    <col min="7445" max="7445" width="3.42578125" customWidth="1"/>
    <col min="7681" max="7681" width="3.42578125" customWidth="1"/>
    <col min="7682" max="7682" width="0.5703125" customWidth="1"/>
    <col min="7683" max="7683" width="22.7109375" customWidth="1"/>
    <col min="7684" max="7684" width="19.28515625" customWidth="1"/>
    <col min="7685" max="7685" width="12.28515625" customWidth="1"/>
    <col min="7686" max="7686" width="24.28515625" customWidth="1"/>
    <col min="7687" max="7687" width="1.7109375" customWidth="1"/>
    <col min="7688" max="7688" width="0.28515625" customWidth="1"/>
    <col min="7689" max="7689" width="3.85546875" customWidth="1"/>
    <col min="7690" max="7690" width="15.7109375" customWidth="1"/>
    <col min="7691" max="7691" width="13" customWidth="1"/>
    <col min="7692" max="7692" width="14.140625" customWidth="1"/>
    <col min="7693" max="7693" width="27" customWidth="1"/>
    <col min="7694" max="7694" width="26" customWidth="1"/>
    <col min="7695" max="7695" width="15.28515625" customWidth="1"/>
    <col min="7696" max="7696" width="20.28515625" customWidth="1"/>
    <col min="7697" max="7697" width="6" customWidth="1"/>
    <col min="7698" max="7698" width="1.28515625" customWidth="1"/>
    <col min="7699" max="7699" width="3.7109375" customWidth="1"/>
    <col min="7700" max="7700" width="0.28515625" customWidth="1"/>
    <col min="7701" max="7701" width="3.42578125" customWidth="1"/>
    <col min="7937" max="7937" width="3.42578125" customWidth="1"/>
    <col min="7938" max="7938" width="0.5703125" customWidth="1"/>
    <col min="7939" max="7939" width="22.7109375" customWidth="1"/>
    <col min="7940" max="7940" width="19.28515625" customWidth="1"/>
    <col min="7941" max="7941" width="12.28515625" customWidth="1"/>
    <col min="7942" max="7942" width="24.28515625" customWidth="1"/>
    <col min="7943" max="7943" width="1.7109375" customWidth="1"/>
    <col min="7944" max="7944" width="0.28515625" customWidth="1"/>
    <col min="7945" max="7945" width="3.85546875" customWidth="1"/>
    <col min="7946" max="7946" width="15.7109375" customWidth="1"/>
    <col min="7947" max="7947" width="13" customWidth="1"/>
    <col min="7948" max="7948" width="14.140625" customWidth="1"/>
    <col min="7949" max="7949" width="27" customWidth="1"/>
    <col min="7950" max="7950" width="26" customWidth="1"/>
    <col min="7951" max="7951" width="15.28515625" customWidth="1"/>
    <col min="7952" max="7952" width="20.28515625" customWidth="1"/>
    <col min="7953" max="7953" width="6" customWidth="1"/>
    <col min="7954" max="7954" width="1.28515625" customWidth="1"/>
    <col min="7955" max="7955" width="3.7109375" customWidth="1"/>
    <col min="7956" max="7956" width="0.28515625" customWidth="1"/>
    <col min="7957" max="7957" width="3.42578125" customWidth="1"/>
    <col min="8193" max="8193" width="3.42578125" customWidth="1"/>
    <col min="8194" max="8194" width="0.5703125" customWidth="1"/>
    <col min="8195" max="8195" width="22.7109375" customWidth="1"/>
    <col min="8196" max="8196" width="19.28515625" customWidth="1"/>
    <col min="8197" max="8197" width="12.28515625" customWidth="1"/>
    <col min="8198" max="8198" width="24.28515625" customWidth="1"/>
    <col min="8199" max="8199" width="1.7109375" customWidth="1"/>
    <col min="8200" max="8200" width="0.28515625" customWidth="1"/>
    <col min="8201" max="8201" width="3.85546875" customWidth="1"/>
    <col min="8202" max="8202" width="15.7109375" customWidth="1"/>
    <col min="8203" max="8203" width="13" customWidth="1"/>
    <col min="8204" max="8204" width="14.140625" customWidth="1"/>
    <col min="8205" max="8205" width="27" customWidth="1"/>
    <col min="8206" max="8206" width="26" customWidth="1"/>
    <col min="8207" max="8207" width="15.28515625" customWidth="1"/>
    <col min="8208" max="8208" width="20.28515625" customWidth="1"/>
    <col min="8209" max="8209" width="6" customWidth="1"/>
    <col min="8210" max="8210" width="1.28515625" customWidth="1"/>
    <col min="8211" max="8211" width="3.7109375" customWidth="1"/>
    <col min="8212" max="8212" width="0.28515625" customWidth="1"/>
    <col min="8213" max="8213" width="3.42578125" customWidth="1"/>
    <col min="8449" max="8449" width="3.42578125" customWidth="1"/>
    <col min="8450" max="8450" width="0.5703125" customWidth="1"/>
    <col min="8451" max="8451" width="22.7109375" customWidth="1"/>
    <col min="8452" max="8452" width="19.28515625" customWidth="1"/>
    <col min="8453" max="8453" width="12.28515625" customWidth="1"/>
    <col min="8454" max="8454" width="24.28515625" customWidth="1"/>
    <col min="8455" max="8455" width="1.7109375" customWidth="1"/>
    <col min="8456" max="8456" width="0.28515625" customWidth="1"/>
    <col min="8457" max="8457" width="3.85546875" customWidth="1"/>
    <col min="8458" max="8458" width="15.7109375" customWidth="1"/>
    <col min="8459" max="8459" width="13" customWidth="1"/>
    <col min="8460" max="8460" width="14.140625" customWidth="1"/>
    <col min="8461" max="8461" width="27" customWidth="1"/>
    <col min="8462" max="8462" width="26" customWidth="1"/>
    <col min="8463" max="8463" width="15.28515625" customWidth="1"/>
    <col min="8464" max="8464" width="20.28515625" customWidth="1"/>
    <col min="8465" max="8465" width="6" customWidth="1"/>
    <col min="8466" max="8466" width="1.28515625" customWidth="1"/>
    <col min="8467" max="8467" width="3.7109375" customWidth="1"/>
    <col min="8468" max="8468" width="0.28515625" customWidth="1"/>
    <col min="8469" max="8469" width="3.42578125" customWidth="1"/>
    <col min="8705" max="8705" width="3.42578125" customWidth="1"/>
    <col min="8706" max="8706" width="0.5703125" customWidth="1"/>
    <col min="8707" max="8707" width="22.7109375" customWidth="1"/>
    <col min="8708" max="8708" width="19.28515625" customWidth="1"/>
    <col min="8709" max="8709" width="12.28515625" customWidth="1"/>
    <col min="8710" max="8710" width="24.28515625" customWidth="1"/>
    <col min="8711" max="8711" width="1.7109375" customWidth="1"/>
    <col min="8712" max="8712" width="0.28515625" customWidth="1"/>
    <col min="8713" max="8713" width="3.85546875" customWidth="1"/>
    <col min="8714" max="8714" width="15.7109375" customWidth="1"/>
    <col min="8715" max="8715" width="13" customWidth="1"/>
    <col min="8716" max="8716" width="14.140625" customWidth="1"/>
    <col min="8717" max="8717" width="27" customWidth="1"/>
    <col min="8718" max="8718" width="26" customWidth="1"/>
    <col min="8719" max="8719" width="15.28515625" customWidth="1"/>
    <col min="8720" max="8720" width="20.28515625" customWidth="1"/>
    <col min="8721" max="8721" width="6" customWidth="1"/>
    <col min="8722" max="8722" width="1.28515625" customWidth="1"/>
    <col min="8723" max="8723" width="3.7109375" customWidth="1"/>
    <col min="8724" max="8724" width="0.28515625" customWidth="1"/>
    <col min="8725" max="8725" width="3.42578125" customWidth="1"/>
    <col min="8961" max="8961" width="3.42578125" customWidth="1"/>
    <col min="8962" max="8962" width="0.5703125" customWidth="1"/>
    <col min="8963" max="8963" width="22.7109375" customWidth="1"/>
    <col min="8964" max="8964" width="19.28515625" customWidth="1"/>
    <col min="8965" max="8965" width="12.28515625" customWidth="1"/>
    <col min="8966" max="8966" width="24.28515625" customWidth="1"/>
    <col min="8967" max="8967" width="1.7109375" customWidth="1"/>
    <col min="8968" max="8968" width="0.28515625" customWidth="1"/>
    <col min="8969" max="8969" width="3.85546875" customWidth="1"/>
    <col min="8970" max="8970" width="15.7109375" customWidth="1"/>
    <col min="8971" max="8971" width="13" customWidth="1"/>
    <col min="8972" max="8972" width="14.140625" customWidth="1"/>
    <col min="8973" max="8973" width="27" customWidth="1"/>
    <col min="8974" max="8974" width="26" customWidth="1"/>
    <col min="8975" max="8975" width="15.28515625" customWidth="1"/>
    <col min="8976" max="8976" width="20.28515625" customWidth="1"/>
    <col min="8977" max="8977" width="6" customWidth="1"/>
    <col min="8978" max="8978" width="1.28515625" customWidth="1"/>
    <col min="8979" max="8979" width="3.7109375" customWidth="1"/>
    <col min="8980" max="8980" width="0.28515625" customWidth="1"/>
    <col min="8981" max="8981" width="3.42578125" customWidth="1"/>
    <col min="9217" max="9217" width="3.42578125" customWidth="1"/>
    <col min="9218" max="9218" width="0.5703125" customWidth="1"/>
    <col min="9219" max="9219" width="22.7109375" customWidth="1"/>
    <col min="9220" max="9220" width="19.28515625" customWidth="1"/>
    <col min="9221" max="9221" width="12.28515625" customWidth="1"/>
    <col min="9222" max="9222" width="24.28515625" customWidth="1"/>
    <col min="9223" max="9223" width="1.7109375" customWidth="1"/>
    <col min="9224" max="9224" width="0.28515625" customWidth="1"/>
    <col min="9225" max="9225" width="3.85546875" customWidth="1"/>
    <col min="9226" max="9226" width="15.7109375" customWidth="1"/>
    <col min="9227" max="9227" width="13" customWidth="1"/>
    <col min="9228" max="9228" width="14.140625" customWidth="1"/>
    <col min="9229" max="9229" width="27" customWidth="1"/>
    <col min="9230" max="9230" width="26" customWidth="1"/>
    <col min="9231" max="9231" width="15.28515625" customWidth="1"/>
    <col min="9232" max="9232" width="20.28515625" customWidth="1"/>
    <col min="9233" max="9233" width="6" customWidth="1"/>
    <col min="9234" max="9234" width="1.28515625" customWidth="1"/>
    <col min="9235" max="9235" width="3.7109375" customWidth="1"/>
    <col min="9236" max="9236" width="0.28515625" customWidth="1"/>
    <col min="9237" max="9237" width="3.42578125" customWidth="1"/>
    <col min="9473" max="9473" width="3.42578125" customWidth="1"/>
    <col min="9474" max="9474" width="0.5703125" customWidth="1"/>
    <col min="9475" max="9475" width="22.7109375" customWidth="1"/>
    <col min="9476" max="9476" width="19.28515625" customWidth="1"/>
    <col min="9477" max="9477" width="12.28515625" customWidth="1"/>
    <col min="9478" max="9478" width="24.28515625" customWidth="1"/>
    <col min="9479" max="9479" width="1.7109375" customWidth="1"/>
    <col min="9480" max="9480" width="0.28515625" customWidth="1"/>
    <col min="9481" max="9481" width="3.85546875" customWidth="1"/>
    <col min="9482" max="9482" width="15.7109375" customWidth="1"/>
    <col min="9483" max="9483" width="13" customWidth="1"/>
    <col min="9484" max="9484" width="14.140625" customWidth="1"/>
    <col min="9485" max="9485" width="27" customWidth="1"/>
    <col min="9486" max="9486" width="26" customWidth="1"/>
    <col min="9487" max="9487" width="15.28515625" customWidth="1"/>
    <col min="9488" max="9488" width="20.28515625" customWidth="1"/>
    <col min="9489" max="9489" width="6" customWidth="1"/>
    <col min="9490" max="9490" width="1.28515625" customWidth="1"/>
    <col min="9491" max="9491" width="3.7109375" customWidth="1"/>
    <col min="9492" max="9492" width="0.28515625" customWidth="1"/>
    <col min="9493" max="9493" width="3.42578125" customWidth="1"/>
    <col min="9729" max="9729" width="3.42578125" customWidth="1"/>
    <col min="9730" max="9730" width="0.5703125" customWidth="1"/>
    <col min="9731" max="9731" width="22.7109375" customWidth="1"/>
    <col min="9732" max="9732" width="19.28515625" customWidth="1"/>
    <col min="9733" max="9733" width="12.28515625" customWidth="1"/>
    <col min="9734" max="9734" width="24.28515625" customWidth="1"/>
    <col min="9735" max="9735" width="1.7109375" customWidth="1"/>
    <col min="9736" max="9736" width="0.28515625" customWidth="1"/>
    <col min="9737" max="9737" width="3.85546875" customWidth="1"/>
    <col min="9738" max="9738" width="15.7109375" customWidth="1"/>
    <col min="9739" max="9739" width="13" customWidth="1"/>
    <col min="9740" max="9740" width="14.140625" customWidth="1"/>
    <col min="9741" max="9741" width="27" customWidth="1"/>
    <col min="9742" max="9742" width="26" customWidth="1"/>
    <col min="9743" max="9743" width="15.28515625" customWidth="1"/>
    <col min="9744" max="9744" width="20.28515625" customWidth="1"/>
    <col min="9745" max="9745" width="6" customWidth="1"/>
    <col min="9746" max="9746" width="1.28515625" customWidth="1"/>
    <col min="9747" max="9747" width="3.7109375" customWidth="1"/>
    <col min="9748" max="9748" width="0.28515625" customWidth="1"/>
    <col min="9749" max="9749" width="3.42578125" customWidth="1"/>
    <col min="9985" max="9985" width="3.42578125" customWidth="1"/>
    <col min="9986" max="9986" width="0.5703125" customWidth="1"/>
    <col min="9987" max="9987" width="22.7109375" customWidth="1"/>
    <col min="9988" max="9988" width="19.28515625" customWidth="1"/>
    <col min="9989" max="9989" width="12.28515625" customWidth="1"/>
    <col min="9990" max="9990" width="24.28515625" customWidth="1"/>
    <col min="9991" max="9991" width="1.7109375" customWidth="1"/>
    <col min="9992" max="9992" width="0.28515625" customWidth="1"/>
    <col min="9993" max="9993" width="3.85546875" customWidth="1"/>
    <col min="9994" max="9994" width="15.7109375" customWidth="1"/>
    <col min="9995" max="9995" width="13" customWidth="1"/>
    <col min="9996" max="9996" width="14.140625" customWidth="1"/>
    <col min="9997" max="9997" width="27" customWidth="1"/>
    <col min="9998" max="9998" width="26" customWidth="1"/>
    <col min="9999" max="9999" width="15.28515625" customWidth="1"/>
    <col min="10000" max="10000" width="20.28515625" customWidth="1"/>
    <col min="10001" max="10001" width="6" customWidth="1"/>
    <col min="10002" max="10002" width="1.28515625" customWidth="1"/>
    <col min="10003" max="10003" width="3.7109375" customWidth="1"/>
    <col min="10004" max="10004" width="0.28515625" customWidth="1"/>
    <col min="10005" max="10005" width="3.42578125" customWidth="1"/>
    <col min="10241" max="10241" width="3.42578125" customWidth="1"/>
    <col min="10242" max="10242" width="0.5703125" customWidth="1"/>
    <col min="10243" max="10243" width="22.7109375" customWidth="1"/>
    <col min="10244" max="10244" width="19.28515625" customWidth="1"/>
    <col min="10245" max="10245" width="12.28515625" customWidth="1"/>
    <col min="10246" max="10246" width="24.28515625" customWidth="1"/>
    <col min="10247" max="10247" width="1.7109375" customWidth="1"/>
    <col min="10248" max="10248" width="0.28515625" customWidth="1"/>
    <col min="10249" max="10249" width="3.85546875" customWidth="1"/>
    <col min="10250" max="10250" width="15.7109375" customWidth="1"/>
    <col min="10251" max="10251" width="13" customWidth="1"/>
    <col min="10252" max="10252" width="14.140625" customWidth="1"/>
    <col min="10253" max="10253" width="27" customWidth="1"/>
    <col min="10254" max="10254" width="26" customWidth="1"/>
    <col min="10255" max="10255" width="15.28515625" customWidth="1"/>
    <col min="10256" max="10256" width="20.28515625" customWidth="1"/>
    <col min="10257" max="10257" width="6" customWidth="1"/>
    <col min="10258" max="10258" width="1.28515625" customWidth="1"/>
    <col min="10259" max="10259" width="3.7109375" customWidth="1"/>
    <col min="10260" max="10260" width="0.28515625" customWidth="1"/>
    <col min="10261" max="10261" width="3.42578125" customWidth="1"/>
    <col min="10497" max="10497" width="3.42578125" customWidth="1"/>
    <col min="10498" max="10498" width="0.5703125" customWidth="1"/>
    <col min="10499" max="10499" width="22.7109375" customWidth="1"/>
    <col min="10500" max="10500" width="19.28515625" customWidth="1"/>
    <col min="10501" max="10501" width="12.28515625" customWidth="1"/>
    <col min="10502" max="10502" width="24.28515625" customWidth="1"/>
    <col min="10503" max="10503" width="1.7109375" customWidth="1"/>
    <col min="10504" max="10504" width="0.28515625" customWidth="1"/>
    <col min="10505" max="10505" width="3.85546875" customWidth="1"/>
    <col min="10506" max="10506" width="15.7109375" customWidth="1"/>
    <col min="10507" max="10507" width="13" customWidth="1"/>
    <col min="10508" max="10508" width="14.140625" customWidth="1"/>
    <col min="10509" max="10509" width="27" customWidth="1"/>
    <col min="10510" max="10510" width="26" customWidth="1"/>
    <col min="10511" max="10511" width="15.28515625" customWidth="1"/>
    <col min="10512" max="10512" width="20.28515625" customWidth="1"/>
    <col min="10513" max="10513" width="6" customWidth="1"/>
    <col min="10514" max="10514" width="1.28515625" customWidth="1"/>
    <col min="10515" max="10515" width="3.7109375" customWidth="1"/>
    <col min="10516" max="10516" width="0.28515625" customWidth="1"/>
    <col min="10517" max="10517" width="3.42578125" customWidth="1"/>
    <col min="10753" max="10753" width="3.42578125" customWidth="1"/>
    <col min="10754" max="10754" width="0.5703125" customWidth="1"/>
    <col min="10755" max="10755" width="22.7109375" customWidth="1"/>
    <col min="10756" max="10756" width="19.28515625" customWidth="1"/>
    <col min="10757" max="10757" width="12.28515625" customWidth="1"/>
    <col min="10758" max="10758" width="24.28515625" customWidth="1"/>
    <col min="10759" max="10759" width="1.7109375" customWidth="1"/>
    <col min="10760" max="10760" width="0.28515625" customWidth="1"/>
    <col min="10761" max="10761" width="3.85546875" customWidth="1"/>
    <col min="10762" max="10762" width="15.7109375" customWidth="1"/>
    <col min="10763" max="10763" width="13" customWidth="1"/>
    <col min="10764" max="10764" width="14.140625" customWidth="1"/>
    <col min="10765" max="10765" width="27" customWidth="1"/>
    <col min="10766" max="10766" width="26" customWidth="1"/>
    <col min="10767" max="10767" width="15.28515625" customWidth="1"/>
    <col min="10768" max="10768" width="20.28515625" customWidth="1"/>
    <col min="10769" max="10769" width="6" customWidth="1"/>
    <col min="10770" max="10770" width="1.28515625" customWidth="1"/>
    <col min="10771" max="10771" width="3.7109375" customWidth="1"/>
    <col min="10772" max="10772" width="0.28515625" customWidth="1"/>
    <col min="10773" max="10773" width="3.42578125" customWidth="1"/>
    <col min="11009" max="11009" width="3.42578125" customWidth="1"/>
    <col min="11010" max="11010" width="0.5703125" customWidth="1"/>
    <col min="11011" max="11011" width="22.7109375" customWidth="1"/>
    <col min="11012" max="11012" width="19.28515625" customWidth="1"/>
    <col min="11013" max="11013" width="12.28515625" customWidth="1"/>
    <col min="11014" max="11014" width="24.28515625" customWidth="1"/>
    <col min="11015" max="11015" width="1.7109375" customWidth="1"/>
    <col min="11016" max="11016" width="0.28515625" customWidth="1"/>
    <col min="11017" max="11017" width="3.85546875" customWidth="1"/>
    <col min="11018" max="11018" width="15.7109375" customWidth="1"/>
    <col min="11019" max="11019" width="13" customWidth="1"/>
    <col min="11020" max="11020" width="14.140625" customWidth="1"/>
    <col min="11021" max="11021" width="27" customWidth="1"/>
    <col min="11022" max="11022" width="26" customWidth="1"/>
    <col min="11023" max="11023" width="15.28515625" customWidth="1"/>
    <col min="11024" max="11024" width="20.28515625" customWidth="1"/>
    <col min="11025" max="11025" width="6" customWidth="1"/>
    <col min="11026" max="11026" width="1.28515625" customWidth="1"/>
    <col min="11027" max="11027" width="3.7109375" customWidth="1"/>
    <col min="11028" max="11028" width="0.28515625" customWidth="1"/>
    <col min="11029" max="11029" width="3.42578125" customWidth="1"/>
    <col min="11265" max="11265" width="3.42578125" customWidth="1"/>
    <col min="11266" max="11266" width="0.5703125" customWidth="1"/>
    <col min="11267" max="11267" width="22.7109375" customWidth="1"/>
    <col min="11268" max="11268" width="19.28515625" customWidth="1"/>
    <col min="11269" max="11269" width="12.28515625" customWidth="1"/>
    <col min="11270" max="11270" width="24.28515625" customWidth="1"/>
    <col min="11271" max="11271" width="1.7109375" customWidth="1"/>
    <col min="11272" max="11272" width="0.28515625" customWidth="1"/>
    <col min="11273" max="11273" width="3.85546875" customWidth="1"/>
    <col min="11274" max="11274" width="15.7109375" customWidth="1"/>
    <col min="11275" max="11275" width="13" customWidth="1"/>
    <col min="11276" max="11276" width="14.140625" customWidth="1"/>
    <col min="11277" max="11277" width="27" customWidth="1"/>
    <col min="11278" max="11278" width="26" customWidth="1"/>
    <col min="11279" max="11279" width="15.28515625" customWidth="1"/>
    <col min="11280" max="11280" width="20.28515625" customWidth="1"/>
    <col min="11281" max="11281" width="6" customWidth="1"/>
    <col min="11282" max="11282" width="1.28515625" customWidth="1"/>
    <col min="11283" max="11283" width="3.7109375" customWidth="1"/>
    <col min="11284" max="11284" width="0.28515625" customWidth="1"/>
    <col min="11285" max="11285" width="3.42578125" customWidth="1"/>
    <col min="11521" max="11521" width="3.42578125" customWidth="1"/>
    <col min="11522" max="11522" width="0.5703125" customWidth="1"/>
    <col min="11523" max="11523" width="22.7109375" customWidth="1"/>
    <col min="11524" max="11524" width="19.28515625" customWidth="1"/>
    <col min="11525" max="11525" width="12.28515625" customWidth="1"/>
    <col min="11526" max="11526" width="24.28515625" customWidth="1"/>
    <col min="11527" max="11527" width="1.7109375" customWidth="1"/>
    <col min="11528" max="11528" width="0.28515625" customWidth="1"/>
    <col min="11529" max="11529" width="3.85546875" customWidth="1"/>
    <col min="11530" max="11530" width="15.7109375" customWidth="1"/>
    <col min="11531" max="11531" width="13" customWidth="1"/>
    <col min="11532" max="11532" width="14.140625" customWidth="1"/>
    <col min="11533" max="11533" width="27" customWidth="1"/>
    <col min="11534" max="11534" width="26" customWidth="1"/>
    <col min="11535" max="11535" width="15.28515625" customWidth="1"/>
    <col min="11536" max="11536" width="20.28515625" customWidth="1"/>
    <col min="11537" max="11537" width="6" customWidth="1"/>
    <col min="11538" max="11538" width="1.28515625" customWidth="1"/>
    <col min="11539" max="11539" width="3.7109375" customWidth="1"/>
    <col min="11540" max="11540" width="0.28515625" customWidth="1"/>
    <col min="11541" max="11541" width="3.42578125" customWidth="1"/>
    <col min="11777" max="11777" width="3.42578125" customWidth="1"/>
    <col min="11778" max="11778" width="0.5703125" customWidth="1"/>
    <col min="11779" max="11779" width="22.7109375" customWidth="1"/>
    <col min="11780" max="11780" width="19.28515625" customWidth="1"/>
    <col min="11781" max="11781" width="12.28515625" customWidth="1"/>
    <col min="11782" max="11782" width="24.28515625" customWidth="1"/>
    <col min="11783" max="11783" width="1.7109375" customWidth="1"/>
    <col min="11784" max="11784" width="0.28515625" customWidth="1"/>
    <col min="11785" max="11785" width="3.85546875" customWidth="1"/>
    <col min="11786" max="11786" width="15.7109375" customWidth="1"/>
    <col min="11787" max="11787" width="13" customWidth="1"/>
    <col min="11788" max="11788" width="14.140625" customWidth="1"/>
    <col min="11789" max="11789" width="27" customWidth="1"/>
    <col min="11790" max="11790" width="26" customWidth="1"/>
    <col min="11791" max="11791" width="15.28515625" customWidth="1"/>
    <col min="11792" max="11792" width="20.28515625" customWidth="1"/>
    <col min="11793" max="11793" width="6" customWidth="1"/>
    <col min="11794" max="11794" width="1.28515625" customWidth="1"/>
    <col min="11795" max="11795" width="3.7109375" customWidth="1"/>
    <col min="11796" max="11796" width="0.28515625" customWidth="1"/>
    <col min="11797" max="11797" width="3.42578125" customWidth="1"/>
    <col min="12033" max="12033" width="3.42578125" customWidth="1"/>
    <col min="12034" max="12034" width="0.5703125" customWidth="1"/>
    <col min="12035" max="12035" width="22.7109375" customWidth="1"/>
    <col min="12036" max="12036" width="19.28515625" customWidth="1"/>
    <col min="12037" max="12037" width="12.28515625" customWidth="1"/>
    <col min="12038" max="12038" width="24.28515625" customWidth="1"/>
    <col min="12039" max="12039" width="1.7109375" customWidth="1"/>
    <col min="12040" max="12040" width="0.28515625" customWidth="1"/>
    <col min="12041" max="12041" width="3.85546875" customWidth="1"/>
    <col min="12042" max="12042" width="15.7109375" customWidth="1"/>
    <col min="12043" max="12043" width="13" customWidth="1"/>
    <col min="12044" max="12044" width="14.140625" customWidth="1"/>
    <col min="12045" max="12045" width="27" customWidth="1"/>
    <col min="12046" max="12046" width="26" customWidth="1"/>
    <col min="12047" max="12047" width="15.28515625" customWidth="1"/>
    <col min="12048" max="12048" width="20.28515625" customWidth="1"/>
    <col min="12049" max="12049" width="6" customWidth="1"/>
    <col min="12050" max="12050" width="1.28515625" customWidth="1"/>
    <col min="12051" max="12051" width="3.7109375" customWidth="1"/>
    <col min="12052" max="12052" width="0.28515625" customWidth="1"/>
    <col min="12053" max="12053" width="3.42578125" customWidth="1"/>
    <col min="12289" max="12289" width="3.42578125" customWidth="1"/>
    <col min="12290" max="12290" width="0.5703125" customWidth="1"/>
    <col min="12291" max="12291" width="22.7109375" customWidth="1"/>
    <col min="12292" max="12292" width="19.28515625" customWidth="1"/>
    <col min="12293" max="12293" width="12.28515625" customWidth="1"/>
    <col min="12294" max="12294" width="24.28515625" customWidth="1"/>
    <col min="12295" max="12295" width="1.7109375" customWidth="1"/>
    <col min="12296" max="12296" width="0.28515625" customWidth="1"/>
    <col min="12297" max="12297" width="3.85546875" customWidth="1"/>
    <col min="12298" max="12298" width="15.7109375" customWidth="1"/>
    <col min="12299" max="12299" width="13" customWidth="1"/>
    <col min="12300" max="12300" width="14.140625" customWidth="1"/>
    <col min="12301" max="12301" width="27" customWidth="1"/>
    <col min="12302" max="12302" width="26" customWidth="1"/>
    <col min="12303" max="12303" width="15.28515625" customWidth="1"/>
    <col min="12304" max="12304" width="20.28515625" customWidth="1"/>
    <col min="12305" max="12305" width="6" customWidth="1"/>
    <col min="12306" max="12306" width="1.28515625" customWidth="1"/>
    <col min="12307" max="12307" width="3.7109375" customWidth="1"/>
    <col min="12308" max="12308" width="0.28515625" customWidth="1"/>
    <col min="12309" max="12309" width="3.42578125" customWidth="1"/>
    <col min="12545" max="12545" width="3.42578125" customWidth="1"/>
    <col min="12546" max="12546" width="0.5703125" customWidth="1"/>
    <col min="12547" max="12547" width="22.7109375" customWidth="1"/>
    <col min="12548" max="12548" width="19.28515625" customWidth="1"/>
    <col min="12549" max="12549" width="12.28515625" customWidth="1"/>
    <col min="12550" max="12550" width="24.28515625" customWidth="1"/>
    <col min="12551" max="12551" width="1.7109375" customWidth="1"/>
    <col min="12552" max="12552" width="0.28515625" customWidth="1"/>
    <col min="12553" max="12553" width="3.85546875" customWidth="1"/>
    <col min="12554" max="12554" width="15.7109375" customWidth="1"/>
    <col min="12555" max="12555" width="13" customWidth="1"/>
    <col min="12556" max="12556" width="14.140625" customWidth="1"/>
    <col min="12557" max="12557" width="27" customWidth="1"/>
    <col min="12558" max="12558" width="26" customWidth="1"/>
    <col min="12559" max="12559" width="15.28515625" customWidth="1"/>
    <col min="12560" max="12560" width="20.28515625" customWidth="1"/>
    <col min="12561" max="12561" width="6" customWidth="1"/>
    <col min="12562" max="12562" width="1.28515625" customWidth="1"/>
    <col min="12563" max="12563" width="3.7109375" customWidth="1"/>
    <col min="12564" max="12564" width="0.28515625" customWidth="1"/>
    <col min="12565" max="12565" width="3.42578125" customWidth="1"/>
    <col min="12801" max="12801" width="3.42578125" customWidth="1"/>
    <col min="12802" max="12802" width="0.5703125" customWidth="1"/>
    <col min="12803" max="12803" width="22.7109375" customWidth="1"/>
    <col min="12804" max="12804" width="19.28515625" customWidth="1"/>
    <col min="12805" max="12805" width="12.28515625" customWidth="1"/>
    <col min="12806" max="12806" width="24.28515625" customWidth="1"/>
    <col min="12807" max="12807" width="1.7109375" customWidth="1"/>
    <col min="12808" max="12808" width="0.28515625" customWidth="1"/>
    <col min="12809" max="12809" width="3.85546875" customWidth="1"/>
    <col min="12810" max="12810" width="15.7109375" customWidth="1"/>
    <col min="12811" max="12811" width="13" customWidth="1"/>
    <col min="12812" max="12812" width="14.140625" customWidth="1"/>
    <col min="12813" max="12813" width="27" customWidth="1"/>
    <col min="12814" max="12814" width="26" customWidth="1"/>
    <col min="12815" max="12815" width="15.28515625" customWidth="1"/>
    <col min="12816" max="12816" width="20.28515625" customWidth="1"/>
    <col min="12817" max="12817" width="6" customWidth="1"/>
    <col min="12818" max="12818" width="1.28515625" customWidth="1"/>
    <col min="12819" max="12819" width="3.7109375" customWidth="1"/>
    <col min="12820" max="12820" width="0.28515625" customWidth="1"/>
    <col min="12821" max="12821" width="3.42578125" customWidth="1"/>
    <col min="13057" max="13057" width="3.42578125" customWidth="1"/>
    <col min="13058" max="13058" width="0.5703125" customWidth="1"/>
    <col min="13059" max="13059" width="22.7109375" customWidth="1"/>
    <col min="13060" max="13060" width="19.28515625" customWidth="1"/>
    <col min="13061" max="13061" width="12.28515625" customWidth="1"/>
    <col min="13062" max="13062" width="24.28515625" customWidth="1"/>
    <col min="13063" max="13063" width="1.7109375" customWidth="1"/>
    <col min="13064" max="13064" width="0.28515625" customWidth="1"/>
    <col min="13065" max="13065" width="3.85546875" customWidth="1"/>
    <col min="13066" max="13066" width="15.7109375" customWidth="1"/>
    <col min="13067" max="13067" width="13" customWidth="1"/>
    <col min="13068" max="13068" width="14.140625" customWidth="1"/>
    <col min="13069" max="13069" width="27" customWidth="1"/>
    <col min="13070" max="13070" width="26" customWidth="1"/>
    <col min="13071" max="13071" width="15.28515625" customWidth="1"/>
    <col min="13072" max="13072" width="20.28515625" customWidth="1"/>
    <col min="13073" max="13073" width="6" customWidth="1"/>
    <col min="13074" max="13074" width="1.28515625" customWidth="1"/>
    <col min="13075" max="13075" width="3.7109375" customWidth="1"/>
    <col min="13076" max="13076" width="0.28515625" customWidth="1"/>
    <col min="13077" max="13077" width="3.42578125" customWidth="1"/>
    <col min="13313" max="13313" width="3.42578125" customWidth="1"/>
    <col min="13314" max="13314" width="0.5703125" customWidth="1"/>
    <col min="13315" max="13315" width="22.7109375" customWidth="1"/>
    <col min="13316" max="13316" width="19.28515625" customWidth="1"/>
    <col min="13317" max="13317" width="12.28515625" customWidth="1"/>
    <col min="13318" max="13318" width="24.28515625" customWidth="1"/>
    <col min="13319" max="13319" width="1.7109375" customWidth="1"/>
    <col min="13320" max="13320" width="0.28515625" customWidth="1"/>
    <col min="13321" max="13321" width="3.85546875" customWidth="1"/>
    <col min="13322" max="13322" width="15.7109375" customWidth="1"/>
    <col min="13323" max="13323" width="13" customWidth="1"/>
    <col min="13324" max="13324" width="14.140625" customWidth="1"/>
    <col min="13325" max="13325" width="27" customWidth="1"/>
    <col min="13326" max="13326" width="26" customWidth="1"/>
    <col min="13327" max="13327" width="15.28515625" customWidth="1"/>
    <col min="13328" max="13328" width="20.28515625" customWidth="1"/>
    <col min="13329" max="13329" width="6" customWidth="1"/>
    <col min="13330" max="13330" width="1.28515625" customWidth="1"/>
    <col min="13331" max="13331" width="3.7109375" customWidth="1"/>
    <col min="13332" max="13332" width="0.28515625" customWidth="1"/>
    <col min="13333" max="13333" width="3.42578125" customWidth="1"/>
    <col min="13569" max="13569" width="3.42578125" customWidth="1"/>
    <col min="13570" max="13570" width="0.5703125" customWidth="1"/>
    <col min="13571" max="13571" width="22.7109375" customWidth="1"/>
    <col min="13572" max="13572" width="19.28515625" customWidth="1"/>
    <col min="13573" max="13573" width="12.28515625" customWidth="1"/>
    <col min="13574" max="13574" width="24.28515625" customWidth="1"/>
    <col min="13575" max="13575" width="1.7109375" customWidth="1"/>
    <col min="13576" max="13576" width="0.28515625" customWidth="1"/>
    <col min="13577" max="13577" width="3.85546875" customWidth="1"/>
    <col min="13578" max="13578" width="15.7109375" customWidth="1"/>
    <col min="13579" max="13579" width="13" customWidth="1"/>
    <col min="13580" max="13580" width="14.140625" customWidth="1"/>
    <col min="13581" max="13581" width="27" customWidth="1"/>
    <col min="13582" max="13582" width="26" customWidth="1"/>
    <col min="13583" max="13583" width="15.28515625" customWidth="1"/>
    <col min="13584" max="13584" width="20.28515625" customWidth="1"/>
    <col min="13585" max="13585" width="6" customWidth="1"/>
    <col min="13586" max="13586" width="1.28515625" customWidth="1"/>
    <col min="13587" max="13587" width="3.7109375" customWidth="1"/>
    <col min="13588" max="13588" width="0.28515625" customWidth="1"/>
    <col min="13589" max="13589" width="3.42578125" customWidth="1"/>
    <col min="13825" max="13825" width="3.42578125" customWidth="1"/>
    <col min="13826" max="13826" width="0.5703125" customWidth="1"/>
    <col min="13827" max="13827" width="22.7109375" customWidth="1"/>
    <col min="13828" max="13828" width="19.28515625" customWidth="1"/>
    <col min="13829" max="13829" width="12.28515625" customWidth="1"/>
    <col min="13830" max="13830" width="24.28515625" customWidth="1"/>
    <col min="13831" max="13831" width="1.7109375" customWidth="1"/>
    <col min="13832" max="13832" width="0.28515625" customWidth="1"/>
    <col min="13833" max="13833" width="3.85546875" customWidth="1"/>
    <col min="13834" max="13834" width="15.7109375" customWidth="1"/>
    <col min="13835" max="13835" width="13" customWidth="1"/>
    <col min="13836" max="13836" width="14.140625" customWidth="1"/>
    <col min="13837" max="13837" width="27" customWidth="1"/>
    <col min="13838" max="13838" width="26" customWidth="1"/>
    <col min="13839" max="13839" width="15.28515625" customWidth="1"/>
    <col min="13840" max="13840" width="20.28515625" customWidth="1"/>
    <col min="13841" max="13841" width="6" customWidth="1"/>
    <col min="13842" max="13842" width="1.28515625" customWidth="1"/>
    <col min="13843" max="13843" width="3.7109375" customWidth="1"/>
    <col min="13844" max="13844" width="0.28515625" customWidth="1"/>
    <col min="13845" max="13845" width="3.42578125" customWidth="1"/>
    <col min="14081" max="14081" width="3.42578125" customWidth="1"/>
    <col min="14082" max="14082" width="0.5703125" customWidth="1"/>
    <col min="14083" max="14083" width="22.7109375" customWidth="1"/>
    <col min="14084" max="14084" width="19.28515625" customWidth="1"/>
    <col min="14085" max="14085" width="12.28515625" customWidth="1"/>
    <col min="14086" max="14086" width="24.28515625" customWidth="1"/>
    <col min="14087" max="14087" width="1.7109375" customWidth="1"/>
    <col min="14088" max="14088" width="0.28515625" customWidth="1"/>
    <col min="14089" max="14089" width="3.85546875" customWidth="1"/>
    <col min="14090" max="14090" width="15.7109375" customWidth="1"/>
    <col min="14091" max="14091" width="13" customWidth="1"/>
    <col min="14092" max="14092" width="14.140625" customWidth="1"/>
    <col min="14093" max="14093" width="27" customWidth="1"/>
    <col min="14094" max="14094" width="26" customWidth="1"/>
    <col min="14095" max="14095" width="15.28515625" customWidth="1"/>
    <col min="14096" max="14096" width="20.28515625" customWidth="1"/>
    <col min="14097" max="14097" width="6" customWidth="1"/>
    <col min="14098" max="14098" width="1.28515625" customWidth="1"/>
    <col min="14099" max="14099" width="3.7109375" customWidth="1"/>
    <col min="14100" max="14100" width="0.28515625" customWidth="1"/>
    <col min="14101" max="14101" width="3.42578125" customWidth="1"/>
    <col min="14337" max="14337" width="3.42578125" customWidth="1"/>
    <col min="14338" max="14338" width="0.5703125" customWidth="1"/>
    <col min="14339" max="14339" width="22.7109375" customWidth="1"/>
    <col min="14340" max="14340" width="19.28515625" customWidth="1"/>
    <col min="14341" max="14341" width="12.28515625" customWidth="1"/>
    <col min="14342" max="14342" width="24.28515625" customWidth="1"/>
    <col min="14343" max="14343" width="1.7109375" customWidth="1"/>
    <col min="14344" max="14344" width="0.28515625" customWidth="1"/>
    <col min="14345" max="14345" width="3.85546875" customWidth="1"/>
    <col min="14346" max="14346" width="15.7109375" customWidth="1"/>
    <col min="14347" max="14347" width="13" customWidth="1"/>
    <col min="14348" max="14348" width="14.140625" customWidth="1"/>
    <col min="14349" max="14349" width="27" customWidth="1"/>
    <col min="14350" max="14350" width="26" customWidth="1"/>
    <col min="14351" max="14351" width="15.28515625" customWidth="1"/>
    <col min="14352" max="14352" width="20.28515625" customWidth="1"/>
    <col min="14353" max="14353" width="6" customWidth="1"/>
    <col min="14354" max="14354" width="1.28515625" customWidth="1"/>
    <col min="14355" max="14355" width="3.7109375" customWidth="1"/>
    <col min="14356" max="14356" width="0.28515625" customWidth="1"/>
    <col min="14357" max="14357" width="3.42578125" customWidth="1"/>
    <col min="14593" max="14593" width="3.42578125" customWidth="1"/>
    <col min="14594" max="14594" width="0.5703125" customWidth="1"/>
    <col min="14595" max="14595" width="22.7109375" customWidth="1"/>
    <col min="14596" max="14596" width="19.28515625" customWidth="1"/>
    <col min="14597" max="14597" width="12.28515625" customWidth="1"/>
    <col min="14598" max="14598" width="24.28515625" customWidth="1"/>
    <col min="14599" max="14599" width="1.7109375" customWidth="1"/>
    <col min="14600" max="14600" width="0.28515625" customWidth="1"/>
    <col min="14601" max="14601" width="3.85546875" customWidth="1"/>
    <col min="14602" max="14602" width="15.7109375" customWidth="1"/>
    <col min="14603" max="14603" width="13" customWidth="1"/>
    <col min="14604" max="14604" width="14.140625" customWidth="1"/>
    <col min="14605" max="14605" width="27" customWidth="1"/>
    <col min="14606" max="14606" width="26" customWidth="1"/>
    <col min="14607" max="14607" width="15.28515625" customWidth="1"/>
    <col min="14608" max="14608" width="20.28515625" customWidth="1"/>
    <col min="14609" max="14609" width="6" customWidth="1"/>
    <col min="14610" max="14610" width="1.28515625" customWidth="1"/>
    <col min="14611" max="14611" width="3.7109375" customWidth="1"/>
    <col min="14612" max="14612" width="0.28515625" customWidth="1"/>
    <col min="14613" max="14613" width="3.42578125" customWidth="1"/>
    <col min="14849" max="14849" width="3.42578125" customWidth="1"/>
    <col min="14850" max="14850" width="0.5703125" customWidth="1"/>
    <col min="14851" max="14851" width="22.7109375" customWidth="1"/>
    <col min="14852" max="14852" width="19.28515625" customWidth="1"/>
    <col min="14853" max="14853" width="12.28515625" customWidth="1"/>
    <col min="14854" max="14854" width="24.28515625" customWidth="1"/>
    <col min="14855" max="14855" width="1.7109375" customWidth="1"/>
    <col min="14856" max="14856" width="0.28515625" customWidth="1"/>
    <col min="14857" max="14857" width="3.85546875" customWidth="1"/>
    <col min="14858" max="14858" width="15.7109375" customWidth="1"/>
    <col min="14859" max="14859" width="13" customWidth="1"/>
    <col min="14860" max="14860" width="14.140625" customWidth="1"/>
    <col min="14861" max="14861" width="27" customWidth="1"/>
    <col min="14862" max="14862" width="26" customWidth="1"/>
    <col min="14863" max="14863" width="15.28515625" customWidth="1"/>
    <col min="14864" max="14864" width="20.28515625" customWidth="1"/>
    <col min="14865" max="14865" width="6" customWidth="1"/>
    <col min="14866" max="14866" width="1.28515625" customWidth="1"/>
    <col min="14867" max="14867" width="3.7109375" customWidth="1"/>
    <col min="14868" max="14868" width="0.28515625" customWidth="1"/>
    <col min="14869" max="14869" width="3.42578125" customWidth="1"/>
    <col min="15105" max="15105" width="3.42578125" customWidth="1"/>
    <col min="15106" max="15106" width="0.5703125" customWidth="1"/>
    <col min="15107" max="15107" width="22.7109375" customWidth="1"/>
    <col min="15108" max="15108" width="19.28515625" customWidth="1"/>
    <col min="15109" max="15109" width="12.28515625" customWidth="1"/>
    <col min="15110" max="15110" width="24.28515625" customWidth="1"/>
    <col min="15111" max="15111" width="1.7109375" customWidth="1"/>
    <col min="15112" max="15112" width="0.28515625" customWidth="1"/>
    <col min="15113" max="15113" width="3.85546875" customWidth="1"/>
    <col min="15114" max="15114" width="15.7109375" customWidth="1"/>
    <col min="15115" max="15115" width="13" customWidth="1"/>
    <col min="15116" max="15116" width="14.140625" customWidth="1"/>
    <col min="15117" max="15117" width="27" customWidth="1"/>
    <col min="15118" max="15118" width="26" customWidth="1"/>
    <col min="15119" max="15119" width="15.28515625" customWidth="1"/>
    <col min="15120" max="15120" width="20.28515625" customWidth="1"/>
    <col min="15121" max="15121" width="6" customWidth="1"/>
    <col min="15122" max="15122" width="1.28515625" customWidth="1"/>
    <col min="15123" max="15123" width="3.7109375" customWidth="1"/>
    <col min="15124" max="15124" width="0.28515625" customWidth="1"/>
    <col min="15125" max="15125" width="3.42578125" customWidth="1"/>
    <col min="15361" max="15361" width="3.42578125" customWidth="1"/>
    <col min="15362" max="15362" width="0.5703125" customWidth="1"/>
    <col min="15363" max="15363" width="22.7109375" customWidth="1"/>
    <col min="15364" max="15364" width="19.28515625" customWidth="1"/>
    <col min="15365" max="15365" width="12.28515625" customWidth="1"/>
    <col min="15366" max="15366" width="24.28515625" customWidth="1"/>
    <col min="15367" max="15367" width="1.7109375" customWidth="1"/>
    <col min="15368" max="15368" width="0.28515625" customWidth="1"/>
    <col min="15369" max="15369" width="3.85546875" customWidth="1"/>
    <col min="15370" max="15370" width="15.7109375" customWidth="1"/>
    <col min="15371" max="15371" width="13" customWidth="1"/>
    <col min="15372" max="15372" width="14.140625" customWidth="1"/>
    <col min="15373" max="15373" width="27" customWidth="1"/>
    <col min="15374" max="15374" width="26" customWidth="1"/>
    <col min="15375" max="15375" width="15.28515625" customWidth="1"/>
    <col min="15376" max="15376" width="20.28515625" customWidth="1"/>
    <col min="15377" max="15377" width="6" customWidth="1"/>
    <col min="15378" max="15378" width="1.28515625" customWidth="1"/>
    <col min="15379" max="15379" width="3.7109375" customWidth="1"/>
    <col min="15380" max="15380" width="0.28515625" customWidth="1"/>
    <col min="15381" max="15381" width="3.42578125" customWidth="1"/>
    <col min="15617" max="15617" width="3.42578125" customWidth="1"/>
    <col min="15618" max="15618" width="0.5703125" customWidth="1"/>
    <col min="15619" max="15619" width="22.7109375" customWidth="1"/>
    <col min="15620" max="15620" width="19.28515625" customWidth="1"/>
    <col min="15621" max="15621" width="12.28515625" customWidth="1"/>
    <col min="15622" max="15622" width="24.28515625" customWidth="1"/>
    <col min="15623" max="15623" width="1.7109375" customWidth="1"/>
    <col min="15624" max="15624" width="0.28515625" customWidth="1"/>
    <col min="15625" max="15625" width="3.85546875" customWidth="1"/>
    <col min="15626" max="15626" width="15.7109375" customWidth="1"/>
    <col min="15627" max="15627" width="13" customWidth="1"/>
    <col min="15628" max="15628" width="14.140625" customWidth="1"/>
    <col min="15629" max="15629" width="27" customWidth="1"/>
    <col min="15630" max="15630" width="26" customWidth="1"/>
    <col min="15631" max="15631" width="15.28515625" customWidth="1"/>
    <col min="15632" max="15632" width="20.28515625" customWidth="1"/>
    <col min="15633" max="15633" width="6" customWidth="1"/>
    <col min="15634" max="15634" width="1.28515625" customWidth="1"/>
    <col min="15635" max="15635" width="3.7109375" customWidth="1"/>
    <col min="15636" max="15636" width="0.28515625" customWidth="1"/>
    <col min="15637" max="15637" width="3.42578125" customWidth="1"/>
    <col min="15873" max="15873" width="3.42578125" customWidth="1"/>
    <col min="15874" max="15874" width="0.5703125" customWidth="1"/>
    <col min="15875" max="15875" width="22.7109375" customWidth="1"/>
    <col min="15876" max="15876" width="19.28515625" customWidth="1"/>
    <col min="15877" max="15877" width="12.28515625" customWidth="1"/>
    <col min="15878" max="15878" width="24.28515625" customWidth="1"/>
    <col min="15879" max="15879" width="1.7109375" customWidth="1"/>
    <col min="15880" max="15880" width="0.28515625" customWidth="1"/>
    <col min="15881" max="15881" width="3.85546875" customWidth="1"/>
    <col min="15882" max="15882" width="15.7109375" customWidth="1"/>
    <col min="15883" max="15883" width="13" customWidth="1"/>
    <col min="15884" max="15884" width="14.140625" customWidth="1"/>
    <col min="15885" max="15885" width="27" customWidth="1"/>
    <col min="15886" max="15886" width="26" customWidth="1"/>
    <col min="15887" max="15887" width="15.28515625" customWidth="1"/>
    <col min="15888" max="15888" width="20.28515625" customWidth="1"/>
    <col min="15889" max="15889" width="6" customWidth="1"/>
    <col min="15890" max="15890" width="1.28515625" customWidth="1"/>
    <col min="15891" max="15891" width="3.7109375" customWidth="1"/>
    <col min="15892" max="15892" width="0.28515625" customWidth="1"/>
    <col min="15893" max="15893" width="3.42578125" customWidth="1"/>
    <col min="16129" max="16129" width="3.42578125" customWidth="1"/>
    <col min="16130" max="16130" width="0.5703125" customWidth="1"/>
    <col min="16131" max="16131" width="22.7109375" customWidth="1"/>
    <col min="16132" max="16132" width="19.28515625" customWidth="1"/>
    <col min="16133" max="16133" width="12.28515625" customWidth="1"/>
    <col min="16134" max="16134" width="24.28515625" customWidth="1"/>
    <col min="16135" max="16135" width="1.7109375" customWidth="1"/>
    <col min="16136" max="16136" width="0.28515625" customWidth="1"/>
    <col min="16137" max="16137" width="3.85546875" customWidth="1"/>
    <col min="16138" max="16138" width="15.7109375" customWidth="1"/>
    <col min="16139" max="16139" width="13" customWidth="1"/>
    <col min="16140" max="16140" width="14.140625" customWidth="1"/>
    <col min="16141" max="16141" width="27" customWidth="1"/>
    <col min="16142" max="16142" width="26" customWidth="1"/>
    <col min="16143" max="16143" width="15.28515625" customWidth="1"/>
    <col min="16144" max="16144" width="20.28515625" customWidth="1"/>
    <col min="16145" max="16145" width="6" customWidth="1"/>
    <col min="16146" max="16146" width="1.28515625" customWidth="1"/>
    <col min="16147" max="16147" width="3.7109375" customWidth="1"/>
    <col min="16148" max="16148" width="0.28515625" customWidth="1"/>
    <col min="16149" max="16149" width="3.42578125" customWidth="1"/>
  </cols>
  <sheetData>
    <row r="1" spans="1:21">
      <c r="A1" s="2"/>
      <c r="B1" s="2"/>
      <c r="C1" s="178" t="s">
        <v>0</v>
      </c>
      <c r="D1" s="178"/>
      <c r="E1" s="2"/>
      <c r="F1" s="2"/>
      <c r="G1" s="2"/>
      <c r="H1" s="2"/>
      <c r="I1" s="2"/>
      <c r="J1" s="2"/>
      <c r="K1" s="2"/>
      <c r="L1" s="2"/>
      <c r="M1" s="2"/>
      <c r="N1" s="2"/>
      <c r="O1" s="2"/>
      <c r="P1" s="179" t="s">
        <v>1</v>
      </c>
      <c r="Q1" s="179"/>
      <c r="R1" s="2"/>
      <c r="S1" s="2" t="s">
        <v>2</v>
      </c>
      <c r="T1" s="2"/>
      <c r="U1" s="2"/>
    </row>
    <row r="2" spans="1:21">
      <c r="A2" s="2"/>
      <c r="B2" s="2"/>
      <c r="C2" s="178"/>
      <c r="D2" s="178"/>
      <c r="E2" s="2"/>
      <c r="F2" s="2"/>
      <c r="G2" s="2"/>
      <c r="H2" s="2"/>
      <c r="I2" s="2"/>
      <c r="J2" s="2"/>
      <c r="K2" s="2"/>
      <c r="L2" s="2"/>
      <c r="M2" s="2"/>
      <c r="N2" s="2"/>
      <c r="O2" s="2"/>
      <c r="P2" s="2"/>
      <c r="Q2" s="2"/>
      <c r="R2" s="2"/>
      <c r="S2" s="2"/>
      <c r="T2" s="2"/>
      <c r="U2" s="2"/>
    </row>
    <row r="3" spans="1:21">
      <c r="A3" s="2"/>
      <c r="B3" s="2"/>
      <c r="C3" s="178"/>
      <c r="D3" s="178"/>
      <c r="E3" s="178"/>
      <c r="F3" s="178"/>
      <c r="G3" s="2"/>
      <c r="H3" s="2"/>
      <c r="I3" s="2"/>
      <c r="J3" s="2"/>
      <c r="K3" s="2"/>
      <c r="L3" s="2"/>
      <c r="M3" s="2"/>
      <c r="N3" s="2"/>
      <c r="O3" s="2"/>
      <c r="P3" s="2"/>
      <c r="Q3" s="2"/>
      <c r="R3" s="2"/>
      <c r="S3" s="2"/>
      <c r="T3" s="2"/>
      <c r="U3" s="2"/>
    </row>
    <row r="4" spans="1:21" ht="26.25">
      <c r="A4" s="2"/>
      <c r="B4" s="2"/>
      <c r="C4" s="178"/>
      <c r="D4" s="178"/>
      <c r="E4" s="178"/>
      <c r="F4" s="178"/>
      <c r="G4" s="2"/>
      <c r="H4" s="2"/>
      <c r="I4" s="180" t="s">
        <v>3</v>
      </c>
      <c r="J4" s="180"/>
      <c r="K4" s="180"/>
      <c r="L4" s="180"/>
      <c r="M4" s="180"/>
      <c r="N4" s="180"/>
      <c r="O4" s="180"/>
      <c r="P4" s="180"/>
      <c r="Q4" s="180"/>
      <c r="R4" s="180"/>
      <c r="S4" s="180"/>
      <c r="T4" s="180"/>
      <c r="U4" s="2"/>
    </row>
    <row r="5" spans="1:21">
      <c r="A5" s="2"/>
      <c r="B5" s="2"/>
      <c r="C5" s="178"/>
      <c r="D5" s="178"/>
      <c r="E5" s="178"/>
      <c r="F5" s="178"/>
      <c r="G5" s="2"/>
      <c r="H5" s="2"/>
      <c r="I5" s="2"/>
      <c r="J5" s="2"/>
      <c r="K5" s="2"/>
      <c r="L5" s="2"/>
      <c r="M5" s="2"/>
      <c r="N5" s="2"/>
      <c r="O5" s="2"/>
      <c r="P5" s="2"/>
      <c r="Q5" s="2"/>
      <c r="R5" s="2"/>
      <c r="S5" s="2"/>
      <c r="T5" s="2"/>
      <c r="U5" s="2"/>
    </row>
    <row r="6" spans="1:21" ht="18">
      <c r="A6" s="2"/>
      <c r="B6" s="2"/>
      <c r="C6" s="178"/>
      <c r="D6" s="178"/>
      <c r="E6" s="178"/>
      <c r="F6" s="178"/>
      <c r="G6" s="2"/>
      <c r="H6" s="181" t="s">
        <v>4</v>
      </c>
      <c r="I6" s="181"/>
      <c r="J6" s="181"/>
      <c r="K6" s="181"/>
      <c r="L6" s="181"/>
      <c r="M6" s="181"/>
      <c r="N6" s="181"/>
      <c r="O6" s="181"/>
      <c r="P6" s="181"/>
      <c r="Q6" s="181"/>
      <c r="R6" s="181"/>
      <c r="S6" s="181"/>
      <c r="T6" s="2"/>
      <c r="U6" s="2"/>
    </row>
    <row r="7" spans="1:21">
      <c r="A7" s="2"/>
      <c r="B7" s="2"/>
      <c r="C7" s="178"/>
      <c r="D7" s="178"/>
      <c r="E7" s="178"/>
      <c r="F7" s="178"/>
      <c r="G7" s="2"/>
      <c r="H7" s="2"/>
      <c r="I7" s="2"/>
      <c r="J7" s="2"/>
      <c r="K7" s="2"/>
      <c r="L7" s="2"/>
      <c r="M7" s="2"/>
      <c r="N7" s="2"/>
      <c r="O7" s="2"/>
      <c r="P7" s="2"/>
      <c r="Q7" s="2"/>
      <c r="R7" s="2"/>
      <c r="S7" s="2"/>
      <c r="T7" s="2"/>
      <c r="U7" s="2"/>
    </row>
    <row r="8" spans="1:21">
      <c r="A8" s="2"/>
      <c r="B8" s="2"/>
      <c r="C8" s="178"/>
      <c r="D8" s="178"/>
      <c r="E8" s="178"/>
      <c r="F8" s="178"/>
      <c r="G8" s="2"/>
      <c r="H8" s="181" t="s">
        <v>5</v>
      </c>
      <c r="I8" s="181"/>
      <c r="J8" s="181"/>
      <c r="K8" s="181"/>
      <c r="L8" s="181"/>
      <c r="M8" s="181"/>
      <c r="N8" s="181"/>
      <c r="O8" s="181"/>
      <c r="P8" s="181"/>
      <c r="Q8" s="181"/>
      <c r="R8" s="181"/>
      <c r="S8" s="181"/>
      <c r="T8" s="181"/>
      <c r="U8" s="2"/>
    </row>
    <row r="9" spans="1:21">
      <c r="A9" s="2"/>
      <c r="B9" s="2"/>
      <c r="C9" s="2"/>
      <c r="D9" s="2"/>
      <c r="E9" s="2"/>
      <c r="F9" s="2"/>
      <c r="G9" s="2"/>
      <c r="H9" s="181"/>
      <c r="I9" s="181"/>
      <c r="J9" s="181"/>
      <c r="K9" s="181"/>
      <c r="L9" s="181"/>
      <c r="M9" s="181"/>
      <c r="N9" s="181"/>
      <c r="O9" s="181"/>
      <c r="P9" s="181"/>
      <c r="Q9" s="181"/>
      <c r="R9" s="181"/>
      <c r="S9" s="181"/>
      <c r="T9" s="181"/>
      <c r="U9" s="2"/>
    </row>
    <row r="10" spans="1:21" ht="66" customHeight="1">
      <c r="A10" s="2"/>
      <c r="B10" s="176" t="s">
        <v>6</v>
      </c>
      <c r="C10" s="176"/>
      <c r="D10" s="176" t="s">
        <v>7</v>
      </c>
      <c r="E10" s="176"/>
      <c r="F10" s="176" t="s">
        <v>8</v>
      </c>
      <c r="G10" s="176"/>
      <c r="H10" s="176"/>
      <c r="I10" s="176"/>
      <c r="J10" s="3" t="s">
        <v>9</v>
      </c>
      <c r="K10" s="3" t="s">
        <v>10</v>
      </c>
      <c r="L10" s="3" t="s">
        <v>11</v>
      </c>
      <c r="M10" s="4" t="s">
        <v>12</v>
      </c>
      <c r="N10" s="4" t="s">
        <v>13</v>
      </c>
      <c r="O10" s="177" t="s">
        <v>14</v>
      </c>
      <c r="P10" s="177"/>
      <c r="Q10" s="177" t="s">
        <v>15</v>
      </c>
      <c r="R10" s="177"/>
      <c r="S10" s="177"/>
      <c r="T10" s="177"/>
      <c r="U10" s="2"/>
    </row>
    <row r="11" spans="1:21" ht="30" customHeight="1">
      <c r="A11" s="2"/>
      <c r="B11" s="173" t="s">
        <v>16</v>
      </c>
      <c r="C11" s="173"/>
      <c r="D11" s="174" t="s">
        <v>17</v>
      </c>
      <c r="E11" s="174"/>
      <c r="F11" s="174" t="s">
        <v>18</v>
      </c>
      <c r="G11" s="174"/>
      <c r="H11" s="174"/>
      <c r="I11" s="174"/>
      <c r="J11" s="5" t="s">
        <v>19</v>
      </c>
      <c r="K11" s="5" t="s">
        <v>20</v>
      </c>
      <c r="L11" s="5" t="s">
        <v>21</v>
      </c>
      <c r="M11" s="6" t="s">
        <v>22</v>
      </c>
      <c r="N11" s="6" t="s">
        <v>23</v>
      </c>
      <c r="O11" s="175" t="s">
        <v>22</v>
      </c>
      <c r="P11" s="175"/>
      <c r="Q11" s="175" t="s">
        <v>24</v>
      </c>
      <c r="R11" s="175"/>
      <c r="S11" s="175"/>
      <c r="T11" s="175"/>
      <c r="U11" s="2"/>
    </row>
    <row r="12" spans="1:21" ht="30" customHeight="1">
      <c r="A12" s="2"/>
      <c r="B12" s="173" t="s">
        <v>16</v>
      </c>
      <c r="C12" s="173"/>
      <c r="D12" s="174" t="s">
        <v>25</v>
      </c>
      <c r="E12" s="174"/>
      <c r="F12" s="174" t="s">
        <v>26</v>
      </c>
      <c r="G12" s="174"/>
      <c r="H12" s="174"/>
      <c r="I12" s="174"/>
      <c r="J12" s="5" t="s">
        <v>19</v>
      </c>
      <c r="K12" s="5" t="s">
        <v>20</v>
      </c>
      <c r="L12" s="5" t="s">
        <v>21</v>
      </c>
      <c r="M12" s="6" t="s">
        <v>27</v>
      </c>
      <c r="N12" s="6" t="s">
        <v>23</v>
      </c>
      <c r="O12" s="175" t="s">
        <v>28</v>
      </c>
      <c r="P12" s="175"/>
      <c r="Q12" s="175" t="s">
        <v>29</v>
      </c>
      <c r="R12" s="175"/>
      <c r="S12" s="175"/>
      <c r="T12" s="175"/>
      <c r="U12" s="2"/>
    </row>
    <row r="13" spans="1:21" ht="30" customHeight="1">
      <c r="A13" s="2"/>
      <c r="B13" s="173" t="s">
        <v>30</v>
      </c>
      <c r="C13" s="173"/>
      <c r="D13" s="174" t="s">
        <v>31</v>
      </c>
      <c r="E13" s="174"/>
      <c r="F13" s="174" t="s">
        <v>18</v>
      </c>
      <c r="G13" s="174"/>
      <c r="H13" s="174"/>
      <c r="I13" s="174"/>
      <c r="J13" s="5" t="s">
        <v>19</v>
      </c>
      <c r="K13" s="5" t="s">
        <v>32</v>
      </c>
      <c r="L13" s="5" t="s">
        <v>21</v>
      </c>
      <c r="M13" s="6" t="s">
        <v>22</v>
      </c>
      <c r="N13" s="6" t="s">
        <v>33</v>
      </c>
      <c r="O13" s="175" t="s">
        <v>22</v>
      </c>
      <c r="P13" s="175"/>
      <c r="Q13" s="175" t="s">
        <v>27</v>
      </c>
      <c r="R13" s="175"/>
      <c r="S13" s="175"/>
      <c r="T13" s="175"/>
      <c r="U13" s="2"/>
    </row>
    <row r="14" spans="1:21" ht="30" customHeight="1">
      <c r="A14" s="2"/>
      <c r="B14" s="173" t="s">
        <v>30</v>
      </c>
      <c r="C14" s="173"/>
      <c r="D14" s="174" t="s">
        <v>34</v>
      </c>
      <c r="E14" s="174"/>
      <c r="F14" s="174" t="s">
        <v>26</v>
      </c>
      <c r="G14" s="174"/>
      <c r="H14" s="174"/>
      <c r="I14" s="174"/>
      <c r="J14" s="5" t="s">
        <v>19</v>
      </c>
      <c r="K14" s="5" t="s">
        <v>32</v>
      </c>
      <c r="L14" s="5" t="s">
        <v>21</v>
      </c>
      <c r="M14" s="6" t="s">
        <v>27</v>
      </c>
      <c r="N14" s="6" t="s">
        <v>33</v>
      </c>
      <c r="O14" s="175" t="s">
        <v>28</v>
      </c>
      <c r="P14" s="175"/>
      <c r="Q14" s="175" t="s">
        <v>29</v>
      </c>
      <c r="R14" s="175"/>
      <c r="S14" s="175"/>
      <c r="T14" s="175"/>
      <c r="U14" s="2"/>
    </row>
    <row r="15" spans="1:21" ht="30" customHeight="1">
      <c r="A15" s="2"/>
      <c r="B15" s="173" t="s">
        <v>35</v>
      </c>
      <c r="C15" s="173"/>
      <c r="D15" s="174" t="s">
        <v>36</v>
      </c>
      <c r="E15" s="174"/>
      <c r="F15" s="174" t="s">
        <v>18</v>
      </c>
      <c r="G15" s="174"/>
      <c r="H15" s="174"/>
      <c r="I15" s="174"/>
      <c r="J15" s="5" t="s">
        <v>19</v>
      </c>
      <c r="K15" s="5" t="s">
        <v>20</v>
      </c>
      <c r="L15" s="5" t="s">
        <v>37</v>
      </c>
      <c r="M15" s="6" t="s">
        <v>38</v>
      </c>
      <c r="N15" s="6" t="s">
        <v>39</v>
      </c>
      <c r="O15" s="175" t="s">
        <v>38</v>
      </c>
      <c r="P15" s="175"/>
      <c r="Q15" s="175" t="s">
        <v>40</v>
      </c>
      <c r="R15" s="175"/>
      <c r="S15" s="175"/>
      <c r="T15" s="175"/>
      <c r="U15" s="2"/>
    </row>
    <row r="16" spans="1:21" ht="30" customHeight="1">
      <c r="A16" s="2"/>
      <c r="B16" s="173" t="s">
        <v>35</v>
      </c>
      <c r="C16" s="173"/>
      <c r="D16" s="174" t="s">
        <v>41</v>
      </c>
      <c r="E16" s="174"/>
      <c r="F16" s="174" t="s">
        <v>26</v>
      </c>
      <c r="G16" s="174"/>
      <c r="H16" s="174"/>
      <c r="I16" s="174"/>
      <c r="J16" s="5" t="s">
        <v>19</v>
      </c>
      <c r="K16" s="5" t="s">
        <v>20</v>
      </c>
      <c r="L16" s="5" t="s">
        <v>37</v>
      </c>
      <c r="M16" s="6" t="s">
        <v>42</v>
      </c>
      <c r="N16" s="6" t="s">
        <v>39</v>
      </c>
      <c r="O16" s="175" t="s">
        <v>43</v>
      </c>
      <c r="P16" s="175"/>
      <c r="Q16" s="175" t="s">
        <v>29</v>
      </c>
      <c r="R16" s="175"/>
      <c r="S16" s="175"/>
      <c r="T16" s="175"/>
      <c r="U16" s="2"/>
    </row>
    <row r="17" spans="1:21" ht="30" customHeight="1">
      <c r="A17" s="2"/>
      <c r="B17" s="173" t="s">
        <v>44</v>
      </c>
      <c r="C17" s="173"/>
      <c r="D17" s="174" t="s">
        <v>45</v>
      </c>
      <c r="E17" s="174"/>
      <c r="F17" s="174" t="s">
        <v>26</v>
      </c>
      <c r="G17" s="174"/>
      <c r="H17" s="174"/>
      <c r="I17" s="174"/>
      <c r="J17" s="5" t="s">
        <v>19</v>
      </c>
      <c r="K17" s="5" t="s">
        <v>20</v>
      </c>
      <c r="L17" s="5" t="s">
        <v>46</v>
      </c>
      <c r="M17" s="6" t="s">
        <v>47</v>
      </c>
      <c r="N17" s="6" t="s">
        <v>48</v>
      </c>
      <c r="O17" s="175" t="s">
        <v>47</v>
      </c>
      <c r="P17" s="175"/>
      <c r="Q17" s="175" t="s">
        <v>29</v>
      </c>
      <c r="R17" s="175"/>
      <c r="S17" s="175"/>
      <c r="T17" s="175"/>
      <c r="U17" s="2"/>
    </row>
    <row r="18" spans="1:21" ht="30" customHeight="1">
      <c r="A18" s="2"/>
      <c r="B18" s="173" t="s">
        <v>49</v>
      </c>
      <c r="C18" s="173"/>
      <c r="D18" s="174" t="s">
        <v>50</v>
      </c>
      <c r="E18" s="174"/>
      <c r="F18" s="174" t="s">
        <v>18</v>
      </c>
      <c r="G18" s="174"/>
      <c r="H18" s="174"/>
      <c r="I18" s="174"/>
      <c r="J18" s="5" t="s">
        <v>19</v>
      </c>
      <c r="K18" s="5" t="s">
        <v>20</v>
      </c>
      <c r="L18" s="5" t="s">
        <v>51</v>
      </c>
      <c r="M18" s="6" t="s">
        <v>52</v>
      </c>
      <c r="N18" s="6" t="s">
        <v>53</v>
      </c>
      <c r="O18" s="175" t="s">
        <v>52</v>
      </c>
      <c r="P18" s="175"/>
      <c r="Q18" s="175" t="s">
        <v>54</v>
      </c>
      <c r="R18" s="175"/>
      <c r="S18" s="175"/>
      <c r="T18" s="175"/>
      <c r="U18" s="2"/>
    </row>
    <row r="19" spans="1:21" ht="30" customHeight="1">
      <c r="A19" s="2"/>
      <c r="B19" s="173" t="s">
        <v>49</v>
      </c>
      <c r="C19" s="173"/>
      <c r="D19" s="174" t="s">
        <v>55</v>
      </c>
      <c r="E19" s="174"/>
      <c r="F19" s="174" t="s">
        <v>26</v>
      </c>
      <c r="G19" s="174"/>
      <c r="H19" s="174"/>
      <c r="I19" s="174"/>
      <c r="J19" s="5" t="s">
        <v>19</v>
      </c>
      <c r="K19" s="5" t="s">
        <v>20</v>
      </c>
      <c r="L19" s="5" t="s">
        <v>51</v>
      </c>
      <c r="M19" s="6" t="s">
        <v>56</v>
      </c>
      <c r="N19" s="6" t="s">
        <v>53</v>
      </c>
      <c r="O19" s="175" t="s">
        <v>57</v>
      </c>
      <c r="P19" s="175"/>
      <c r="Q19" s="175" t="s">
        <v>29</v>
      </c>
      <c r="R19" s="175"/>
      <c r="S19" s="175"/>
      <c r="T19" s="175"/>
      <c r="U19" s="2"/>
    </row>
    <row r="20" spans="1:21" ht="30" customHeight="1">
      <c r="A20" s="2"/>
      <c r="B20" s="173" t="s">
        <v>58</v>
      </c>
      <c r="C20" s="173"/>
      <c r="D20" s="174" t="s">
        <v>59</v>
      </c>
      <c r="E20" s="174"/>
      <c r="F20" s="174" t="s">
        <v>18</v>
      </c>
      <c r="G20" s="174"/>
      <c r="H20" s="174"/>
      <c r="I20" s="174"/>
      <c r="J20" s="5" t="s">
        <v>19</v>
      </c>
      <c r="K20" s="5" t="s">
        <v>20</v>
      </c>
      <c r="L20" s="5" t="s">
        <v>60</v>
      </c>
      <c r="M20" s="6" t="s">
        <v>61</v>
      </c>
      <c r="N20" s="6" t="s">
        <v>62</v>
      </c>
      <c r="O20" s="175" t="s">
        <v>61</v>
      </c>
      <c r="P20" s="175"/>
      <c r="Q20" s="175" t="s">
        <v>63</v>
      </c>
      <c r="R20" s="175"/>
      <c r="S20" s="175"/>
      <c r="T20" s="175"/>
      <c r="U20" s="2"/>
    </row>
    <row r="21" spans="1:21" ht="30" customHeight="1">
      <c r="A21" s="2"/>
      <c r="B21" s="173" t="s">
        <v>58</v>
      </c>
      <c r="C21" s="173"/>
      <c r="D21" s="174" t="s">
        <v>64</v>
      </c>
      <c r="E21" s="174"/>
      <c r="F21" s="174" t="s">
        <v>26</v>
      </c>
      <c r="G21" s="174"/>
      <c r="H21" s="174"/>
      <c r="I21" s="174"/>
      <c r="J21" s="5" t="s">
        <v>19</v>
      </c>
      <c r="K21" s="5" t="s">
        <v>20</v>
      </c>
      <c r="L21" s="5" t="s">
        <v>60</v>
      </c>
      <c r="M21" s="6" t="s">
        <v>63</v>
      </c>
      <c r="N21" s="6" t="s">
        <v>62</v>
      </c>
      <c r="O21" s="175" t="s">
        <v>65</v>
      </c>
      <c r="P21" s="175"/>
      <c r="Q21" s="175" t="s">
        <v>29</v>
      </c>
      <c r="R21" s="175"/>
      <c r="S21" s="175"/>
      <c r="T21" s="175"/>
      <c r="U21" s="2"/>
    </row>
    <row r="22" spans="1:21" ht="30" customHeight="1">
      <c r="A22" s="2"/>
      <c r="B22" s="173" t="s">
        <v>66</v>
      </c>
      <c r="C22" s="173"/>
      <c r="D22" s="174" t="s">
        <v>67</v>
      </c>
      <c r="E22" s="174"/>
      <c r="F22" s="174" t="s">
        <v>18</v>
      </c>
      <c r="G22" s="174"/>
      <c r="H22" s="174"/>
      <c r="I22" s="174"/>
      <c r="J22" s="5" t="s">
        <v>19</v>
      </c>
      <c r="K22" s="5" t="s">
        <v>20</v>
      </c>
      <c r="L22" s="5" t="s">
        <v>60</v>
      </c>
      <c r="M22" s="6" t="s">
        <v>68</v>
      </c>
      <c r="N22" s="6" t="s">
        <v>69</v>
      </c>
      <c r="O22" s="175" t="s">
        <v>68</v>
      </c>
      <c r="P22" s="175"/>
      <c r="Q22" s="175" t="s">
        <v>70</v>
      </c>
      <c r="R22" s="175"/>
      <c r="S22" s="175"/>
      <c r="T22" s="175"/>
      <c r="U22" s="2"/>
    </row>
    <row r="23" spans="1:21" ht="30" customHeight="1">
      <c r="A23" s="2"/>
      <c r="B23" s="173" t="s">
        <v>66</v>
      </c>
      <c r="C23" s="173"/>
      <c r="D23" s="174" t="s">
        <v>71</v>
      </c>
      <c r="E23" s="174"/>
      <c r="F23" s="174" t="s">
        <v>26</v>
      </c>
      <c r="G23" s="174"/>
      <c r="H23" s="174"/>
      <c r="I23" s="174"/>
      <c r="J23" s="5" t="s">
        <v>19</v>
      </c>
      <c r="K23" s="5" t="s">
        <v>20</v>
      </c>
      <c r="L23" s="5" t="s">
        <v>60</v>
      </c>
      <c r="M23" s="6" t="s">
        <v>72</v>
      </c>
      <c r="N23" s="6" t="s">
        <v>69</v>
      </c>
      <c r="O23" s="175" t="s">
        <v>73</v>
      </c>
      <c r="P23" s="175"/>
      <c r="Q23" s="175" t="s">
        <v>29</v>
      </c>
      <c r="R23" s="175"/>
      <c r="S23" s="175"/>
      <c r="T23" s="175"/>
      <c r="U23" s="2"/>
    </row>
    <row r="24" spans="1:21" ht="30" customHeight="1">
      <c r="A24" s="2"/>
      <c r="B24" s="173" t="s">
        <v>74</v>
      </c>
      <c r="C24" s="173"/>
      <c r="D24" s="174" t="s">
        <v>75</v>
      </c>
      <c r="E24" s="174"/>
      <c r="F24" s="174" t="s">
        <v>18</v>
      </c>
      <c r="G24" s="174"/>
      <c r="H24" s="174"/>
      <c r="I24" s="174"/>
      <c r="J24" s="5" t="s">
        <v>19</v>
      </c>
      <c r="K24" s="5" t="s">
        <v>32</v>
      </c>
      <c r="L24" s="5" t="s">
        <v>51</v>
      </c>
      <c r="M24" s="6" t="s">
        <v>52</v>
      </c>
      <c r="N24" s="6" t="s">
        <v>76</v>
      </c>
      <c r="O24" s="175" t="s">
        <v>52</v>
      </c>
      <c r="P24" s="175"/>
      <c r="Q24" s="175" t="s">
        <v>56</v>
      </c>
      <c r="R24" s="175"/>
      <c r="S24" s="175"/>
      <c r="T24" s="175"/>
      <c r="U24" s="2"/>
    </row>
    <row r="25" spans="1:21" ht="30" customHeight="1">
      <c r="A25" s="2"/>
      <c r="B25" s="173" t="s">
        <v>74</v>
      </c>
      <c r="C25" s="173"/>
      <c r="D25" s="174" t="s">
        <v>77</v>
      </c>
      <c r="E25" s="174"/>
      <c r="F25" s="174" t="s">
        <v>26</v>
      </c>
      <c r="G25" s="174"/>
      <c r="H25" s="174"/>
      <c r="I25" s="174"/>
      <c r="J25" s="5" t="s">
        <v>19</v>
      </c>
      <c r="K25" s="5" t="s">
        <v>32</v>
      </c>
      <c r="L25" s="5" t="s">
        <v>51</v>
      </c>
      <c r="M25" s="6" t="s">
        <v>56</v>
      </c>
      <c r="N25" s="6" t="s">
        <v>76</v>
      </c>
      <c r="O25" s="175" t="s">
        <v>57</v>
      </c>
      <c r="P25" s="175"/>
      <c r="Q25" s="175" t="s">
        <v>29</v>
      </c>
      <c r="R25" s="175"/>
      <c r="S25" s="175"/>
      <c r="T25" s="175"/>
      <c r="U25" s="2"/>
    </row>
    <row r="26" spans="1:21" ht="30" customHeight="1">
      <c r="A26" s="2"/>
      <c r="B26" s="2"/>
      <c r="C26" s="172" t="s">
        <v>78</v>
      </c>
      <c r="D26" s="172"/>
      <c r="E26" s="172"/>
      <c r="F26" s="172"/>
      <c r="G26" s="172"/>
      <c r="H26" s="172"/>
      <c r="I26" s="172"/>
      <c r="J26" s="172"/>
      <c r="K26" s="172"/>
      <c r="L26" s="172"/>
      <c r="M26" s="172"/>
      <c r="N26" s="172"/>
      <c r="O26" s="172"/>
      <c r="P26" s="172"/>
      <c r="Q26" s="172"/>
      <c r="R26" s="172"/>
      <c r="S26" s="172"/>
      <c r="T26" s="2"/>
      <c r="U26" s="2"/>
    </row>
  </sheetData>
  <mergeCells count="87">
    <mergeCell ref="C1:D2"/>
    <mergeCell ref="P1:Q1"/>
    <mergeCell ref="C3:F8"/>
    <mergeCell ref="I4:T4"/>
    <mergeCell ref="H6:S6"/>
    <mergeCell ref="H8:T9"/>
    <mergeCell ref="B11:C11"/>
    <mergeCell ref="D11:E11"/>
    <mergeCell ref="F11:I11"/>
    <mergeCell ref="O11:P11"/>
    <mergeCell ref="Q11:T11"/>
    <mergeCell ref="B10:C10"/>
    <mergeCell ref="D10:E10"/>
    <mergeCell ref="F10:I10"/>
    <mergeCell ref="O10:P10"/>
    <mergeCell ref="Q10:T10"/>
    <mergeCell ref="B13:C13"/>
    <mergeCell ref="D13:E13"/>
    <mergeCell ref="F13:I13"/>
    <mergeCell ref="O13:P13"/>
    <mergeCell ref="Q13:T13"/>
    <mergeCell ref="B12:C12"/>
    <mergeCell ref="D12:E12"/>
    <mergeCell ref="F12:I12"/>
    <mergeCell ref="O12:P12"/>
    <mergeCell ref="Q12:T12"/>
    <mergeCell ref="B15:C15"/>
    <mergeCell ref="D15:E15"/>
    <mergeCell ref="F15:I15"/>
    <mergeCell ref="O15:P15"/>
    <mergeCell ref="Q15:T15"/>
    <mergeCell ref="B14:C14"/>
    <mergeCell ref="D14:E14"/>
    <mergeCell ref="F14:I14"/>
    <mergeCell ref="O14:P14"/>
    <mergeCell ref="Q14:T14"/>
    <mergeCell ref="B17:C17"/>
    <mergeCell ref="D17:E17"/>
    <mergeCell ref="F17:I17"/>
    <mergeCell ref="O17:P17"/>
    <mergeCell ref="Q17:T17"/>
    <mergeCell ref="B16:C16"/>
    <mergeCell ref="D16:E16"/>
    <mergeCell ref="F16:I16"/>
    <mergeCell ref="O16:P16"/>
    <mergeCell ref="Q16:T16"/>
    <mergeCell ref="B19:C19"/>
    <mergeCell ref="D19:E19"/>
    <mergeCell ref="F19:I19"/>
    <mergeCell ref="O19:P19"/>
    <mergeCell ref="Q19:T19"/>
    <mergeCell ref="B18:C18"/>
    <mergeCell ref="D18:E18"/>
    <mergeCell ref="F18:I18"/>
    <mergeCell ref="O18:P18"/>
    <mergeCell ref="Q18:T18"/>
    <mergeCell ref="B21:C21"/>
    <mergeCell ref="D21:E21"/>
    <mergeCell ref="F21:I21"/>
    <mergeCell ref="O21:P21"/>
    <mergeCell ref="Q21:T21"/>
    <mergeCell ref="B20:C20"/>
    <mergeCell ref="D20:E20"/>
    <mergeCell ref="F20:I20"/>
    <mergeCell ref="O20:P20"/>
    <mergeCell ref="Q20:T20"/>
    <mergeCell ref="B23:C23"/>
    <mergeCell ref="D23:E23"/>
    <mergeCell ref="F23:I23"/>
    <mergeCell ref="O23:P23"/>
    <mergeCell ref="Q23:T23"/>
    <mergeCell ref="B22:C22"/>
    <mergeCell ref="D22:E22"/>
    <mergeCell ref="F22:I22"/>
    <mergeCell ref="O22:P22"/>
    <mergeCell ref="Q22:T22"/>
    <mergeCell ref="C26:S26"/>
    <mergeCell ref="B24:C24"/>
    <mergeCell ref="D24:E24"/>
    <mergeCell ref="F24:I24"/>
    <mergeCell ref="O24:P24"/>
    <mergeCell ref="Q24:T24"/>
    <mergeCell ref="B25:C25"/>
    <mergeCell ref="D25:E25"/>
    <mergeCell ref="F25:I25"/>
    <mergeCell ref="O25:P25"/>
    <mergeCell ref="Q25:T2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72A48-CD3E-4D18-A998-03C11F114A3D}">
  <sheetPr>
    <tabColor rgb="FF92D050"/>
  </sheetPr>
  <dimension ref="A4:L130"/>
  <sheetViews>
    <sheetView showGridLines="0" zoomScale="115" zoomScaleNormal="115" workbookViewId="0">
      <selection activeCell="C25" sqref="C25"/>
    </sheetView>
    <sheetView topLeftCell="A61" zoomScale="130" zoomScaleNormal="130" workbookViewId="1">
      <selection activeCell="C86" sqref="C86"/>
    </sheetView>
  </sheetViews>
  <sheetFormatPr defaultRowHeight="15"/>
  <cols>
    <col min="2" max="2" width="41.42578125" customWidth="1"/>
    <col min="3" max="3" width="22" customWidth="1"/>
    <col min="4" max="4" width="21.42578125" customWidth="1"/>
    <col min="5" max="5" width="13.85546875" customWidth="1"/>
    <col min="6" max="6" width="12.140625" bestFit="1" customWidth="1"/>
    <col min="7" max="7" width="12.28515625" customWidth="1"/>
    <col min="8" max="8" width="11" customWidth="1"/>
    <col min="9" max="9" width="24.85546875" customWidth="1"/>
    <col min="10" max="10" width="12.28515625" bestFit="1" customWidth="1"/>
    <col min="12" max="12" width="16.7109375" customWidth="1"/>
  </cols>
  <sheetData>
    <row r="4" spans="1:8" ht="20.25" thickBot="1">
      <c r="A4" s="53"/>
      <c r="B4" s="54" t="s">
        <v>82</v>
      </c>
      <c r="C4" s="54"/>
      <c r="D4" s="54"/>
      <c r="E4" s="54"/>
      <c r="F4" s="54"/>
      <c r="G4" s="53"/>
      <c r="H4" s="53"/>
    </row>
    <row r="5" spans="1:8" ht="15.75" thickTop="1">
      <c r="A5" s="53"/>
      <c r="B5" s="57"/>
      <c r="C5" s="56"/>
      <c r="D5" s="57"/>
      <c r="E5" s="57"/>
      <c r="F5" s="57"/>
      <c r="G5" s="53"/>
      <c r="H5" s="53"/>
    </row>
    <row r="6" spans="1:8">
      <c r="A6" s="53"/>
      <c r="B6" s="55" t="s">
        <v>200</v>
      </c>
      <c r="C6" s="57"/>
      <c r="D6" s="57"/>
      <c r="E6" s="57"/>
      <c r="F6" s="57"/>
      <c r="G6" s="53"/>
      <c r="H6" s="53"/>
    </row>
    <row r="7" spans="1:8">
      <c r="A7" s="53"/>
      <c r="B7" s="58" t="s">
        <v>149</v>
      </c>
      <c r="C7" s="58" t="s">
        <v>108</v>
      </c>
      <c r="D7" s="58" t="s">
        <v>150</v>
      </c>
      <c r="E7" s="58" t="s">
        <v>148</v>
      </c>
      <c r="F7" s="58" t="s">
        <v>119</v>
      </c>
      <c r="G7" s="58"/>
      <c r="H7" s="53"/>
    </row>
    <row r="8" spans="1:8" ht="30">
      <c r="A8" s="53"/>
      <c r="B8" s="59" t="s">
        <v>196</v>
      </c>
      <c r="C8" s="115">
        <v>783854.3</v>
      </c>
      <c r="D8" s="117">
        <v>5.3900000000000003E-2</v>
      </c>
      <c r="E8" s="116">
        <v>4517</v>
      </c>
      <c r="F8" s="57"/>
      <c r="G8" s="53"/>
      <c r="H8" s="53"/>
    </row>
    <row r="9" spans="1:8" ht="30" customHeight="1">
      <c r="A9" s="53"/>
      <c r="B9" s="59" t="s">
        <v>184</v>
      </c>
      <c r="C9" s="115">
        <v>112233.14</v>
      </c>
      <c r="D9" s="117">
        <v>5.3900000000000003E-2</v>
      </c>
      <c r="E9" s="116">
        <v>647</v>
      </c>
      <c r="F9" s="56"/>
      <c r="G9" s="53"/>
      <c r="H9" s="53"/>
    </row>
    <row r="10" spans="1:8" ht="30" customHeight="1">
      <c r="A10" s="53"/>
      <c r="B10" s="53"/>
      <c r="C10" s="61">
        <f>SUBTOTAL(109,Table6[Value])</f>
        <v>896087.44000000006</v>
      </c>
      <c r="D10" s="62"/>
      <c r="E10" s="63">
        <f>SUBTOTAL(109,Table6[Repayment])</f>
        <v>5164</v>
      </c>
      <c r="F10" s="53"/>
      <c r="G10" s="53"/>
      <c r="H10" s="53"/>
    </row>
    <row r="11" spans="1:8" ht="12.75" customHeight="1">
      <c r="A11" s="53"/>
      <c r="B11" s="53"/>
      <c r="C11" s="64"/>
      <c r="D11" s="65"/>
      <c r="E11" s="53"/>
      <c r="F11" s="53"/>
      <c r="G11" s="53"/>
      <c r="H11" s="53"/>
    </row>
    <row r="12" spans="1:8" ht="15" customHeight="1">
      <c r="A12" s="53"/>
      <c r="B12" s="55"/>
      <c r="C12" s="66"/>
      <c r="D12" s="65"/>
      <c r="E12" s="53"/>
      <c r="F12" s="53"/>
      <c r="G12" s="53"/>
      <c r="H12" s="53"/>
    </row>
    <row r="13" spans="1:8">
      <c r="A13" s="53"/>
      <c r="B13" s="53" t="s">
        <v>123</v>
      </c>
      <c r="C13" s="115">
        <v>21068.5</v>
      </c>
      <c r="D13" s="65"/>
      <c r="E13" s="53"/>
      <c r="F13" s="53"/>
      <c r="G13" s="60"/>
      <c r="H13" s="53"/>
    </row>
    <row r="14" spans="1:8" ht="30">
      <c r="A14" s="53"/>
      <c r="B14" s="59" t="s">
        <v>185</v>
      </c>
      <c r="C14" s="115">
        <v>1430000</v>
      </c>
      <c r="D14" s="163" t="s">
        <v>199</v>
      </c>
      <c r="E14" s="53"/>
      <c r="F14" s="53"/>
      <c r="G14" s="53"/>
      <c r="H14" s="53"/>
    </row>
    <row r="15" spans="1:8">
      <c r="A15" s="53"/>
      <c r="B15" s="53" t="s">
        <v>125</v>
      </c>
      <c r="C15" s="66">
        <f>Table6[[#Totals],[Value]]/C14</f>
        <v>0.62663457342657347</v>
      </c>
      <c r="D15" s="65"/>
      <c r="E15" s="53"/>
      <c r="F15" s="53"/>
      <c r="G15" s="53"/>
      <c r="H15" s="53"/>
    </row>
    <row r="16" spans="1:8" ht="18.75">
      <c r="A16" s="53"/>
      <c r="B16" s="53" t="s">
        <v>151</v>
      </c>
      <c r="C16" s="66">
        <f>C24/C14</f>
        <v>0</v>
      </c>
      <c r="D16" s="67"/>
      <c r="E16" s="53"/>
      <c r="F16" s="68"/>
      <c r="G16" s="53"/>
      <c r="H16" s="53"/>
    </row>
    <row r="17" spans="1:12">
      <c r="A17" s="53"/>
      <c r="B17" s="53" t="s">
        <v>153</v>
      </c>
      <c r="C17" s="66">
        <f>C24/Table6[[#Totals],[Value]]</f>
        <v>0</v>
      </c>
      <c r="D17" s="53"/>
      <c r="E17" s="53"/>
      <c r="F17" s="53"/>
      <c r="G17" s="53"/>
      <c r="H17" s="53"/>
    </row>
    <row r="18" spans="1:12">
      <c r="A18" s="53"/>
      <c r="B18" s="53" t="s">
        <v>99</v>
      </c>
      <c r="C18" s="166">
        <f>C14-Table6[[#Totals],[Value]]</f>
        <v>533912.55999999994</v>
      </c>
      <c r="D18" s="53"/>
      <c r="E18" s="53"/>
      <c r="F18" s="53"/>
      <c r="G18" s="53"/>
      <c r="H18" s="53"/>
    </row>
    <row r="19" spans="1:12">
      <c r="A19" s="53"/>
      <c r="B19" s="53" t="s">
        <v>163</v>
      </c>
      <c r="C19" s="117">
        <v>7.0000000000000007E-2</v>
      </c>
      <c r="D19" s="53"/>
      <c r="E19" s="53"/>
      <c r="F19" s="53"/>
      <c r="G19" s="53"/>
      <c r="H19" s="53"/>
    </row>
    <row r="20" spans="1:12">
      <c r="A20" s="53"/>
      <c r="B20" s="53" t="s">
        <v>164</v>
      </c>
      <c r="C20" s="69">
        <f>C14*C19</f>
        <v>100100.00000000001</v>
      </c>
      <c r="D20" s="53"/>
      <c r="E20" s="53"/>
      <c r="F20" s="53"/>
      <c r="G20" s="53"/>
      <c r="H20" s="53"/>
    </row>
    <row r="21" spans="1:12">
      <c r="A21" s="53"/>
      <c r="B21" s="53"/>
      <c r="C21" s="69"/>
      <c r="D21" s="53"/>
      <c r="E21" s="53"/>
      <c r="F21" s="53"/>
      <c r="G21" s="53"/>
      <c r="H21" s="53"/>
    </row>
    <row r="22" spans="1:12">
      <c r="A22" s="53"/>
      <c r="B22" s="55" t="s">
        <v>186</v>
      </c>
      <c r="C22" s="53"/>
      <c r="D22" s="53"/>
      <c r="E22" s="53"/>
      <c r="F22" s="53"/>
      <c r="G22" s="53"/>
      <c r="H22" s="53"/>
    </row>
    <row r="23" spans="1:12" ht="20.25" customHeight="1">
      <c r="A23" s="53"/>
      <c r="B23" s="53" t="s">
        <v>152</v>
      </c>
      <c r="C23" s="57" t="s">
        <v>84</v>
      </c>
      <c r="D23" s="57" t="s">
        <v>85</v>
      </c>
      <c r="E23" s="57" t="s">
        <v>102</v>
      </c>
      <c r="F23" s="53"/>
      <c r="G23" s="53"/>
      <c r="H23" s="53"/>
    </row>
    <row r="24" spans="1:12" ht="20.25" customHeight="1">
      <c r="A24" s="53"/>
      <c r="B24" s="70" t="s">
        <v>81</v>
      </c>
      <c r="C24" s="118">
        <f>0*52</f>
        <v>0</v>
      </c>
      <c r="D24" s="63">
        <f>C24/12</f>
        <v>0</v>
      </c>
      <c r="E24" s="63">
        <f>Table10[[#This Row],[Annually]]/52</f>
        <v>0</v>
      </c>
      <c r="F24" s="53"/>
      <c r="G24" s="53"/>
      <c r="H24" s="53"/>
    </row>
    <row r="25" spans="1:12" ht="20.25" customHeight="1">
      <c r="A25" s="53"/>
      <c r="B25" s="53" t="s">
        <v>154</v>
      </c>
      <c r="C25" s="71">
        <f>('Investment Properties Ongoing'!E7*4) + ('Investment Properties Ongoing'!E8*4)</f>
        <v>9512.7200000000012</v>
      </c>
      <c r="D25" s="63">
        <f t="shared" ref="D25:D30" si="0">C25/12</f>
        <v>792.7266666666668</v>
      </c>
      <c r="E25" s="63">
        <f>C25/52</f>
        <v>182.93692307692311</v>
      </c>
      <c r="F25" s="53"/>
      <c r="G25" s="53"/>
      <c r="H25" s="53"/>
    </row>
    <row r="26" spans="1:12" ht="20.25" customHeight="1">
      <c r="A26" s="53"/>
      <c r="B26" s="53" t="s">
        <v>87</v>
      </c>
      <c r="C26" s="71">
        <f>'Investment Properties Ongoing'!E9*4</f>
        <v>5097.8</v>
      </c>
      <c r="D26" s="63">
        <f t="shared" si="0"/>
        <v>424.81666666666666</v>
      </c>
      <c r="E26" s="71">
        <f>C26/52</f>
        <v>98.034615384615392</v>
      </c>
      <c r="F26" s="53"/>
      <c r="G26" s="68"/>
      <c r="H26" s="68"/>
    </row>
    <row r="27" spans="1:12" ht="20.25" customHeight="1">
      <c r="A27" s="53"/>
      <c r="B27" s="53" t="s">
        <v>88</v>
      </c>
      <c r="C27" s="72"/>
      <c r="D27" s="73"/>
      <c r="E27" s="63"/>
      <c r="F27" s="53"/>
      <c r="G27" s="53"/>
      <c r="H27" s="53"/>
    </row>
    <row r="28" spans="1:12" ht="20.25" customHeight="1">
      <c r="A28" s="53"/>
      <c r="B28" s="53" t="s">
        <v>89</v>
      </c>
      <c r="C28" s="74">
        <v>0</v>
      </c>
      <c r="D28" s="75"/>
      <c r="E28" s="62"/>
      <c r="F28" s="53"/>
      <c r="G28" s="53"/>
      <c r="H28" s="53"/>
    </row>
    <row r="29" spans="1:12" ht="20.25" customHeight="1">
      <c r="A29" s="53"/>
      <c r="B29" s="53" t="s">
        <v>90</v>
      </c>
      <c r="C29" s="76">
        <f>C24*C28</f>
        <v>0</v>
      </c>
      <c r="D29" s="77">
        <f t="shared" si="0"/>
        <v>0</v>
      </c>
      <c r="E29" s="77">
        <f>C29/52</f>
        <v>0</v>
      </c>
      <c r="F29" s="53"/>
      <c r="G29" s="53"/>
      <c r="H29" s="53"/>
    </row>
    <row r="30" spans="1:12" ht="20.25" customHeight="1">
      <c r="A30" s="53"/>
      <c r="B30" s="53" t="s">
        <v>91</v>
      </c>
      <c r="C30" s="78">
        <f>Table6[[#Totals],[Repayment]]*12</f>
        <v>61968</v>
      </c>
      <c r="D30" s="77">
        <f t="shared" si="0"/>
        <v>5164</v>
      </c>
      <c r="E30" s="77">
        <f>C30/52</f>
        <v>1191.6923076923076</v>
      </c>
      <c r="F30" s="53"/>
      <c r="G30" s="53"/>
      <c r="H30" s="53"/>
    </row>
    <row r="31" spans="1:12" ht="20.25" customHeight="1">
      <c r="A31" s="53"/>
      <c r="B31" s="53" t="s">
        <v>159</v>
      </c>
      <c r="C31" s="78">
        <f>SUM(C25,C26,C27,C29,C30)</f>
        <v>76578.52</v>
      </c>
      <c r="D31" s="77">
        <f>Table10[[#This Row],[Annually]]/12</f>
        <v>6381.543333333334</v>
      </c>
      <c r="E31" s="77">
        <f>Table10[[#This Row],[Annually]]/52</f>
        <v>1472.6638461538462</v>
      </c>
      <c r="F31" s="53"/>
      <c r="G31" s="53"/>
      <c r="H31" s="53"/>
      <c r="J31" s="14"/>
    </row>
    <row r="32" spans="1:12" ht="18.75">
      <c r="A32" s="53"/>
      <c r="B32" s="79" t="s">
        <v>155</v>
      </c>
      <c r="C32" s="80">
        <f>C24-C31</f>
        <v>-76578.52</v>
      </c>
      <c r="D32" s="80">
        <f>C32/12</f>
        <v>-6381.543333333334</v>
      </c>
      <c r="E32" s="80">
        <f>C32/52</f>
        <v>-1472.6638461538462</v>
      </c>
      <c r="F32" s="53"/>
      <c r="G32" s="53"/>
      <c r="H32" s="53"/>
      <c r="J32" s="113"/>
      <c r="K32" s="22"/>
      <c r="L32" s="22"/>
    </row>
    <row r="33" spans="1:12" ht="21">
      <c r="A33" s="53"/>
      <c r="B33" s="81"/>
      <c r="C33" s="81"/>
      <c r="D33" s="53"/>
      <c r="E33" s="53"/>
      <c r="F33" s="82"/>
      <c r="G33" s="53"/>
      <c r="H33" s="53"/>
    </row>
    <row r="34" spans="1:12" ht="21">
      <c r="B34" s="10"/>
      <c r="C34" s="10"/>
      <c r="D34" s="1"/>
      <c r="E34" s="1"/>
      <c r="F34" s="1"/>
    </row>
    <row r="35" spans="1:12">
      <c r="B35" s="1"/>
      <c r="C35" s="1"/>
      <c r="D35" s="1"/>
      <c r="E35" s="1"/>
      <c r="F35" s="1"/>
      <c r="J35" s="14"/>
      <c r="L35" s="14"/>
    </row>
    <row r="36" spans="1:12" ht="20.25" thickBot="1">
      <c r="A36" s="129"/>
      <c r="B36" s="130" t="s">
        <v>93</v>
      </c>
      <c r="C36" s="130"/>
      <c r="D36" s="130"/>
      <c r="E36" s="130"/>
      <c r="F36" s="130"/>
      <c r="G36" s="129"/>
      <c r="H36" s="129"/>
    </row>
    <row r="37" spans="1:12" ht="15.75" thickTop="1">
      <c r="A37" s="129"/>
      <c r="B37" s="131" t="s">
        <v>204</v>
      </c>
      <c r="C37" s="132"/>
      <c r="D37" s="129"/>
      <c r="E37" s="129"/>
      <c r="F37" s="129"/>
      <c r="G37" s="129"/>
      <c r="H37" s="129"/>
    </row>
    <row r="38" spans="1:12" ht="21">
      <c r="A38" s="129"/>
      <c r="B38" s="131"/>
      <c r="C38" s="133"/>
      <c r="D38" s="129"/>
      <c r="E38" s="129"/>
      <c r="F38" s="129"/>
      <c r="G38" s="129"/>
      <c r="H38" s="129"/>
    </row>
    <row r="39" spans="1:12">
      <c r="A39" s="129"/>
      <c r="B39" s="134" t="s">
        <v>149</v>
      </c>
      <c r="C39" s="134" t="s">
        <v>108</v>
      </c>
      <c r="D39" s="134" t="s">
        <v>150</v>
      </c>
      <c r="E39" s="134" t="s">
        <v>148</v>
      </c>
      <c r="F39" s="134" t="s">
        <v>119</v>
      </c>
      <c r="G39" s="129"/>
      <c r="H39" s="129"/>
    </row>
    <row r="40" spans="1:12" ht="30">
      <c r="A40" s="129"/>
      <c r="B40" s="135" t="s">
        <v>206</v>
      </c>
      <c r="C40" s="136">
        <v>620000</v>
      </c>
      <c r="D40" s="137">
        <v>5.8400000000000001E-2</v>
      </c>
      <c r="E40" s="138">
        <v>3075.2</v>
      </c>
      <c r="F40" s="132">
        <v>47198</v>
      </c>
      <c r="G40" s="129"/>
      <c r="H40" s="129"/>
    </row>
    <row r="41" spans="1:12" ht="45">
      <c r="A41" s="129"/>
      <c r="B41" s="135" t="s">
        <v>205</v>
      </c>
      <c r="C41" s="136">
        <v>35000</v>
      </c>
      <c r="D41" s="137">
        <v>5.8400000000000001E-2</v>
      </c>
      <c r="E41" s="138">
        <v>173.6</v>
      </c>
      <c r="F41" s="132">
        <v>47198</v>
      </c>
      <c r="G41" s="129"/>
      <c r="H41" s="129"/>
    </row>
    <row r="42" spans="1:12">
      <c r="A42" s="129"/>
      <c r="B42" s="129"/>
      <c r="C42" s="139">
        <f>SUBTOTAL(109,Table612[Value])</f>
        <v>655000</v>
      </c>
      <c r="D42" s="140"/>
      <c r="E42" s="141">
        <f>SUBTOTAL(109,Table612[Repayment])</f>
        <v>3248.7999999999997</v>
      </c>
      <c r="F42" s="129"/>
      <c r="G42" s="129"/>
      <c r="H42" s="129"/>
    </row>
    <row r="43" spans="1:12">
      <c r="A43" s="129"/>
      <c r="B43" s="129"/>
      <c r="C43" s="142"/>
      <c r="D43" s="143"/>
      <c r="E43" s="129"/>
      <c r="F43" s="129"/>
      <c r="G43" s="129"/>
      <c r="H43" s="129"/>
    </row>
    <row r="44" spans="1:12">
      <c r="A44" s="129"/>
      <c r="B44" s="129"/>
      <c r="C44" s="142"/>
      <c r="D44" s="143"/>
      <c r="E44" s="129"/>
      <c r="F44" s="129"/>
      <c r="G44" s="129"/>
      <c r="H44" s="129"/>
    </row>
    <row r="45" spans="1:12">
      <c r="A45" s="129"/>
      <c r="B45" s="129" t="s">
        <v>173</v>
      </c>
      <c r="C45" s="144">
        <v>40268.19</v>
      </c>
      <c r="D45" s="129"/>
      <c r="E45" s="129"/>
      <c r="F45" s="129"/>
      <c r="G45" s="129"/>
      <c r="H45" s="129"/>
    </row>
    <row r="46" spans="1:12" ht="30">
      <c r="A46" s="129"/>
      <c r="B46" s="135" t="s">
        <v>187</v>
      </c>
      <c r="C46" s="144">
        <v>1380000</v>
      </c>
      <c r="D46" s="162" t="s">
        <v>199</v>
      </c>
      <c r="E46" s="129"/>
      <c r="F46" s="129"/>
      <c r="G46" s="129"/>
      <c r="H46" s="129"/>
    </row>
    <row r="47" spans="1:12">
      <c r="A47" s="129"/>
      <c r="B47" s="129" t="s">
        <v>125</v>
      </c>
      <c r="C47" s="145">
        <f>Table612[[#Totals],[Value]]/C46</f>
        <v>0.47463768115942029</v>
      </c>
      <c r="D47" s="129"/>
      <c r="E47" s="129"/>
      <c r="F47" s="129"/>
      <c r="G47" s="129"/>
      <c r="H47" s="129"/>
    </row>
    <row r="48" spans="1:12">
      <c r="A48" s="129"/>
      <c r="B48" s="129" t="s">
        <v>151</v>
      </c>
      <c r="C48" s="145">
        <f>C56/C46</f>
        <v>2.6753623188405799E-2</v>
      </c>
      <c r="D48" s="129"/>
      <c r="E48" s="129"/>
      <c r="F48" s="146"/>
      <c r="G48" s="129"/>
      <c r="H48" s="129"/>
    </row>
    <row r="49" spans="1:12">
      <c r="A49" s="129"/>
      <c r="B49" s="129" t="s">
        <v>153</v>
      </c>
      <c r="C49" s="145">
        <f>C56/Table612[[#Totals],[Value]]</f>
        <v>5.6366412213740461E-2</v>
      </c>
      <c r="D49" s="129"/>
      <c r="E49" s="129"/>
      <c r="F49" s="129"/>
      <c r="G49" s="129"/>
      <c r="H49" s="129"/>
    </row>
    <row r="50" spans="1:12">
      <c r="A50" s="129"/>
      <c r="B50" s="129" t="s">
        <v>99</v>
      </c>
      <c r="C50" s="165">
        <f>C46-Table612[[#Totals],[Value]]</f>
        <v>725000</v>
      </c>
      <c r="D50" s="129"/>
      <c r="E50" s="129"/>
      <c r="F50" s="129"/>
      <c r="G50" s="129"/>
      <c r="H50" s="129"/>
    </row>
    <row r="51" spans="1:12">
      <c r="A51" s="129"/>
      <c r="B51" s="129" t="s">
        <v>163</v>
      </c>
      <c r="C51" s="148">
        <v>7.0000000000000007E-2</v>
      </c>
      <c r="D51" s="129"/>
      <c r="E51" s="129"/>
      <c r="F51" s="129"/>
      <c r="G51" s="129"/>
      <c r="H51" s="129"/>
    </row>
    <row r="52" spans="1:12">
      <c r="A52" s="129"/>
      <c r="B52" s="129" t="s">
        <v>164</v>
      </c>
      <c r="C52" s="147">
        <f>C46*C51</f>
        <v>96600.000000000015</v>
      </c>
      <c r="D52" s="129"/>
      <c r="E52" s="129"/>
      <c r="F52" s="129"/>
      <c r="G52" s="129"/>
      <c r="H52" s="129"/>
    </row>
    <row r="53" spans="1:12">
      <c r="A53" s="129"/>
      <c r="B53" s="129"/>
      <c r="C53" s="147"/>
      <c r="D53" s="129"/>
      <c r="E53" s="129"/>
      <c r="F53" s="129"/>
      <c r="G53" s="129"/>
      <c r="H53" s="129"/>
    </row>
    <row r="54" spans="1:12" ht="20.25" customHeight="1">
      <c r="A54" s="129"/>
      <c r="B54" s="131" t="s">
        <v>180</v>
      </c>
      <c r="C54" s="129"/>
      <c r="D54" s="129"/>
      <c r="E54" s="129"/>
      <c r="F54" s="129"/>
      <c r="G54" s="129"/>
      <c r="H54" s="129"/>
    </row>
    <row r="55" spans="1:12" ht="20.25" customHeight="1">
      <c r="A55" s="129"/>
      <c r="B55" s="129" t="s">
        <v>152</v>
      </c>
      <c r="C55" s="149" t="s">
        <v>84</v>
      </c>
      <c r="D55" s="149" t="s">
        <v>85</v>
      </c>
      <c r="E55" s="149" t="s">
        <v>102</v>
      </c>
      <c r="F55" s="129"/>
      <c r="G55" s="129"/>
      <c r="H55" s="129"/>
    </row>
    <row r="56" spans="1:12" ht="20.25" customHeight="1">
      <c r="A56" s="129"/>
      <c r="B56" s="150" t="s">
        <v>81</v>
      </c>
      <c r="C56" s="151">
        <f>710*52</f>
        <v>36920</v>
      </c>
      <c r="D56" s="141">
        <f>C56/12</f>
        <v>3076.6666666666665</v>
      </c>
      <c r="E56" s="141">
        <f>Table1014[[#This Row],[Annually]]/52</f>
        <v>710</v>
      </c>
      <c r="F56" s="129"/>
      <c r="G56" s="146"/>
      <c r="H56" s="146"/>
    </row>
    <row r="57" spans="1:12" ht="20.25" customHeight="1">
      <c r="A57" s="129"/>
      <c r="B57" s="129" t="s">
        <v>154</v>
      </c>
      <c r="C57" s="152">
        <f>('Investment Properties Ongoing'!E18*4) +('Investment Properties Ongoing'!E19*4)</f>
        <v>3943.12</v>
      </c>
      <c r="D57" s="141">
        <f t="shared" ref="D57:D58" si="1">C57/12</f>
        <v>328.59333333333331</v>
      </c>
      <c r="E57" s="141">
        <f>C57/52</f>
        <v>75.829230769230762</v>
      </c>
      <c r="F57" s="129"/>
      <c r="G57" s="129"/>
      <c r="H57" s="129"/>
    </row>
    <row r="58" spans="1:12" ht="20.25" customHeight="1">
      <c r="A58" s="129"/>
      <c r="B58" s="129" t="s">
        <v>87</v>
      </c>
      <c r="C58" s="152">
        <f>'Investment Properties Ongoing'!E36*4</f>
        <v>0</v>
      </c>
      <c r="D58" s="141">
        <f t="shared" si="1"/>
        <v>0</v>
      </c>
      <c r="E58" s="152">
        <f>C58/52</f>
        <v>0</v>
      </c>
      <c r="F58" s="129"/>
      <c r="G58" s="129"/>
      <c r="H58" s="129"/>
    </row>
    <row r="59" spans="1:12" ht="20.25" customHeight="1">
      <c r="A59" s="129"/>
      <c r="B59" s="129" t="s">
        <v>88</v>
      </c>
      <c r="C59" s="153">
        <f>C46*0.005</f>
        <v>6900</v>
      </c>
      <c r="D59" s="154"/>
      <c r="E59" s="141"/>
      <c r="F59" s="129"/>
      <c r="G59" s="129"/>
      <c r="H59" s="129"/>
    </row>
    <row r="60" spans="1:12" ht="20.25" customHeight="1">
      <c r="A60" s="129"/>
      <c r="B60" s="129" t="s">
        <v>89</v>
      </c>
      <c r="C60" s="155">
        <v>8.2500000000000004E-2</v>
      </c>
      <c r="D60" s="156"/>
      <c r="E60" s="140"/>
      <c r="F60" s="129"/>
      <c r="G60" s="129"/>
      <c r="H60" s="129"/>
    </row>
    <row r="61" spans="1:12">
      <c r="A61" s="129"/>
      <c r="B61" s="129" t="s">
        <v>90</v>
      </c>
      <c r="C61" s="153">
        <f>C56*C60</f>
        <v>3045.9</v>
      </c>
      <c r="D61" s="157">
        <f t="shared" ref="D61:D64" si="2">C61/12</f>
        <v>253.82500000000002</v>
      </c>
      <c r="E61" s="157">
        <f>C61/52</f>
        <v>58.575000000000003</v>
      </c>
      <c r="F61" s="129"/>
      <c r="G61" s="129"/>
      <c r="H61" s="129"/>
    </row>
    <row r="62" spans="1:12" ht="21" customHeight="1">
      <c r="A62" s="129"/>
      <c r="B62" s="129" t="s">
        <v>91</v>
      </c>
      <c r="C62" s="158">
        <f>Table612[[#Totals],[Repayment]]*12</f>
        <v>38985.599999999999</v>
      </c>
      <c r="D62" s="158">
        <f t="shared" si="2"/>
        <v>3248.7999999999997</v>
      </c>
      <c r="E62" s="158">
        <f>C62/52</f>
        <v>749.72307692307686</v>
      </c>
      <c r="F62" s="129"/>
      <c r="G62" s="129"/>
      <c r="H62" s="129"/>
    </row>
    <row r="63" spans="1:12" ht="21" customHeight="1">
      <c r="A63" s="129"/>
      <c r="B63" s="129" t="s">
        <v>159</v>
      </c>
      <c r="C63" s="158">
        <f>SUM(C57,C58,C59,C61,C62)</f>
        <v>52874.619999999995</v>
      </c>
      <c r="D63" s="158">
        <f>Table1014[[#This Row],[Annually]]/12</f>
        <v>4406.2183333333332</v>
      </c>
      <c r="E63" s="158">
        <f>Table1014[[#This Row],[Annually]]/52</f>
        <v>1016.8196153846153</v>
      </c>
      <c r="F63" s="129"/>
      <c r="G63" s="129"/>
      <c r="H63" s="129"/>
    </row>
    <row r="64" spans="1:12" ht="21" customHeight="1">
      <c r="A64" s="129"/>
      <c r="B64" s="159" t="s">
        <v>155</v>
      </c>
      <c r="C64" s="160">
        <f>C56-C63</f>
        <v>-15954.619999999995</v>
      </c>
      <c r="D64" s="160">
        <f t="shared" si="2"/>
        <v>-1329.5516666666663</v>
      </c>
      <c r="E64" s="160">
        <f>C64/52</f>
        <v>-306.8196153846153</v>
      </c>
      <c r="F64" s="149"/>
      <c r="G64" s="129"/>
      <c r="H64" s="129"/>
      <c r="J64" s="113">
        <f>Table1014[[#This Row],[Monthly]]/2</f>
        <v>-664.77583333333314</v>
      </c>
      <c r="K64" s="22" t="s">
        <v>198</v>
      </c>
      <c r="L64" s="22"/>
    </row>
    <row r="65" spans="1:8" ht="21" customHeight="1">
      <c r="A65" s="129"/>
      <c r="B65" s="159"/>
      <c r="C65" s="160"/>
      <c r="D65" s="160"/>
      <c r="E65" s="160"/>
      <c r="F65" s="149"/>
      <c r="G65" s="129"/>
      <c r="H65" s="129"/>
    </row>
    <row r="66" spans="1:8" ht="21">
      <c r="B66" s="34"/>
      <c r="C66" s="33"/>
    </row>
    <row r="67" spans="1:8" ht="20.25" thickBot="1">
      <c r="A67" s="83"/>
      <c r="B67" s="84" t="s">
        <v>160</v>
      </c>
      <c r="C67" s="84"/>
      <c r="D67" s="84"/>
      <c r="E67" s="84"/>
      <c r="F67" s="84"/>
      <c r="G67" s="83"/>
      <c r="H67" s="83"/>
    </row>
    <row r="68" spans="1:8" ht="15.75" thickTop="1">
      <c r="A68" s="83"/>
      <c r="B68" s="85" t="s">
        <v>200</v>
      </c>
      <c r="C68" s="86"/>
      <c r="D68" s="83"/>
      <c r="E68" s="83"/>
      <c r="F68" s="83"/>
      <c r="G68" s="83"/>
      <c r="H68" s="83"/>
    </row>
    <row r="69" spans="1:8" ht="21">
      <c r="A69" s="83"/>
      <c r="B69" s="85" t="s">
        <v>117</v>
      </c>
      <c r="C69" s="87"/>
      <c r="D69" s="83"/>
      <c r="E69" s="83"/>
      <c r="F69" s="83"/>
      <c r="G69" s="83"/>
      <c r="H69" s="83"/>
    </row>
    <row r="70" spans="1:8">
      <c r="A70" s="83"/>
      <c r="B70" s="88" t="s">
        <v>149</v>
      </c>
      <c r="C70" s="88" t="s">
        <v>108</v>
      </c>
      <c r="D70" s="88" t="s">
        <v>150</v>
      </c>
      <c r="E70" s="88" t="s">
        <v>148</v>
      </c>
      <c r="F70" s="88" t="s">
        <v>119</v>
      </c>
      <c r="G70" s="83"/>
      <c r="H70" s="83"/>
    </row>
    <row r="71" spans="1:8" ht="30">
      <c r="A71" s="83"/>
      <c r="B71" s="89" t="s">
        <v>197</v>
      </c>
      <c r="C71" s="127">
        <v>794790</v>
      </c>
      <c r="D71" s="128">
        <v>5.9499999999999997E-2</v>
      </c>
      <c r="E71" s="122">
        <v>3359.51</v>
      </c>
      <c r="F71" s="86">
        <v>46411</v>
      </c>
      <c r="G71" s="83"/>
      <c r="H71" s="83"/>
    </row>
    <row r="72" spans="1:8">
      <c r="A72" s="83"/>
      <c r="B72" s="83"/>
      <c r="C72" s="90">
        <f>SUBTOTAL(109,Table61216[Value])</f>
        <v>794790</v>
      </c>
      <c r="D72" s="91"/>
      <c r="E72" s="92">
        <f>SUBTOTAL(109,Table61216[Repayment])</f>
        <v>3359.51</v>
      </c>
      <c r="F72" s="83"/>
      <c r="G72" s="83"/>
      <c r="H72" s="83"/>
    </row>
    <row r="73" spans="1:8">
      <c r="A73" s="83"/>
      <c r="B73" s="83"/>
      <c r="C73" s="93"/>
      <c r="D73" s="94"/>
      <c r="E73" s="83"/>
      <c r="F73" s="83"/>
      <c r="G73" s="83"/>
      <c r="H73" s="83"/>
    </row>
    <row r="74" spans="1:8">
      <c r="A74" s="83"/>
      <c r="B74" s="83" t="s">
        <v>123</v>
      </c>
      <c r="C74" s="122">
        <v>141675.72</v>
      </c>
      <c r="D74" s="94"/>
      <c r="E74" s="83"/>
      <c r="F74" s="83"/>
      <c r="G74" s="83"/>
      <c r="H74" s="83"/>
    </row>
    <row r="75" spans="1:8" ht="30">
      <c r="A75" s="83"/>
      <c r="B75" s="89" t="s">
        <v>187</v>
      </c>
      <c r="C75" s="122">
        <v>934000</v>
      </c>
      <c r="D75" s="161" t="s">
        <v>199</v>
      </c>
      <c r="E75" s="83"/>
      <c r="F75" s="83"/>
      <c r="G75" s="83"/>
      <c r="H75" s="83"/>
    </row>
    <row r="76" spans="1:8">
      <c r="A76" s="83"/>
      <c r="B76" s="83" t="s">
        <v>125</v>
      </c>
      <c r="C76" s="95">
        <f>Table61216[[#Totals],[Value]]/C75</f>
        <v>0.85095289079229119</v>
      </c>
      <c r="D76" s="94"/>
      <c r="E76" s="83"/>
      <c r="F76" s="83"/>
      <c r="G76" s="83"/>
      <c r="H76" s="83"/>
    </row>
    <row r="77" spans="1:8" ht="18.75">
      <c r="A77" s="83"/>
      <c r="B77" s="83" t="s">
        <v>151</v>
      </c>
      <c r="C77" s="95">
        <f>C85/C75</f>
        <v>3.8415417558886507E-2</v>
      </c>
      <c r="D77" s="96"/>
      <c r="E77" s="83"/>
      <c r="F77" s="97"/>
      <c r="G77" s="83"/>
      <c r="H77" s="83"/>
    </row>
    <row r="78" spans="1:8">
      <c r="A78" s="83"/>
      <c r="B78" s="83" t="s">
        <v>153</v>
      </c>
      <c r="C78" s="95">
        <f>C85/Table61216[[#Totals],[Value]]</f>
        <v>4.5144000301966559E-2</v>
      </c>
      <c r="D78" s="83"/>
      <c r="E78" s="83"/>
      <c r="F78" s="83"/>
      <c r="G78" s="83"/>
      <c r="H78" s="83"/>
    </row>
    <row r="79" spans="1:8">
      <c r="A79" s="83"/>
      <c r="B79" s="83" t="s">
        <v>99</v>
      </c>
      <c r="C79" s="98">
        <f>C75-Table61216[[#Totals],[Value]]</f>
        <v>139210</v>
      </c>
      <c r="D79" s="83"/>
      <c r="E79" s="83"/>
      <c r="F79" s="83"/>
      <c r="G79" s="83"/>
      <c r="H79" s="97"/>
    </row>
    <row r="80" spans="1:8">
      <c r="A80" s="83"/>
      <c r="B80" s="83" t="s">
        <v>163</v>
      </c>
      <c r="C80" s="99">
        <v>7.0000000000000007E-2</v>
      </c>
      <c r="D80" s="83"/>
      <c r="E80" s="83"/>
      <c r="F80" s="83"/>
      <c r="G80" s="83"/>
      <c r="H80" s="83"/>
    </row>
    <row r="81" spans="1:12">
      <c r="A81" s="83"/>
      <c r="B81" s="83" t="s">
        <v>164</v>
      </c>
      <c r="C81" s="98">
        <f>C75*C80</f>
        <v>65380.000000000007</v>
      </c>
      <c r="D81" s="83"/>
      <c r="E81" s="83"/>
      <c r="F81" s="83"/>
      <c r="G81" s="83"/>
      <c r="H81" s="83"/>
    </row>
    <row r="82" spans="1:12">
      <c r="A82" s="83"/>
      <c r="B82" s="83"/>
      <c r="C82" s="98"/>
      <c r="D82" s="83"/>
      <c r="E82" s="83"/>
      <c r="F82" s="83"/>
      <c r="G82" s="83"/>
      <c r="H82" s="83"/>
    </row>
    <row r="83" spans="1:12" ht="20.25" customHeight="1">
      <c r="A83" s="83"/>
      <c r="B83" s="85" t="s">
        <v>180</v>
      </c>
      <c r="C83" s="83"/>
      <c r="D83" s="83"/>
      <c r="E83" s="83"/>
      <c r="F83" s="83"/>
      <c r="G83" s="83"/>
      <c r="H83" s="83"/>
    </row>
    <row r="84" spans="1:12" ht="20.25" customHeight="1">
      <c r="A84" s="83"/>
      <c r="B84" s="83" t="s">
        <v>152</v>
      </c>
      <c r="C84" s="100" t="s">
        <v>84</v>
      </c>
      <c r="D84" s="100" t="s">
        <v>85</v>
      </c>
      <c r="E84" s="100" t="s">
        <v>102</v>
      </c>
      <c r="F84" s="83"/>
      <c r="G84" s="83"/>
      <c r="H84" s="83"/>
    </row>
    <row r="85" spans="1:12" ht="20.25" customHeight="1">
      <c r="A85" s="83"/>
      <c r="B85" s="101" t="s">
        <v>81</v>
      </c>
      <c r="C85" s="102">
        <f>690*52</f>
        <v>35880</v>
      </c>
      <c r="D85" s="92">
        <f>C85/12</f>
        <v>2990</v>
      </c>
      <c r="E85" s="92">
        <f>Table101418[[#This Row],[Annually]]/52</f>
        <v>690</v>
      </c>
      <c r="F85" s="103"/>
      <c r="G85" s="97"/>
      <c r="H85" s="97"/>
    </row>
    <row r="86" spans="1:12" ht="20.25" customHeight="1">
      <c r="A86" s="83"/>
      <c r="B86" s="83" t="s">
        <v>154</v>
      </c>
      <c r="C86" s="104">
        <f>SUM(Table138[Amount])</f>
        <v>1668.4375</v>
      </c>
      <c r="D86" s="92">
        <f t="shared" ref="D86:D87" si="3">C86/12</f>
        <v>139.03645833333334</v>
      </c>
      <c r="E86" s="92">
        <f>C86/52</f>
        <v>32.08533653846154</v>
      </c>
      <c r="F86" s="83"/>
      <c r="G86" s="83"/>
      <c r="H86" s="83"/>
    </row>
    <row r="87" spans="1:12" ht="20.25" customHeight="1">
      <c r="A87" s="83"/>
      <c r="B87" s="83" t="s">
        <v>87</v>
      </c>
      <c r="C87" s="104">
        <f>'Investment Properties Ongoing'!E65*4</f>
        <v>0</v>
      </c>
      <c r="D87" s="92">
        <f t="shared" si="3"/>
        <v>0</v>
      </c>
      <c r="E87" s="104">
        <f>C87/52</f>
        <v>0</v>
      </c>
      <c r="F87" s="83"/>
      <c r="G87" s="83"/>
      <c r="H87" s="83"/>
    </row>
    <row r="88" spans="1:12" ht="20.25" customHeight="1">
      <c r="A88" s="83"/>
      <c r="B88" s="83" t="s">
        <v>88</v>
      </c>
      <c r="C88" s="105">
        <f>C75*0.005</f>
        <v>4670</v>
      </c>
      <c r="D88" s="106"/>
      <c r="E88" s="92"/>
      <c r="F88" s="83"/>
      <c r="G88" s="83"/>
      <c r="H88" s="83"/>
    </row>
    <row r="89" spans="1:12" ht="20.25" customHeight="1">
      <c r="A89" s="83"/>
      <c r="B89" s="83" t="s">
        <v>89</v>
      </c>
      <c r="C89" s="102">
        <v>7.4999999999999997E-2</v>
      </c>
      <c r="D89" s="107"/>
      <c r="E89" s="91"/>
      <c r="F89" s="83"/>
      <c r="G89" s="83"/>
      <c r="H89" s="83"/>
    </row>
    <row r="90" spans="1:12">
      <c r="A90" s="83"/>
      <c r="B90" s="83" t="s">
        <v>90</v>
      </c>
      <c r="C90" s="105">
        <f>C85*C89</f>
        <v>2691</v>
      </c>
      <c r="D90" s="108">
        <f t="shared" ref="D90:D91" si="4">C90/12</f>
        <v>224.25</v>
      </c>
      <c r="E90" s="108">
        <f>C90/52</f>
        <v>51.75</v>
      </c>
      <c r="F90" s="83"/>
      <c r="G90" s="83"/>
      <c r="H90" s="83"/>
    </row>
    <row r="91" spans="1:12" ht="21" customHeight="1">
      <c r="A91" s="83"/>
      <c r="B91" s="83" t="s">
        <v>91</v>
      </c>
      <c r="C91" s="109">
        <f>Table61216[[#Totals],[Repayment]]*12</f>
        <v>40314.120000000003</v>
      </c>
      <c r="D91" s="109">
        <f t="shared" si="4"/>
        <v>3359.51</v>
      </c>
      <c r="E91" s="109">
        <f>C91/52</f>
        <v>775.27153846153851</v>
      </c>
      <c r="F91" s="83"/>
      <c r="G91" s="83"/>
      <c r="H91" s="83"/>
    </row>
    <row r="92" spans="1:12" ht="21" customHeight="1">
      <c r="A92" s="83"/>
      <c r="B92" s="83" t="s">
        <v>159</v>
      </c>
      <c r="C92" s="109">
        <f>SUM(C86,C87,C88,C90,C91)</f>
        <v>49343.557500000003</v>
      </c>
      <c r="D92" s="109">
        <f>Table101418[[#This Row],[Annually]]/12</f>
        <v>4111.9631250000002</v>
      </c>
      <c r="E92" s="109">
        <f>Table101418[[#This Row],[Annually]]/52</f>
        <v>948.91456730769232</v>
      </c>
      <c r="F92" s="83"/>
      <c r="G92" s="83"/>
      <c r="H92" s="83"/>
    </row>
    <row r="93" spans="1:12" ht="21" customHeight="1">
      <c r="A93" s="83"/>
      <c r="B93" s="110" t="s">
        <v>155</v>
      </c>
      <c r="C93" s="111">
        <f>C85-C92</f>
        <v>-13463.557500000003</v>
      </c>
      <c r="D93" s="111">
        <f t="shared" ref="D93" si="5">C93/12</f>
        <v>-1121.9631250000002</v>
      </c>
      <c r="E93" s="111">
        <f>C93/52</f>
        <v>-258.91456730769238</v>
      </c>
      <c r="F93" s="100"/>
      <c r="G93" s="83"/>
      <c r="H93" s="83"/>
      <c r="J93" s="113"/>
      <c r="K93" s="22"/>
      <c r="L93" s="22"/>
    </row>
    <row r="94" spans="1:12" ht="21" customHeight="1">
      <c r="A94" s="83"/>
      <c r="B94" s="110"/>
      <c r="C94" s="111"/>
      <c r="D94" s="111"/>
      <c r="E94" s="111"/>
      <c r="F94" s="100"/>
      <c r="G94" s="83"/>
      <c r="H94" s="83"/>
    </row>
    <row r="95" spans="1:12" ht="21" customHeight="1">
      <c r="B95" s="37"/>
      <c r="C95" s="112"/>
      <c r="D95" s="112"/>
      <c r="E95" s="112"/>
      <c r="F95" s="22"/>
    </row>
    <row r="96" spans="1:12">
      <c r="I96" s="22"/>
      <c r="J96" s="113"/>
      <c r="K96" s="22"/>
    </row>
    <row r="97" spans="2:9" ht="18" thickBot="1">
      <c r="B97" s="12" t="s">
        <v>161</v>
      </c>
      <c r="C97" s="12"/>
      <c r="D97" s="11"/>
      <c r="E97" s="11"/>
    </row>
    <row r="98" spans="2:9" ht="15.75" thickTop="1"/>
    <row r="99" spans="2:9">
      <c r="B99" t="s">
        <v>156</v>
      </c>
      <c r="C99" s="23">
        <f>SUM(C30,C62,C91)</f>
        <v>141267.72</v>
      </c>
    </row>
    <row r="100" spans="2:9">
      <c r="B100" t="s">
        <v>157</v>
      </c>
      <c r="C100" s="23">
        <f>SUM(C24,C56,C85)</f>
        <v>72800</v>
      </c>
    </row>
    <row r="101" spans="2:9">
      <c r="B101" t="s">
        <v>159</v>
      </c>
      <c r="C101" s="51">
        <f>SUM(C31,C63,C92) - C99</f>
        <v>37528.977500000008</v>
      </c>
    </row>
    <row r="102" spans="2:9">
      <c r="B102" s="169" t="s">
        <v>162</v>
      </c>
      <c r="C102" s="170">
        <f>SUM(C20,C52,C81)</f>
        <v>262080.00000000003</v>
      </c>
    </row>
    <row r="103" spans="2:9" ht="18.75">
      <c r="B103" t="s">
        <v>158</v>
      </c>
      <c r="C103" s="52">
        <f>C100-SUM(C99,C101)</f>
        <v>-105996.69750000001</v>
      </c>
      <c r="F103" s="14"/>
    </row>
    <row r="106" spans="2:9" ht="18" thickBot="1">
      <c r="B106" s="12" t="s">
        <v>178</v>
      </c>
      <c r="C106" s="12"/>
    </row>
    <row r="107" spans="2:9" ht="15.75" thickTop="1"/>
    <row r="108" spans="2:9">
      <c r="B108" t="s">
        <v>156</v>
      </c>
      <c r="C108" s="23">
        <f>SUM(C62,C91)</f>
        <v>79299.72</v>
      </c>
    </row>
    <row r="109" spans="2:9">
      <c r="B109" t="s">
        <v>157</v>
      </c>
      <c r="C109" s="23">
        <f>SUM(C56,C85)</f>
        <v>72800</v>
      </c>
      <c r="G109" s="14"/>
      <c r="I109" s="14"/>
    </row>
    <row r="110" spans="2:9">
      <c r="B110" t="s">
        <v>159</v>
      </c>
      <c r="C110" s="51">
        <f>SUM(C63,C92) - C108</f>
        <v>22918.45749999999</v>
      </c>
      <c r="E110" s="14"/>
      <c r="G110" s="14"/>
    </row>
    <row r="111" spans="2:9">
      <c r="B111" s="169" t="s">
        <v>162</v>
      </c>
      <c r="C111" s="170">
        <f>SUM(C52,C81)</f>
        <v>161980.00000000003</v>
      </c>
    </row>
    <row r="112" spans="2:9" ht="18.75">
      <c r="B112" t="s">
        <v>158</v>
      </c>
      <c r="C112" s="52">
        <f>C109-SUM(C108,C110)</f>
        <v>-29418.177499999991</v>
      </c>
    </row>
    <row r="113" spans="2:5" ht="18.75">
      <c r="C113" s="52"/>
    </row>
    <row r="114" spans="2:5" ht="18.75">
      <c r="C114" s="52"/>
    </row>
    <row r="115" spans="2:5" ht="18" thickBot="1">
      <c r="B115" s="12" t="s">
        <v>181</v>
      </c>
      <c r="C115" s="12"/>
    </row>
    <row r="116" spans="2:5" ht="15.75" thickTop="1"/>
    <row r="117" spans="2:5">
      <c r="B117" t="s">
        <v>156</v>
      </c>
      <c r="C117" s="23">
        <f>C30</f>
        <v>61968</v>
      </c>
    </row>
    <row r="118" spans="2:5">
      <c r="B118" t="s">
        <v>157</v>
      </c>
      <c r="C118" s="23">
        <v>0</v>
      </c>
      <c r="E118" s="14"/>
    </row>
    <row r="119" spans="2:5">
      <c r="B119" t="s">
        <v>159</v>
      </c>
      <c r="C119" s="51">
        <f>C31-C117</f>
        <v>14610.520000000004</v>
      </c>
    </row>
    <row r="120" spans="2:5">
      <c r="B120" s="169" t="s">
        <v>162</v>
      </c>
      <c r="C120" s="170">
        <f>C20</f>
        <v>100100.00000000001</v>
      </c>
    </row>
    <row r="121" spans="2:5" ht="18.75">
      <c r="B121" t="s">
        <v>158</v>
      </c>
      <c r="C121" s="52">
        <f>C118-SUM(C117,C119)</f>
        <v>-76578.52</v>
      </c>
    </row>
    <row r="124" spans="2:5">
      <c r="B124" s="22" t="s">
        <v>182</v>
      </c>
      <c r="C124" s="171">
        <f>SUM(C40:C41,C8:C9,C71)</f>
        <v>2345877.44</v>
      </c>
    </row>
    <row r="125" spans="2:5">
      <c r="B125" s="22"/>
      <c r="C125" s="22"/>
    </row>
    <row r="126" spans="2:5">
      <c r="B126" s="22" t="s">
        <v>210</v>
      </c>
      <c r="C126" s="113">
        <f>C75+C46+C14</f>
        <v>3744000</v>
      </c>
    </row>
    <row r="127" spans="2:5">
      <c r="B127" s="22"/>
      <c r="C127" s="22"/>
    </row>
    <row r="128" spans="2:5">
      <c r="B128" s="22" t="s">
        <v>211</v>
      </c>
      <c r="C128" s="113">
        <f>C126-C124</f>
        <v>1398122.56</v>
      </c>
    </row>
    <row r="130" spans="2:3">
      <c r="B130" s="22" t="s">
        <v>209</v>
      </c>
      <c r="C130" s="113">
        <f>C74+C45+C13</f>
        <v>203012.41</v>
      </c>
    </row>
  </sheetData>
  <phoneticPr fontId="30" type="noConversion"/>
  <conditionalFormatting sqref="C32">
    <cfRule type="cellIs" dxfId="23" priority="61" operator="lessThan">
      <formula>0</formula>
    </cfRule>
    <cfRule type="cellIs" dxfId="22" priority="62" operator="greaterThan">
      <formula>0</formula>
    </cfRule>
    <cfRule type="colorScale" priority="63">
      <colorScale>
        <cfvo type="min"/>
        <cfvo type="percentile" val="50"/>
        <cfvo type="max"/>
        <color rgb="FFF8696B"/>
        <color rgb="FFFFEB84"/>
        <color rgb="FF63BE7B"/>
      </colorScale>
    </cfRule>
  </conditionalFormatting>
  <conditionalFormatting sqref="C64:C65">
    <cfRule type="colorScale" priority="27">
      <colorScale>
        <cfvo type="min"/>
        <cfvo type="percentile" val="50"/>
        <cfvo type="max"/>
        <color rgb="FFF8696B"/>
        <color rgb="FFFFEB84"/>
        <color rgb="FF63BE7B"/>
      </colorScale>
    </cfRule>
  </conditionalFormatting>
  <conditionalFormatting sqref="C93:C95">
    <cfRule type="colorScale" priority="18">
      <colorScale>
        <cfvo type="min"/>
        <cfvo type="percentile" val="50"/>
        <cfvo type="max"/>
        <color rgb="FFF8696B"/>
        <color rgb="FFFFEB84"/>
        <color rgb="FF63BE7B"/>
      </colorScale>
    </cfRule>
  </conditionalFormatting>
  <conditionalFormatting sqref="C103">
    <cfRule type="cellIs" dxfId="21" priority="13" operator="lessThan">
      <formula>0</formula>
    </cfRule>
    <cfRule type="cellIs" dxfId="20" priority="14" operator="greaterThan">
      <formula>0</formula>
    </cfRule>
    <cfRule type="colorScale" priority="15">
      <colorScale>
        <cfvo type="min"/>
        <cfvo type="percentile" val="50"/>
        <cfvo type="max"/>
        <color rgb="FFF8696B"/>
        <color rgb="FFFFEB84"/>
        <color rgb="FF63BE7B"/>
      </colorScale>
    </cfRule>
  </conditionalFormatting>
  <conditionalFormatting sqref="C112:C114">
    <cfRule type="cellIs" dxfId="19" priority="10" operator="lessThan">
      <formula>0</formula>
    </cfRule>
    <cfRule type="cellIs" dxfId="18" priority="11" operator="greaterThan">
      <formula>0</formula>
    </cfRule>
    <cfRule type="colorScale" priority="12">
      <colorScale>
        <cfvo type="min"/>
        <cfvo type="percentile" val="50"/>
        <cfvo type="max"/>
        <color rgb="FFF8696B"/>
        <color rgb="FFFFEB84"/>
        <color rgb="FF63BE7B"/>
      </colorScale>
    </cfRule>
  </conditionalFormatting>
  <conditionalFormatting sqref="C121">
    <cfRule type="cellIs" dxfId="17" priority="4" operator="lessThan">
      <formula>0</formula>
    </cfRule>
    <cfRule type="cellIs" dxfId="16" priority="5" operator="greaterThan">
      <formula>0</formula>
    </cfRule>
    <cfRule type="colorScale" priority="6">
      <colorScale>
        <cfvo type="min"/>
        <cfvo type="percentile" val="50"/>
        <cfvo type="max"/>
        <color rgb="FFF8696B"/>
        <color rgb="FFFFEB84"/>
        <color rgb="FF63BE7B"/>
      </colorScale>
    </cfRule>
  </conditionalFormatting>
  <conditionalFormatting sqref="C64:E65">
    <cfRule type="cellIs" dxfId="15" priority="25" operator="lessThan">
      <formula>0</formula>
    </cfRule>
    <cfRule type="cellIs" dxfId="14" priority="26" operator="greaterThan">
      <formula>0</formula>
    </cfRule>
  </conditionalFormatting>
  <conditionalFormatting sqref="C93:E95">
    <cfRule type="cellIs" dxfId="13" priority="16" operator="lessThan">
      <formula>0</formula>
    </cfRule>
    <cfRule type="cellIs" dxfId="12" priority="17" operator="greaterThan">
      <formula>0</formula>
    </cfRule>
  </conditionalFormatting>
  <conditionalFormatting sqref="D32:E32">
    <cfRule type="cellIs" dxfId="11" priority="64" operator="lessThan">
      <formula>0</formula>
    </cfRule>
    <cfRule type="cellIs" dxfId="10" priority="65" operator="greaterThan">
      <formula>0</formula>
    </cfRule>
    <cfRule type="colorScale" priority="66">
      <colorScale>
        <cfvo type="min"/>
        <cfvo type="percentile" val="50"/>
        <cfvo type="max"/>
        <color rgb="FFF8696B"/>
        <color rgb="FFFFEB84"/>
        <color rgb="FF63BE7B"/>
      </colorScale>
    </cfRule>
  </conditionalFormatting>
  <conditionalFormatting sqref="D64:E65">
    <cfRule type="colorScale" priority="30">
      <colorScale>
        <cfvo type="min"/>
        <cfvo type="percentile" val="50"/>
        <cfvo type="max"/>
        <color rgb="FFF8696B"/>
        <color rgb="FFFFEB84"/>
        <color rgb="FF63BE7B"/>
      </colorScale>
    </cfRule>
  </conditionalFormatting>
  <conditionalFormatting sqref="D93:E95">
    <cfRule type="colorScale" priority="21">
      <colorScale>
        <cfvo type="min"/>
        <cfvo type="percentile" val="50"/>
        <cfvo type="max"/>
        <color rgb="FFF8696B"/>
        <color rgb="FFFFEB84"/>
        <color rgb="FF63BE7B"/>
      </colorScale>
    </cfRule>
  </conditionalFormatting>
  <pageMargins left="0.7" right="0.7" top="0.75" bottom="0.75" header="0.3" footer="0.3"/>
  <pageSetup paperSize="9" orientation="portrait" horizontalDpi="4294967293" verticalDpi="200" r:id="rId1"/>
  <tableParts count="12">
    <tablePart r:id="rId2"/>
    <tablePart r:id="rId3"/>
    <tablePart r:id="rId4"/>
    <tablePart r:id="rId5"/>
    <tablePart r:id="rId6"/>
    <tablePart r:id="rId7"/>
    <tablePart r:id="rId8"/>
    <tablePart r:id="rId9"/>
    <tablePart r:id="rId10"/>
    <tablePart r:id="rId11"/>
    <tablePart r:id="rId12"/>
    <tablePart r:id="rId1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E40A3-559C-48B8-89DD-FB3A763E87DF}">
  <dimension ref="B2:E68"/>
  <sheetViews>
    <sheetView zoomScale="130" zoomScaleNormal="130" workbookViewId="0">
      <pane ySplit="6" topLeftCell="A13" activePane="bottomLeft" state="frozen"/>
      <selection pane="bottomLeft" activeCell="B38" sqref="B38"/>
    </sheetView>
    <sheetView workbookViewId="1"/>
  </sheetViews>
  <sheetFormatPr defaultRowHeight="15"/>
  <cols>
    <col min="1" max="1" width="2.28515625" customWidth="1"/>
    <col min="2" max="2" width="43.85546875" customWidth="1"/>
    <col min="3" max="3" width="39.5703125" customWidth="1"/>
    <col min="4" max="4" width="39.28515625" customWidth="1"/>
    <col min="5" max="5" width="32.85546875" customWidth="1"/>
  </cols>
  <sheetData>
    <row r="2" spans="2:5" ht="27.95" customHeight="1">
      <c r="B2" s="189" t="s">
        <v>212</v>
      </c>
    </row>
    <row r="3" spans="2:5">
      <c r="B3" s="190" t="s">
        <v>213</v>
      </c>
    </row>
    <row r="4" spans="2:5">
      <c r="B4" s="34" t="s">
        <v>214</v>
      </c>
      <c r="C4" s="191" t="s">
        <v>215</v>
      </c>
    </row>
    <row r="6" spans="2:5" ht="21.95" customHeight="1" thickBot="1">
      <c r="B6" s="270" t="s">
        <v>216</v>
      </c>
      <c r="C6" s="271" t="s">
        <v>217</v>
      </c>
      <c r="D6" s="272" t="s">
        <v>218</v>
      </c>
      <c r="E6" s="273" t="s">
        <v>219</v>
      </c>
    </row>
    <row r="7" spans="2:5">
      <c r="B7" s="229" t="s">
        <v>220</v>
      </c>
      <c r="C7" s="219" t="s">
        <v>82</v>
      </c>
      <c r="D7" s="220" t="s">
        <v>93</v>
      </c>
      <c r="E7" s="231" t="s">
        <v>273</v>
      </c>
    </row>
    <row r="8" spans="2:5">
      <c r="B8" s="229" t="s">
        <v>183</v>
      </c>
      <c r="C8" s="219" t="s">
        <v>221</v>
      </c>
      <c r="D8" s="285" t="s">
        <v>179</v>
      </c>
      <c r="E8" s="286" t="s">
        <v>179</v>
      </c>
    </row>
    <row r="9" spans="2:5">
      <c r="B9" s="229" t="s">
        <v>222</v>
      </c>
      <c r="C9" s="221">
        <v>1440000</v>
      </c>
      <c r="D9" s="222">
        <v>1430000</v>
      </c>
      <c r="E9" s="232">
        <v>956000</v>
      </c>
    </row>
    <row r="10" spans="2:5">
      <c r="B10" s="229" t="s">
        <v>265</v>
      </c>
      <c r="C10" s="279" t="s">
        <v>266</v>
      </c>
      <c r="D10" s="280" t="s">
        <v>266</v>
      </c>
      <c r="E10" s="281" t="s">
        <v>267</v>
      </c>
    </row>
    <row r="11" spans="2:5">
      <c r="B11" s="229" t="s">
        <v>223</v>
      </c>
      <c r="C11" s="221">
        <v>783854.3</v>
      </c>
      <c r="D11" s="222">
        <v>620000</v>
      </c>
      <c r="E11" s="232">
        <v>794790</v>
      </c>
    </row>
    <row r="12" spans="2:5">
      <c r="B12" s="229" t="s">
        <v>270</v>
      </c>
      <c r="C12" s="279" t="s">
        <v>269</v>
      </c>
      <c r="D12" s="280" t="s">
        <v>268</v>
      </c>
      <c r="E12" s="281" t="s">
        <v>268</v>
      </c>
    </row>
    <row r="13" spans="2:5">
      <c r="B13" s="229" t="s">
        <v>225</v>
      </c>
      <c r="C13" s="223">
        <v>5.3900000000000003E-2</v>
      </c>
      <c r="D13" s="224">
        <v>6.3399999999999998E-2</v>
      </c>
      <c r="E13" s="233">
        <v>6.4500000000000002E-2</v>
      </c>
    </row>
    <row r="14" spans="2:5">
      <c r="B14" s="229" t="s">
        <v>263</v>
      </c>
      <c r="C14" s="225">
        <v>4517</v>
      </c>
      <c r="D14" s="226">
        <v>3296.02</v>
      </c>
      <c r="E14" s="234">
        <v>3359.51</v>
      </c>
    </row>
    <row r="15" spans="2:5">
      <c r="B15" s="229" t="s">
        <v>271</v>
      </c>
      <c r="C15" s="284"/>
      <c r="D15" s="282">
        <v>47198</v>
      </c>
      <c r="E15" s="283">
        <v>46411</v>
      </c>
    </row>
    <row r="16" spans="2:5">
      <c r="B16" s="229" t="s">
        <v>224</v>
      </c>
      <c r="C16" s="221">
        <v>112233.14</v>
      </c>
      <c r="D16" s="222">
        <v>35000</v>
      </c>
      <c r="E16" s="232">
        <v>0</v>
      </c>
    </row>
    <row r="17" spans="2:5">
      <c r="B17" s="229" t="s">
        <v>272</v>
      </c>
      <c r="C17" s="279" t="s">
        <v>269</v>
      </c>
      <c r="D17" s="280" t="s">
        <v>268</v>
      </c>
      <c r="E17" s="281" t="s">
        <v>268</v>
      </c>
    </row>
    <row r="18" spans="2:5">
      <c r="B18" s="229" t="s">
        <v>226</v>
      </c>
      <c r="C18" s="223">
        <v>5.3900000000000003E-2</v>
      </c>
      <c r="D18" s="224">
        <v>6.3399999999999998E-2</v>
      </c>
      <c r="E18" s="233">
        <v>0</v>
      </c>
    </row>
    <row r="19" spans="2:5">
      <c r="B19" s="229" t="s">
        <v>264</v>
      </c>
      <c r="C19" s="225">
        <v>647</v>
      </c>
      <c r="D19" s="226">
        <v>185.06</v>
      </c>
      <c r="E19" s="234">
        <v>0</v>
      </c>
    </row>
    <row r="20" spans="2:5">
      <c r="B20" s="229" t="s">
        <v>271</v>
      </c>
      <c r="C20" s="284"/>
      <c r="D20" s="282">
        <v>47198</v>
      </c>
      <c r="E20" s="283"/>
    </row>
    <row r="21" spans="2:5">
      <c r="B21" s="229" t="s">
        <v>227</v>
      </c>
      <c r="C21" s="221">
        <v>21068.5</v>
      </c>
      <c r="D21" s="222">
        <v>40749.49</v>
      </c>
      <c r="E21" s="232">
        <v>139316.79</v>
      </c>
    </row>
    <row r="22" spans="2:5">
      <c r="B22" s="229" t="s">
        <v>228</v>
      </c>
      <c r="C22" s="221">
        <v>0</v>
      </c>
      <c r="D22" s="222">
        <v>740</v>
      </c>
      <c r="E22" s="232">
        <f>2998/4.3333</f>
        <v>691.85147578058286</v>
      </c>
    </row>
    <row r="23" spans="2:5">
      <c r="B23" s="229" t="s">
        <v>229</v>
      </c>
      <c r="C23" s="223">
        <v>0.05</v>
      </c>
      <c r="D23" s="224">
        <v>0.05</v>
      </c>
      <c r="E23" s="233">
        <v>0.05</v>
      </c>
    </row>
    <row r="24" spans="2:5">
      <c r="B24" s="229" t="s">
        <v>230</v>
      </c>
      <c r="C24" s="223">
        <v>0</v>
      </c>
      <c r="D24" s="224">
        <v>8.2500000000000004E-2</v>
      </c>
      <c r="E24" s="233">
        <v>7.4999999999999997E-2</v>
      </c>
    </row>
    <row r="25" spans="2:5">
      <c r="B25" s="230" t="s">
        <v>231</v>
      </c>
      <c r="C25" s="227">
        <v>7.0000000000000007E-2</v>
      </c>
      <c r="D25" s="228">
        <v>7.0000000000000007E-2</v>
      </c>
      <c r="E25" s="235">
        <v>7.0000000000000007E-2</v>
      </c>
    </row>
    <row r="27" spans="2:5" ht="21.95" customHeight="1" thickBot="1">
      <c r="B27" s="270" t="s">
        <v>232</v>
      </c>
      <c r="C27" s="274"/>
      <c r="D27" s="274"/>
      <c r="E27" s="275"/>
    </row>
    <row r="28" spans="2:5">
      <c r="B28" s="243" t="s">
        <v>233</v>
      </c>
      <c r="C28" s="236"/>
      <c r="D28" s="236"/>
      <c r="E28" s="248"/>
    </row>
    <row r="29" spans="2:5">
      <c r="B29" s="244" t="s">
        <v>234</v>
      </c>
      <c r="C29" s="237">
        <f>C11+C16</f>
        <v>896087.44000000006</v>
      </c>
      <c r="D29" s="237">
        <f>D11+D16</f>
        <v>655000</v>
      </c>
      <c r="E29" s="249">
        <f>E11+E16</f>
        <v>794790</v>
      </c>
    </row>
    <row r="30" spans="2:5">
      <c r="B30" s="245" t="s">
        <v>125</v>
      </c>
      <c r="C30" s="238">
        <f>C29/C9</f>
        <v>0.62228294444444454</v>
      </c>
      <c r="D30" s="238">
        <f>D29/D9</f>
        <v>0.45804195804195802</v>
      </c>
      <c r="E30" s="250">
        <f>E29/E9</f>
        <v>0.83137029288702924</v>
      </c>
    </row>
    <row r="31" spans="2:5">
      <c r="B31" s="245" t="s">
        <v>99</v>
      </c>
      <c r="C31" s="237">
        <f>C9-C29</f>
        <v>543912.55999999994</v>
      </c>
      <c r="D31" s="237">
        <f>D9-D29</f>
        <v>775000</v>
      </c>
      <c r="E31" s="249">
        <f>E9-E29</f>
        <v>161210</v>
      </c>
    </row>
    <row r="32" spans="2:5">
      <c r="B32" s="245" t="s">
        <v>235</v>
      </c>
      <c r="C32" s="237">
        <f>C29-C21</f>
        <v>875018.94000000006</v>
      </c>
      <c r="D32" s="237">
        <f>D29-D21</f>
        <v>614250.51</v>
      </c>
      <c r="E32" s="249">
        <f>E29-E21</f>
        <v>655473.21</v>
      </c>
    </row>
    <row r="33" spans="2:5">
      <c r="B33" s="245" t="s">
        <v>236</v>
      </c>
      <c r="C33" s="237">
        <f>C9*C25</f>
        <v>100800.00000000001</v>
      </c>
      <c r="D33" s="237">
        <f>D9*D25</f>
        <v>100100.00000000001</v>
      </c>
      <c r="E33" s="249">
        <f>E9*E25</f>
        <v>66920</v>
      </c>
    </row>
    <row r="34" spans="2:5">
      <c r="B34" s="245"/>
      <c r="C34" s="236"/>
      <c r="D34" s="236"/>
      <c r="E34" s="248"/>
    </row>
    <row r="35" spans="2:5">
      <c r="B35" s="243" t="s">
        <v>237</v>
      </c>
      <c r="C35" s="236"/>
      <c r="D35" s="236"/>
      <c r="E35" s="248"/>
    </row>
    <row r="36" spans="2:5">
      <c r="B36" s="245" t="s">
        <v>81</v>
      </c>
      <c r="C36" s="237">
        <f>C22*52</f>
        <v>0</v>
      </c>
      <c r="D36" s="237">
        <f>D22*52</f>
        <v>38480</v>
      </c>
      <c r="E36" s="249">
        <f>E22*52</f>
        <v>35976.276740590307</v>
      </c>
    </row>
    <row r="37" spans="2:5">
      <c r="B37" s="245" t="s">
        <v>238</v>
      </c>
      <c r="C37" s="237">
        <f>SUM('Investment Properties Ongoing'!E7,'Investment Properties Ongoing'!E8,'Investment Properties Ongoing'!E11,'Investment Properties Ongoing'!E10)</f>
        <v>3034.7000000000003</v>
      </c>
      <c r="D37" s="237">
        <f>('Investment Properties Ongoing'!E18*4) +('Investment Properties Ongoing'!E19*4)</f>
        <v>3943.12</v>
      </c>
      <c r="E37" s="249">
        <f>SUM(Table138[Amount])</f>
        <v>1668.4375</v>
      </c>
    </row>
    <row r="38" spans="2:5">
      <c r="B38" s="245" t="s">
        <v>87</v>
      </c>
      <c r="C38" s="237">
        <f>'Investment Properties Ongoing'!E9</f>
        <v>1274.45</v>
      </c>
      <c r="D38" s="237"/>
      <c r="E38" s="249">
        <f>'Investment Properties Ongoing'!E28</f>
        <v>249.5</v>
      </c>
    </row>
    <row r="39" spans="2:5">
      <c r="B39" s="245" t="s">
        <v>239</v>
      </c>
      <c r="C39" s="237">
        <f>C9*C23/10</f>
        <v>7200</v>
      </c>
      <c r="D39" s="237">
        <f>D9*D23/10</f>
        <v>7150</v>
      </c>
      <c r="E39" s="237">
        <f t="shared" ref="D39:E39" si="0">E9*E23/10</f>
        <v>4780</v>
      </c>
    </row>
    <row r="40" spans="2:5">
      <c r="B40" s="245" t="s">
        <v>240</v>
      </c>
      <c r="C40" s="237">
        <f>C36*C24</f>
        <v>0</v>
      </c>
      <c r="D40" s="237">
        <f>D36*D24</f>
        <v>3174.6000000000004</v>
      </c>
      <c r="E40" s="249">
        <f>E36*E24</f>
        <v>2698.2207555442728</v>
      </c>
    </row>
    <row r="41" spans="2:5">
      <c r="B41" s="245" t="s">
        <v>241</v>
      </c>
      <c r="C41" s="237">
        <f>(C14+C19)*12</f>
        <v>61968</v>
      </c>
      <c r="D41" s="237">
        <f>(D14+D19)*12</f>
        <v>41772.959999999999</v>
      </c>
      <c r="E41" s="249">
        <f>(E14+E19)*12</f>
        <v>40314.120000000003</v>
      </c>
    </row>
    <row r="42" spans="2:5">
      <c r="B42" s="246" t="s">
        <v>242</v>
      </c>
      <c r="C42" s="239">
        <f>SUM(C37:C41)</f>
        <v>73477.149999999994</v>
      </c>
      <c r="D42" s="239">
        <f>SUM(D37:D41)</f>
        <v>56040.68</v>
      </c>
      <c r="E42" s="251">
        <f>SUM(E37:E41)</f>
        <v>49710.278255544275</v>
      </c>
    </row>
    <row r="43" spans="2:5">
      <c r="B43" s="244" t="s">
        <v>243</v>
      </c>
      <c r="C43" s="240">
        <f>C36-C42</f>
        <v>-73477.149999999994</v>
      </c>
      <c r="D43" s="240">
        <f>D36-D42</f>
        <v>-17560.68</v>
      </c>
      <c r="E43" s="252">
        <f>E36-E42</f>
        <v>-13734.001514953969</v>
      </c>
    </row>
    <row r="44" spans="2:5">
      <c r="B44" s="245" t="s">
        <v>244</v>
      </c>
      <c r="C44" s="237">
        <f>C43/12</f>
        <v>-6123.0958333333328</v>
      </c>
      <c r="D44" s="237">
        <f>D43/12</f>
        <v>-1463.39</v>
      </c>
      <c r="E44" s="249">
        <f>E43/12</f>
        <v>-1144.500126246164</v>
      </c>
    </row>
    <row r="45" spans="2:5">
      <c r="B45" s="245" t="s">
        <v>245</v>
      </c>
      <c r="C45" s="237">
        <f>C43/52</f>
        <v>-1413.0221153846153</v>
      </c>
      <c r="D45" s="237">
        <f>D43/52</f>
        <v>-337.70538461538462</v>
      </c>
      <c r="E45" s="249">
        <f>E43/52</f>
        <v>-264.11541374911479</v>
      </c>
    </row>
    <row r="46" spans="2:5">
      <c r="B46" s="245"/>
      <c r="C46" s="236"/>
      <c r="D46" s="236"/>
      <c r="E46" s="248"/>
    </row>
    <row r="47" spans="2:5">
      <c r="B47" s="243" t="s">
        <v>246</v>
      </c>
      <c r="C47" s="236"/>
      <c r="D47" s="236"/>
      <c r="E47" s="248"/>
    </row>
    <row r="48" spans="2:5">
      <c r="B48" s="245" t="s">
        <v>247</v>
      </c>
      <c r="C48" s="241">
        <f>IFERROR(C36/C9,0)</f>
        <v>0</v>
      </c>
      <c r="D48" s="241">
        <f>IFERROR(D36/D9,0)</f>
        <v>2.690909090909091E-2</v>
      </c>
      <c r="E48" s="253">
        <f>IFERROR(E36/E9,0)</f>
        <v>3.7632088640784843E-2</v>
      </c>
    </row>
    <row r="49" spans="2:5">
      <c r="B49" s="245" t="s">
        <v>248</v>
      </c>
      <c r="C49" s="241">
        <f>IFERROR((C36-C37-C38-C39-C40)/C9,0)</f>
        <v>-7.9924652777777789E-3</v>
      </c>
      <c r="D49" s="241">
        <f>IFERROR((D36-D37-D38-D39-D40)/D9,0)</f>
        <v>1.6931664335664336E-2</v>
      </c>
      <c r="E49" s="253">
        <f>IFERROR((E36-E37-E38-E39-E40)/E9,0)</f>
        <v>2.78034712186674E-2</v>
      </c>
    </row>
    <row r="50" spans="2:5">
      <c r="B50" s="247" t="s">
        <v>249</v>
      </c>
      <c r="C50" s="242">
        <f>C49+C25</f>
        <v>6.200753472222223E-2</v>
      </c>
      <c r="D50" s="242">
        <f>D49+D25</f>
        <v>8.6931664335664349E-2</v>
      </c>
      <c r="E50" s="254">
        <f>E49+E25</f>
        <v>9.7803471218667407E-2</v>
      </c>
    </row>
    <row r="52" spans="2:5" ht="21.95" customHeight="1" thickBot="1">
      <c r="B52" s="270" t="s">
        <v>250</v>
      </c>
      <c r="C52" s="276" t="s">
        <v>251</v>
      </c>
      <c r="D52" s="277" t="s">
        <v>252</v>
      </c>
      <c r="E52" s="278" t="s">
        <v>253</v>
      </c>
    </row>
    <row r="53" spans="2:5">
      <c r="B53" s="244" t="s">
        <v>254</v>
      </c>
      <c r="C53" s="240">
        <f>SUM(C9:E9)</f>
        <v>3826000</v>
      </c>
      <c r="D53" s="240">
        <f>SUM(D9:E9)</f>
        <v>2386000</v>
      </c>
      <c r="E53" s="252">
        <f>C9</f>
        <v>1440000</v>
      </c>
    </row>
    <row r="54" spans="2:5">
      <c r="B54" s="245" t="s">
        <v>255</v>
      </c>
      <c r="C54" s="237">
        <f>SUM(C29:E29)</f>
        <v>2345877.44</v>
      </c>
      <c r="D54" s="237">
        <f>SUM(D29:E29)</f>
        <v>1449790</v>
      </c>
      <c r="E54" s="249">
        <f>C29</f>
        <v>896087.44000000006</v>
      </c>
    </row>
    <row r="55" spans="2:5">
      <c r="B55" s="260" t="s">
        <v>256</v>
      </c>
      <c r="C55" s="255">
        <f>C53-C54</f>
        <v>1480122.56</v>
      </c>
      <c r="D55" s="255">
        <f>D53-D54</f>
        <v>936210</v>
      </c>
      <c r="E55" s="265">
        <f>E53-E54</f>
        <v>543912.55999999994</v>
      </c>
    </row>
    <row r="56" spans="2:5">
      <c r="B56" s="245" t="s">
        <v>257</v>
      </c>
      <c r="C56" s="238">
        <f>C54/C53</f>
        <v>0.61314099320439097</v>
      </c>
      <c r="D56" s="238">
        <f>D54/D53</f>
        <v>0.60762363788767815</v>
      </c>
      <c r="E56" s="250">
        <f>E54/E53</f>
        <v>0.62228294444444454</v>
      </c>
    </row>
    <row r="57" spans="2:5">
      <c r="B57" s="245" t="s">
        <v>258</v>
      </c>
      <c r="C57" s="237">
        <f>SUM(C21:E21)</f>
        <v>201134.78</v>
      </c>
      <c r="D57" s="237">
        <f>SUM(D21:E21)</f>
        <v>180066.28</v>
      </c>
      <c r="E57" s="249">
        <f>C21</f>
        <v>21068.5</v>
      </c>
    </row>
    <row r="58" spans="2:5">
      <c r="B58" s="245" t="s">
        <v>235</v>
      </c>
      <c r="C58" s="237">
        <f>SUM(C32:E32)</f>
        <v>2144742.66</v>
      </c>
      <c r="D58" s="237">
        <f>SUM(D32:E32)</f>
        <v>1269723.72</v>
      </c>
      <c r="E58" s="249">
        <f>C32</f>
        <v>875018.94000000006</v>
      </c>
    </row>
    <row r="59" spans="2:5">
      <c r="B59" s="245"/>
      <c r="C59" s="236"/>
      <c r="D59" s="236"/>
      <c r="E59" s="248"/>
    </row>
    <row r="60" spans="2:5">
      <c r="B60" s="246" t="s">
        <v>259</v>
      </c>
      <c r="C60" s="256">
        <f>SUM(C36:E36)</f>
        <v>74456.276740590314</v>
      </c>
      <c r="D60" s="256">
        <f>SUM(D36:E36)</f>
        <v>74456.276740590314</v>
      </c>
      <c r="E60" s="266">
        <f>C36</f>
        <v>0</v>
      </c>
    </row>
    <row r="61" spans="2:5">
      <c r="B61" s="261" t="s">
        <v>260</v>
      </c>
      <c r="C61" s="256">
        <f>SUM(C41:E41)</f>
        <v>144055.07999999999</v>
      </c>
      <c r="D61" s="256">
        <f>SUM(D41:E41)</f>
        <v>82087.08</v>
      </c>
      <c r="E61" s="266">
        <f>C41</f>
        <v>61968</v>
      </c>
    </row>
    <row r="62" spans="2:5">
      <c r="B62" s="261" t="s">
        <v>261</v>
      </c>
      <c r="C62" s="256">
        <f>SUM(C42:E42)-C61</f>
        <v>35173.028255544283</v>
      </c>
      <c r="D62" s="256">
        <f>SUM(D42:E42)-D61</f>
        <v>23663.878255544274</v>
      </c>
      <c r="E62" s="266">
        <f>C42-C41</f>
        <v>11509.149999999994</v>
      </c>
    </row>
    <row r="63" spans="2:5">
      <c r="B63" s="262" t="s">
        <v>243</v>
      </c>
      <c r="C63" s="257">
        <f>SUM(C43:E43)</f>
        <v>-104771.83151495396</v>
      </c>
      <c r="D63" s="257">
        <f>SUM(D43:E43)</f>
        <v>-31294.681514953969</v>
      </c>
      <c r="E63" s="267">
        <f>C43</f>
        <v>-73477.149999999994</v>
      </c>
    </row>
    <row r="64" spans="2:5">
      <c r="B64" s="263" t="s">
        <v>244</v>
      </c>
      <c r="C64" s="258">
        <f>C63/12</f>
        <v>-8730.9859595794969</v>
      </c>
      <c r="D64" s="258">
        <f>D63/12</f>
        <v>-2607.8901262461641</v>
      </c>
      <c r="E64" s="268">
        <f>E63/12</f>
        <v>-6123.0958333333328</v>
      </c>
    </row>
    <row r="65" spans="2:5">
      <c r="B65" s="263" t="s">
        <v>245</v>
      </c>
      <c r="C65" s="258">
        <f>C63/52</f>
        <v>-2014.8429137491146</v>
      </c>
      <c r="D65" s="258">
        <f>D63/52</f>
        <v>-601.82079836449941</v>
      </c>
      <c r="E65" s="268">
        <f>E63/52</f>
        <v>-1413.0221153846153</v>
      </c>
    </row>
    <row r="66" spans="2:5">
      <c r="B66" s="245"/>
      <c r="C66" s="236"/>
      <c r="D66" s="236"/>
      <c r="E66" s="248"/>
    </row>
    <row r="67" spans="2:5">
      <c r="B67" s="260" t="s">
        <v>236</v>
      </c>
      <c r="C67" s="255">
        <f>SUM(C33:E33)</f>
        <v>267820</v>
      </c>
      <c r="D67" s="255">
        <f>SUM(D33:E33)</f>
        <v>167020</v>
      </c>
      <c r="E67" s="265">
        <f>C33</f>
        <v>100800.00000000001</v>
      </c>
    </row>
    <row r="68" spans="2:5">
      <c r="B68" s="264" t="s">
        <v>262</v>
      </c>
      <c r="C68" s="259">
        <f>C67+C63</f>
        <v>163048.16848504604</v>
      </c>
      <c r="D68" s="259">
        <f>D67+D63</f>
        <v>135725.31848504604</v>
      </c>
      <c r="E68" s="269">
        <f>E67+E63</f>
        <v>27322.85000000002</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25428-1FE6-4EE1-B911-4BFD33197125}">
  <sheetPr>
    <tabColor rgb="FF92D050"/>
  </sheetPr>
  <dimension ref="B2:O76"/>
  <sheetViews>
    <sheetView showGridLines="0" zoomScale="130" zoomScaleNormal="130" workbookViewId="0">
      <selection activeCell="D14" sqref="D14"/>
    </sheetView>
    <sheetView tabSelected="1" workbookViewId="1">
      <selection activeCell="B7" sqref="B7"/>
    </sheetView>
  </sheetViews>
  <sheetFormatPr defaultRowHeight="15"/>
  <cols>
    <col min="2" max="2" width="19.42578125" customWidth="1"/>
    <col min="3" max="3" width="22" customWidth="1"/>
    <col min="4" max="4" width="26.42578125" bestFit="1" customWidth="1"/>
    <col min="5" max="5" width="13.5703125" customWidth="1"/>
    <col min="6" max="6" width="14.85546875" customWidth="1"/>
    <col min="7" max="7" width="15.7109375" hidden="1" customWidth="1"/>
    <col min="8" max="8" width="18.28515625" customWidth="1"/>
    <col min="9" max="9" width="16.140625" customWidth="1"/>
    <col min="10" max="10" width="56" bestFit="1" customWidth="1"/>
    <col min="11" max="11" width="12.5703125" bestFit="1" customWidth="1"/>
    <col min="14" max="14" width="26" customWidth="1"/>
  </cols>
  <sheetData>
    <row r="2" spans="2:15" ht="20.25" thickBot="1">
      <c r="B2" s="9" t="s">
        <v>97</v>
      </c>
      <c r="C2" s="9"/>
      <c r="D2" s="9"/>
      <c r="E2" s="9"/>
      <c r="F2" s="9"/>
      <c r="G2" s="9"/>
      <c r="H2" s="9"/>
      <c r="I2" s="9"/>
      <c r="J2" s="9"/>
      <c r="K2" s="9"/>
      <c r="L2" s="9"/>
      <c r="M2" s="9"/>
      <c r="N2" s="9"/>
      <c r="O2" s="9"/>
    </row>
    <row r="3" spans="2:15" ht="15.75" thickTop="1"/>
    <row r="4" spans="2:15" ht="20.25" thickBot="1">
      <c r="B4" s="9" t="s">
        <v>82</v>
      </c>
      <c r="C4" s="9"/>
      <c r="D4" s="9"/>
      <c r="E4" s="9"/>
      <c r="F4" s="9"/>
      <c r="G4" s="9"/>
      <c r="H4" s="9"/>
      <c r="I4" s="9"/>
      <c r="J4" s="9"/>
      <c r="K4" s="9"/>
    </row>
    <row r="5" spans="2:15" ht="15.75" thickTop="1">
      <c r="C5" s="22"/>
      <c r="D5" s="22"/>
      <c r="E5" s="22"/>
      <c r="F5" s="22"/>
      <c r="G5" s="22"/>
      <c r="H5" s="22"/>
      <c r="I5" s="22"/>
      <c r="J5" s="22"/>
      <c r="K5" s="22"/>
      <c r="L5" s="22"/>
      <c r="M5" s="22"/>
    </row>
    <row r="6" spans="2:15">
      <c r="B6" t="s">
        <v>129</v>
      </c>
      <c r="C6" t="s">
        <v>130</v>
      </c>
      <c r="D6" t="s">
        <v>131</v>
      </c>
      <c r="E6" t="s">
        <v>142</v>
      </c>
      <c r="F6" t="s">
        <v>132</v>
      </c>
      <c r="G6" t="s">
        <v>133</v>
      </c>
      <c r="H6" t="s">
        <v>134</v>
      </c>
      <c r="I6" s="22" t="s">
        <v>139</v>
      </c>
      <c r="J6" s="22" t="s">
        <v>165</v>
      </c>
      <c r="K6" s="22"/>
      <c r="L6" s="22"/>
      <c r="M6" s="22"/>
    </row>
    <row r="7" spans="2:15" ht="45">
      <c r="B7" t="s">
        <v>127</v>
      </c>
      <c r="C7" t="s">
        <v>136</v>
      </c>
      <c r="D7" t="s">
        <v>135</v>
      </c>
      <c r="E7" s="119">
        <v>478.5</v>
      </c>
      <c r="F7" s="7">
        <v>46071</v>
      </c>
      <c r="G7" s="7"/>
      <c r="I7" t="s">
        <v>171</v>
      </c>
      <c r="J7" s="13" t="s">
        <v>172</v>
      </c>
      <c r="K7" s="22"/>
      <c r="L7" s="22"/>
      <c r="M7" s="22"/>
    </row>
    <row r="8" spans="2:15">
      <c r="B8" t="s">
        <v>137</v>
      </c>
      <c r="C8" t="s">
        <v>138</v>
      </c>
      <c r="D8" t="s">
        <v>135</v>
      </c>
      <c r="E8" s="119">
        <v>1899.68</v>
      </c>
      <c r="F8" s="7">
        <v>46052</v>
      </c>
      <c r="G8" s="7"/>
      <c r="I8" s="48" t="s">
        <v>140</v>
      </c>
      <c r="L8" s="22"/>
      <c r="M8" s="22"/>
    </row>
    <row r="9" spans="2:15">
      <c r="B9" t="s">
        <v>128</v>
      </c>
      <c r="C9" t="s">
        <v>166</v>
      </c>
      <c r="D9" t="s">
        <v>135</v>
      </c>
      <c r="E9" s="119">
        <v>1274.45</v>
      </c>
      <c r="F9" s="7">
        <v>46082</v>
      </c>
      <c r="G9" s="7"/>
      <c r="J9" t="s">
        <v>167</v>
      </c>
      <c r="L9" s="22"/>
      <c r="M9" s="22"/>
    </row>
    <row r="10" spans="2:15" ht="21" customHeight="1">
      <c r="B10" t="s">
        <v>201</v>
      </c>
      <c r="C10" t="s">
        <v>138</v>
      </c>
      <c r="D10" s="164" t="s">
        <v>202</v>
      </c>
      <c r="E10" s="119">
        <v>371.52</v>
      </c>
      <c r="F10" s="7">
        <v>46024</v>
      </c>
      <c r="G10" s="7"/>
      <c r="I10" t="s">
        <v>141</v>
      </c>
    </row>
    <row r="11" spans="2:15" ht="30" customHeight="1">
      <c r="B11" t="s">
        <v>203</v>
      </c>
      <c r="C11" t="s">
        <v>138</v>
      </c>
      <c r="D11" t="s">
        <v>135</v>
      </c>
      <c r="E11" s="119">
        <f>95*3</f>
        <v>285</v>
      </c>
      <c r="F11" s="7">
        <v>46047</v>
      </c>
      <c r="I11" t="s">
        <v>143</v>
      </c>
    </row>
    <row r="12" spans="2:15" ht="26.25" customHeight="1">
      <c r="B12" t="s">
        <v>195</v>
      </c>
      <c r="D12" s="120"/>
      <c r="E12" s="126">
        <f>SUM(Table1[Amount])</f>
        <v>4309.1499999999996</v>
      </c>
      <c r="F12" s="121"/>
      <c r="G12" s="7"/>
    </row>
    <row r="13" spans="2:15" ht="21" customHeight="1">
      <c r="B13" s="29"/>
    </row>
    <row r="14" spans="2:15" ht="21" customHeight="1">
      <c r="B14" s="29"/>
      <c r="N14" s="31"/>
    </row>
    <row r="15" spans="2:15" ht="21" customHeight="1" thickBot="1">
      <c r="B15" s="8" t="s">
        <v>93</v>
      </c>
      <c r="C15" s="9"/>
      <c r="D15" s="9"/>
      <c r="E15" s="9"/>
      <c r="F15" s="9"/>
      <c r="G15" s="9"/>
      <c r="H15" s="9"/>
      <c r="I15" s="9"/>
    </row>
    <row r="16" spans="2:15" ht="21" customHeight="1" thickTop="1">
      <c r="C16" s="22"/>
      <c r="D16" s="22"/>
      <c r="E16" s="22"/>
      <c r="F16" s="22"/>
      <c r="G16" s="22"/>
      <c r="H16" s="22"/>
      <c r="I16" s="22"/>
    </row>
    <row r="17" spans="2:10" ht="21" customHeight="1">
      <c r="B17" t="s">
        <v>129</v>
      </c>
      <c r="C17" t="s">
        <v>130</v>
      </c>
      <c r="D17" t="s">
        <v>131</v>
      </c>
      <c r="E17" t="s">
        <v>142</v>
      </c>
      <c r="F17" t="s">
        <v>132</v>
      </c>
      <c r="G17" t="s">
        <v>133</v>
      </c>
      <c r="H17" t="s">
        <v>134</v>
      </c>
      <c r="I17" s="22" t="s">
        <v>139</v>
      </c>
      <c r="J17" s="22" t="s">
        <v>165</v>
      </c>
    </row>
    <row r="18" spans="2:10" ht="21" customHeight="1">
      <c r="B18" t="s">
        <v>145</v>
      </c>
      <c r="C18" t="s">
        <v>146</v>
      </c>
      <c r="D18" t="s">
        <v>135</v>
      </c>
      <c r="E18" s="123">
        <v>776.05</v>
      </c>
      <c r="F18" s="7">
        <v>45875</v>
      </c>
      <c r="G18" s="7"/>
      <c r="H18" t="s">
        <v>189</v>
      </c>
      <c r="I18" s="22"/>
      <c r="J18" t="s">
        <v>168</v>
      </c>
    </row>
    <row r="19" spans="2:10" ht="21" customHeight="1">
      <c r="B19" t="s">
        <v>144</v>
      </c>
      <c r="C19" t="s">
        <v>170</v>
      </c>
      <c r="D19" t="s">
        <v>135</v>
      </c>
      <c r="E19" s="123">
        <f>353.66-143.93</f>
        <v>209.73000000000002</v>
      </c>
      <c r="F19" s="7">
        <v>46022</v>
      </c>
      <c r="G19" s="7"/>
      <c r="H19" t="s">
        <v>190</v>
      </c>
      <c r="I19" s="48" t="s">
        <v>147</v>
      </c>
      <c r="J19" t="s">
        <v>169</v>
      </c>
    </row>
    <row r="20" spans="2:10" ht="21" customHeight="1">
      <c r="B20" t="s">
        <v>188</v>
      </c>
      <c r="D20" s="164" t="s">
        <v>208</v>
      </c>
      <c r="E20" s="49">
        <f>1000/4</f>
        <v>250</v>
      </c>
      <c r="F20" s="7">
        <v>45839</v>
      </c>
      <c r="G20" s="7"/>
      <c r="H20" t="s">
        <v>207</v>
      </c>
    </row>
    <row r="21" spans="2:10" ht="21" customHeight="1">
      <c r="B21" t="s">
        <v>195</v>
      </c>
      <c r="E21" s="167">
        <f>SUM(Table13[Amount])</f>
        <v>1235.78</v>
      </c>
      <c r="F21" s="7"/>
      <c r="G21" s="7"/>
    </row>
    <row r="22" spans="2:10" ht="21" customHeight="1">
      <c r="B22" s="30"/>
    </row>
    <row r="23" spans="2:10" ht="21" customHeight="1" thickBot="1">
      <c r="B23" s="8" t="s">
        <v>174</v>
      </c>
      <c r="C23" s="9"/>
      <c r="D23" s="9"/>
      <c r="E23" s="9"/>
      <c r="F23" s="9"/>
      <c r="G23" s="9"/>
      <c r="H23" s="9"/>
      <c r="I23" s="9"/>
    </row>
    <row r="24" spans="2:10" ht="21" customHeight="1" thickTop="1">
      <c r="C24" s="22"/>
      <c r="D24" s="22"/>
      <c r="E24" s="22"/>
      <c r="F24" s="22"/>
      <c r="G24" s="22"/>
      <c r="H24" s="22"/>
      <c r="I24" s="22"/>
    </row>
    <row r="25" spans="2:10" ht="21" customHeight="1">
      <c r="B25" t="s">
        <v>129</v>
      </c>
      <c r="C25" t="s">
        <v>130</v>
      </c>
      <c r="D25" t="s">
        <v>131</v>
      </c>
      <c r="E25" t="s">
        <v>142</v>
      </c>
      <c r="F25" t="s">
        <v>132</v>
      </c>
      <c r="G25" t="s">
        <v>133</v>
      </c>
      <c r="H25" t="s">
        <v>134</v>
      </c>
      <c r="I25" s="22" t="s">
        <v>139</v>
      </c>
      <c r="J25" s="22" t="s">
        <v>165</v>
      </c>
    </row>
    <row r="26" spans="2:10" ht="21" customHeight="1">
      <c r="B26" t="s">
        <v>176</v>
      </c>
      <c r="C26" t="s">
        <v>146</v>
      </c>
      <c r="D26" t="s">
        <v>135</v>
      </c>
      <c r="E26" s="124">
        <f>1654.15/4</f>
        <v>413.53750000000002</v>
      </c>
      <c r="F26" s="7">
        <v>45839</v>
      </c>
      <c r="G26" s="7"/>
      <c r="H26" s="125" t="s">
        <v>193</v>
      </c>
      <c r="I26" s="22"/>
    </row>
    <row r="27" spans="2:10" ht="21" customHeight="1">
      <c r="B27" t="s">
        <v>175</v>
      </c>
      <c r="C27" t="s">
        <v>170</v>
      </c>
      <c r="D27" t="s">
        <v>135</v>
      </c>
      <c r="E27" s="123">
        <f>691.6/4</f>
        <v>172.9</v>
      </c>
      <c r="F27" s="7">
        <v>45839</v>
      </c>
      <c r="G27" s="7"/>
      <c r="H27" t="s">
        <v>194</v>
      </c>
      <c r="I27" s="48"/>
    </row>
    <row r="28" spans="2:10" ht="21" customHeight="1">
      <c r="B28" t="s">
        <v>177</v>
      </c>
      <c r="C28" t="s">
        <v>170</v>
      </c>
      <c r="D28" t="s">
        <v>135</v>
      </c>
      <c r="E28" s="124">
        <f>998/4</f>
        <v>249.5</v>
      </c>
      <c r="F28" s="7">
        <v>45108</v>
      </c>
      <c r="G28" s="7"/>
      <c r="H28" t="s">
        <v>191</v>
      </c>
    </row>
    <row r="29" spans="2:10" ht="21" customHeight="1">
      <c r="B29" t="s">
        <v>188</v>
      </c>
      <c r="D29" t="s">
        <v>135</v>
      </c>
      <c r="E29" s="123">
        <f>3330/4</f>
        <v>832.5</v>
      </c>
      <c r="F29" s="7">
        <v>45108</v>
      </c>
      <c r="G29" s="7"/>
      <c r="H29" t="s">
        <v>192</v>
      </c>
    </row>
    <row r="30" spans="2:10" ht="21" customHeight="1">
      <c r="E30" s="50"/>
      <c r="F30" s="7"/>
    </row>
    <row r="31" spans="2:10" ht="21" customHeight="1">
      <c r="B31" t="s">
        <v>195</v>
      </c>
      <c r="E31" s="168">
        <f>SUM(E26:E29)</f>
        <v>1668.4375</v>
      </c>
      <c r="F31" s="7"/>
      <c r="G31" s="7"/>
    </row>
    <row r="32" spans="2:10" ht="21" customHeight="1">
      <c r="B32" s="30"/>
    </row>
    <row r="33" spans="2:11" ht="24.75" customHeight="1">
      <c r="B33" s="32"/>
    </row>
    <row r="34" spans="2:11" ht="15.75" customHeight="1"/>
    <row r="37" spans="2:11" ht="20.25" customHeight="1"/>
    <row r="38" spans="2:11" ht="20.25" customHeight="1"/>
    <row r="39" spans="2:11" ht="20.25" customHeight="1"/>
    <row r="40" spans="2:11" ht="20.25" customHeight="1"/>
    <row r="41" spans="2:11" ht="20.25" customHeight="1"/>
    <row r="42" spans="2:11" ht="20.25" customHeight="1"/>
    <row r="43" spans="2:11" ht="20.25" customHeight="1"/>
    <row r="44" spans="2:11" ht="20.25" customHeight="1"/>
    <row r="45" spans="2:11" ht="21">
      <c r="B45" s="33"/>
      <c r="C45" s="33"/>
      <c r="D45" s="183"/>
      <c r="E45" s="183"/>
      <c r="F45" s="184"/>
    </row>
    <row r="46" spans="2:11" ht="21">
      <c r="B46" s="33"/>
      <c r="C46" s="33"/>
    </row>
    <row r="48" spans="2:11" ht="20.25" thickBot="1">
      <c r="B48" s="9" t="s">
        <v>93</v>
      </c>
      <c r="C48" s="9"/>
      <c r="D48" s="9"/>
      <c r="E48" s="9"/>
      <c r="F48" s="9"/>
      <c r="G48" s="9"/>
      <c r="H48" s="9"/>
      <c r="I48" s="9"/>
      <c r="J48" s="9"/>
      <c r="K48" s="9"/>
    </row>
    <row r="49" spans="2:11" ht="21.75" thickTop="1">
      <c r="B49" s="34" t="s">
        <v>126</v>
      </c>
      <c r="C49" s="33"/>
    </row>
    <row r="50" spans="2:11" ht="21">
      <c r="B50" s="34" t="s">
        <v>117</v>
      </c>
      <c r="C50" s="33"/>
    </row>
    <row r="51" spans="2:11" ht="21">
      <c r="B51" s="34"/>
      <c r="C51" s="33"/>
      <c r="G51" s="22" t="s">
        <v>119</v>
      </c>
    </row>
    <row r="52" spans="2:11" ht="21" customHeight="1">
      <c r="B52" t="s">
        <v>118</v>
      </c>
      <c r="D52" s="31">
        <v>12763.58</v>
      </c>
      <c r="E52" s="31"/>
      <c r="F52" s="35">
        <v>3.2899999999999999E-2</v>
      </c>
      <c r="G52" s="36" t="s">
        <v>122</v>
      </c>
    </row>
    <row r="53" spans="2:11" ht="21" customHeight="1">
      <c r="B53" t="s">
        <v>121</v>
      </c>
      <c r="D53" s="31">
        <v>128135.49</v>
      </c>
      <c r="E53" s="31"/>
      <c r="F53" s="35">
        <v>2.5899999999999999E-2</v>
      </c>
      <c r="G53" s="28">
        <v>45316</v>
      </c>
    </row>
    <row r="54" spans="2:11" ht="21" customHeight="1">
      <c r="B54" t="s">
        <v>120</v>
      </c>
      <c r="D54" s="31">
        <v>407379</v>
      </c>
      <c r="E54" s="31"/>
      <c r="F54" s="35">
        <v>2.69E-2</v>
      </c>
      <c r="G54" s="28">
        <v>45313</v>
      </c>
    </row>
    <row r="55" spans="2:11" ht="26.25" customHeight="1">
      <c r="B55" s="37" t="s">
        <v>80</v>
      </c>
      <c r="D55" s="38">
        <f>D52+D54+D53</f>
        <v>548278.07000000007</v>
      </c>
      <c r="E55" s="38"/>
    </row>
    <row r="56" spans="2:11" ht="21" customHeight="1">
      <c r="D56" s="39"/>
      <c r="E56" s="39"/>
    </row>
    <row r="57" spans="2:11" ht="21" customHeight="1">
      <c r="B57" t="s">
        <v>124</v>
      </c>
      <c r="D57" s="31">
        <v>705000</v>
      </c>
      <c r="E57" s="31"/>
      <c r="K57" s="14"/>
    </row>
    <row r="58" spans="2:11" ht="21" customHeight="1">
      <c r="B58" t="s">
        <v>125</v>
      </c>
      <c r="D58" s="40">
        <f>(D55)/D57</f>
        <v>0.77769939007092204</v>
      </c>
      <c r="E58" s="40"/>
    </row>
    <row r="59" spans="2:11" ht="24.75" customHeight="1">
      <c r="B59" s="33" t="s">
        <v>99</v>
      </c>
      <c r="D59" s="41">
        <f>D57-D55</f>
        <v>156721.92999999993</v>
      </c>
      <c r="E59" s="41"/>
    </row>
    <row r="60" spans="2:11">
      <c r="B60" s="22"/>
      <c r="C60" s="42"/>
    </row>
    <row r="61" spans="2:11">
      <c r="D61" s="22" t="s">
        <v>84</v>
      </c>
      <c r="E61" s="22"/>
      <c r="F61" s="22" t="s">
        <v>85</v>
      </c>
    </row>
    <row r="62" spans="2:11">
      <c r="B62" s="182" t="s">
        <v>81</v>
      </c>
      <c r="C62" s="182"/>
      <c r="D62" s="43">
        <f>485*52</f>
        <v>25220</v>
      </c>
      <c r="E62" s="43"/>
      <c r="F62" s="14">
        <f>D62/12</f>
        <v>2101.6666666666665</v>
      </c>
      <c r="K62" s="14"/>
    </row>
    <row r="63" spans="2:11" ht="19.5" customHeight="1">
      <c r="B63" s="182" t="s">
        <v>86</v>
      </c>
      <c r="C63" s="182"/>
      <c r="D63" s="43">
        <f>(610+137+60)*4</f>
        <v>3228</v>
      </c>
      <c r="E63" s="43"/>
      <c r="F63" s="14">
        <f t="shared" ref="F63:F70" si="0">D63/12</f>
        <v>269</v>
      </c>
    </row>
    <row r="64" spans="2:11" ht="19.5" customHeight="1">
      <c r="B64" s="182" t="s">
        <v>88</v>
      </c>
      <c r="C64" s="182"/>
      <c r="D64" s="185"/>
      <c r="E64" s="185"/>
      <c r="F64" s="185"/>
    </row>
    <row r="65" spans="2:11" ht="19.5" customHeight="1">
      <c r="B65" s="182" t="s">
        <v>89</v>
      </c>
      <c r="C65" s="182"/>
      <c r="D65" s="186">
        <v>7.7499999999999999E-2</v>
      </c>
      <c r="E65" s="186"/>
      <c r="F65" s="186"/>
    </row>
    <row r="66" spans="2:11" ht="19.5" customHeight="1">
      <c r="B66" s="182" t="s">
        <v>90</v>
      </c>
      <c r="C66" s="182"/>
      <c r="D66" s="43">
        <f>D62*D65</f>
        <v>1954.55</v>
      </c>
      <c r="E66" s="43"/>
      <c r="F66" s="14">
        <f t="shared" si="0"/>
        <v>162.87916666666666</v>
      </c>
    </row>
    <row r="67" spans="2:11" ht="19.5" customHeight="1">
      <c r="B67" s="182" t="s">
        <v>94</v>
      </c>
      <c r="C67" s="182"/>
      <c r="D67" s="43">
        <f>(544+840.65)*12</f>
        <v>16615.800000000003</v>
      </c>
      <c r="E67" s="43"/>
      <c r="F67" s="14">
        <f t="shared" si="0"/>
        <v>1384.6500000000003</v>
      </c>
    </row>
    <row r="68" spans="2:11" ht="19.5" customHeight="1">
      <c r="B68" s="182" t="s">
        <v>95</v>
      </c>
      <c r="C68" s="182"/>
      <c r="D68" s="44">
        <f>(60)*12</f>
        <v>720</v>
      </c>
      <c r="E68" s="44"/>
      <c r="F68" s="14"/>
    </row>
    <row r="69" spans="2:11" ht="19.5" customHeight="1">
      <c r="B69" s="182" t="s">
        <v>96</v>
      </c>
      <c r="C69" s="182"/>
      <c r="D69" s="45">
        <f>D67+D68</f>
        <v>17335.800000000003</v>
      </c>
      <c r="E69" s="45"/>
      <c r="F69" s="14"/>
    </row>
    <row r="70" spans="2:11" ht="19.5" customHeight="1">
      <c r="B70" s="46" t="s">
        <v>92</v>
      </c>
      <c r="C70" s="46"/>
      <c r="D70" s="47">
        <f>D62-D63-D66-D69</f>
        <v>2701.6499999999978</v>
      </c>
      <c r="E70" s="47"/>
      <c r="F70" s="47">
        <f t="shared" si="0"/>
        <v>225.13749999999982</v>
      </c>
    </row>
    <row r="71" spans="2:11" ht="21">
      <c r="B71" s="184" t="s">
        <v>83</v>
      </c>
      <c r="C71" s="184"/>
      <c r="D71" s="188">
        <v>10155.56</v>
      </c>
      <c r="E71" s="188"/>
      <c r="F71" s="188"/>
    </row>
    <row r="73" spans="2:11" ht="18" thickBot="1">
      <c r="B73" s="21" t="s">
        <v>100</v>
      </c>
      <c r="C73" s="21"/>
      <c r="D73" s="21"/>
      <c r="E73" s="21"/>
      <c r="F73" s="21"/>
      <c r="G73" s="21"/>
      <c r="H73" s="21"/>
      <c r="I73" s="21"/>
      <c r="J73" s="21"/>
      <c r="K73" s="21"/>
    </row>
    <row r="74" spans="2:11" ht="15.75" thickTop="1"/>
    <row r="75" spans="2:11" ht="21">
      <c r="B75" s="187" t="s">
        <v>101</v>
      </c>
      <c r="C75" s="187"/>
      <c r="D75" s="183">
        <f>D44+D70</f>
        <v>2701.6499999999978</v>
      </c>
      <c r="E75" s="183"/>
      <c r="F75" s="184"/>
    </row>
    <row r="76" spans="2:11" ht="21">
      <c r="B76" s="187" t="s">
        <v>98</v>
      </c>
      <c r="C76" s="187"/>
      <c r="D76" s="188">
        <f>D45+D71</f>
        <v>10155.56</v>
      </c>
      <c r="E76" s="188"/>
      <c r="F76" s="188"/>
      <c r="H76" s="14"/>
    </row>
  </sheetData>
  <mergeCells count="17">
    <mergeCell ref="B76:C76"/>
    <mergeCell ref="D76:F76"/>
    <mergeCell ref="B68:C68"/>
    <mergeCell ref="B69:C69"/>
    <mergeCell ref="B71:C71"/>
    <mergeCell ref="D71:F71"/>
    <mergeCell ref="B75:C75"/>
    <mergeCell ref="D75:F75"/>
    <mergeCell ref="B67:C67"/>
    <mergeCell ref="D45:F45"/>
    <mergeCell ref="B62:C62"/>
    <mergeCell ref="B63:C63"/>
    <mergeCell ref="B64:C64"/>
    <mergeCell ref="D64:F64"/>
    <mergeCell ref="B65:C65"/>
    <mergeCell ref="D65:F65"/>
    <mergeCell ref="B66:C66"/>
  </mergeCells>
  <conditionalFormatting sqref="D59:E59">
    <cfRule type="cellIs" dxfId="9" priority="4" operator="lessThan">
      <formula>0</formula>
    </cfRule>
    <cfRule type="cellIs" dxfId="8" priority="5" operator="greaterThan">
      <formula>0</formula>
    </cfRule>
    <cfRule type="colorScale" priority="6">
      <colorScale>
        <cfvo type="min"/>
        <cfvo type="percentile" val="50"/>
        <cfvo type="max"/>
        <color rgb="FFF8696B"/>
        <color rgb="FFFFEB84"/>
        <color rgb="FF63BE7B"/>
      </colorScale>
    </cfRule>
  </conditionalFormatting>
  <conditionalFormatting sqref="D70:E70">
    <cfRule type="colorScale" priority="14">
      <colorScale>
        <cfvo type="min"/>
        <cfvo type="percentile" val="50"/>
        <cfvo type="max"/>
        <color rgb="FFF8696B"/>
        <color rgb="FFFFEB84"/>
        <color rgb="FF63BE7B"/>
      </colorScale>
    </cfRule>
  </conditionalFormatting>
  <conditionalFormatting sqref="D70:F70">
    <cfRule type="cellIs" dxfId="7" priority="9" operator="lessThan">
      <formula>0</formula>
    </cfRule>
    <cfRule type="cellIs" dxfId="6" priority="10" operator="greaterThan">
      <formula>0</formula>
    </cfRule>
  </conditionalFormatting>
  <conditionalFormatting sqref="D75:F75">
    <cfRule type="cellIs" dxfId="5" priority="7" operator="lessThan">
      <formula>0</formula>
    </cfRule>
    <cfRule type="cellIs" dxfId="4" priority="8" operator="greaterThan">
      <formula>0</formula>
    </cfRule>
  </conditionalFormatting>
  <conditionalFormatting sqref="F70">
    <cfRule type="colorScale" priority="11">
      <colorScale>
        <cfvo type="min"/>
        <cfvo type="percentile" val="50"/>
        <cfvo type="max"/>
        <color rgb="FFF8696B"/>
        <color rgb="FFFFEB84"/>
        <color rgb="FF63BE7B"/>
      </colorScale>
    </cfRule>
  </conditionalFormatting>
  <hyperlinks>
    <hyperlink ref="I8" r:id="rId1" display="gabrielandarina@gmail.com/Watergab1" xr:uid="{F8EE11ED-C974-4E86-A2B8-4255AF35F84B}"/>
    <hyperlink ref="I19" r:id="rId2" xr:uid="{51BF7578-752B-43D9-B404-7825838D4FEB}"/>
    <hyperlink ref="D10" r:id="rId3" xr:uid="{81038865-7303-4C70-9636-5845C45D54F3}"/>
    <hyperlink ref="D20" r:id="rId4" xr:uid="{B0314A64-2336-431F-981A-E81AFE416231}"/>
  </hyperlinks>
  <pageMargins left="0.7" right="0.7" top="0.75" bottom="0.75" header="0.3" footer="0.3"/>
  <pageSetup paperSize="9" orientation="portrait" horizontalDpi="4294967293" verticalDpi="200" r:id="rId5"/>
  <tableParts count="3">
    <tablePart r:id="rId6"/>
    <tablePart r:id="rId7"/>
    <tablePart r:id="rId8"/>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25BE1-F0F6-4757-963E-26670BA04413}">
  <sheetPr>
    <tabColor rgb="FFFF0000"/>
  </sheetPr>
  <dimension ref="B3:H40"/>
  <sheetViews>
    <sheetView showGridLines="0" workbookViewId="0">
      <selection activeCell="E43" sqref="E43"/>
    </sheetView>
    <sheetView workbookViewId="1"/>
  </sheetViews>
  <sheetFormatPr defaultColWidth="9.140625" defaultRowHeight="15"/>
  <cols>
    <col min="2" max="2" width="26.5703125" customWidth="1"/>
    <col min="3" max="3" width="20.28515625" bestFit="1" customWidth="1"/>
    <col min="4" max="4" width="16.28515625" customWidth="1"/>
    <col min="5" max="5" width="27.7109375" customWidth="1"/>
    <col min="6" max="6" width="16.28515625" bestFit="1" customWidth="1"/>
  </cols>
  <sheetData>
    <row r="3" spans="2:8" ht="20.25" thickBot="1">
      <c r="B3" s="9" t="s">
        <v>103</v>
      </c>
      <c r="C3" s="9"/>
    </row>
    <row r="4" spans="2:8" ht="15.75" thickTop="1"/>
    <row r="6" spans="2:8" ht="32.25" customHeight="1">
      <c r="B6" t="s">
        <v>79</v>
      </c>
      <c r="C6" t="s">
        <v>104</v>
      </c>
      <c r="D6" t="s">
        <v>106</v>
      </c>
      <c r="E6" t="s">
        <v>107</v>
      </c>
      <c r="F6" t="s">
        <v>108</v>
      </c>
    </row>
    <row r="7" spans="2:8">
      <c r="B7" s="15">
        <v>44172</v>
      </c>
      <c r="C7" s="16" t="s">
        <v>105</v>
      </c>
      <c r="D7" s="20">
        <v>2.0156000000000001</v>
      </c>
      <c r="E7" s="19">
        <v>30312.83943</v>
      </c>
      <c r="F7" s="20">
        <f>Table14[[#This Row],[Unit Price]]*Table14[[#This Row],[Units]]</f>
        <v>61098.559155108</v>
      </c>
      <c r="H7" s="26" t="s">
        <v>114</v>
      </c>
    </row>
    <row r="8" spans="2:8">
      <c r="B8" s="15"/>
      <c r="C8" s="16"/>
      <c r="D8" s="18"/>
      <c r="E8" s="17"/>
      <c r="F8" s="20">
        <f>Table14[[#This Row],[Unit Price]]*Table14[[#This Row],[Units]]</f>
        <v>0</v>
      </c>
    </row>
    <row r="9" spans="2:8">
      <c r="B9" s="15"/>
      <c r="C9" s="16"/>
      <c r="D9" s="18"/>
      <c r="E9" s="17"/>
      <c r="F9" s="20">
        <f>Table14[[#This Row],[Unit Price]]*Table14[[#This Row],[Units]]</f>
        <v>0</v>
      </c>
    </row>
    <row r="10" spans="2:8">
      <c r="B10" s="15"/>
      <c r="C10" s="16"/>
      <c r="D10" s="18"/>
      <c r="E10" s="17"/>
      <c r="F10" s="20">
        <f>Table14[[#This Row],[Unit Price]]*Table14[[#This Row],[Units]]</f>
        <v>0</v>
      </c>
    </row>
    <row r="11" spans="2:8">
      <c r="B11" s="15"/>
      <c r="C11" s="16"/>
      <c r="D11" s="18"/>
      <c r="E11" s="17"/>
      <c r="F11" s="20">
        <f>Table14[[#This Row],[Unit Price]]*Table14[[#This Row],[Units]]</f>
        <v>0</v>
      </c>
    </row>
    <row r="12" spans="2:8">
      <c r="B12" s="15"/>
      <c r="C12" s="16"/>
      <c r="D12" s="18"/>
      <c r="E12" s="17"/>
      <c r="F12" s="20">
        <f>Table14[[#This Row],[Unit Price]]*Table14[[#This Row],[Units]]</f>
        <v>0</v>
      </c>
    </row>
    <row r="13" spans="2:8">
      <c r="B13" s="15"/>
      <c r="C13" s="16"/>
      <c r="D13" s="18"/>
      <c r="E13" s="17"/>
      <c r="F13" s="20">
        <f>Table14[[#This Row],[Unit Price]]*Table14[[#This Row],[Units]]</f>
        <v>0</v>
      </c>
    </row>
    <row r="14" spans="2:8">
      <c r="B14" s="15"/>
      <c r="C14" s="16"/>
      <c r="D14" s="18"/>
      <c r="E14" s="17"/>
      <c r="F14" s="20">
        <f>Table14[[#This Row],[Unit Price]]*Table14[[#This Row],[Units]]</f>
        <v>0</v>
      </c>
    </row>
    <row r="15" spans="2:8">
      <c r="B15" s="15"/>
      <c r="C15" s="16"/>
      <c r="D15" s="18"/>
      <c r="E15" s="17"/>
      <c r="F15" s="20">
        <f>Table14[[#This Row],[Unit Price]]*Table14[[#This Row],[Units]]</f>
        <v>0</v>
      </c>
    </row>
    <row r="17" spans="2:6" ht="18" thickBot="1">
      <c r="B17" s="21" t="s">
        <v>109</v>
      </c>
    </row>
    <row r="18" spans="2:6" ht="15.75" thickTop="1">
      <c r="B18" s="22" t="s">
        <v>111</v>
      </c>
      <c r="C18" s="23" t="s">
        <v>110</v>
      </c>
    </row>
    <row r="19" spans="2:6">
      <c r="B19" s="22" t="s">
        <v>112</v>
      </c>
      <c r="C19" s="24">
        <v>0</v>
      </c>
      <c r="D19" s="25" t="s">
        <v>113</v>
      </c>
    </row>
    <row r="23" spans="2:6" ht="20.25" thickBot="1">
      <c r="B23" s="9" t="s">
        <v>115</v>
      </c>
      <c r="C23" s="9"/>
    </row>
    <row r="24" spans="2:6" ht="15.75" thickTop="1"/>
    <row r="26" spans="2:6">
      <c r="B26" t="s">
        <v>79</v>
      </c>
      <c r="C26" t="s">
        <v>104</v>
      </c>
      <c r="D26" t="s">
        <v>106</v>
      </c>
      <c r="E26" t="s">
        <v>107</v>
      </c>
      <c r="F26" t="s">
        <v>108</v>
      </c>
    </row>
    <row r="27" spans="2:6">
      <c r="B27" s="15">
        <v>44172</v>
      </c>
      <c r="C27" s="16" t="s">
        <v>116</v>
      </c>
      <c r="D27" s="20"/>
      <c r="E27" s="19"/>
      <c r="F27" s="20">
        <v>161500</v>
      </c>
    </row>
    <row r="28" spans="2:6">
      <c r="B28" s="15"/>
      <c r="C28" s="16"/>
      <c r="D28" s="18"/>
      <c r="E28" s="17"/>
      <c r="F28" s="20">
        <f>Table145[[#This Row],[Unit Price]]*Table145[[#This Row],[Units]]</f>
        <v>0</v>
      </c>
    </row>
    <row r="29" spans="2:6">
      <c r="B29" s="15"/>
      <c r="C29" s="16"/>
      <c r="D29" s="18"/>
      <c r="E29" s="17"/>
      <c r="F29" s="20">
        <f>Table145[[#This Row],[Unit Price]]*Table145[[#This Row],[Units]]</f>
        <v>0</v>
      </c>
    </row>
    <row r="30" spans="2:6">
      <c r="B30" s="15"/>
      <c r="C30" s="16"/>
      <c r="D30" s="18"/>
      <c r="E30" s="17"/>
      <c r="F30" s="20">
        <f>Table145[[#This Row],[Unit Price]]*Table145[[#This Row],[Units]]</f>
        <v>0</v>
      </c>
    </row>
    <row r="31" spans="2:6">
      <c r="B31" s="15"/>
      <c r="C31" s="16"/>
      <c r="D31" s="18"/>
      <c r="E31" s="17"/>
      <c r="F31" s="20">
        <f>Table145[[#This Row],[Unit Price]]*Table145[[#This Row],[Units]]</f>
        <v>0</v>
      </c>
    </row>
    <row r="32" spans="2:6">
      <c r="B32" s="15"/>
      <c r="C32" s="16"/>
      <c r="D32" s="18"/>
      <c r="E32" s="17"/>
      <c r="F32" s="20">
        <f>Table145[[#This Row],[Unit Price]]*Table145[[#This Row],[Units]]</f>
        <v>0</v>
      </c>
    </row>
    <row r="33" spans="2:6">
      <c r="B33" s="15"/>
      <c r="C33" s="16"/>
      <c r="D33" s="18"/>
      <c r="E33" s="17"/>
      <c r="F33" s="20">
        <f>Table145[[#This Row],[Unit Price]]*Table145[[#This Row],[Units]]</f>
        <v>0</v>
      </c>
    </row>
    <row r="34" spans="2:6">
      <c r="B34" s="15"/>
      <c r="C34" s="16"/>
      <c r="D34" s="18"/>
      <c r="E34" s="17"/>
      <c r="F34" s="20">
        <f>Table145[[#This Row],[Unit Price]]*Table145[[#This Row],[Units]]</f>
        <v>0</v>
      </c>
    </row>
    <row r="35" spans="2:6">
      <c r="B35" s="15"/>
      <c r="C35" s="16"/>
      <c r="D35" s="18"/>
      <c r="E35" s="17"/>
      <c r="F35" s="20">
        <f>Table145[[#This Row],[Unit Price]]*Table145[[#This Row],[Units]]</f>
        <v>0</v>
      </c>
    </row>
    <row r="38" spans="2:6" ht="18" thickBot="1">
      <c r="B38" s="21" t="s">
        <v>109</v>
      </c>
    </row>
    <row r="39" spans="2:6" ht="15.75" thickTop="1">
      <c r="B39" s="22" t="s">
        <v>111</v>
      </c>
      <c r="C39" s="27">
        <v>193000</v>
      </c>
    </row>
    <row r="40" spans="2:6">
      <c r="B40" s="22" t="s">
        <v>112</v>
      </c>
      <c r="C40" s="27">
        <v>5000</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F8438-CA04-417C-B65D-59D46F623CFF}">
  <dimension ref="B2:F86"/>
  <sheetViews>
    <sheetView tabSelected="1" workbookViewId="0">
      <pane ySplit="6" topLeftCell="A7" activePane="bottomLeft" state="frozen"/>
      <selection pane="bottomLeft" activeCell="F29" sqref="F29"/>
    </sheetView>
    <sheetView workbookViewId="1"/>
  </sheetViews>
  <sheetFormatPr defaultRowHeight="15"/>
  <cols>
    <col min="1" max="1" width="2.85546875" customWidth="1"/>
    <col min="2" max="2" width="45.7109375" customWidth="1"/>
    <col min="3" max="3" width="45" customWidth="1"/>
    <col min="4" max="4" width="42.5703125" customWidth="1"/>
    <col min="5" max="5" width="44.5703125" customWidth="1"/>
    <col min="6" max="6" width="19" customWidth="1"/>
    <col min="7" max="7" width="32.42578125" customWidth="1"/>
    <col min="8" max="8" width="61" customWidth="1"/>
  </cols>
  <sheetData>
    <row r="2" spans="2:5" ht="23.25">
      <c r="B2" s="287" t="s">
        <v>212</v>
      </c>
    </row>
    <row r="3" spans="2:5">
      <c r="B3" s="288" t="s">
        <v>213</v>
      </c>
    </row>
    <row r="4" spans="2:5">
      <c r="B4" s="289" t="s">
        <v>214</v>
      </c>
      <c r="C4" s="290" t="s">
        <v>215</v>
      </c>
    </row>
    <row r="6" spans="2:5" ht="17.25">
      <c r="B6" s="291" t="s">
        <v>216</v>
      </c>
      <c r="C6" s="292" t="s">
        <v>217</v>
      </c>
      <c r="D6" s="293" t="s">
        <v>218</v>
      </c>
      <c r="E6" s="294" t="s">
        <v>219</v>
      </c>
    </row>
    <row r="7" spans="2:5">
      <c r="B7" s="295" t="s">
        <v>220</v>
      </c>
      <c r="C7" s="192" t="s">
        <v>82</v>
      </c>
      <c r="D7" s="193" t="s">
        <v>93</v>
      </c>
      <c r="E7" s="194" t="s">
        <v>273</v>
      </c>
    </row>
    <row r="8" spans="2:5">
      <c r="B8" s="295" t="s">
        <v>183</v>
      </c>
      <c r="C8" s="192" t="s">
        <v>221</v>
      </c>
      <c r="D8" s="298" t="s">
        <v>179</v>
      </c>
      <c r="E8" s="300" t="s">
        <v>179</v>
      </c>
    </row>
    <row r="9" spans="2:5">
      <c r="B9" s="295" t="s">
        <v>222</v>
      </c>
      <c r="C9" s="195">
        <v>1440000</v>
      </c>
      <c r="D9" s="196">
        <v>1430000</v>
      </c>
      <c r="E9" s="197">
        <v>956000</v>
      </c>
    </row>
    <row r="10" spans="2:5">
      <c r="B10" s="295" t="s">
        <v>265</v>
      </c>
      <c r="C10" s="296" t="s">
        <v>266</v>
      </c>
      <c r="D10" s="298" t="s">
        <v>266</v>
      </c>
      <c r="E10" s="300" t="s">
        <v>267</v>
      </c>
    </row>
    <row r="11" spans="2:5">
      <c r="B11" s="295" t="s">
        <v>223</v>
      </c>
      <c r="C11" s="195">
        <v>783854.3</v>
      </c>
      <c r="D11" s="196">
        <v>620000</v>
      </c>
      <c r="E11" s="197">
        <v>794790</v>
      </c>
    </row>
    <row r="12" spans="2:5">
      <c r="B12" s="295" t="s">
        <v>270</v>
      </c>
      <c r="C12" s="296" t="s">
        <v>269</v>
      </c>
      <c r="D12" s="298" t="s">
        <v>268</v>
      </c>
      <c r="E12" s="300" t="s">
        <v>268</v>
      </c>
    </row>
    <row r="13" spans="2:5">
      <c r="B13" s="295" t="s">
        <v>225</v>
      </c>
      <c r="C13" s="198">
        <v>5.3900000000000003E-2</v>
      </c>
      <c r="D13" s="199">
        <v>6.3399999999999998E-2</v>
      </c>
      <c r="E13" s="200">
        <v>6.4500000000000002E-2</v>
      </c>
    </row>
    <row r="14" spans="2:5">
      <c r="B14" s="295" t="s">
        <v>263</v>
      </c>
      <c r="C14" s="201">
        <v>4517</v>
      </c>
      <c r="D14" s="202">
        <v>3296.02</v>
      </c>
      <c r="E14" s="203">
        <v>3359.51</v>
      </c>
    </row>
    <row r="15" spans="2:5">
      <c r="B15" s="295" t="s">
        <v>271</v>
      </c>
      <c r="C15" s="297"/>
      <c r="D15" s="299">
        <v>47198</v>
      </c>
      <c r="E15" s="301">
        <v>46411</v>
      </c>
    </row>
    <row r="16" spans="2:5">
      <c r="B16" s="295" t="s">
        <v>224</v>
      </c>
      <c r="C16" s="195">
        <v>112233.14</v>
      </c>
      <c r="D16" s="196">
        <v>35000</v>
      </c>
      <c r="E16" s="197">
        <v>0</v>
      </c>
    </row>
    <row r="17" spans="2:6">
      <c r="B17" s="295" t="s">
        <v>272</v>
      </c>
      <c r="C17" s="296" t="s">
        <v>269</v>
      </c>
      <c r="D17" s="298" t="s">
        <v>268</v>
      </c>
      <c r="E17" s="300" t="s">
        <v>268</v>
      </c>
    </row>
    <row r="18" spans="2:6">
      <c r="B18" s="295" t="s">
        <v>226</v>
      </c>
      <c r="C18" s="198">
        <v>5.3900000000000003E-2</v>
      </c>
      <c r="D18" s="199">
        <v>6.3399999999999998E-2</v>
      </c>
      <c r="E18" s="200">
        <v>0</v>
      </c>
    </row>
    <row r="19" spans="2:6">
      <c r="B19" s="295" t="s">
        <v>264</v>
      </c>
      <c r="C19" s="201">
        <v>647</v>
      </c>
      <c r="D19" s="202">
        <v>185.06</v>
      </c>
      <c r="E19" s="203">
        <v>0</v>
      </c>
    </row>
    <row r="20" spans="2:6">
      <c r="B20" s="295" t="s">
        <v>274</v>
      </c>
      <c r="C20" s="297"/>
      <c r="D20" s="299">
        <v>47198</v>
      </c>
      <c r="E20" s="301"/>
    </row>
    <row r="21" spans="2:6">
      <c r="B21" s="295" t="s">
        <v>227</v>
      </c>
      <c r="C21" s="195">
        <v>21068.5</v>
      </c>
      <c r="D21" s="196">
        <v>40749.49</v>
      </c>
      <c r="E21" s="197">
        <v>139316.79</v>
      </c>
    </row>
    <row r="22" spans="2:6">
      <c r="B22" s="295" t="s">
        <v>228</v>
      </c>
      <c r="C22" s="195">
        <v>0</v>
      </c>
      <c r="D22" s="196">
        <v>740</v>
      </c>
      <c r="E22" s="197">
        <f>2998/4.3333</f>
        <v>691.85147578058286</v>
      </c>
    </row>
    <row r="23" spans="2:6">
      <c r="B23" s="295" t="s">
        <v>229</v>
      </c>
      <c r="C23" s="198">
        <v>0.05</v>
      </c>
      <c r="D23" s="199">
        <v>0.05</v>
      </c>
      <c r="E23" s="200">
        <v>0.05</v>
      </c>
    </row>
    <row r="24" spans="2:6">
      <c r="B24" s="295" t="s">
        <v>230</v>
      </c>
      <c r="C24" s="198">
        <v>0</v>
      </c>
      <c r="D24" s="199">
        <v>8.2500000000000004E-2</v>
      </c>
      <c r="E24" s="200">
        <v>7.4999999999999997E-2</v>
      </c>
    </row>
    <row r="25" spans="2:6">
      <c r="B25" s="295" t="s">
        <v>231</v>
      </c>
      <c r="C25" s="198">
        <v>7.0000000000000007E-2</v>
      </c>
      <c r="D25" s="199">
        <v>7.0000000000000007E-2</v>
      </c>
      <c r="E25" s="200">
        <v>7.0000000000000007E-2</v>
      </c>
    </row>
    <row r="27" spans="2:6" ht="17.25">
      <c r="B27" s="291" t="s">
        <v>297</v>
      </c>
      <c r="C27" s="292" t="s">
        <v>217</v>
      </c>
      <c r="D27" s="293" t="s">
        <v>218</v>
      </c>
      <c r="E27" s="294" t="s">
        <v>219</v>
      </c>
    </row>
    <row r="28" spans="2:6">
      <c r="B28" s="310" t="s">
        <v>296</v>
      </c>
      <c r="C28" s="311">
        <f>478.5/3</f>
        <v>159.5</v>
      </c>
      <c r="D28" s="312">
        <f>776.05/3</f>
        <v>258.68333333333334</v>
      </c>
      <c r="E28" s="313">
        <f>442.45/3</f>
        <v>147.48333333333332</v>
      </c>
    </row>
    <row r="29" spans="2:6" ht="64.5">
      <c r="B29" s="305" t="s">
        <v>281</v>
      </c>
      <c r="C29" s="314" t="s">
        <v>298</v>
      </c>
      <c r="D29" s="315" t="s">
        <v>300</v>
      </c>
      <c r="E29" s="316" t="s">
        <v>299</v>
      </c>
    </row>
    <row r="30" spans="2:6">
      <c r="B30" s="207" t="s">
        <v>275</v>
      </c>
      <c r="C30" s="317">
        <v>1899.68</v>
      </c>
      <c r="D30" s="318">
        <f>353.66-143.93</f>
        <v>209.73000000000002</v>
      </c>
      <c r="E30" s="313">
        <f>691.6/4</f>
        <v>172.9</v>
      </c>
      <c r="F30" t="s">
        <v>301</v>
      </c>
    </row>
    <row r="31" spans="2:6" ht="51.75">
      <c r="B31" s="305" t="s">
        <v>282</v>
      </c>
      <c r="C31" s="314" t="s">
        <v>283</v>
      </c>
      <c r="D31" s="315" t="s">
        <v>284</v>
      </c>
      <c r="E31" s="316" t="s">
        <v>285</v>
      </c>
    </row>
    <row r="32" spans="2:6">
      <c r="B32" s="207" t="s">
        <v>276</v>
      </c>
      <c r="C32" s="317">
        <v>1274.45</v>
      </c>
      <c r="D32" s="318"/>
      <c r="E32" s="313">
        <f>998/4</f>
        <v>249.5</v>
      </c>
    </row>
    <row r="33" spans="2:5" ht="39">
      <c r="B33" s="305" t="s">
        <v>286</v>
      </c>
      <c r="C33" s="314" t="s">
        <v>287</v>
      </c>
      <c r="D33" s="315"/>
      <c r="E33" s="316" t="s">
        <v>288</v>
      </c>
    </row>
    <row r="34" spans="2:5">
      <c r="B34" s="207" t="s">
        <v>277</v>
      </c>
      <c r="C34" s="317">
        <v>371.52</v>
      </c>
      <c r="D34" s="318"/>
      <c r="E34" s="313"/>
    </row>
    <row r="35" spans="2:5" ht="26.25">
      <c r="B35" s="305" t="s">
        <v>289</v>
      </c>
      <c r="C35" s="314" t="s">
        <v>290</v>
      </c>
      <c r="D35" s="315"/>
      <c r="E35" s="316"/>
    </row>
    <row r="36" spans="2:5">
      <c r="B36" s="207" t="s">
        <v>278</v>
      </c>
      <c r="C36" s="317">
        <f>95*3</f>
        <v>285</v>
      </c>
      <c r="D36" s="318"/>
      <c r="E36" s="313"/>
    </row>
    <row r="37" spans="2:5" ht="39">
      <c r="B37" s="305" t="s">
        <v>291</v>
      </c>
      <c r="C37" s="314" t="s">
        <v>292</v>
      </c>
      <c r="D37" s="315"/>
      <c r="E37" s="316"/>
    </row>
    <row r="38" spans="2:5">
      <c r="B38" s="207" t="s">
        <v>188</v>
      </c>
      <c r="C38" s="317"/>
      <c r="D38" s="318">
        <f>1000/4</f>
        <v>250</v>
      </c>
      <c r="E38" s="313">
        <f>3330/4</f>
        <v>832.5</v>
      </c>
    </row>
    <row r="39" spans="2:5" ht="26.25">
      <c r="B39" s="305" t="s">
        <v>293</v>
      </c>
      <c r="C39" s="314"/>
      <c r="D39" s="315" t="s">
        <v>294</v>
      </c>
      <c r="E39" s="316" t="s">
        <v>295</v>
      </c>
    </row>
    <row r="41" spans="2:5">
      <c r="B41" s="207" t="s">
        <v>279</v>
      </c>
      <c r="C41" s="306">
        <f>C28+C30+C32+C34+C36+C38</f>
        <v>3990.15</v>
      </c>
      <c r="D41" s="307">
        <f>D28+D30+D32+D34+D36+D38</f>
        <v>718.41333333333341</v>
      </c>
      <c r="E41" s="308">
        <f>E28+E30+E32+E34+E36+E38</f>
        <v>1402.3833333333332</v>
      </c>
    </row>
    <row r="42" spans="2:5">
      <c r="B42" s="210" t="s">
        <v>280</v>
      </c>
      <c r="C42" s="309">
        <f>C41</f>
        <v>3990.15</v>
      </c>
      <c r="D42" s="309">
        <f>D41*4</f>
        <v>2873.6533333333336</v>
      </c>
      <c r="E42" s="309">
        <f>E41*4</f>
        <v>5609.5333333333328</v>
      </c>
    </row>
    <row r="45" spans="2:5" ht="17.25">
      <c r="B45" s="291" t="s">
        <v>232</v>
      </c>
    </row>
    <row r="46" spans="2:5">
      <c r="B46" s="204" t="s">
        <v>233</v>
      </c>
    </row>
    <row r="47" spans="2:5">
      <c r="B47" s="22" t="s">
        <v>234</v>
      </c>
      <c r="C47" s="205">
        <f>C11+C16</f>
        <v>896087.44000000006</v>
      </c>
      <c r="D47" s="205">
        <f>D11+D16</f>
        <v>655000</v>
      </c>
      <c r="E47" s="205">
        <f>E11+E16</f>
        <v>794790</v>
      </c>
    </row>
    <row r="48" spans="2:5">
      <c r="B48" s="22" t="s">
        <v>125</v>
      </c>
      <c r="C48" s="206">
        <f>C47/C9</f>
        <v>0.62228294444444454</v>
      </c>
      <c r="D48" s="206">
        <f>D47/D9</f>
        <v>0.45804195804195802</v>
      </c>
      <c r="E48" s="206">
        <f>E47/E9</f>
        <v>0.83137029288702924</v>
      </c>
    </row>
    <row r="49" spans="2:5">
      <c r="B49" s="22" t="s">
        <v>99</v>
      </c>
      <c r="C49" s="205">
        <f>C9-C47</f>
        <v>543912.55999999994</v>
      </c>
      <c r="D49" s="205">
        <f>D9-D47</f>
        <v>775000</v>
      </c>
      <c r="E49" s="205">
        <f>E9-E47</f>
        <v>161210</v>
      </c>
    </row>
    <row r="50" spans="2:5">
      <c r="B50" s="22" t="s">
        <v>235</v>
      </c>
      <c r="C50" s="205">
        <f>C47-C21</f>
        <v>875018.94000000006</v>
      </c>
      <c r="D50" s="205">
        <f>D47-D21</f>
        <v>614250.51</v>
      </c>
      <c r="E50" s="205">
        <f>E47-E21</f>
        <v>655473.21</v>
      </c>
    </row>
    <row r="51" spans="2:5">
      <c r="B51" s="22" t="s">
        <v>236</v>
      </c>
      <c r="C51" s="205">
        <f>C9*C25</f>
        <v>100800.00000000001</v>
      </c>
      <c r="D51" s="205">
        <f>D9*D25</f>
        <v>100100.00000000001</v>
      </c>
      <c r="E51" s="205">
        <f>E9*E25</f>
        <v>66920</v>
      </c>
    </row>
    <row r="53" spans="2:5">
      <c r="B53" s="204" t="s">
        <v>237</v>
      </c>
    </row>
    <row r="54" spans="2:5">
      <c r="B54" s="22" t="s">
        <v>81</v>
      </c>
      <c r="C54" s="205">
        <f>C22*52</f>
        <v>0</v>
      </c>
      <c r="D54" s="205">
        <f>D22*52</f>
        <v>38480</v>
      </c>
      <c r="E54" s="205">
        <f>E22*52</f>
        <v>35976.276740590307</v>
      </c>
    </row>
    <row r="55" spans="2:5">
      <c r="B55" s="22" t="s">
        <v>238</v>
      </c>
      <c r="C55" s="205">
        <f>C28+C30+C34+C36</f>
        <v>2715.7000000000003</v>
      </c>
      <c r="D55" s="205">
        <f>(D28+D30)*4</f>
        <v>1873.6533333333334</v>
      </c>
      <c r="E55" s="205">
        <f>E41</f>
        <v>1402.3833333333332</v>
      </c>
    </row>
    <row r="56" spans="2:5">
      <c r="B56" s="22" t="s">
        <v>87</v>
      </c>
      <c r="C56" s="205">
        <f>C32</f>
        <v>1274.45</v>
      </c>
      <c r="D56" s="205">
        <v>0</v>
      </c>
      <c r="E56" s="205">
        <f>E32</f>
        <v>249.5</v>
      </c>
    </row>
    <row r="57" spans="2:5">
      <c r="B57" s="22" t="s">
        <v>239</v>
      </c>
      <c r="C57" s="205">
        <f>C9*C23/10</f>
        <v>7200</v>
      </c>
      <c r="D57" s="205">
        <f>D9*D23/10</f>
        <v>7150</v>
      </c>
      <c r="E57" s="205">
        <f>E9*E23/10</f>
        <v>4780</v>
      </c>
    </row>
    <row r="58" spans="2:5">
      <c r="B58" s="22" t="s">
        <v>240</v>
      </c>
      <c r="C58" s="205">
        <f>C54*C24</f>
        <v>0</v>
      </c>
      <c r="D58" s="205">
        <f>D54*D24</f>
        <v>3174.6000000000004</v>
      </c>
      <c r="E58" s="205">
        <f>E54*E24</f>
        <v>2698.2207555442728</v>
      </c>
    </row>
    <row r="59" spans="2:5">
      <c r="B59" s="22" t="s">
        <v>241</v>
      </c>
      <c r="C59" s="205">
        <f>(C14+C19)*12</f>
        <v>61968</v>
      </c>
      <c r="D59" s="205">
        <f>(D14+D19)*12</f>
        <v>41772.959999999999</v>
      </c>
      <c r="E59" s="205">
        <f>(E14+E19)*12</f>
        <v>40314.120000000003</v>
      </c>
    </row>
    <row r="60" spans="2:5">
      <c r="B60" s="207" t="s">
        <v>242</v>
      </c>
      <c r="C60" s="208">
        <f>SUM(C55:C59)</f>
        <v>73158.149999999994</v>
      </c>
      <c r="D60" s="208">
        <f>SUM(D55:D59)</f>
        <v>53971.213333333333</v>
      </c>
      <c r="E60" s="208">
        <f>SUM(E55:E59)</f>
        <v>49444.224088877607</v>
      </c>
    </row>
    <row r="61" spans="2:5">
      <c r="B61" s="22" t="s">
        <v>243</v>
      </c>
      <c r="C61" s="209">
        <f>C54-C60</f>
        <v>-73158.149999999994</v>
      </c>
      <c r="D61" s="209">
        <f>D54-D60</f>
        <v>-15491.213333333333</v>
      </c>
      <c r="E61" s="209">
        <f>E54-E60</f>
        <v>-13467.9473482873</v>
      </c>
    </row>
    <row r="62" spans="2:5">
      <c r="B62" s="22" t="s">
        <v>244</v>
      </c>
      <c r="C62" s="205">
        <f>C61/12</f>
        <v>-6096.5124999999998</v>
      </c>
      <c r="D62" s="205">
        <f>D61/12</f>
        <v>-1290.9344444444444</v>
      </c>
      <c r="E62" s="205">
        <f>E61/12</f>
        <v>-1122.3289456906084</v>
      </c>
    </row>
    <row r="63" spans="2:5">
      <c r="B63" s="22" t="s">
        <v>245</v>
      </c>
      <c r="C63" s="205">
        <f>C61/52</f>
        <v>-1406.8874999999998</v>
      </c>
      <c r="D63" s="205">
        <f>D61/52</f>
        <v>-297.90794871794873</v>
      </c>
      <c r="E63" s="205">
        <f>E61/52</f>
        <v>-258.99898746706344</v>
      </c>
    </row>
    <row r="65" spans="2:5">
      <c r="B65" s="204" t="s">
        <v>246</v>
      </c>
    </row>
    <row r="66" spans="2:5">
      <c r="B66" s="22" t="s">
        <v>247</v>
      </c>
      <c r="C66" s="114">
        <f>IFERROR(C54/C9,0)</f>
        <v>0</v>
      </c>
      <c r="D66" s="114">
        <f>IFERROR(D54/D9,0)</f>
        <v>2.690909090909091E-2</v>
      </c>
      <c r="E66" s="114">
        <f>IFERROR(E54/E9,0)</f>
        <v>3.7632088640784843E-2</v>
      </c>
    </row>
    <row r="67" spans="2:5">
      <c r="B67" s="22" t="s">
        <v>248</v>
      </c>
      <c r="C67" s="114">
        <f>IFERROR((C54-C55-C56-C57-C58)/C9,0)</f>
        <v>-7.7709375000000009E-3</v>
      </c>
      <c r="D67" s="114">
        <f>IFERROR((D54-D55-D56-D57-D58)/D9,0)</f>
        <v>1.8378843822843823E-2</v>
      </c>
      <c r="E67" s="114">
        <f>IFERROR((E54-E55-E56-E57-E58)/E9,0)</f>
        <v>2.8081770556184837E-2</v>
      </c>
    </row>
    <row r="68" spans="2:5">
      <c r="B68" s="22" t="s">
        <v>249</v>
      </c>
      <c r="C68" s="114">
        <f>C67+C25</f>
        <v>6.2229062500000008E-2</v>
      </c>
      <c r="D68" s="114">
        <f>D67+D25</f>
        <v>8.8378843822843833E-2</v>
      </c>
      <c r="E68" s="114">
        <f>E67+E25</f>
        <v>9.8081770556184847E-2</v>
      </c>
    </row>
    <row r="70" spans="2:5" ht="17.25">
      <c r="B70" s="291" t="s">
        <v>250</v>
      </c>
      <c r="C70" s="302" t="s">
        <v>251</v>
      </c>
      <c r="D70" s="303" t="s">
        <v>252</v>
      </c>
      <c r="E70" s="304" t="s">
        <v>253</v>
      </c>
    </row>
    <row r="71" spans="2:5">
      <c r="B71" s="22" t="s">
        <v>254</v>
      </c>
      <c r="C71" s="209">
        <f>SUM(C9:E9)</f>
        <v>3826000</v>
      </c>
      <c r="D71" s="209">
        <f>SUM(D9:E9)</f>
        <v>2386000</v>
      </c>
      <c r="E71" s="209">
        <f>C9</f>
        <v>1440000</v>
      </c>
    </row>
    <row r="72" spans="2:5">
      <c r="B72" s="22" t="s">
        <v>255</v>
      </c>
      <c r="C72" s="205">
        <f>SUM(C47:E47)</f>
        <v>2345877.44</v>
      </c>
      <c r="D72" s="205">
        <f>SUM(D47:E47)</f>
        <v>1449790</v>
      </c>
      <c r="E72" s="205">
        <f>C47</f>
        <v>896087.44000000006</v>
      </c>
    </row>
    <row r="73" spans="2:5">
      <c r="B73" s="211" t="s">
        <v>256</v>
      </c>
      <c r="C73" s="212">
        <f>C71-C72</f>
        <v>1480122.56</v>
      </c>
      <c r="D73" s="212">
        <f>D71-D72</f>
        <v>936210</v>
      </c>
      <c r="E73" s="212">
        <f>E71-E72</f>
        <v>543912.55999999994</v>
      </c>
    </row>
    <row r="74" spans="2:5">
      <c r="B74" t="s">
        <v>257</v>
      </c>
      <c r="C74" s="206">
        <f>C72/C71</f>
        <v>0.61314099320439097</v>
      </c>
      <c r="D74" s="206">
        <f>D72/D71</f>
        <v>0.60762363788767815</v>
      </c>
      <c r="E74" s="206">
        <f>E72/E71</f>
        <v>0.62228294444444454</v>
      </c>
    </row>
    <row r="75" spans="2:5">
      <c r="B75" t="s">
        <v>258</v>
      </c>
      <c r="C75" s="205">
        <f>SUM(C21:E21)</f>
        <v>201134.78</v>
      </c>
      <c r="D75" s="205">
        <f>SUM(D21:E21)</f>
        <v>180066.28</v>
      </c>
      <c r="E75" s="205">
        <f>C21</f>
        <v>21068.5</v>
      </c>
    </row>
    <row r="76" spans="2:5">
      <c r="B76" t="s">
        <v>235</v>
      </c>
      <c r="C76" s="205">
        <f>SUM(C50:E50)</f>
        <v>2144742.66</v>
      </c>
      <c r="D76" s="205">
        <f>SUM(D50:E50)</f>
        <v>1269723.72</v>
      </c>
      <c r="E76" s="205">
        <f>C50</f>
        <v>875018.94000000006</v>
      </c>
    </row>
    <row r="78" spans="2:5">
      <c r="B78" t="s">
        <v>259</v>
      </c>
      <c r="C78" s="214">
        <f>SUM(C54:E54)</f>
        <v>74456.276740590314</v>
      </c>
      <c r="D78" s="214">
        <f>SUM(D54:E54)</f>
        <v>74456.276740590314</v>
      </c>
      <c r="E78" s="214">
        <f>C54</f>
        <v>0</v>
      </c>
    </row>
    <row r="79" spans="2:5">
      <c r="B79" s="213" t="s">
        <v>260</v>
      </c>
      <c r="C79" s="214">
        <f>SUM(C59:E59)</f>
        <v>144055.07999999999</v>
      </c>
      <c r="D79" s="214">
        <f>SUM(D59:E59)</f>
        <v>82087.08</v>
      </c>
      <c r="E79" s="214">
        <f>C59</f>
        <v>61968</v>
      </c>
    </row>
    <row r="80" spans="2:5">
      <c r="B80" s="213" t="s">
        <v>261</v>
      </c>
      <c r="C80" s="214">
        <f>SUM(C60:E60)-C79</f>
        <v>32518.50742221094</v>
      </c>
      <c r="D80" s="214">
        <f>SUM(D60:E60)-D79</f>
        <v>21328.357422210931</v>
      </c>
      <c r="E80" s="214">
        <f>C60-C59</f>
        <v>11190.149999999994</v>
      </c>
    </row>
    <row r="81" spans="2:5">
      <c r="B81" s="216" t="s">
        <v>243</v>
      </c>
      <c r="C81" s="217">
        <f>SUM(C61:E61)</f>
        <v>-102117.31068162063</v>
      </c>
      <c r="D81" s="217">
        <f>SUM(D61:E61)</f>
        <v>-28959.160681620633</v>
      </c>
      <c r="E81" s="217">
        <f>C61</f>
        <v>-73158.149999999994</v>
      </c>
    </row>
    <row r="82" spans="2:5">
      <c r="B82" s="215" t="s">
        <v>244</v>
      </c>
      <c r="C82" s="218">
        <f>C81/12</f>
        <v>-8509.7758901350517</v>
      </c>
      <c r="D82" s="218">
        <f>D81/12</f>
        <v>-2413.2633901350528</v>
      </c>
      <c r="E82" s="218">
        <f>E81/12</f>
        <v>-6096.5124999999998</v>
      </c>
    </row>
    <row r="83" spans="2:5">
      <c r="B83" s="215" t="s">
        <v>245</v>
      </c>
      <c r="C83" s="218">
        <f>C81/52</f>
        <v>-1963.794436185012</v>
      </c>
      <c r="D83" s="218">
        <f>D81/52</f>
        <v>-556.90693618501223</v>
      </c>
      <c r="E83" s="218">
        <f>E81/52</f>
        <v>-1406.8874999999998</v>
      </c>
    </row>
    <row r="85" spans="2:5">
      <c r="B85" s="211" t="s">
        <v>236</v>
      </c>
      <c r="C85" s="212">
        <f>SUM(C51:E51)</f>
        <v>267820</v>
      </c>
      <c r="D85" s="212">
        <f>SUM(D51:E51)</f>
        <v>167020</v>
      </c>
      <c r="E85" s="212">
        <f>C51</f>
        <v>100800.00000000001</v>
      </c>
    </row>
    <row r="86" spans="2:5">
      <c r="B86" s="211" t="s">
        <v>262</v>
      </c>
      <c r="C86" s="212">
        <f>C85+C81</f>
        <v>165702.68931837939</v>
      </c>
      <c r="D86" s="212">
        <f>D85+D81</f>
        <v>138060.83931837935</v>
      </c>
      <c r="E86" s="212">
        <f>E85+E81</f>
        <v>27641.85000000002</v>
      </c>
    </row>
  </sheetData>
  <pageMargins left="0.7" right="0.7" top="0.75" bottom="0.75" header="0.3" footer="0.3"/>
  <pageSetup paperSize="9" orientation="portrait" horizontalDpi="4294967293"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865400A-0296-4CE8-90E6-44A951C74B9A}">
  <ds:schemaRefs>
    <ds:schemaRef ds:uri="http://schemas.microsoft.com/PowerBIAddIn"/>
    <ds:schemaRef ds:uri="http://www.w3.org/2000/xmln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Stake Raw</vt:lpstr>
      <vt:lpstr>Investment Properties Summary</vt:lpstr>
      <vt:lpstr>Summary v2</vt:lpstr>
      <vt:lpstr>Investment Properties Ongoing</vt:lpstr>
      <vt:lpstr>Super</vt:lpstr>
      <vt:lpstr>Summary 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Serra</dc:creator>
  <cp:lastModifiedBy>Gabriel Serra</cp:lastModifiedBy>
  <dcterms:created xsi:type="dcterms:W3CDTF">2015-06-05T18:17:20Z</dcterms:created>
  <dcterms:modified xsi:type="dcterms:W3CDTF">2026-04-17T06:25:56Z</dcterms:modified>
</cp:coreProperties>
</file>