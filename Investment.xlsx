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gabri\Documents\Claude\Workspace\Investments &amp; Trading\"/>
    </mc:Choice>
  </mc:AlternateContent>
  <xr:revisionPtr revIDLastSave="0" documentId="13_ncr:1_{D433C3AC-B0CC-47A1-8157-37B121F10EC7}" xr6:coauthVersionLast="47" xr6:coauthVersionMax="47" xr10:uidLastSave="{00000000-0000-0000-0000-000000000000}"/>
  <bookViews>
    <workbookView xWindow="-108" yWindow="-108" windowWidth="46296" windowHeight="25416" firstSheet="1" activeTab="1" xr2:uid="{00000000-000D-0000-FFFF-FFFF00000000}"/>
  </bookViews>
  <sheets>
    <sheet name="Stake Raw" sheetId="2" state="hidden" r:id="rId1"/>
    <sheet name="Portfolio" sheetId="12" r:id="rId2"/>
    <sheet name="Source  Graphs" sheetId="9" r:id="rId3"/>
    <sheet name="Stock Prices" sheetId="1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11" l="1" a="1"/>
  <c r="D10" i="11" s="1"/>
  <c r="F7" i="11" a="1"/>
  <c r="F7" i="11" s="1"/>
  <c r="F8" i="11" a="1"/>
  <c r="F8" i="11" s="1"/>
  <c r="F9" i="11" a="1"/>
  <c r="F9" i="11" s="1"/>
  <c r="F10" i="11" a="1"/>
  <c r="F10" i="11" s="1"/>
  <c r="F11" i="11" a="1"/>
  <c r="F11" i="11" s="1"/>
  <c r="F12" i="11" a="1"/>
  <c r="F12" i="11" s="1"/>
  <c r="F13" i="11" a="1"/>
  <c r="F13" i="11" s="1"/>
  <c r="F14" i="11" a="1"/>
  <c r="F14" i="11" s="1"/>
  <c r="F15" i="11" a="1"/>
  <c r="F15" i="11" s="1"/>
  <c r="F16" i="11" a="1"/>
  <c r="F16" i="11" s="1"/>
  <c r="F17" i="11" a="1"/>
  <c r="F17" i="11" s="1"/>
  <c r="F18" i="11" a="1"/>
  <c r="F18" i="11" s="1"/>
  <c r="F19" i="11" a="1"/>
  <c r="F19" i="11" s="1"/>
  <c r="F20" i="11" a="1"/>
  <c r="F20" i="11" s="1"/>
  <c r="F21" i="11" a="1"/>
  <c r="F21" i="11" s="1"/>
  <c r="F22" i="11" a="1"/>
  <c r="F22" i="11" s="1"/>
  <c r="F23" i="11" a="1"/>
  <c r="F23" i="11" s="1"/>
  <c r="B22" i="11" a="1"/>
  <c r="B22" i="11" s="1"/>
  <c r="B23" i="11" a="1"/>
  <c r="B23" i="11" s="1"/>
  <c r="D22" i="11" a="1"/>
  <c r="D22" i="11" s="1"/>
  <c r="D23" i="11" a="1"/>
  <c r="D23" i="11" s="1"/>
  <c r="E22" i="11" a="1"/>
  <c r="E22" i="11" s="1"/>
  <c r="E23" i="11" a="1"/>
  <c r="E23" i="11" s="1"/>
  <c r="B21" i="11" a="1"/>
  <c r="B21" i="11" s="1"/>
  <c r="D21" i="11" a="1"/>
  <c r="D21" i="11" s="1"/>
  <c r="E21" i="11" a="1"/>
  <c r="E21" i="11" s="1"/>
  <c r="B7" i="11" a="1"/>
  <c r="B7" i="11" s="1"/>
  <c r="B8" i="11" a="1"/>
  <c r="B8" i="11" s="1"/>
  <c r="B9" i="11" a="1"/>
  <c r="B9" i="11" s="1"/>
  <c r="B10" i="11" a="1"/>
  <c r="B10" i="11" s="1"/>
  <c r="B11" i="11" a="1"/>
  <c r="B11" i="11" s="1"/>
  <c r="B12" i="11" a="1"/>
  <c r="B12" i="11" s="1"/>
  <c r="B13" i="11" a="1"/>
  <c r="B13" i="11" s="1"/>
  <c r="B14" i="11" a="1"/>
  <c r="B14" i="11" s="1"/>
  <c r="B15" i="11" a="1"/>
  <c r="B15" i="11" s="1"/>
  <c r="B16" i="11" a="1"/>
  <c r="B16" i="11" s="1"/>
  <c r="B17" i="11" a="1"/>
  <c r="B17" i="11" s="1"/>
  <c r="B18" i="11" a="1"/>
  <c r="B18" i="11" s="1"/>
  <c r="B19" i="11" a="1"/>
  <c r="B19" i="11" s="1"/>
  <c r="B20" i="11" a="1"/>
  <c r="B20" i="11" s="1"/>
  <c r="D20" i="11" a="1"/>
  <c r="D20" i="11" s="1"/>
  <c r="E20" i="11" a="1"/>
  <c r="E20" i="11" s="1"/>
  <c r="E7" i="11" a="1"/>
  <c r="E7" i="11" s="1"/>
  <c r="E8" i="11" a="1"/>
  <c r="E8" i="11" s="1"/>
  <c r="E9" i="11" a="1"/>
  <c r="E9" i="11" s="1"/>
  <c r="E10" i="11" a="1"/>
  <c r="E10" i="11" s="1"/>
  <c r="E11" i="11" a="1"/>
  <c r="E11" i="11" s="1"/>
  <c r="E12" i="11" a="1"/>
  <c r="E12" i="11" s="1"/>
  <c r="E13" i="11" a="1"/>
  <c r="E13" i="11" s="1"/>
  <c r="E14" i="11" a="1"/>
  <c r="E14" i="11" s="1"/>
  <c r="E15" i="11" a="1"/>
  <c r="E15" i="11" s="1"/>
  <c r="E16" i="11" a="1"/>
  <c r="E16" i="11" s="1"/>
  <c r="E17" i="11" a="1"/>
  <c r="E17" i="11" s="1"/>
  <c r="E18" i="11" a="1"/>
  <c r="E18" i="11" s="1"/>
  <c r="E19" i="11" a="1"/>
  <c r="E19" i="11" s="1"/>
  <c r="D7" i="11" a="1"/>
  <c r="D7" i="11" s="1"/>
  <c r="D8" i="11" a="1"/>
  <c r="D8" i="11" s="1"/>
  <c r="D9" i="11" a="1"/>
  <c r="D9" i="11" s="1"/>
  <c r="D11" i="11" a="1"/>
  <c r="D11" i="11" s="1"/>
  <c r="D12" i="11" a="1"/>
  <c r="D12" i="11" s="1"/>
  <c r="D13" i="11" a="1"/>
  <c r="D13" i="11" s="1"/>
  <c r="D14" i="11" a="1"/>
  <c r="D14" i="11" s="1"/>
  <c r="D15" i="11" a="1"/>
  <c r="D15" i="11" s="1"/>
  <c r="D16" i="11" a="1"/>
  <c r="D16" i="11" s="1"/>
  <c r="D17" i="11" a="1"/>
  <c r="D17" i="11" s="1"/>
  <c r="D18" i="11" a="1"/>
  <c r="D18" i="11" s="1"/>
  <c r="D19" i="11" a="1"/>
  <c r="D19" i="11" s="1"/>
  <c r="J19" i="9"/>
  <c r="B19" i="9" l="1"/>
  <c r="F8" i="9"/>
  <c r="B28" i="9"/>
  <c r="B21" i="9"/>
  <c r="B12" i="9"/>
  <c r="B10" i="9"/>
  <c r="B11" i="9"/>
  <c r="B26" i="9"/>
  <c r="B25" i="9"/>
  <c r="B24" i="9"/>
  <c r="B27" i="9"/>
  <c r="B23" i="9"/>
  <c r="B22" i="9"/>
  <c r="B8" i="9"/>
  <c r="B14" i="9"/>
  <c r="B9" i="9"/>
  <c r="B20" i="9"/>
  <c r="B13" i="9"/>
  <c r="B7" i="9"/>
  <c r="B18" i="9"/>
  <c r="G19" i="9"/>
  <c r="G21" i="9"/>
  <c r="G26" i="9"/>
  <c r="G12" i="9"/>
  <c r="G22" i="9"/>
  <c r="G7" i="9"/>
  <c r="G20" i="9"/>
  <c r="G11" i="9"/>
  <c r="G28" i="9"/>
  <c r="G10" i="9"/>
  <c r="G18" i="9"/>
  <c r="G27" i="9"/>
  <c r="G25" i="9"/>
  <c r="G14" i="9"/>
  <c r="G24" i="9"/>
  <c r="G13" i="9"/>
  <c r="G23" i="9"/>
  <c r="G9" i="9"/>
  <c r="G8" i="9"/>
  <c r="F21" i="9"/>
  <c r="F27" i="9"/>
  <c r="F19" i="9"/>
  <c r="F26" i="9"/>
  <c r="F12" i="9"/>
  <c r="F22" i="9"/>
  <c r="F7" i="9"/>
  <c r="F20" i="9"/>
  <c r="F11" i="9"/>
  <c r="F28" i="9"/>
  <c r="F10" i="9"/>
  <c r="F18" i="9"/>
  <c r="F25" i="9"/>
  <c r="F14" i="9"/>
  <c r="F24" i="9"/>
  <c r="F13" i="9"/>
  <c r="F23" i="9"/>
  <c r="F9" i="9"/>
  <c r="K28" i="9" l="1"/>
  <c r="K27" i="9"/>
  <c r="F16" i="9" l="1"/>
  <c r="F15" i="9" l="1"/>
  <c r="O16" i="9"/>
  <c r="R16" i="9" s="1"/>
  <c r="S16" i="9" s="1"/>
  <c r="F29" i="9"/>
  <c r="O29" i="9" s="1"/>
  <c r="R29" i="9" s="1"/>
  <c r="S29" i="9" s="1"/>
  <c r="O30" i="9"/>
  <c r="M30" i="9"/>
  <c r="M29" i="9"/>
  <c r="M16" i="9"/>
  <c r="M15" i="9"/>
  <c r="M17" i="9"/>
  <c r="K15" i="9"/>
  <c r="N15" i="9"/>
  <c r="P15" i="9"/>
  <c r="Q15" i="9"/>
  <c r="T15" i="9"/>
  <c r="M27" i="9"/>
  <c r="N27" i="9"/>
  <c r="P27" i="9"/>
  <c r="Q27" i="9"/>
  <c r="T27" i="9"/>
  <c r="M28" i="9"/>
  <c r="N28" i="9"/>
  <c r="P28" i="9"/>
  <c r="Q28" i="9"/>
  <c r="T28" i="9"/>
  <c r="O27" i="9"/>
  <c r="O28" i="9"/>
  <c r="P26" i="9"/>
  <c r="P24" i="9"/>
  <c r="P23" i="9"/>
  <c r="P25" i="9"/>
  <c r="P14" i="9"/>
  <c r="P13" i="9"/>
  <c r="Q26" i="9"/>
  <c r="Q24" i="9"/>
  <c r="Q23" i="9"/>
  <c r="Q25" i="9"/>
  <c r="Q14" i="9"/>
  <c r="Q13" i="9"/>
  <c r="K14" i="9"/>
  <c r="M14" i="9"/>
  <c r="N14" i="9"/>
  <c r="T14" i="9"/>
  <c r="O14" i="9"/>
  <c r="O13" i="9"/>
  <c r="K13" i="9"/>
  <c r="M13" i="9"/>
  <c r="N13" i="9"/>
  <c r="T13" i="9"/>
  <c r="R31" i="9"/>
  <c r="N26" i="9"/>
  <c r="N24" i="9"/>
  <c r="N23" i="9"/>
  <c r="N25" i="9"/>
  <c r="N29" i="9"/>
  <c r="N16" i="9"/>
  <c r="N17" i="9"/>
  <c r="N31" i="9"/>
  <c r="K11" i="9"/>
  <c r="M11" i="9" s="1"/>
  <c r="N7" i="9"/>
  <c r="N12" i="9"/>
  <c r="N9" i="9"/>
  <c r="N8" i="9"/>
  <c r="K8" i="9"/>
  <c r="M8" i="9" s="1"/>
  <c r="T8" i="9"/>
  <c r="T11" i="9"/>
  <c r="K7" i="9"/>
  <c r="M7" i="9" s="1"/>
  <c r="T7" i="9"/>
  <c r="T10" i="9"/>
  <c r="K10" i="9"/>
  <c r="M10" i="9" s="1"/>
  <c r="T12" i="9"/>
  <c r="K12" i="9"/>
  <c r="M12" i="9" s="1"/>
  <c r="T9" i="9"/>
  <c r="K9" i="9"/>
  <c r="M9" i="9" s="1"/>
  <c r="T16" i="9"/>
  <c r="T29" i="9"/>
  <c r="M26" i="9"/>
  <c r="M24" i="9"/>
  <c r="M23" i="9"/>
  <c r="M25" i="9"/>
  <c r="K19" i="9"/>
  <c r="M19" i="9" s="1"/>
  <c r="K21" i="9"/>
  <c r="M21" i="9" s="1"/>
  <c r="K22" i="9"/>
  <c r="M22" i="9" s="1"/>
  <c r="K20" i="9"/>
  <c r="M20" i="9" s="1"/>
  <c r="K18" i="9"/>
  <c r="M18" i="9" s="1"/>
  <c r="K26" i="9"/>
  <c r="K24" i="9"/>
  <c r="K23" i="9"/>
  <c r="K25" i="9"/>
  <c r="K29" i="9"/>
  <c r="K16" i="9"/>
  <c r="K17" i="9"/>
  <c r="O21" i="9"/>
  <c r="O22" i="9"/>
  <c r="O20" i="9"/>
  <c r="O18" i="9"/>
  <c r="O26" i="9"/>
  <c r="O24" i="9"/>
  <c r="O23" i="9"/>
  <c r="O25" i="9"/>
  <c r="T19" i="9"/>
  <c r="T21" i="9"/>
  <c r="T22" i="9"/>
  <c r="T20" i="9"/>
  <c r="T18" i="9"/>
  <c r="T26" i="9"/>
  <c r="T24" i="9"/>
  <c r="T23" i="9"/>
  <c r="T25" i="9"/>
  <c r="M33" i="9" l="1"/>
  <c r="O19" i="9"/>
  <c r="R19" i="9" s="1"/>
  <c r="S19" i="9" s="1"/>
  <c r="N19" i="9"/>
  <c r="R14" i="9"/>
  <c r="S14" i="9" s="1"/>
  <c r="R27" i="9"/>
  <c r="R21" i="9"/>
  <c r="S21" i="9" s="1"/>
  <c r="R24" i="9"/>
  <c r="S24" i="9" s="1"/>
  <c r="O15" i="9"/>
  <c r="R15" i="9" s="1"/>
  <c r="S15" i="9" s="1"/>
  <c r="P11" i="9"/>
  <c r="Q11" i="9" s="1"/>
  <c r="R26" i="9"/>
  <c r="S26" i="9" s="1"/>
  <c r="R23" i="9"/>
  <c r="S23" i="9" s="1"/>
  <c r="R20" i="9"/>
  <c r="S20" i="9" s="1"/>
  <c r="R13" i="9"/>
  <c r="S13" i="9" s="1"/>
  <c r="R28" i="9"/>
  <c r="S28" i="9" s="1"/>
  <c r="P10" i="9"/>
  <c r="Q10" i="9" s="1"/>
  <c r="R25" i="9"/>
  <c r="S25" i="9" s="1"/>
  <c r="O12" i="9"/>
  <c r="R12" i="9" s="1"/>
  <c r="S12" i="9" s="1"/>
  <c r="P8" i="9"/>
  <c r="Q8" i="9" s="1"/>
  <c r="P21" i="9"/>
  <c r="Q21" i="9" s="1"/>
  <c r="P19" i="9"/>
  <c r="Q19" i="9" s="1"/>
  <c r="P7" i="9"/>
  <c r="Q7" i="9" s="1"/>
  <c r="O10" i="9"/>
  <c r="R10" i="9" s="1"/>
  <c r="S10" i="9" s="1"/>
  <c r="N18" i="9"/>
  <c r="N22" i="9"/>
  <c r="P9" i="9"/>
  <c r="Q9" i="9" s="1"/>
  <c r="O11" i="9"/>
  <c r="R11" i="9" s="1"/>
  <c r="S11" i="9" s="1"/>
  <c r="N20" i="9"/>
  <c r="O9" i="9"/>
  <c r="R9" i="9" s="1"/>
  <c r="S9" i="9" s="1"/>
  <c r="N21" i="9"/>
  <c r="R18" i="9"/>
  <c r="S18" i="9" s="1"/>
  <c r="P22" i="9"/>
  <c r="Q22" i="9" s="1"/>
  <c r="P18" i="9"/>
  <c r="Q18" i="9" s="1"/>
  <c r="N11" i="9"/>
  <c r="P20" i="9"/>
  <c r="Q20" i="9" s="1"/>
  <c r="O7" i="9"/>
  <c r="R7" i="9" s="1"/>
  <c r="S7" i="9" s="1"/>
  <c r="R22" i="9"/>
  <c r="S22" i="9" s="1"/>
  <c r="M32" i="9"/>
  <c r="N10" i="9"/>
  <c r="O8" i="9"/>
  <c r="R8" i="9" s="1"/>
  <c r="S8" i="9" s="1"/>
  <c r="P12" i="9"/>
  <c r="Q12" i="9" s="1"/>
  <c r="S27" i="9" l="1"/>
  <c r="S33" i="9"/>
  <c r="S32" i="9"/>
  <c r="O32" i="9"/>
  <c r="O33" i="9"/>
  <c r="R33" i="9"/>
  <c r="R32" i="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7">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30"/>
        </ext>
      </extLst>
    </bk>
    <bk>
      <extLst>
        <ext uri="{3e2802c4-a4d2-4d8b-9148-e3be6c30e623}">
          <xlrd:rvb i="33"/>
        </ext>
      </extLst>
    </bk>
    <bk>
      <extLst>
        <ext uri="{3e2802c4-a4d2-4d8b-9148-e3be6c30e623}">
          <xlrd:rvb i="35"/>
        </ext>
      </extLst>
    </bk>
    <bk>
      <extLst>
        <ext uri="{3e2802c4-a4d2-4d8b-9148-e3be6c30e623}">
          <xlrd:rvb i="37"/>
        </ext>
      </extLst>
    </bk>
    <bk>
      <extLst>
        <ext uri="{3e2802c4-a4d2-4d8b-9148-e3be6c30e623}">
          <xlrd:rvb i="40"/>
        </ext>
      </extLst>
    </bk>
    <bk>
      <extLst>
        <ext uri="{3e2802c4-a4d2-4d8b-9148-e3be6c30e623}">
          <xlrd:rvb i="43"/>
        </ext>
      </extLst>
    </bk>
    <bk>
      <extLst>
        <ext uri="{3e2802c4-a4d2-4d8b-9148-e3be6c30e623}">
          <xlrd:rvb i="46"/>
        </ext>
      </extLst>
    </bk>
    <bk>
      <extLst>
        <ext uri="{3e2802c4-a4d2-4d8b-9148-e3be6c30e623}">
          <xlrd:rvb i="49"/>
        </ext>
      </extLst>
    </bk>
    <bk>
      <extLst>
        <ext uri="{3e2802c4-a4d2-4d8b-9148-e3be6c30e623}">
          <xlrd:rvb i="52"/>
        </ext>
      </extLst>
    </bk>
    <bk>
      <extLst>
        <ext uri="{3e2802c4-a4d2-4d8b-9148-e3be6c30e623}">
          <xlrd:rvb i="55"/>
        </ext>
      </extLst>
    </bk>
  </futureMetadata>
  <cellMetadata count="1">
    <bk>
      <rc t="1" v="0"/>
    </bk>
  </cellMetadata>
  <valueMetadata count="17">
    <bk>
      <rc t="2" v="0"/>
    </bk>
    <bk>
      <rc t="2" v="1"/>
    </bk>
    <bk>
      <rc t="2" v="2"/>
    </bk>
    <bk>
      <rc t="2" v="3"/>
    </bk>
    <bk>
      <rc t="2" v="4"/>
    </bk>
    <bk>
      <rc t="2" v="5"/>
    </bk>
    <bk>
      <rc t="2" v="6"/>
    </bk>
    <bk>
      <rc t="2" v="7"/>
    </bk>
    <bk>
      <rc t="2" v="8"/>
    </bk>
    <bk>
      <rc t="2" v="9"/>
    </bk>
    <bk>
      <rc t="2" v="10"/>
    </bk>
    <bk>
      <rc t="2" v="11"/>
    </bk>
    <bk>
      <rc t="2" v="12"/>
    </bk>
    <bk>
      <rc t="2" v="13"/>
    </bk>
    <bk>
      <rc t="2" v="14"/>
    </bk>
    <bk>
      <rc t="2" v="15"/>
    </bk>
    <bk>
      <rc t="2" v="16"/>
    </bk>
  </valueMetadata>
</metadata>
</file>

<file path=xl/sharedStrings.xml><?xml version="1.0" encoding="utf-8"?>
<sst xmlns="http://schemas.openxmlformats.org/spreadsheetml/2006/main" count="474" uniqueCount="132">
  <si>
    <t>Stake Log Book</t>
  </si>
  <si>
    <t>Printed: 2020-07-04 01:33:22 (UTC)</t>
  </si>
  <si>
    <t xml:space="preserve">Page 1 of </t>
  </si>
  <si>
    <t>1</t>
  </si>
  <si>
    <t>Order Transactions Report</t>
  </si>
  <si>
    <t>Account #: STNR000103, Symbol: All</t>
  </si>
  <si>
    <t>Date Range: 2017-06-01 - 2020-07-04</t>
  </si>
  <si>
    <t>Order #</t>
  </si>
  <si>
    <t>Date/Time</t>
  </si>
  <si>
    <t>Status</t>
  </si>
  <si>
    <t>Order Type</t>
  </si>
  <si>
    <t>Side</t>
  </si>
  <si>
    <t>Symbol</t>
  </si>
  <si>
    <t>Qty</t>
  </si>
  <si>
    <t>Price</t>
  </si>
  <si>
    <t>Cum Qty</t>
  </si>
  <si>
    <t>Leaves Qty</t>
  </si>
  <si>
    <t>GFPG003530</t>
  </si>
  <si>
    <t>2019-06-17T13:31:50.000Z</t>
  </si>
  <si>
    <t>PARTIALLY_FILLED</t>
  </si>
  <si>
    <t>MKT</t>
  </si>
  <si>
    <t>B</t>
  </si>
  <si>
    <t>BRK.B</t>
  </si>
  <si>
    <t>9</t>
  </si>
  <si>
    <t>$ 205.31</t>
  </si>
  <si>
    <t>0.739681</t>
  </si>
  <si>
    <t>2019-06-17T13:31:51.013Z</t>
  </si>
  <si>
    <t>FILLED</t>
  </si>
  <si>
    <t>0.81510885</t>
  </si>
  <si>
    <t>9.81510885</t>
  </si>
  <si>
    <t>0</t>
  </si>
  <si>
    <t>HCTB000014</t>
  </si>
  <si>
    <t>2020-03-02T14:34:17.437Z</t>
  </si>
  <si>
    <t>S</t>
  </si>
  <si>
    <t>$ 207.89</t>
  </si>
  <si>
    <t>2020-03-02T14:34:18.922Z</t>
  </si>
  <si>
    <t>HFMP023789</t>
  </si>
  <si>
    <t>2020-06-16T13:30:09.920Z</t>
  </si>
  <si>
    <t>MSFT</t>
  </si>
  <si>
    <t>5</t>
  </si>
  <si>
    <t>$ 192.88</t>
  </si>
  <si>
    <t>0.38514492</t>
  </si>
  <si>
    <t>2020-06-16T13:31:10.483Z</t>
  </si>
  <si>
    <t>0.39407922</t>
  </si>
  <si>
    <t>5.39407922</t>
  </si>
  <si>
    <t>HFGQ023768</t>
  </si>
  <si>
    <t>2020-06-16T13:31:58.020Z</t>
  </si>
  <si>
    <t>AMZN</t>
  </si>
  <si>
    <t>0.3840821</t>
  </si>
  <si>
    <t>$ 2,603.61</t>
  </si>
  <si>
    <t>HFXC039231</t>
  </si>
  <si>
    <t>2020-06-29T14:39:01.530Z</t>
  </si>
  <si>
    <t>FB</t>
  </si>
  <si>
    <t>18</t>
  </si>
  <si>
    <t>$ 215.29</t>
  </si>
  <si>
    <t>0.57959032</t>
  </si>
  <si>
    <t>2020-06-29T14:39:01.743Z</t>
  </si>
  <si>
    <t>0.57963676</t>
  </si>
  <si>
    <t>18.57963676</t>
  </si>
  <si>
    <t>HFZU038461</t>
  </si>
  <si>
    <t>2020-06-29T14:46:20.750Z</t>
  </si>
  <si>
    <t>TSLA</t>
  </si>
  <si>
    <t>4</t>
  </si>
  <si>
    <t>$ 983.49</t>
  </si>
  <si>
    <t>0.88353719</t>
  </si>
  <si>
    <t>2020-06-29T14:46:20.951Z</t>
  </si>
  <si>
    <t>4.88353719</t>
  </si>
  <si>
    <t>HGKM000187</t>
  </si>
  <si>
    <t>2020-07-01T13:33:19.102Z</t>
  </si>
  <si>
    <t>6</t>
  </si>
  <si>
    <t>$ 1,103.64</t>
  </si>
  <si>
    <t>0.15274229</t>
  </si>
  <si>
    <t>2020-07-01T13:33:19.319Z</t>
  </si>
  <si>
    <t>0.15374578</t>
  </si>
  <si>
    <t>6.15374578</t>
  </si>
  <si>
    <t>HGWZ001691</t>
  </si>
  <si>
    <t>2020-07-02T14:07:12.741Z</t>
  </si>
  <si>
    <t>$ 234.92</t>
  </si>
  <si>
    <t>2020-07-02T14:07:12.942Z</t>
  </si>
  <si>
    <t>You expressly acknowledge and agree that the DriveWealth Platforms and Related Services provided by us are on an ��as is�� basis, and that you use such DriveWealth Platforms and Related Services at your sole risk. Neither we nor our Third Party Providers will have any responsibility to maintain the DriveWealth Platforms and Related Services or to supply any corrections, updates or releases concerning the DriveWealth Platforms and Related Services</t>
  </si>
  <si>
    <t>Date</t>
  </si>
  <si>
    <t>Total</t>
  </si>
  <si>
    <t>Profit %</t>
  </si>
  <si>
    <t>Period 
(days)</t>
  </si>
  <si>
    <t>AAPL</t>
  </si>
  <si>
    <t>Curr. Price Date</t>
  </si>
  <si>
    <t>Curr.  Share 
Price</t>
  </si>
  <si>
    <t>CRM</t>
  </si>
  <si>
    <t>Offset</t>
  </si>
  <si>
    <t>Total AUD</t>
  </si>
  <si>
    <t>Curr. Equit AUD</t>
  </si>
  <si>
    <t>Curr. Equit US</t>
  </si>
  <si>
    <t>Total US</t>
  </si>
  <si>
    <t>AUD-&gt;US Rate</t>
  </si>
  <si>
    <t>Arura st equit</t>
  </si>
  <si>
    <t>Mount st equit</t>
  </si>
  <si>
    <t>Profit AUD</t>
  </si>
  <si>
    <t>Owner</t>
  </si>
  <si>
    <t>Gabriel</t>
  </si>
  <si>
    <t>Stock Prices</t>
  </si>
  <si>
    <t>Curr. AUD-&gt;US rate:</t>
  </si>
  <si>
    <t xml:space="preserve">Updated on: </t>
  </si>
  <si>
    <t>Rate date:</t>
  </si>
  <si>
    <t>Is USD</t>
  </si>
  <si>
    <t>Yes</t>
  </si>
  <si>
    <t>No</t>
  </si>
  <si>
    <t>Arina</t>
  </si>
  <si>
    <t>Both</t>
  </si>
  <si>
    <t>FDX</t>
  </si>
  <si>
    <t>NIO</t>
  </si>
  <si>
    <t>DIS</t>
  </si>
  <si>
    <t>ARKK</t>
  </si>
  <si>
    <t>Profit US</t>
  </si>
  <si>
    <t>Profit US %</t>
  </si>
  <si>
    <t>BTCAUD</t>
  </si>
  <si>
    <t>ETHAUD</t>
  </si>
  <si>
    <t>St Huberts</t>
  </si>
  <si>
    <t>Total Stock</t>
  </si>
  <si>
    <t>Name</t>
  </si>
  <si>
    <t>Type</t>
  </si>
  <si>
    <t>Stock</t>
  </si>
  <si>
    <t>Property</t>
  </si>
  <si>
    <t>Last trade time</t>
  </si>
  <si>
    <t>Ticker symbol</t>
  </si>
  <si>
    <t>VAS</t>
  </si>
  <si>
    <t>AUTOMATIC</t>
  </si>
  <si>
    <t>NDQ</t>
  </si>
  <si>
    <t>VEU</t>
  </si>
  <si>
    <t>Currency</t>
  </si>
  <si>
    <t>Stock Name</t>
  </si>
  <si>
    <t/>
  </si>
  <si>
    <t>Stake Transaction Log 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</si>
</sst>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164" formatCode="0.0000000000"/>
    <numFmt numFmtId="165" formatCode="&quot;$&quot;#,##0.00"/>
    <numFmt numFmtId="166" formatCode="_-[$$-C09]* #,##0.00_-;\-[$$-C09]* #,##0.00_-;_-[$$-C09]* &quot;-&quot;??_-;_-@_-"/>
    <numFmt numFmtId="167" formatCode="_([$$-409]* #,##0.00_);_([$$-409]* \(#,##0.00\);_([$$-409]* &quot;-&quot;??_);_(@_)"/>
  </numFmts>
  <fonts count="15">
    <font>
      <sz val="11"/>
      <color theme="1"/>
      <name val="Calibri"/>
      <family val="2"/>
      <scheme val="minor"/>
    </font>
    <font>
      <sz val="11"/>
      <color theme="1"/>
      <name val="Calibri"/>
      <family val="2"/>
      <scheme val="minor"/>
    </font>
    <font>
      <b/>
      <sz val="15"/>
      <color theme="3"/>
      <name val="Calibri"/>
      <family val="2"/>
      <scheme val="minor"/>
    </font>
    <font>
      <b/>
      <sz val="11"/>
      <color theme="1"/>
      <name val="Calibri"/>
      <family val="2"/>
      <scheme val="minor"/>
    </font>
    <font>
      <sz val="10"/>
      <color indexed="8"/>
      <name val="SansSerif"/>
    </font>
    <font>
      <b/>
      <sz val="20"/>
      <color indexed="8"/>
      <name val="SansSerif"/>
    </font>
    <font>
      <sz val="14"/>
      <color indexed="8"/>
      <name val="SansSerif"/>
    </font>
    <font>
      <sz val="11"/>
      <color indexed="55"/>
      <name val="Arial"/>
      <family val="2"/>
    </font>
    <font>
      <sz val="11"/>
      <color indexed="8"/>
      <name val="Arial"/>
      <family val="2"/>
    </font>
    <font>
      <sz val="8"/>
      <color indexed="8"/>
      <name val="SansSerif"/>
    </font>
    <font>
      <b/>
      <sz val="10"/>
      <color theme="1"/>
      <name val="Calibri"/>
      <family val="2"/>
      <scheme val="minor"/>
    </font>
    <font>
      <sz val="11"/>
      <name val="Calibri"/>
      <family val="2"/>
      <scheme val="minor"/>
    </font>
    <font>
      <sz val="10"/>
      <color theme="1"/>
      <name val="Calibri"/>
      <family val="2"/>
      <scheme val="minor"/>
    </font>
    <font>
      <b/>
      <sz val="11"/>
      <name val="Calibri"/>
      <family val="2"/>
      <scheme val="minor"/>
    </font>
    <font>
      <sz val="11"/>
      <name val="Calibri"/>
      <family val="2"/>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92D050"/>
        <bgColor indexed="64"/>
      </patternFill>
    </fill>
    <fill>
      <patternFill patternType="solid">
        <fgColor theme="0" tint="-0.14999847407452621"/>
        <bgColor theme="0" tint="-0.14999847407452621"/>
      </patternFill>
    </fill>
  </fills>
  <borders count="4">
    <border>
      <left/>
      <right/>
      <top/>
      <bottom/>
      <diagonal/>
    </border>
    <border>
      <left/>
      <right/>
      <top/>
      <bottom style="thick">
        <color theme="4"/>
      </bottom>
      <diagonal/>
    </border>
    <border>
      <left/>
      <right/>
      <top style="thin">
        <color indexed="55"/>
      </top>
      <bottom style="thin">
        <color indexed="55"/>
      </bottom>
      <diagonal/>
    </border>
    <border>
      <left/>
      <right/>
      <top style="thin">
        <color theme="1"/>
      </top>
      <bottom style="thin">
        <color theme="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cellStyleXfs>
  <cellXfs count="59">
    <xf numFmtId="0" fontId="0" fillId="0" borderId="0" xfId="0"/>
    <xf numFmtId="0" fontId="4" fillId="3" borderId="0" xfId="0" applyFont="1" applyFill="1" applyAlignment="1">
      <alignment horizontal="left" vertical="top" wrapText="1"/>
    </xf>
    <xf numFmtId="0" fontId="7" fillId="3" borderId="2" xfId="0" applyFont="1" applyFill="1" applyBorder="1" applyAlignment="1">
      <alignment horizontal="center" vertical="center" wrapText="1"/>
    </xf>
    <xf numFmtId="0" fontId="7" fillId="3" borderId="2" xfId="0" applyFont="1" applyFill="1" applyBorder="1" applyAlignment="1">
      <alignment horizontal="right" vertical="center" wrapText="1"/>
    </xf>
    <xf numFmtId="0" fontId="8" fillId="3" borderId="0" xfId="0" applyFont="1" applyFill="1" applyAlignment="1">
      <alignment horizontal="center" vertical="center" wrapText="1"/>
    </xf>
    <xf numFmtId="0" fontId="8" fillId="3" borderId="0" xfId="0" applyFont="1" applyFill="1" applyAlignment="1">
      <alignment horizontal="right" vertical="center" wrapText="1"/>
    </xf>
    <xf numFmtId="14" fontId="0" fillId="0" borderId="0" xfId="0" applyNumberFormat="1"/>
    <xf numFmtId="165" fontId="0" fillId="0" borderId="0" xfId="0" applyNumberFormat="1"/>
    <xf numFmtId="0" fontId="2" fillId="0" borderId="1" xfId="3" applyFill="1"/>
    <xf numFmtId="0" fontId="2" fillId="0" borderId="1" xfId="3"/>
    <xf numFmtId="44" fontId="0" fillId="0" borderId="0" xfId="1" applyFont="1"/>
    <xf numFmtId="0" fontId="10" fillId="2" borderId="0" xfId="0" applyFont="1" applyFill="1"/>
    <xf numFmtId="0" fontId="0" fillId="0" borderId="0" xfId="0" applyAlignment="1">
      <alignment wrapText="1"/>
    </xf>
    <xf numFmtId="14" fontId="11" fillId="0" borderId="0" xfId="0" applyNumberFormat="1" applyFont="1"/>
    <xf numFmtId="49" fontId="11" fillId="0" borderId="0" xfId="0" applyNumberFormat="1" applyFont="1"/>
    <xf numFmtId="164" fontId="11" fillId="0" borderId="0" xfId="0" applyNumberFormat="1" applyFont="1"/>
    <xf numFmtId="165" fontId="11" fillId="0" borderId="0" xfId="0" applyNumberFormat="1" applyFont="1"/>
    <xf numFmtId="1" fontId="11" fillId="0" borderId="0" xfId="0" applyNumberFormat="1" applyFont="1"/>
    <xf numFmtId="10" fontId="11" fillId="0" borderId="0" xfId="2" applyNumberFormat="1" applyFont="1" applyFill="1"/>
    <xf numFmtId="0" fontId="11" fillId="0" borderId="0" xfId="0" applyFont="1"/>
    <xf numFmtId="2" fontId="11" fillId="0" borderId="0" xfId="0" applyNumberFormat="1" applyFont="1"/>
    <xf numFmtId="0" fontId="3" fillId="0" borderId="0" xfId="0" applyFont="1"/>
    <xf numFmtId="44" fontId="0" fillId="0" borderId="0" xfId="1" applyFont="1" applyFill="1"/>
    <xf numFmtId="10" fontId="11" fillId="0" borderId="0" xfId="0" applyNumberFormat="1" applyFont="1"/>
    <xf numFmtId="0" fontId="10" fillId="2" borderId="0" xfId="0" applyFont="1" applyFill="1" applyAlignment="1">
      <alignment horizontal="right"/>
    </xf>
    <xf numFmtId="14" fontId="12" fillId="0" borderId="0" xfId="0" applyNumberFormat="1" applyFont="1" applyAlignment="1">
      <alignment horizontal="left"/>
    </xf>
    <xf numFmtId="0" fontId="12" fillId="0" borderId="0" xfId="0" applyFont="1" applyAlignment="1">
      <alignment horizontal="left"/>
    </xf>
    <xf numFmtId="0" fontId="3" fillId="0" borderId="0" xfId="0" applyFont="1" applyAlignment="1">
      <alignment horizontal="right"/>
    </xf>
    <xf numFmtId="44" fontId="11" fillId="0" borderId="0" xfId="1" applyFont="1" applyFill="1"/>
    <xf numFmtId="44" fontId="13" fillId="0" borderId="0" xfId="1" applyFont="1" applyFill="1"/>
    <xf numFmtId="10" fontId="13" fillId="0" borderId="3" xfId="0" applyNumberFormat="1" applyFont="1" applyBorder="1"/>
    <xf numFmtId="44" fontId="11" fillId="0" borderId="0" xfId="0" applyNumberFormat="1" applyFont="1"/>
    <xf numFmtId="49" fontId="14" fillId="0" borderId="0" xfId="0" applyNumberFormat="1" applyFont="1"/>
    <xf numFmtId="0" fontId="14" fillId="0" borderId="0" xfId="0" applyFont="1"/>
    <xf numFmtId="167" fontId="14" fillId="0" borderId="0" xfId="0" applyNumberFormat="1" applyFont="1"/>
    <xf numFmtId="166" fontId="14" fillId="0" borderId="0" xfId="0" applyNumberFormat="1" applyFont="1"/>
    <xf numFmtId="22" fontId="14" fillId="0" borderId="0" xfId="0" applyNumberFormat="1" applyFont="1"/>
    <xf numFmtId="0" fontId="3" fillId="0" borderId="3" xfId="0" applyFont="1" applyBorder="1"/>
    <xf numFmtId="0" fontId="3" fillId="0" borderId="3" xfId="0" applyFont="1" applyBorder="1" applyAlignment="1">
      <alignment wrapText="1"/>
    </xf>
    <xf numFmtId="14" fontId="11" fillId="5" borderId="0" xfId="0" applyNumberFormat="1" applyFont="1" applyFill="1"/>
    <xf numFmtId="49" fontId="11" fillId="5" borderId="0" xfId="0" applyNumberFormat="1" applyFont="1" applyFill="1"/>
    <xf numFmtId="44" fontId="0" fillId="5" borderId="0" xfId="1" applyFont="1" applyFill="1"/>
    <xf numFmtId="14" fontId="0" fillId="5" borderId="0" xfId="0" applyNumberFormat="1" applyFill="1"/>
    <xf numFmtId="164" fontId="11" fillId="5" borderId="0" xfId="0" applyNumberFormat="1" applyFont="1" applyFill="1"/>
    <xf numFmtId="44" fontId="11" fillId="5" borderId="0" xfId="1" applyFont="1" applyFill="1"/>
    <xf numFmtId="165" fontId="11" fillId="5" borderId="0" xfId="0" applyNumberFormat="1" applyFont="1" applyFill="1"/>
    <xf numFmtId="2" fontId="11" fillId="5" borderId="0" xfId="0" applyNumberFormat="1" applyFont="1" applyFill="1"/>
    <xf numFmtId="44" fontId="11" fillId="0" borderId="0" xfId="1" applyFont="1"/>
    <xf numFmtId="0" fontId="14" fillId="5" borderId="0" xfId="0" applyFont="1" applyFill="1"/>
    <xf numFmtId="0" fontId="4" fillId="3" borderId="0" xfId="0" applyFont="1" applyFill="1" applyAlignment="1">
      <alignment horizontal="left" vertical="top" wrapText="1"/>
    </xf>
    <xf numFmtId="0" fontId="4" fillId="3" borderId="0" xfId="0" applyFont="1" applyFill="1" applyAlignment="1">
      <alignment horizontal="right" vertical="top" wrapText="1"/>
    </xf>
    <xf numFmtId="0" fontId="5" fillId="3" borderId="0" xfId="0" applyFont="1" applyFill="1" applyAlignment="1">
      <alignment horizontal="right" vertical="top" wrapText="1"/>
    </xf>
    <xf numFmtId="0" fontId="6" fillId="3" borderId="0" xfId="0" applyFont="1" applyFill="1" applyAlignment="1">
      <alignment horizontal="right" vertical="top" wrapText="1"/>
    </xf>
    <xf numFmtId="0" fontId="8" fillId="4" borderId="0" xfId="0" applyFont="1" applyFill="1" applyAlignment="1">
      <alignment horizontal="center" vertical="center" wrapText="1"/>
    </xf>
    <xf numFmtId="0" fontId="8" fillId="3" borderId="0" xfId="0" applyFont="1" applyFill="1" applyAlignment="1">
      <alignment horizontal="center" vertical="center" wrapText="1"/>
    </xf>
    <xf numFmtId="0" fontId="8" fillId="3" borderId="0" xfId="0" applyFont="1" applyFill="1" applyAlignment="1">
      <alignment horizontal="right" vertical="center" wrapText="1"/>
    </xf>
    <xf numFmtId="0" fontId="7" fillId="3" borderId="2" xfId="0" applyFont="1" applyFill="1" applyBorder="1" applyAlignment="1">
      <alignment horizontal="center" vertical="center" wrapText="1"/>
    </xf>
    <xf numFmtId="0" fontId="7" fillId="3" borderId="2" xfId="0" applyFont="1" applyFill="1" applyBorder="1" applyAlignment="1">
      <alignment horizontal="right" vertical="center" wrapText="1"/>
    </xf>
    <xf numFmtId="0" fontId="9" fillId="3" borderId="0" xfId="0" applyFont="1" applyFill="1" applyAlignment="1">
      <alignment horizontal="left" vertical="top" wrapText="1"/>
    </xf>
  </cellXfs>
  <cellStyles count="4">
    <cellStyle name="Currency" xfId="1" builtinId="4"/>
    <cellStyle name="Heading 1" xfId="3" builtinId="16"/>
    <cellStyle name="Normal" xfId="0" builtinId="0"/>
    <cellStyle name="Percent" xfId="2" builtinId="5"/>
  </cellStyles>
  <dxfs count="47">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strike val="0"/>
        <outline val="0"/>
        <shadow val="0"/>
        <u val="none"/>
        <vertAlign val="baseline"/>
        <sz val="11"/>
        <color auto="1"/>
        <name val="Calibri"/>
        <family val="2"/>
        <scheme val="none"/>
      </font>
      <fill>
        <patternFill patternType="none">
          <fgColor indexed="64"/>
          <bgColor indexed="65"/>
        </patternFill>
      </fill>
    </dxf>
    <dxf>
      <font>
        <strike val="0"/>
        <outline val="0"/>
        <shadow val="0"/>
        <u val="none"/>
        <vertAlign val="baseline"/>
        <sz val="11"/>
        <color auto="1"/>
        <name val="Calibri"/>
        <family val="2"/>
        <scheme val="none"/>
      </font>
      <numFmt numFmtId="168" formatCode="dd/mm/yyyy\ hh:mm"/>
      <fill>
        <patternFill patternType="none">
          <fgColor indexed="64"/>
          <bgColor indexed="65"/>
        </patternFill>
      </fill>
    </dxf>
    <dxf>
      <font>
        <strike val="0"/>
        <outline val="0"/>
        <shadow val="0"/>
        <u val="none"/>
        <vertAlign val="baseline"/>
        <sz val="11"/>
        <color auto="1"/>
        <name val="Calibri"/>
        <family val="2"/>
        <scheme val="none"/>
      </font>
      <numFmt numFmtId="167" formatCode="_([$$-409]* #,##0.00_);_([$$-409]* \(#,##0.00\);_([$$-409]* &quot;-&quot;??_);_(@_)"/>
      <fill>
        <patternFill patternType="none">
          <fgColor indexed="64"/>
          <bgColor indexed="65"/>
        </patternFill>
      </fill>
    </dxf>
    <dxf>
      <font>
        <strike val="0"/>
        <outline val="0"/>
        <shadow val="0"/>
        <u val="none"/>
        <vertAlign val="baseline"/>
        <sz val="11"/>
        <color auto="1"/>
        <name val="Calibri"/>
        <family val="2"/>
        <scheme val="none"/>
      </font>
      <numFmt numFmtId="30" formatCode="@"/>
      <fill>
        <patternFill patternType="none">
          <fgColor rgb="FF000000"/>
          <bgColor auto="1"/>
        </patternFill>
      </fill>
    </dxf>
    <dxf>
      <font>
        <strike val="0"/>
        <outline val="0"/>
        <shadow val="0"/>
        <u val="none"/>
        <vertAlign val="baseline"/>
        <sz val="11"/>
        <color auto="1"/>
        <name val="Calibri"/>
        <family val="2"/>
        <scheme val="none"/>
      </font>
      <numFmt numFmtId="30" formatCode="@"/>
      <fill>
        <patternFill patternType="none">
          <fgColor indexed="64"/>
          <bgColor indexed="65"/>
        </patternFill>
      </fill>
    </dxf>
    <dxf>
      <font>
        <strike val="0"/>
        <outline val="0"/>
        <shadow val="0"/>
        <u val="none"/>
        <vertAlign val="baseline"/>
        <sz val="11"/>
        <color auto="1"/>
        <name val="Calibri"/>
        <family val="2"/>
        <scheme val="none"/>
      </font>
      <fill>
        <patternFill patternType="none">
          <fgColor rgb="FF000000"/>
          <bgColor auto="1"/>
        </patternFill>
      </fill>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 formatCode="0"/>
    </dxf>
    <dxf>
      <font>
        <strike val="0"/>
        <outline val="0"/>
        <shadow val="0"/>
        <u val="none"/>
        <vertAlign val="baseline"/>
        <sz val="11"/>
        <color auto="1"/>
        <name val="Calibri"/>
        <family val="2"/>
        <scheme val="minor"/>
      </font>
      <numFmt numFmtId="1" formatCode="0"/>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4" formatCode="0.00%"/>
    </dxf>
    <dxf>
      <font>
        <strike val="0"/>
        <outline val="0"/>
        <shadow val="0"/>
        <u val="none"/>
        <vertAlign val="baseline"/>
        <sz val="11"/>
        <color auto="1"/>
        <name val="Calibri"/>
        <family val="2"/>
        <scheme val="minor"/>
      </font>
      <numFmt numFmtId="14" formatCode="0.00%"/>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quot;$&quot;#,##0.00"/>
    </dxf>
    <dxf>
      <font>
        <strike val="0"/>
        <outline val="0"/>
        <shadow val="0"/>
        <u val="none"/>
        <vertAlign val="baseline"/>
        <sz val="11"/>
        <color auto="1"/>
        <name val="Calibri"/>
        <family val="2"/>
        <scheme val="minor"/>
      </font>
      <numFmt numFmtId="165" formatCode="&quot;$&quot;#,##0.00"/>
      <fill>
        <patternFill patternType="none">
          <fgColor indexed="64"/>
          <bgColor auto="1"/>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4" formatCode="0.00%"/>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5" formatCode="&quot;$&quot;#,##0.00"/>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quot;$&quot;#,##0.00"/>
    </dxf>
    <dxf>
      <font>
        <b val="0"/>
        <i val="0"/>
        <strike val="0"/>
        <condense val="0"/>
        <extend val="0"/>
        <outline val="0"/>
        <shadow val="0"/>
        <u val="none"/>
        <vertAlign val="baseline"/>
        <sz val="11"/>
        <color auto="1"/>
        <name val="Calibri"/>
        <family val="2"/>
        <scheme val="minor"/>
      </font>
      <numFmt numFmtId="165" formatCode="&quot;$&quot;#,##0.00"/>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quot;$&quot;#,##0.00"/>
    </dxf>
    <dxf>
      <font>
        <b val="0"/>
        <i val="0"/>
        <strike val="0"/>
        <condense val="0"/>
        <extend val="0"/>
        <outline val="0"/>
        <shadow val="0"/>
        <u val="none"/>
        <vertAlign val="baseline"/>
        <sz val="11"/>
        <color auto="1"/>
        <name val="Calibri"/>
        <family val="2"/>
        <scheme val="minor"/>
      </font>
      <numFmt numFmtId="165" formatCode="&quot;$&quot;#,##0.00"/>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quot;$&quot;#,##0.00"/>
    </dxf>
    <dxf>
      <font>
        <b val="0"/>
        <i val="0"/>
        <strike val="0"/>
        <condense val="0"/>
        <extend val="0"/>
        <outline val="0"/>
        <shadow val="0"/>
        <u val="none"/>
        <vertAlign val="baseline"/>
        <sz val="11"/>
        <color auto="1"/>
        <name val="Calibri"/>
        <family val="2"/>
        <scheme val="minor"/>
      </font>
      <numFmt numFmtId="165" formatCode="&quot;$&quot;#,##0.00"/>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quot;$&quot;#,##0.00"/>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34" formatCode="_-&quot;$&quot;* #,##0.00_-;\-&quot;$&quot;* #,##0.00_-;_-&quot;$&quot;* &quot;-&quot;??_-;_-@_-"/>
    </dxf>
    <dxf>
      <font>
        <strike val="0"/>
        <outline val="0"/>
        <shadow val="0"/>
        <u val="none"/>
        <vertAlign val="baseli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4" formatCode="0.0000000000"/>
      <fill>
        <patternFill patternType="none">
          <fgColor indexed="64"/>
          <bgColor auto="1"/>
        </patternFill>
      </fill>
    </dxf>
    <dxf>
      <numFmt numFmtId="19" formatCode="d/mm/yyyy"/>
    </dxf>
    <dxf>
      <numFmt numFmtId="19" formatCode="d/mm/yyyy"/>
    </dxf>
    <dxf>
      <font>
        <b val="0"/>
        <i val="0"/>
        <strike val="0"/>
        <condense val="0"/>
        <extend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30" formatCode="@"/>
      <fill>
        <patternFill patternType="none">
          <fgColor indexed="64"/>
          <bgColor auto="1"/>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30" formatCode="@"/>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9" formatCode="d/mm/yyyy"/>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9" formatCode="d/mm/yyyy"/>
      <fill>
        <patternFill patternType="none">
          <fgColor indexed="64"/>
          <bgColor auto="1"/>
        </patternFill>
      </fill>
    </dxf>
    <dxf>
      <font>
        <strike val="0"/>
        <outline val="0"/>
        <shadow val="0"/>
        <u val="none"/>
        <vertAlign val="baseline"/>
        <sz val="11"/>
        <color auto="1"/>
        <name val="Calibri"/>
        <family val="2"/>
        <scheme val="none"/>
      </font>
      <fill>
        <patternFill patternType="none">
          <fgColor rgb="FF000000"/>
          <bgColor auto="1"/>
        </patternFill>
      </fill>
    </dxf>
    <dxf>
      <fill>
        <patternFill patternType="none">
          <fgColor indexed="64"/>
          <bgColor auto="1"/>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ichStyles" Target="richData/richStyles.xml"/><Relationship Id="rId5" Type="http://schemas.openxmlformats.org/officeDocument/2006/relationships/theme" Target="theme/theme1.xml"/><Relationship Id="rId15" Type="http://schemas.openxmlformats.org/officeDocument/2006/relationships/calcChain" Target="calcChain.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8</xdr:col>
      <xdr:colOff>0</xdr:colOff>
      <xdr:row>6</xdr:row>
      <xdr:rowOff>104775</xdr:rowOff>
    </xdr:to>
    <xdr:pic>
      <xdr:nvPicPr>
        <xdr:cNvPr id="2" name="Picture 1">
          <a:extLst>
            <a:ext uri="{FF2B5EF4-FFF2-40B4-BE49-F238E27FC236}">
              <a16:creationId xmlns:a16="http://schemas.microsoft.com/office/drawing/2014/main" id="{FFF44A5A-1F84-4BDF-98A7-0B813746DF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342900"/>
          <a:ext cx="3381375" cy="8667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56">
  <rv s="0">
    <v>https://www.bing.com/financeapi/forcetrigger?t=a1nhlh&amp;q=XNAS%3aAMZN&amp;form=skydnc</v>
    <v>Learn more on Bing</v>
  </rv>
  <rv s="1">
    <v>en-GB</v>
    <v>a1nhlh</v>
    <v>268435456</v>
    <v>1</v>
    <v>Powered by Refinitiv</v>
    <v>0</v>
    <v>AMAZON.COM, INC. (XNAS:AMZN)</v>
    <v>2</v>
    <v>3</v>
    <v>Finance</v>
    <v>4</v>
    <v>258.60000000000002</v>
    <v>161.38</v>
    <v>1.4112</v>
    <v>-3.12</v>
    <v>-1.4672000000000001E-2</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1576000</v>
    <v>Nasdaq Stock Market</v>
    <v>XNAS</v>
    <v>XNAS</v>
    <v>410 Terry Avenue North, SEATTLE, WA, 98109 US</v>
    <v>211.71</v>
    <v>Diversified Retail</v>
    <v>Stock</v>
    <v>46093.999972546095</v>
    <v>0</v>
    <v>208.15</v>
    <v>2249287787600</v>
    <v>AMAZON.COM, INC.</v>
    <v>AMAZON.COM, INC.</v>
    <v>210.39</v>
    <v>29.213999999999999</v>
    <v>212.65</v>
    <v>209.53</v>
    <v>10734920000</v>
    <v>AMZN</v>
    <v>AMAZON.COM, INC. (XNAS:AMZN)</v>
    <v>48755</v>
    <v>62097140</v>
    <v>1996</v>
  </rv>
  <rv s="2">
    <v>1</v>
  </rv>
  <rv s="0">
    <v>https://www.bing.com/financeapi/forcetrigger?t=a1mou2&amp;q=XNAS%3aAAPL&amp;form=skydnc</v>
    <v>Learn more on Bing</v>
  </rv>
  <rv s="1">
    <v>en-GB</v>
    <v>a1mou2</v>
    <v>268435456</v>
    <v>1</v>
    <v>Powered by Refinitiv</v>
    <v>0</v>
    <v>APPLE INC. (XNAS:AAPL)</v>
    <v>2</v>
    <v>3</v>
    <v>Finance</v>
    <v>4</v>
    <v>288.62</v>
    <v>169.21010000000001</v>
    <v>1.1158999999999999</v>
    <v>-5.05</v>
    <v>-1.9362999999999998E-2</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258.95</v>
    <v>Computers, Phones &amp; Household Electronics</v>
    <v>Stock</v>
    <v>46093.999994733596</v>
    <v>3</v>
    <v>254.18</v>
    <v>3760362552000</v>
    <v>APPLE INC.</v>
    <v>APPLE INC.</v>
    <v>258.66000000000003</v>
    <v>32.493600000000001</v>
    <v>260.81</v>
    <v>255.76</v>
    <v>14702700000</v>
    <v>AAPL</v>
    <v>APPLE INC. (XNAS:AAPL)</v>
    <v>14512</v>
    <v>46264795</v>
    <v>1977</v>
  </rv>
  <rv s="2">
    <v>4</v>
  </rv>
  <rv s="0">
    <v>https://www.bing.com/financeapi/forcetrigger?t=a24kar&amp;q=XNAS%3aTSLA&amp;form=skydnc</v>
    <v>Learn more on Bing</v>
  </rv>
  <rv s="1">
    <v>en-GB</v>
    <v>a24kar</v>
    <v>268435456</v>
    <v>1</v>
    <v>Powered by Refinitiv</v>
    <v>0</v>
    <v>TESLA, INC. (XNAS:TSLA)</v>
    <v>2</v>
    <v>3</v>
    <v>Finance</v>
    <v>4</v>
    <v>498.83</v>
    <v>214.25</v>
    <v>1.9162999999999999</v>
    <v>-12.81</v>
    <v>-3.1410999999999994E-2</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134785</v>
    <v>Nasdaq Stock Market</v>
    <v>XNAS</v>
    <v>XNAS</v>
    <v>1 Tesla Road, AUSTIN, TX, 78725 US</v>
    <v>406.5</v>
    <v>Automobiles &amp; Auto Parts</v>
    <v>Stock</v>
    <v>46093.999989050782</v>
    <v>6</v>
    <v>394.65</v>
    <v>1482248164320</v>
    <v>TESLA, INC.</v>
    <v>TESLA, INC.</v>
    <v>405.17500000000001</v>
    <v>367.31450000000001</v>
    <v>407.82</v>
    <v>395.01</v>
    <v>3752432000</v>
    <v>TSLA</v>
    <v>TESLA, INC. (XNAS:TSLA)</v>
    <v>103905</v>
    <v>59947636</v>
    <v>2024</v>
  </rv>
  <rv s="2">
    <v>7</v>
  </rv>
  <rv s="0">
    <v>http://en.wikipedia.org/wiki/Public_domain</v>
    <v>Public domain</v>
  </rv>
  <rv s="0">
    <v>https://en.wikipedia.org/wiki/Microsoft</v>
    <v>Wikipedia</v>
  </rv>
  <rv s="3">
    <v>9</v>
    <v>10</v>
  </rv>
  <rv s="4">
    <v>9</v>
    <v>https://www.bing.com/th?id=AMMS_e6e837c7bf3a77408619758b7447855a&amp;qlt=95</v>
    <v>11</v>
    <v>0</v>
    <v>https://www.bing.com/images/search?form=xlimg&amp;q=microsoft</v>
    <v>Image of MICROSOFT CORPORATION</v>
  </rv>
  <rv s="0">
    <v>https://www.bing.com/financeapi/forcetrigger?t=a1xzim&amp;q=XNAS%3aMSFT&amp;form=skydnc</v>
    <v>Learn more on Bing</v>
  </rv>
  <rv s="5">
    <v>en-GB</v>
    <v>a1xzim</v>
    <v>268435456</v>
    <v>1</v>
    <v>Powered by Refinitiv</v>
    <v>5</v>
    <v>MICROSOFT CORPORATION (XNAS:MSFT)</v>
    <v>7</v>
    <v>8</v>
    <v>Finance</v>
    <v>4</v>
    <v>555.45000000000005</v>
    <v>344.79</v>
    <v>1.0966</v>
    <v>-3.02</v>
    <v>-7.4590000000000004E-3</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406.12</v>
    <v>12</v>
    <v>Software &amp; IT Services</v>
    <v>Stock</v>
    <v>46093.999936967186</v>
    <v>13</v>
    <v>401.71</v>
    <v>2984063269940</v>
    <v>MICROSOFT CORPORATION</v>
    <v>MICROSOFT CORPORATION</v>
    <v>404.63</v>
    <v>25.143799999999999</v>
    <v>404.88</v>
    <v>401.86</v>
    <v>7425629000</v>
    <v>MSFT</v>
    <v>MICROSOFT CORPORATION (XNAS:MSFT)</v>
    <v>39262</v>
    <v>38542833</v>
    <v>1993</v>
  </rv>
  <rv s="2">
    <v>14</v>
  </rv>
  <rv s="0">
    <v>https://www.bing.com/financeapi/forcetrigger?t=a1qc1h&amp;q=XNYS%3aCRM&amp;form=skydnc</v>
    <v>Learn more on Bing</v>
  </rv>
  <rv s="1">
    <v>en-GB</v>
    <v>a1qc1h</v>
    <v>268435456</v>
    <v>1</v>
    <v>Powered by Refinitiv</v>
    <v>0</v>
    <v>SALESFORCE, INC. (XNYS:CRM)</v>
    <v>2</v>
    <v>3</v>
    <v>Finance</v>
    <v>10</v>
    <v>296.05</v>
    <v>174.57</v>
    <v>1.3008999999999999</v>
    <v>5.15</v>
    <v>2.6528999999999997E-2</v>
    <v>USD</v>
    <v>Salesforce, Inc. is a provider of customer relationship management (CRM) technology. The Company helps organizations of any size reimagine their business for the world of artificial intelligence (AI). With Agentforce, its platform, organizations can bring humans together with AI agents to drive customer success on one deeply unified platform. With the Salesforce platform, it delivers a single source of truth, connecting customer data with integrated AI across systems, apps and devices to help companies sell, service, market and conduct commerce from anywhere. Agentforce is a new layer of the Salesforce platform that enables companies to build and deploy AI agents that can respond to inputs, make decisions and take action autonomously across business functions. Agentforce includes a suite of customizable agents for use across sales, service, marketing and commerce. Datablazer is a data-driven innovator, which leverages the Company’s platform to unlock insights and drive decisions.</v>
    <v>83334</v>
    <v>New York Stock Exchange</v>
    <v>XNYS</v>
    <v>XNYS</v>
    <v>SALESFORCE TOWER, 415 MISSION STREET 3RD FL, SAN FRANCISCO, CA, 94105 US</v>
    <v>204.85499999999999</v>
    <v>Software &amp; IT Services</v>
    <v>Stock</v>
    <v>46093.999960265624</v>
    <v>16</v>
    <v>193.15</v>
    <v>183935440000</v>
    <v>SALESFORCE, INC.</v>
    <v>SALESFORCE, INC.</v>
    <v>194.13</v>
    <v>25.5212</v>
    <v>194.13</v>
    <v>199.28</v>
    <v>923000000</v>
    <v>CRM</v>
    <v>SALESFORCE, INC. (XNYS:CRM)</v>
    <v>3151</v>
    <v>14683385</v>
    <v>1999</v>
  </rv>
  <rv s="2">
    <v>17</v>
  </rv>
  <rv s="0">
    <v>https://www.bing.com/financeapi/forcetrigger?t=bjqejc&amp;q=XNYS%3aNIO&amp;form=skydnc</v>
    <v>Learn more on Bing</v>
  </rv>
  <rv s="1">
    <v>en-GB</v>
    <v>bjqejc</v>
    <v>268435456</v>
    <v>1</v>
    <v>Powered by Refinitiv</v>
    <v>0</v>
    <v>NIO INC. (XNYS:NIO)</v>
    <v>2</v>
    <v>3</v>
    <v>Finance</v>
    <v>4</v>
    <v>8.02</v>
    <v>3.02</v>
    <v>1.1233</v>
    <v>0.08</v>
    <v>1.4624999999999999E-2</v>
    <v>USD</v>
    <v>NIO Inc is a holding company mainly engaged in the design, development, manufacturing and sales of smart electric vehicles. The Company offers premium smart electric vehicles under the NIO brand, family-oriented smart electric vehicles through the ONVO brand, and small smart high-end electric cars with the FIREFLY brand. The Company focuses on building in-house capabilities including battery swapping, assisted and intelligent driving, digital technologies, electric powertrain and battery, vehicle engineering and design, among others, to control the design and development of the vehicle software and hardware architecture and the critical components.</v>
    <v>45635</v>
    <v>New York Stock Exchange</v>
    <v>XNYS</v>
    <v>XNYS</v>
    <v>Building 19, No. 1355, Caobao Road, Minhang District, Shanghai, SHANGHAI, 200233 CN</v>
    <v>5.8150000000000004</v>
    <v>Automobiles &amp; Auto Parts</v>
    <v>Stock</v>
    <v>46093.999827638283</v>
    <v>19</v>
    <v>5.52</v>
    <v>13576299000</v>
    <v>NIO INC.</v>
    <v>NIO INC.</v>
    <v>5.54</v>
    <v>0</v>
    <v>5.47</v>
    <v>5.55</v>
    <v>2446180000</v>
    <v>NIO</v>
    <v>NIO INC. (XNYS:NIO)</v>
    <v>176991</v>
    <v>48290634</v>
    <v>2014</v>
  </rv>
  <rv s="2">
    <v>20</v>
  </rv>
  <rv s="0">
    <v>https://www.bing.com/financeapi/forcetrigger?t=a1sqr7&amp;q=XNYS%3aFDX&amp;form=skydnc</v>
    <v>Learn more on Bing</v>
  </rv>
  <rv s="1">
    <v>en-GB</v>
    <v>a1sqr7</v>
    <v>268435456</v>
    <v>1</v>
    <v>Powered by Refinitiv</v>
    <v>0</v>
    <v>FEDEX CORPORATION (XNYS:FDX)</v>
    <v>2</v>
    <v>3</v>
    <v>Finance</v>
    <v>10</v>
    <v>392.86</v>
    <v>194.29499999999999</v>
    <v>1.2903</v>
    <v>-8.26</v>
    <v>-2.2856000000000001E-2</v>
    <v>USD</v>
    <v>FedEx Corporation provides customers and businesses with a portfolio of transportation, e-commerce, and business services. The Company offers integrated business solutions utilizing its flexible and efficient global network. Its segments include Federal Express, FedEx Freight, and Corporate, other, and eliminations. Federal Express segment includes express transportation, small-package ground delivery, and freight transportation, and it also operates combined sales, marketing, administrative, and information-technology functions in shared service operations for United States customers. FedEx Freight segment includes FedEx Freight (LTL freight transportation) and FedEx Custom Critical (time-critical transportation). Corporate, other, and elimination segments include FedEx Dataworks, Inc. (FedEx Dataworks), FedEx Office and Print Services, Inc. (FedEx Office), and FedEx Logistics, Inc. (FedEx Logistics). FedEx Logistics offers customs brokerage, specialty transportation, and others.</v>
    <v>237000</v>
    <v>New York Stock Exchange</v>
    <v>XNYS</v>
    <v>XNYS</v>
    <v>942 South Shady Grove Road, MEMPHIS, TN, 38120 US</v>
    <v>359.61500000000001</v>
    <v>Freight &amp; Logistics Services</v>
    <v>Stock</v>
    <v>46093.991623830472</v>
    <v>22</v>
    <v>352.28</v>
    <v>83028914364</v>
    <v>FEDEX CORPORATION</v>
    <v>FEDEX CORPORATION</v>
    <v>355.69</v>
    <v>19.4938</v>
    <v>361.39</v>
    <v>353.13</v>
    <v>235122800</v>
    <v>FDX</v>
    <v>FEDEX CORPORATION (XNYS:FDX)</v>
    <v>60</v>
    <v>1817297</v>
    <v>1997</v>
  </rv>
  <rv s="2">
    <v>23</v>
  </rv>
  <rv s="0">
    <v>http://en.wikipedia.org/wiki/The_Walt_Disney_Company</v>
    <v>Wikipedia</v>
  </rv>
  <rv s="3">
    <v>9</v>
    <v>25</v>
  </rv>
  <rv s="4">
    <v>9</v>
    <v>https://www.bing.com/th?id=AMMS_0aa288ba528f6f45e3de87d97e250136&amp;qlt=95</v>
    <v>26</v>
    <v>0</v>
    <v>https://www.bing.com/images/search?form=xlimg&amp;q=the+walt+disney+company</v>
    <v>Image of THE WALT DISNEY COMPANY</v>
  </rv>
  <rv s="0">
    <v>https://www.bing.com/financeapi/forcetrigger?t=a1r2z2&amp;q=XNYS%3aDIS&amp;form=skydnc</v>
    <v>Learn more on Bing</v>
  </rv>
  <rv s="5">
    <v>en-GB</v>
    <v>a1r2z2</v>
    <v>268435456</v>
    <v>1</v>
    <v>Powered by Refinitiv</v>
    <v>5</v>
    <v>THE WALT DISNEY COMPANY (XNYS:DIS)</v>
    <v>7</v>
    <v>8</v>
    <v>Finance</v>
    <v>10</v>
    <v>124.69</v>
    <v>80.099999999999994</v>
    <v>1.4441999999999999</v>
    <v>-1.46</v>
    <v>-1.4471000000000001E-2</v>
    <v>USD</v>
    <v>The Walt Disney Company is a diversified worldwide entertainment company. The Company's segments include Entertainment, Sports and Experiences. The Entertainment segment generally encompasses its non-sports focused global film and episodic content production and distribution activities. The lines of business within the Entertainment segment along with their business activities include Linear Networks, Direct-to-Consumer, and Content Sales/Licensing. The Sports segment encompasses its sports-focused global television and direct-to-consumer (DTC) video streaming content production and distribution activities. The lines of business within the Sports segment include ESPN and Star. The Experiences segment includes Parks and Experiences and Consumer Products. Parks and Experiences consists of Walt Disney World Resort in Florida, Disneyland Resort in California, Disney Cruise Line, and others. Consumer Products includes licensing of its trade names, characters, visual, literary and other IP.</v>
    <v>231000</v>
    <v>New York Stock Exchange</v>
    <v>XNYS</v>
    <v>XNYS</v>
    <v>500 South Buena Vista Street, BURBANK, CA, 91521-0001 US</v>
    <v>100.875</v>
    <v>27</v>
    <v>Media &amp; Publishing</v>
    <v>Stock</v>
    <v>46093.999850613283</v>
    <v>28</v>
    <v>99.37</v>
    <v>176142233600</v>
    <v>THE WALT DISNEY COMPANY</v>
    <v>THE WALT DISNEY COMPANY</v>
    <v>100.1</v>
    <v>14.6511</v>
    <v>100.89</v>
    <v>99.43</v>
    <v>1771520000</v>
    <v>DIS</v>
    <v>THE WALT DISNEY COMPANY (XNYS:DIS)</v>
    <v>2197</v>
    <v>11615654</v>
    <v>2018</v>
  </rv>
  <rv s="2">
    <v>29</v>
  </rv>
  <rv s="0">
    <v>https://www.bing.com/financeapi/forcetrigger?t=a1nq6h&amp;q=ARCX%3aARKK&amp;form=skydnc</v>
    <v>Learn more on Bing</v>
  </rv>
  <rv s="6">
    <v>en-GB</v>
    <v>a1nq6h</v>
    <v>268435456</v>
    <v>1</v>
    <v>Powered by Refinitiv</v>
    <v>11</v>
    <v>ARK Innovation (BATS:ARKK)</v>
    <v>12</v>
    <v>13</v>
    <v>Finance</v>
    <v>14</v>
    <v>92.65</v>
    <v>38.568600000000004</v>
    <v>2.1656</v>
    <v>-2.42</v>
    <v>-3.3119000000000003E-2</v>
    <v>USD</v>
    <v>CBOE BZX Exchange</v>
    <v>BATS</v>
    <v>7.4999999999999997E-3</v>
    <v>72.53</v>
    <v>ETF</v>
    <v>46093.997114617967</v>
    <v>31</v>
    <v>70.48</v>
    <v>6515867255.7200003</v>
    <v>ARK Innovation</v>
    <v>72.260000000000005</v>
    <v>73.069999999999993</v>
    <v>70.650000000000006</v>
    <v>ARKK</v>
    <v>ARK Innovation (BATS:ARKK)</v>
    <v>2863</v>
    <v>11261601</v>
  </rv>
  <rv s="2">
    <v>32</v>
  </rv>
  <rv s="7">
    <v>en-GB</v>
    <v>bo8l9c</v>
    <v>268435456</v>
    <v>1</v>
    <v>Powered by Refinitiv</v>
    <v>15</v>
    <v>BTC/AUD</v>
    <v>16</v>
    <v>17</v>
    <v>Finance</v>
    <v>18</v>
    <v>190797.8241</v>
    <v>86861.324399999998</v>
    <v>3238.2494000000002</v>
    <v>3.2669000000000004E-2</v>
    <v>AUD</v>
    <v>BTC</v>
    <v>102629.10799999999</v>
    <v>Currency Pair</v>
    <v>46094.412488425929</v>
    <v>98940.528300000005</v>
    <v>Bitcoin/Australian Dollar FX Cross Rate</v>
    <v>99122.881399999998</v>
    <v>99122.881399999998</v>
    <v>102361.1308</v>
    <v>BTCAUD</v>
    <v>BTC/AUD</v>
  </rv>
  <rv s="2">
    <v>34</v>
  </rv>
  <rv s="7">
    <v>en-GB</v>
    <v>bormm7</v>
    <v>268435456</v>
    <v>1</v>
    <v>Powered by Refinitiv</v>
    <v>15</v>
    <v>ETH/AUD</v>
    <v>16</v>
    <v>17</v>
    <v>Finance</v>
    <v>18</v>
    <v>7629.1610000000001</v>
    <v>2318.6559999999999</v>
    <v>89.241</v>
    <v>3.0626E-2</v>
    <v>AUD</v>
    <v>ETH</v>
    <v>3030.9059999999999</v>
    <v>Currency Pair</v>
    <v>46094.412442129629</v>
    <v>2905.6219999999998</v>
    <v>Ether/Australian Dollar FX Cross Rate</v>
    <v>2913.884</v>
    <v>2913.884</v>
    <v>3003.125</v>
    <v>ETHAUD</v>
    <v>ETH/AUD</v>
  </rv>
  <rv s="2">
    <v>36</v>
  </rv>
  <rv s="0">
    <v>https://www.bing.com/financeapi/forcetrigger?t=a21mim&amp;q=XNAS%3aQQQ&amp;form=skydnc</v>
    <v>Learn more on Bing</v>
  </rv>
  <rv s="6">
    <v>en-GB</v>
    <v>a21mim</v>
    <v>268435456</v>
    <v>1</v>
    <v>Powered by Refinitiv</v>
    <v>11</v>
    <v>Invesco QQQ Trust 1 (XNAS:QQQ)</v>
    <v>12</v>
    <v>13</v>
    <v>Finance</v>
    <v>19</v>
    <v>637.01</v>
    <v>402.39</v>
    <v>0.97199999999999998</v>
    <v>-10.43</v>
    <v>-1.7162999999999998E-2</v>
    <v>USD</v>
    <v>Nasdaq Stock Market</v>
    <v>XNAS</v>
    <v>1.8E-3</v>
    <v>604.14</v>
    <v>ETF</v>
    <v>46093.999983992966</v>
    <v>38</v>
    <v>597.04999999999995</v>
    <v>394903687507.98999</v>
    <v>Invesco QQQ Trust 1</v>
    <v>602.76</v>
    <v>607.69000000000005</v>
    <v>597.26</v>
    <v>QQQ</v>
    <v>Invesco QQQ Trust 1 (XNAS:QQQ)</v>
    <v>471030</v>
    <v>72511733</v>
  </rv>
  <rv s="2">
    <v>39</v>
  </rv>
  <rv s="0">
    <v>https://www.bing.com/financeapi/forcetrigger?t=a1u3p2&amp;q=XNAS%3aGOOG&amp;form=skydnc</v>
    <v>Learn more on Bing</v>
  </rv>
  <rv s="1">
    <v>en-GB</v>
    <v>a1u3p2</v>
    <v>268435456</v>
    <v>1</v>
    <v>Powered by Refinitiv</v>
    <v>0</v>
    <v>ALPHABET INC. (XNAS:GOOG)</v>
    <v>2</v>
    <v>3</v>
    <v>Finance</v>
    <v>4</v>
    <v>350.15</v>
    <v>142.66</v>
    <v>1.1126</v>
    <v>-5.21</v>
    <v>-1.6893000000000002E-2</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190820</v>
    <v>Nasdaq Stock Market</v>
    <v>XNAS</v>
    <v>XNAS</v>
    <v>1600 Amphitheatre Parkway, MOUNTAIN VIEW, CA, 94043 US</v>
    <v>308.64</v>
    <v>Software &amp; IT Services</v>
    <v>Stock</v>
    <v>46093.999777314064</v>
    <v>41</v>
    <v>300.83999999999997</v>
    <v>3667931369999</v>
    <v>ALPHABET INC.</v>
    <v>ALPHABET INC.</v>
    <v>306.20999999999998</v>
    <v>28.090800000000002</v>
    <v>308.42</v>
    <v>303.20999999999998</v>
    <v>12097000000</v>
    <v>GOOG</v>
    <v>ALPHABET INC. (XNAS:GOOG)</v>
    <v>46322</v>
    <v>23670897</v>
    <v>2015</v>
  </rv>
  <rv s="2">
    <v>42</v>
  </rv>
  <rv s="0">
    <v>https://www.bing.com/financeapi/forcetrigger?t=aa86nm&amp;q=XASX%3aNDQ&amp;form=skydnc</v>
    <v>Learn more on Bing</v>
  </rv>
  <rv s="8">
    <v>en-GB</v>
    <v>aa86nm</v>
    <v>268435456</v>
    <v>1</v>
    <v>Powered by Refinitiv</v>
    <v>20</v>
    <v>BetaShares NASDAQ 100 ETF (XASX:NDQ)</v>
    <v>12</v>
    <v>21</v>
    <v>Finance</v>
    <v>22</v>
    <v>58.71</v>
    <v>40.69</v>
    <v>1.2050000000000001</v>
    <v>0.16</v>
    <v>3.1310000000000001E-3</v>
    <v>AUD</v>
    <v>Australian Securities Exchange</v>
    <v>XASX</v>
    <v>4.7999999999999996E-3</v>
    <v>51.32</v>
    <v>ETF</v>
    <v>46094.333344907405</v>
    <v>44</v>
    <v>51</v>
    <v>7202369261</v>
    <v>BetaShares NASDAQ 100 ETF</v>
    <v>51</v>
    <v>51.1</v>
    <v>51.26</v>
    <v>NDQ</v>
    <v>BetaShares NASDAQ 100 ETF (XASX:NDQ)</v>
    <v>160915</v>
  </rv>
  <rv s="2">
    <v>45</v>
  </rv>
  <rv s="0">
    <v>https://www.bing.com/financeapi/forcetrigger?t=aaa6jc&amp;q=XASX%3aVAS&amp;form=skydnc</v>
    <v>Learn more on Bing</v>
  </rv>
  <rv s="8">
    <v>en-GB</v>
    <v>aaa6jc</v>
    <v>268435456</v>
    <v>1</v>
    <v>Powered by Refinitiv</v>
    <v>20</v>
    <v>Vanguard Aust Shs Idx ETF (XASX:VAS)</v>
    <v>12</v>
    <v>21</v>
    <v>Finance</v>
    <v>22</v>
    <v>114.25</v>
    <v>88.64</v>
    <v>0.99580000000000002</v>
    <v>-0.2</v>
    <v>-1.8559999999999998E-3</v>
    <v>AUD</v>
    <v>Australian Securities Exchange</v>
    <v>XASX</v>
    <v>7.000000000000001E-4</v>
    <v>108.22</v>
    <v>ETF</v>
    <v>46094.333344907405</v>
    <v>47</v>
    <v>107.22</v>
    <v>24210050000</v>
    <v>Vanguard Aust Shs Idx ETF</v>
    <v>107.26</v>
    <v>107.76</v>
    <v>107.56</v>
    <v>VAS</v>
    <v>Vanguard Aust Shs Idx ETF (XASX:VAS)</v>
    <v>176664</v>
  </rv>
  <rv s="2">
    <v>48</v>
  </rv>
  <rv s="0">
    <v>https://www.bing.com/financeapi/forcetrigger?t=aaa7a2&amp;q=XASX%3aVEU&amp;form=skydnc</v>
    <v>Learn more on Bing</v>
  </rv>
  <rv s="9">
    <v>en-GB</v>
    <v>aaa7a2</v>
    <v>268435456</v>
    <v>1</v>
    <v>Powered by Refinitiv</v>
    <v>23</v>
    <v>Vang AllWorldexUSShsIdxETF (XASX:VEU)</v>
    <v>12</v>
    <v>24</v>
    <v>Finance</v>
    <v>22</v>
    <v>116</v>
    <v>90.48</v>
    <v>0.79310000000000003</v>
    <v>0.62</v>
    <v>5.7949999999999998E-3</v>
    <v>AUD</v>
    <v>Australian Securities Exchange</v>
    <v>XASX</v>
    <v>4.0000000000000002E-4</v>
    <v>107.7</v>
    <v>ETF</v>
    <v>46094.333344907405</v>
    <v>50</v>
    <v>106.81</v>
    <v>Vang AllWorldexUSShsIdxETF</v>
    <v>107.03</v>
    <v>106.98</v>
    <v>107.6</v>
    <v>VEU</v>
    <v>Vang AllWorldexUSShsIdxETF (XASX:VEU)</v>
    <v>138313</v>
  </rv>
  <rv s="2">
    <v>51</v>
  </rv>
  <rv s="0">
    <v>https://www.bing.com/financeapi/forcetrigger?t=aaaaur&amp;q=XASX%3aVTS&amp;form=skydnc</v>
    <v>Learn more on Bing</v>
  </rv>
  <rv s="9">
    <v>en-GB</v>
    <v>aaaaur</v>
    <v>268435456</v>
    <v>1</v>
    <v>Powered by Refinitiv</v>
    <v>23</v>
    <v>Van US Tot Mkt Shs Idx ETF AUD (XASX:VTS)</v>
    <v>12</v>
    <v>24</v>
    <v>Finance</v>
    <v>22</v>
    <v>515.85</v>
    <v>394</v>
    <v>0.98939999999999995</v>
    <v>2.64</v>
    <v>5.7039999999999999E-3</v>
    <v>AUD</v>
    <v>Australian Securities Exchange</v>
    <v>XASX</v>
    <v>2.9999999999999997E-4</v>
    <v>466.06</v>
    <v>ETF</v>
    <v>46094.333344907405</v>
    <v>53</v>
    <v>461.1</v>
    <v>Van US Tot Mkt Shs Idx ETF AUD</v>
    <v>461.1</v>
    <v>462.83</v>
    <v>465.47</v>
    <v>VTS</v>
    <v>Van US Tot Mkt Shs Idx ETF AUD (XASX:VTS)</v>
    <v>11681</v>
  </rv>
  <rv s="2">
    <v>54</v>
  </rv>
</rvData>
</file>

<file path=xl/richData/rdrichvaluestructure.xml><?xml version="1.0" encoding="utf-8"?>
<rvStructures xmlns="http://schemas.microsoft.com/office/spreadsheetml/2017/richdata" count="10">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Name" t="s"/>
    <k n="Open"/>
    <k n="Previous close"/>
    <k n="Price"/>
    <k n="Ticker symbol" t="s"/>
    <k n="UniqueName" t="s"/>
    <k n="Volume"/>
  </s>
</rvStructures>
</file>

<file path=xl/richData/rdsupportingpropertybag.xml><?xml version="1.0" encoding="utf-8"?>
<supportingPropertyBags xmlns="http://schemas.microsoft.com/office/spreadsheetml/2017/richdata2">
  <spbArrays count="6">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32">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Beta</v>
      <v t="s">Instrument type</v>
      <v t="s">_Flags</v>
      <v t="s">UniqueName</v>
      <v t="s">_DisplayString</v>
      <v t="s">LearnMoreOnLink</v>
      <v t="s">%ProviderInfo</v>
    </a>
  </spbArrays>
  <spbData count="25">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0">
      <v>1</v>
      <v>Name</v>
      <v>LearnMoreOnLink</v>
    </spb>
    <spb s="5">
      <v>0</v>
      <v>0</v>
    </spb>
    <spb s="6">
      <v>6</v>
      <v>1</v>
      <v>1</v>
      <v>1</v>
      <v>1</v>
    </spb>
    <spb s="7">
      <v>1</v>
      <v>2</v>
      <v>2</v>
      <v>1</v>
      <v>3</v>
      <v>1</v>
      <v>10</v>
      <v>1</v>
      <v>1</v>
      <v>4</v>
      <v>4</v>
      <v>5</v>
      <v>6</v>
      <v>1</v>
      <v>1</v>
      <v>1</v>
      <v>4</v>
      <v>7</v>
      <v>8</v>
      <v>9</v>
      <v>4</v>
    </spb>
    <spb s="8">
      <v>Powered by Refinitiv</v>
    </spb>
    <spb s="4">
      <v>Delayed 15 minutes</v>
      <v>from previous close</v>
      <v>from previous close</v>
      <v>Source: Nasdaq</v>
      <v>GMT</v>
    </spb>
    <spb s="0">
      <v>2</v>
      <v>Name</v>
      <v>LearnMoreOnLink</v>
    </spb>
    <spb s="9">
      <v>1</v>
      <v>1</v>
      <v>1</v>
    </spb>
    <spb s="10">
      <v>1</v>
      <v>2</v>
      <v>1</v>
      <v>3</v>
      <v>1</v>
      <v>1</v>
      <v>1</v>
      <v>4</v>
      <v>5</v>
      <v>6</v>
      <v>1</v>
      <v>1</v>
      <v>5</v>
      <v>1</v>
      <v>4</v>
      <v>7</v>
      <v>9</v>
    </spb>
    <spb s="11">
      <v>BATS BZX Real-Time Last Price</v>
      <v>from previous close</v>
      <v>from previous close</v>
      <v>GMT</v>
    </spb>
    <spb s="12">
      <v>3</v>
      <v>Name</v>
    </spb>
    <spb s="13">
      <v>1</v>
      <v>1</v>
    </spb>
    <spb s="14">
      <v>11</v>
      <v>11</v>
      <v>3</v>
      <v>11</v>
      <v>11</v>
      <v>11</v>
      <v>5</v>
      <v>11</v>
      <v>11</v>
      <v>11</v>
      <v>7</v>
      <v>9</v>
    </spb>
    <spb s="15">
      <v>GMT</v>
    </spb>
    <spb s="16">
      <v>Real-Time Nasdaq Last Sale</v>
      <v>from previous close</v>
      <v>Source: Nasdaq Last Sale</v>
      <v>from previous close</v>
      <v>GMT</v>
    </spb>
    <spb s="0">
      <v>4</v>
      <v>Name</v>
      <v>LearnMoreOnLink</v>
    </spb>
    <spb s="17">
      <v>11</v>
      <v>2</v>
      <v>11</v>
      <v>3</v>
      <v>11</v>
      <v>11</v>
      <v>11</v>
      <v>4</v>
      <v>5</v>
      <v>12</v>
      <v>11</v>
      <v>11</v>
      <v>5</v>
      <v>11</v>
      <v>7</v>
      <v>9</v>
    </spb>
    <spb s="11">
      <v>Delayed 20 minutes</v>
      <v>from previous close</v>
      <v>from previous close</v>
      <v>GMT</v>
    </spb>
    <spb s="0">
      <v>5</v>
      <v>Name</v>
      <v>LearnMoreOnLink</v>
    </spb>
    <spb s="18">
      <v>11</v>
      <v>2</v>
      <v>11</v>
      <v>3</v>
      <v>11</v>
      <v>11</v>
      <v>11</v>
      <v>4</v>
      <v>5</v>
      <v>11</v>
      <v>11</v>
      <v>5</v>
      <v>11</v>
      <v>7</v>
      <v>9</v>
    </spb>
  </spbData>
</supportingPropertyBags>
</file>

<file path=xl/richData/rdsupportingpropertybagstructure.xml><?xml version="1.0" encoding="utf-8"?>
<spbStructures xmlns="http://schemas.microsoft.com/office/spreadsheetml/2017/richdata2" count="19">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Change (%)" t="s"/>
    <k n="Last trade time" t="s"/>
  </s>
  <s>
    <k n="^Order" t="spba"/>
    <k n="TitleProperty" t="s"/>
  </s>
  <s>
    <k n="UniqueName" t="spb"/>
    <k n="`%ProviderInfo" t="spb"/>
  </s>
  <s>
    <k n="Low" t="i"/>
    <k n="High" t="i"/>
    <k n="Name" t="i"/>
    <k n="Open" t="i"/>
    <k n="Price" t="i"/>
    <k n="Change" t="i"/>
    <k n="Change (%)" t="i"/>
    <k n="52 week low" t="i"/>
    <k n="52 week high" t="i"/>
    <k n="Previous close" t="i"/>
    <k n="Last trade time" t="i"/>
    <k n="`%EntityServiceId" t="i"/>
  </s>
  <s>
    <k n="Last trade time" t="s"/>
  </s>
  <s>
    <k n="Price" t="s"/>
    <k n="Change" t="s"/>
    <k n="Exchange" t="s"/>
    <k n="Change (%)" t="s"/>
    <k n="Last trade time" t="s"/>
  </s>
  <s>
    <k n="Low" t="i"/>
    <k n="Beta" t="i"/>
    <k n="High" t="i"/>
    <k n="Name" t="i"/>
    <k n="Open" t="i"/>
    <k n="Price" t="i"/>
    <k n="Change" t="i"/>
    <k n="Volume" t="i"/>
    <k n="Change (%)" t="i"/>
    <k n="Market cap" t="i"/>
    <k n="52 week low" t="i"/>
    <k n="52 week high" t="i"/>
    <k n="Expense ratio" t="i"/>
    <k n="Previous close" t="i"/>
    <k n="Last trade time" t="i"/>
    <k n="`%EntityServiceId" t="i"/>
  </s>
  <s>
    <k n="Low" t="i"/>
    <k n="Beta" t="i"/>
    <k n="High" t="i"/>
    <k n="Name" t="i"/>
    <k n="Open" t="i"/>
    <k n="Price" t="i"/>
    <k n="Change" t="i"/>
    <k n="Volume" t="i"/>
    <k n="Change (%)" t="i"/>
    <k n="52 week low" t="i"/>
    <k n="52 week high" t="i"/>
    <k n="Expense ratio" t="i"/>
    <k n="Previous close" t="i"/>
    <k n="Last trade time" t="i"/>
    <k n="`%EntityServiceId"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mm/yy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Sty dxfid="1">
      <rpv i="0">_-[$$-en-AU]* #,##0.00_-;-[$$-en-AU]* #,##0.00_-;_-[$$-en-AU]* "-"??_-;_-@_-</rpv>
    </rSty>
    <rSty dxfid="1">
      <rpv i="0">_-[$$-en-AU]* #,##0_-;-[$$-en-AU]* #,##0_-;_-[$$-en-AU]*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958B377-CE3B-4A80-AE33-040999036567}" name="Table139" displayName="Table139" ref="B6:T32" totalsRowCount="1" headerRowDxfId="46" dataDxfId="45">
  <autoFilter ref="B6:T31" xr:uid="{90E421E1-C1ED-45B6-B20F-4D7EFBEDCDCA}">
    <filterColumn colId="2">
      <filters>
        <filter val="Stock"/>
      </filters>
    </filterColumn>
  </autoFilter>
  <sortState xmlns:xlrd2="http://schemas.microsoft.com/office/spreadsheetml/2017/richdata2" ref="B7:T31">
    <sortCondition ref="C6:C31"/>
  </sortState>
  <tableColumns count="19">
    <tableColumn id="8" xr3:uid="{19351784-AD0B-4D15-A4DB-AAC5645B4574}" name="Date" totalsRowLabel="Total" dataDxfId="44" totalsRowDxfId="43">
      <calculatedColumnFormula>IF(ISBLANK(#REF!),"", DATE(LEFT(#REF!,4),MID(#REF!,6,2),MID(#REF!,9,2)))</calculatedColumnFormula>
    </tableColumn>
    <tableColumn id="1" xr3:uid="{AE8BB714-68E7-4262-8910-F991718632E8}" name="Owner" dataDxfId="42" totalsRowDxfId="41"/>
    <tableColumn id="15" xr3:uid="{18598B03-2034-45DB-A29D-ABA2B40CFDBB}" name="Type" dataDxfId="40" totalsRowDxfId="39"/>
    <tableColumn id="2" xr3:uid="{D54C2CD2-C2D9-4BE8-AA4E-C6C5A798163C}" name="Stock Name" dataDxfId="38" totalsRowDxfId="37"/>
    <tableColumn id="3" xr3:uid="{874985C1-5FD6-40F1-BF63-BB41F671F76B}" name="Curr.  Share _x000a_Price" dataCellStyle="Currency"/>
    <tableColumn id="4" xr3:uid="{C8A66B1B-8137-426C-A3E8-C7FDE8AFD1B8}" name="Curr. Price Date" dataDxfId="36" dataCellStyle="Normal"/>
    <tableColumn id="16" xr3:uid="{472EAA79-569B-4E98-A586-0F88A58CE274}" name="Is USD" dataDxfId="35"/>
    <tableColumn id="5" xr3:uid="{F37C0765-D920-4632-88FD-A27F8C82E31B}" name="Qty" dataDxfId="34" totalsRowDxfId="33"/>
    <tableColumn id="6" xr3:uid="{FFAF8CA7-742F-4323-ABDB-5869469B0E9F}" name="Price" dataDxfId="32" totalsRowDxfId="31" dataCellStyle="Currency"/>
    <tableColumn id="7" xr3:uid="{03A8547A-9C3B-4319-8076-8CEF035E4781}" name="Total US" dataDxfId="30" totalsRowDxfId="29">
      <calculatedColumnFormula>IF(Table139[[#This Row],[Is USD]]="Yes",Table139[[#This Row],[Qty]]*Table139[[#This Row],[Price]],"")</calculatedColumnFormula>
    </tableColumn>
    <tableColumn id="13" xr3:uid="{0CB29854-E965-495A-85DD-290DF449560A}" name="AUD-&gt;US Rate" dataDxfId="28" totalsRowDxfId="27"/>
    <tableColumn id="14" xr3:uid="{E0164E74-E0CE-40F3-9A8D-603EA3CD62A9}" name="Total AUD" totalsRowFunction="sum" dataDxfId="26" totalsRowDxfId="25">
      <calculatedColumnFormula>IF(Table139[[#This Row],[Is USD]]="Yes",Table139[[#This Row],[Total US]]/Table139[[#This Row],[AUD-&gt;US Rate]],Table139[[#This Row],[Price]]*Table139[[#This Row],[Qty]])</calculatedColumnFormula>
    </tableColumn>
    <tableColumn id="20" xr3:uid="{961EE803-7BB8-40AE-8EAA-39728E06CB92}" name="Curr. Equit US" dataDxfId="24" totalsRowDxfId="23">
      <calculatedColumnFormula>IF(Table139[[#This Row],[Is USD]]="Yes",(Table139[[#This Row],[Curr.  Share 
Price]]*Table139[[#This Row],[Qty]]),"")</calculatedColumnFormula>
    </tableColumn>
    <tableColumn id="12" xr3:uid="{A73F01C3-EF9A-41C8-ACB9-B3EBFDA48F34}" name="Curr. Equit AUD" totalsRowFunction="sum" dataDxfId="22" totalsRowDxfId="21">
      <calculatedColumnFormula>IF(Table139[[#This Row],[Is USD]]="Yes",(Table139[[#This Row],[Curr.  Share 
Price]]*Table139[[#This Row],[Qty]])/$K$4,Table139[[#This Row],[Curr.  Share 
Price]]*Table139[[#This Row],[Qty]])</calculatedColumnFormula>
    </tableColumn>
    <tableColumn id="19" xr3:uid="{660EB0A0-C5B1-44D5-AE2B-1039645CA4A6}" name="Profit US" dataDxfId="20" totalsRowDxfId="19">
      <calculatedColumnFormula>IF(Table139[[#This Row],[Is USD]]="Yes",(Table139[[#This Row],[Curr.  Share 
Price]]*Table139[[#This Row],[Qty]] - Table139[[#This Row],[Total US]]),"")</calculatedColumnFormula>
    </tableColumn>
    <tableColumn id="21" xr3:uid="{D97A2320-2878-47C2-BC33-0553E242A369}" name="Profit US %" dataDxfId="18" totalsRowDxfId="17" dataCellStyle="Percent">
      <calculatedColumnFormula>IF(Table139[[#This Row],[Is USD]]="Yes",Table139[[#This Row],[Profit US]]/Table139[[#This Row],[Total US]],"")</calculatedColumnFormula>
    </tableColumn>
    <tableColumn id="9" xr3:uid="{81516AF8-DA97-4FF7-B468-25CB0E67AE0E}" name="Profit AUD" totalsRowFunction="sum" dataDxfId="16" totalsRowDxfId="15">
      <calculatedColumnFormula>Table139[[#This Row],[Curr. Equit AUD]]-Table139[[#This Row],[Total AUD]]</calculatedColumnFormula>
    </tableColumn>
    <tableColumn id="10" xr3:uid="{21BDAF5A-3B1D-43AF-95D1-B17086458559}" name="Profit %" totalsRowFunction="custom" dataDxfId="14" totalsRowDxfId="13">
      <calculatedColumnFormula>Table139[[#This Row],[Profit AUD]]/Table139[[#This Row],[Total US]]</calculatedColumnFormula>
      <totalsRowFormula>SUBTOTAL(9,Table139[Profit AUD])/SUBTOTAL(9,Table139[Total AUD])</totalsRowFormula>
    </tableColumn>
    <tableColumn id="11" xr3:uid="{3AEEB1CC-5850-462F-9CE4-F7CA6C296728}" name="Period _x000a_(days)" dataDxfId="12" totalsRowDxfId="11">
      <calculatedColumnFormula>DATEDIF(Table139[[#This Row],[Date]],TODAY(),"D")</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7825AC9-ED0F-4E32-92C8-4F78ACE9C198}" name="StockPrice" displayName="StockPrice" ref="B6:F23" totalsRowShown="0" headerRowDxfId="10" dataDxfId="9">
  <autoFilter ref="B6:F23" xr:uid="{07825AC9-ED0F-4E32-92C8-4F78ACE9C198}"/>
  <tableColumns count="5">
    <tableColumn id="11" xr3:uid="{226EF72C-0F82-4436-9420-B37B60A652E6}" name="Ticker symbol" dataDxfId="8">
      <calculatedColumnFormula array="1">_FV(StockPrice[[#This Row],[Name]],"Ticker symbol",TRUE)</calculatedColumnFormula>
    </tableColumn>
    <tableColumn id="5" xr3:uid="{A0BA3CF7-CD31-4614-82C7-34C5A0B95F19}" name="Name" dataDxfId="7"/>
    <tableColumn id="9" xr3:uid="{DB273781-AF0C-4654-BE54-532CB2A2F28B}" name="Price" dataDxfId="6">
      <calculatedColumnFormula array="1">_FV(StockPrice[[#This Row],[Name]],"Price")</calculatedColumnFormula>
    </tableColumn>
    <tableColumn id="10" xr3:uid="{2402668D-437E-4202-B4DC-A92D67A16408}" name="Last trade time" dataDxfId="5">
      <calculatedColumnFormula array="1">_FV(StockPrice[[#This Row],[Name]],"Last trade time",TRUE)</calculatedColumnFormula>
    </tableColumn>
    <tableColumn id="12" xr3:uid="{3C4F00D5-A377-4E5A-BBA7-C1ADFD51B078}" name="Currency" dataDxfId="4">
      <calculatedColumnFormula array="1">_FV(StockPrice[[#This Row],[Name]],"Currency")</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F18A5-56CF-4FEC-A42F-889F1C02DDBD}">
  <dimension ref="A1:U26"/>
  <sheetViews>
    <sheetView topLeftCell="A4" workbookViewId="0">
      <selection activeCell="W15" sqref="W15"/>
    </sheetView>
  </sheetViews>
  <sheetFormatPr defaultRowHeight="14.4"/>
  <cols>
    <col min="1" max="1" width="3.44140625" customWidth="1"/>
    <col min="2" max="2" width="0.5546875" customWidth="1"/>
    <col min="3" max="3" width="22.6640625" customWidth="1"/>
    <col min="4" max="4" width="19.33203125" customWidth="1"/>
    <col min="5" max="5" width="12.33203125" customWidth="1"/>
    <col min="6" max="6" width="24.33203125" customWidth="1"/>
    <col min="7" max="7" width="1.6640625" customWidth="1"/>
    <col min="8" max="8" width="0.33203125" customWidth="1"/>
    <col min="9" max="9" width="3.88671875" customWidth="1"/>
    <col min="10" max="10" width="15.6640625" customWidth="1"/>
    <col min="11" max="11" width="13" customWidth="1"/>
    <col min="12" max="12" width="14.109375" customWidth="1"/>
    <col min="13" max="13" width="27" customWidth="1"/>
    <col min="14" max="14" width="26" customWidth="1"/>
    <col min="15" max="15" width="15.33203125" customWidth="1"/>
    <col min="16" max="16" width="12.33203125" customWidth="1"/>
    <col min="17" max="17" width="6" customWidth="1"/>
    <col min="18" max="18" width="1.33203125" customWidth="1"/>
    <col min="19" max="19" width="3.6640625" customWidth="1"/>
    <col min="20" max="20" width="0.33203125" customWidth="1"/>
    <col min="21" max="21" width="3.44140625" customWidth="1"/>
    <col min="257" max="257" width="3.44140625" customWidth="1"/>
    <col min="258" max="258" width="0.5546875" customWidth="1"/>
    <col min="259" max="259" width="22.6640625" customWidth="1"/>
    <col min="260" max="260" width="19.33203125" customWidth="1"/>
    <col min="261" max="261" width="12.33203125" customWidth="1"/>
    <col min="262" max="262" width="24.33203125" customWidth="1"/>
    <col min="263" max="263" width="1.6640625" customWidth="1"/>
    <col min="264" max="264" width="0.33203125" customWidth="1"/>
    <col min="265" max="265" width="3.88671875" customWidth="1"/>
    <col min="266" max="266" width="15.6640625" customWidth="1"/>
    <col min="267" max="267" width="13" customWidth="1"/>
    <col min="268" max="268" width="14.109375" customWidth="1"/>
    <col min="269" max="269" width="27" customWidth="1"/>
    <col min="270" max="270" width="26" customWidth="1"/>
    <col min="271" max="271" width="15.33203125" customWidth="1"/>
    <col min="272" max="272" width="20.33203125" customWidth="1"/>
    <col min="273" max="273" width="6" customWidth="1"/>
    <col min="274" max="274" width="1.33203125" customWidth="1"/>
    <col min="275" max="275" width="3.6640625" customWidth="1"/>
    <col min="276" max="276" width="0.33203125" customWidth="1"/>
    <col min="277" max="277" width="3.44140625" customWidth="1"/>
    <col min="513" max="513" width="3.44140625" customWidth="1"/>
    <col min="514" max="514" width="0.5546875" customWidth="1"/>
    <col min="515" max="515" width="22.6640625" customWidth="1"/>
    <col min="516" max="516" width="19.33203125" customWidth="1"/>
    <col min="517" max="517" width="12.33203125" customWidth="1"/>
    <col min="518" max="518" width="24.33203125" customWidth="1"/>
    <col min="519" max="519" width="1.6640625" customWidth="1"/>
    <col min="520" max="520" width="0.33203125" customWidth="1"/>
    <col min="521" max="521" width="3.88671875" customWidth="1"/>
    <col min="522" max="522" width="15.6640625" customWidth="1"/>
    <col min="523" max="523" width="13" customWidth="1"/>
    <col min="524" max="524" width="14.109375" customWidth="1"/>
    <col min="525" max="525" width="27" customWidth="1"/>
    <col min="526" max="526" width="26" customWidth="1"/>
    <col min="527" max="527" width="15.33203125" customWidth="1"/>
    <col min="528" max="528" width="20.33203125" customWidth="1"/>
    <col min="529" max="529" width="6" customWidth="1"/>
    <col min="530" max="530" width="1.33203125" customWidth="1"/>
    <col min="531" max="531" width="3.6640625" customWidth="1"/>
    <col min="532" max="532" width="0.33203125" customWidth="1"/>
    <col min="533" max="533" width="3.44140625" customWidth="1"/>
    <col min="769" max="769" width="3.44140625" customWidth="1"/>
    <col min="770" max="770" width="0.5546875" customWidth="1"/>
    <col min="771" max="771" width="22.6640625" customWidth="1"/>
    <col min="772" max="772" width="19.33203125" customWidth="1"/>
    <col min="773" max="773" width="12.33203125" customWidth="1"/>
    <col min="774" max="774" width="24.33203125" customWidth="1"/>
    <col min="775" max="775" width="1.6640625" customWidth="1"/>
    <col min="776" max="776" width="0.33203125" customWidth="1"/>
    <col min="777" max="777" width="3.88671875" customWidth="1"/>
    <col min="778" max="778" width="15.6640625" customWidth="1"/>
    <col min="779" max="779" width="13" customWidth="1"/>
    <col min="780" max="780" width="14.109375" customWidth="1"/>
    <col min="781" max="781" width="27" customWidth="1"/>
    <col min="782" max="782" width="26" customWidth="1"/>
    <col min="783" max="783" width="15.33203125" customWidth="1"/>
    <col min="784" max="784" width="20.33203125" customWidth="1"/>
    <col min="785" max="785" width="6" customWidth="1"/>
    <col min="786" max="786" width="1.33203125" customWidth="1"/>
    <col min="787" max="787" width="3.6640625" customWidth="1"/>
    <col min="788" max="788" width="0.33203125" customWidth="1"/>
    <col min="789" max="789" width="3.44140625" customWidth="1"/>
    <col min="1025" max="1025" width="3.44140625" customWidth="1"/>
    <col min="1026" max="1026" width="0.5546875" customWidth="1"/>
    <col min="1027" max="1027" width="22.6640625" customWidth="1"/>
    <col min="1028" max="1028" width="19.33203125" customWidth="1"/>
    <col min="1029" max="1029" width="12.33203125" customWidth="1"/>
    <col min="1030" max="1030" width="24.33203125" customWidth="1"/>
    <col min="1031" max="1031" width="1.6640625" customWidth="1"/>
    <col min="1032" max="1032" width="0.33203125" customWidth="1"/>
    <col min="1033" max="1033" width="3.88671875" customWidth="1"/>
    <col min="1034" max="1034" width="15.6640625" customWidth="1"/>
    <col min="1035" max="1035" width="13" customWidth="1"/>
    <col min="1036" max="1036" width="14.109375" customWidth="1"/>
    <col min="1037" max="1037" width="27" customWidth="1"/>
    <col min="1038" max="1038" width="26" customWidth="1"/>
    <col min="1039" max="1039" width="15.33203125" customWidth="1"/>
    <col min="1040" max="1040" width="20.33203125" customWidth="1"/>
    <col min="1041" max="1041" width="6" customWidth="1"/>
    <col min="1042" max="1042" width="1.33203125" customWidth="1"/>
    <col min="1043" max="1043" width="3.6640625" customWidth="1"/>
    <col min="1044" max="1044" width="0.33203125" customWidth="1"/>
    <col min="1045" max="1045" width="3.44140625" customWidth="1"/>
    <col min="1281" max="1281" width="3.44140625" customWidth="1"/>
    <col min="1282" max="1282" width="0.5546875" customWidth="1"/>
    <col min="1283" max="1283" width="22.6640625" customWidth="1"/>
    <col min="1284" max="1284" width="19.33203125" customWidth="1"/>
    <col min="1285" max="1285" width="12.33203125" customWidth="1"/>
    <col min="1286" max="1286" width="24.33203125" customWidth="1"/>
    <col min="1287" max="1287" width="1.6640625" customWidth="1"/>
    <col min="1288" max="1288" width="0.33203125" customWidth="1"/>
    <col min="1289" max="1289" width="3.88671875" customWidth="1"/>
    <col min="1290" max="1290" width="15.6640625" customWidth="1"/>
    <col min="1291" max="1291" width="13" customWidth="1"/>
    <col min="1292" max="1292" width="14.109375" customWidth="1"/>
    <col min="1293" max="1293" width="27" customWidth="1"/>
    <col min="1294" max="1294" width="26" customWidth="1"/>
    <col min="1295" max="1295" width="15.33203125" customWidth="1"/>
    <col min="1296" max="1296" width="20.33203125" customWidth="1"/>
    <col min="1297" max="1297" width="6" customWidth="1"/>
    <col min="1298" max="1298" width="1.33203125" customWidth="1"/>
    <col min="1299" max="1299" width="3.6640625" customWidth="1"/>
    <col min="1300" max="1300" width="0.33203125" customWidth="1"/>
    <col min="1301" max="1301" width="3.44140625" customWidth="1"/>
    <col min="1537" max="1537" width="3.44140625" customWidth="1"/>
    <col min="1538" max="1538" width="0.5546875" customWidth="1"/>
    <col min="1539" max="1539" width="22.6640625" customWidth="1"/>
    <col min="1540" max="1540" width="19.33203125" customWidth="1"/>
    <col min="1541" max="1541" width="12.33203125" customWidth="1"/>
    <col min="1542" max="1542" width="24.33203125" customWidth="1"/>
    <col min="1543" max="1543" width="1.6640625" customWidth="1"/>
    <col min="1544" max="1544" width="0.33203125" customWidth="1"/>
    <col min="1545" max="1545" width="3.88671875" customWidth="1"/>
    <col min="1546" max="1546" width="15.6640625" customWidth="1"/>
    <col min="1547" max="1547" width="13" customWidth="1"/>
    <col min="1548" max="1548" width="14.109375" customWidth="1"/>
    <col min="1549" max="1549" width="27" customWidth="1"/>
    <col min="1550" max="1550" width="26" customWidth="1"/>
    <col min="1551" max="1551" width="15.33203125" customWidth="1"/>
    <col min="1552" max="1552" width="20.33203125" customWidth="1"/>
    <col min="1553" max="1553" width="6" customWidth="1"/>
    <col min="1554" max="1554" width="1.33203125" customWidth="1"/>
    <col min="1555" max="1555" width="3.6640625" customWidth="1"/>
    <col min="1556" max="1556" width="0.33203125" customWidth="1"/>
    <col min="1557" max="1557" width="3.44140625" customWidth="1"/>
    <col min="1793" max="1793" width="3.44140625" customWidth="1"/>
    <col min="1794" max="1794" width="0.5546875" customWidth="1"/>
    <col min="1795" max="1795" width="22.6640625" customWidth="1"/>
    <col min="1796" max="1796" width="19.33203125" customWidth="1"/>
    <col min="1797" max="1797" width="12.33203125" customWidth="1"/>
    <col min="1798" max="1798" width="24.33203125" customWidth="1"/>
    <col min="1799" max="1799" width="1.6640625" customWidth="1"/>
    <col min="1800" max="1800" width="0.33203125" customWidth="1"/>
    <col min="1801" max="1801" width="3.88671875" customWidth="1"/>
    <col min="1802" max="1802" width="15.6640625" customWidth="1"/>
    <col min="1803" max="1803" width="13" customWidth="1"/>
    <col min="1804" max="1804" width="14.109375" customWidth="1"/>
    <col min="1805" max="1805" width="27" customWidth="1"/>
    <col min="1806" max="1806" width="26" customWidth="1"/>
    <col min="1807" max="1807" width="15.33203125" customWidth="1"/>
    <col min="1808" max="1808" width="20.33203125" customWidth="1"/>
    <col min="1809" max="1809" width="6" customWidth="1"/>
    <col min="1810" max="1810" width="1.33203125" customWidth="1"/>
    <col min="1811" max="1811" width="3.6640625" customWidth="1"/>
    <col min="1812" max="1812" width="0.33203125" customWidth="1"/>
    <col min="1813" max="1813" width="3.44140625" customWidth="1"/>
    <col min="2049" max="2049" width="3.44140625" customWidth="1"/>
    <col min="2050" max="2050" width="0.5546875" customWidth="1"/>
    <col min="2051" max="2051" width="22.6640625" customWidth="1"/>
    <col min="2052" max="2052" width="19.33203125" customWidth="1"/>
    <col min="2053" max="2053" width="12.33203125" customWidth="1"/>
    <col min="2054" max="2054" width="24.33203125" customWidth="1"/>
    <col min="2055" max="2055" width="1.6640625" customWidth="1"/>
    <col min="2056" max="2056" width="0.33203125" customWidth="1"/>
    <col min="2057" max="2057" width="3.88671875" customWidth="1"/>
    <col min="2058" max="2058" width="15.6640625" customWidth="1"/>
    <col min="2059" max="2059" width="13" customWidth="1"/>
    <col min="2060" max="2060" width="14.109375" customWidth="1"/>
    <col min="2061" max="2061" width="27" customWidth="1"/>
    <col min="2062" max="2062" width="26" customWidth="1"/>
    <col min="2063" max="2063" width="15.33203125" customWidth="1"/>
    <col min="2064" max="2064" width="20.33203125" customWidth="1"/>
    <col min="2065" max="2065" width="6" customWidth="1"/>
    <col min="2066" max="2066" width="1.33203125" customWidth="1"/>
    <col min="2067" max="2067" width="3.6640625" customWidth="1"/>
    <col min="2068" max="2068" width="0.33203125" customWidth="1"/>
    <col min="2069" max="2069" width="3.44140625" customWidth="1"/>
    <col min="2305" max="2305" width="3.44140625" customWidth="1"/>
    <col min="2306" max="2306" width="0.5546875" customWidth="1"/>
    <col min="2307" max="2307" width="22.6640625" customWidth="1"/>
    <col min="2308" max="2308" width="19.33203125" customWidth="1"/>
    <col min="2309" max="2309" width="12.33203125" customWidth="1"/>
    <col min="2310" max="2310" width="24.33203125" customWidth="1"/>
    <col min="2311" max="2311" width="1.6640625" customWidth="1"/>
    <col min="2312" max="2312" width="0.33203125" customWidth="1"/>
    <col min="2313" max="2313" width="3.88671875" customWidth="1"/>
    <col min="2314" max="2314" width="15.6640625" customWidth="1"/>
    <col min="2315" max="2315" width="13" customWidth="1"/>
    <col min="2316" max="2316" width="14.109375" customWidth="1"/>
    <col min="2317" max="2317" width="27" customWidth="1"/>
    <col min="2318" max="2318" width="26" customWidth="1"/>
    <col min="2319" max="2319" width="15.33203125" customWidth="1"/>
    <col min="2320" max="2320" width="20.33203125" customWidth="1"/>
    <col min="2321" max="2321" width="6" customWidth="1"/>
    <col min="2322" max="2322" width="1.33203125" customWidth="1"/>
    <col min="2323" max="2323" width="3.6640625" customWidth="1"/>
    <col min="2324" max="2324" width="0.33203125" customWidth="1"/>
    <col min="2325" max="2325" width="3.44140625" customWidth="1"/>
    <col min="2561" max="2561" width="3.44140625" customWidth="1"/>
    <col min="2562" max="2562" width="0.5546875" customWidth="1"/>
    <col min="2563" max="2563" width="22.6640625" customWidth="1"/>
    <col min="2564" max="2564" width="19.33203125" customWidth="1"/>
    <col min="2565" max="2565" width="12.33203125" customWidth="1"/>
    <col min="2566" max="2566" width="24.33203125" customWidth="1"/>
    <col min="2567" max="2567" width="1.6640625" customWidth="1"/>
    <col min="2568" max="2568" width="0.33203125" customWidth="1"/>
    <col min="2569" max="2569" width="3.88671875" customWidth="1"/>
    <col min="2570" max="2570" width="15.6640625" customWidth="1"/>
    <col min="2571" max="2571" width="13" customWidth="1"/>
    <col min="2572" max="2572" width="14.109375" customWidth="1"/>
    <col min="2573" max="2573" width="27" customWidth="1"/>
    <col min="2574" max="2574" width="26" customWidth="1"/>
    <col min="2575" max="2575" width="15.33203125" customWidth="1"/>
    <col min="2576" max="2576" width="20.33203125" customWidth="1"/>
    <col min="2577" max="2577" width="6" customWidth="1"/>
    <col min="2578" max="2578" width="1.33203125" customWidth="1"/>
    <col min="2579" max="2579" width="3.6640625" customWidth="1"/>
    <col min="2580" max="2580" width="0.33203125" customWidth="1"/>
    <col min="2581" max="2581" width="3.44140625" customWidth="1"/>
    <col min="2817" max="2817" width="3.44140625" customWidth="1"/>
    <col min="2818" max="2818" width="0.5546875" customWidth="1"/>
    <col min="2819" max="2819" width="22.6640625" customWidth="1"/>
    <col min="2820" max="2820" width="19.33203125" customWidth="1"/>
    <col min="2821" max="2821" width="12.33203125" customWidth="1"/>
    <col min="2822" max="2822" width="24.33203125" customWidth="1"/>
    <col min="2823" max="2823" width="1.6640625" customWidth="1"/>
    <col min="2824" max="2824" width="0.33203125" customWidth="1"/>
    <col min="2825" max="2825" width="3.88671875" customWidth="1"/>
    <col min="2826" max="2826" width="15.6640625" customWidth="1"/>
    <col min="2827" max="2827" width="13" customWidth="1"/>
    <col min="2828" max="2828" width="14.109375" customWidth="1"/>
    <col min="2829" max="2829" width="27" customWidth="1"/>
    <col min="2830" max="2830" width="26" customWidth="1"/>
    <col min="2831" max="2831" width="15.33203125" customWidth="1"/>
    <col min="2832" max="2832" width="20.33203125" customWidth="1"/>
    <col min="2833" max="2833" width="6" customWidth="1"/>
    <col min="2834" max="2834" width="1.33203125" customWidth="1"/>
    <col min="2835" max="2835" width="3.6640625" customWidth="1"/>
    <col min="2836" max="2836" width="0.33203125" customWidth="1"/>
    <col min="2837" max="2837" width="3.44140625" customWidth="1"/>
    <col min="3073" max="3073" width="3.44140625" customWidth="1"/>
    <col min="3074" max="3074" width="0.5546875" customWidth="1"/>
    <col min="3075" max="3075" width="22.6640625" customWidth="1"/>
    <col min="3076" max="3076" width="19.33203125" customWidth="1"/>
    <col min="3077" max="3077" width="12.33203125" customWidth="1"/>
    <col min="3078" max="3078" width="24.33203125" customWidth="1"/>
    <col min="3079" max="3079" width="1.6640625" customWidth="1"/>
    <col min="3080" max="3080" width="0.33203125" customWidth="1"/>
    <col min="3081" max="3081" width="3.88671875" customWidth="1"/>
    <col min="3082" max="3082" width="15.6640625" customWidth="1"/>
    <col min="3083" max="3083" width="13" customWidth="1"/>
    <col min="3084" max="3084" width="14.109375" customWidth="1"/>
    <col min="3085" max="3085" width="27" customWidth="1"/>
    <col min="3086" max="3086" width="26" customWidth="1"/>
    <col min="3087" max="3087" width="15.33203125" customWidth="1"/>
    <col min="3088" max="3088" width="20.33203125" customWidth="1"/>
    <col min="3089" max="3089" width="6" customWidth="1"/>
    <col min="3090" max="3090" width="1.33203125" customWidth="1"/>
    <col min="3091" max="3091" width="3.6640625" customWidth="1"/>
    <col min="3092" max="3092" width="0.33203125" customWidth="1"/>
    <col min="3093" max="3093" width="3.44140625" customWidth="1"/>
    <col min="3329" max="3329" width="3.44140625" customWidth="1"/>
    <col min="3330" max="3330" width="0.5546875" customWidth="1"/>
    <col min="3331" max="3331" width="22.6640625" customWidth="1"/>
    <col min="3332" max="3332" width="19.33203125" customWidth="1"/>
    <col min="3333" max="3333" width="12.33203125" customWidth="1"/>
    <col min="3334" max="3334" width="24.33203125" customWidth="1"/>
    <col min="3335" max="3335" width="1.6640625" customWidth="1"/>
    <col min="3336" max="3336" width="0.33203125" customWidth="1"/>
    <col min="3337" max="3337" width="3.88671875" customWidth="1"/>
    <col min="3338" max="3338" width="15.6640625" customWidth="1"/>
    <col min="3339" max="3339" width="13" customWidth="1"/>
    <col min="3340" max="3340" width="14.109375" customWidth="1"/>
    <col min="3341" max="3341" width="27" customWidth="1"/>
    <col min="3342" max="3342" width="26" customWidth="1"/>
    <col min="3343" max="3343" width="15.33203125" customWidth="1"/>
    <col min="3344" max="3344" width="20.33203125" customWidth="1"/>
    <col min="3345" max="3345" width="6" customWidth="1"/>
    <col min="3346" max="3346" width="1.33203125" customWidth="1"/>
    <col min="3347" max="3347" width="3.6640625" customWidth="1"/>
    <col min="3348" max="3348" width="0.33203125" customWidth="1"/>
    <col min="3349" max="3349" width="3.44140625" customWidth="1"/>
    <col min="3585" max="3585" width="3.44140625" customWidth="1"/>
    <col min="3586" max="3586" width="0.5546875" customWidth="1"/>
    <col min="3587" max="3587" width="22.6640625" customWidth="1"/>
    <col min="3588" max="3588" width="19.33203125" customWidth="1"/>
    <col min="3589" max="3589" width="12.33203125" customWidth="1"/>
    <col min="3590" max="3590" width="24.33203125" customWidth="1"/>
    <col min="3591" max="3591" width="1.6640625" customWidth="1"/>
    <col min="3592" max="3592" width="0.33203125" customWidth="1"/>
    <col min="3593" max="3593" width="3.88671875" customWidth="1"/>
    <col min="3594" max="3594" width="15.6640625" customWidth="1"/>
    <col min="3595" max="3595" width="13" customWidth="1"/>
    <col min="3596" max="3596" width="14.109375" customWidth="1"/>
    <col min="3597" max="3597" width="27" customWidth="1"/>
    <col min="3598" max="3598" width="26" customWidth="1"/>
    <col min="3599" max="3599" width="15.33203125" customWidth="1"/>
    <col min="3600" max="3600" width="20.33203125" customWidth="1"/>
    <col min="3601" max="3601" width="6" customWidth="1"/>
    <col min="3602" max="3602" width="1.33203125" customWidth="1"/>
    <col min="3603" max="3603" width="3.6640625" customWidth="1"/>
    <col min="3604" max="3604" width="0.33203125" customWidth="1"/>
    <col min="3605" max="3605" width="3.44140625" customWidth="1"/>
    <col min="3841" max="3841" width="3.44140625" customWidth="1"/>
    <col min="3842" max="3842" width="0.5546875" customWidth="1"/>
    <col min="3843" max="3843" width="22.6640625" customWidth="1"/>
    <col min="3844" max="3844" width="19.33203125" customWidth="1"/>
    <col min="3845" max="3845" width="12.33203125" customWidth="1"/>
    <col min="3846" max="3846" width="24.33203125" customWidth="1"/>
    <col min="3847" max="3847" width="1.6640625" customWidth="1"/>
    <col min="3848" max="3848" width="0.33203125" customWidth="1"/>
    <col min="3849" max="3849" width="3.88671875" customWidth="1"/>
    <col min="3850" max="3850" width="15.6640625" customWidth="1"/>
    <col min="3851" max="3851" width="13" customWidth="1"/>
    <col min="3852" max="3852" width="14.109375" customWidth="1"/>
    <col min="3853" max="3853" width="27" customWidth="1"/>
    <col min="3854" max="3854" width="26" customWidth="1"/>
    <col min="3855" max="3855" width="15.33203125" customWidth="1"/>
    <col min="3856" max="3856" width="20.33203125" customWidth="1"/>
    <col min="3857" max="3857" width="6" customWidth="1"/>
    <col min="3858" max="3858" width="1.33203125" customWidth="1"/>
    <col min="3859" max="3859" width="3.6640625" customWidth="1"/>
    <col min="3860" max="3860" width="0.33203125" customWidth="1"/>
    <col min="3861" max="3861" width="3.44140625" customWidth="1"/>
    <col min="4097" max="4097" width="3.44140625" customWidth="1"/>
    <col min="4098" max="4098" width="0.5546875" customWidth="1"/>
    <col min="4099" max="4099" width="22.6640625" customWidth="1"/>
    <col min="4100" max="4100" width="19.33203125" customWidth="1"/>
    <col min="4101" max="4101" width="12.33203125" customWidth="1"/>
    <col min="4102" max="4102" width="24.33203125" customWidth="1"/>
    <col min="4103" max="4103" width="1.6640625" customWidth="1"/>
    <col min="4104" max="4104" width="0.33203125" customWidth="1"/>
    <col min="4105" max="4105" width="3.88671875" customWidth="1"/>
    <col min="4106" max="4106" width="15.6640625" customWidth="1"/>
    <col min="4107" max="4107" width="13" customWidth="1"/>
    <col min="4108" max="4108" width="14.109375" customWidth="1"/>
    <col min="4109" max="4109" width="27" customWidth="1"/>
    <col min="4110" max="4110" width="26" customWidth="1"/>
    <col min="4111" max="4111" width="15.33203125" customWidth="1"/>
    <col min="4112" max="4112" width="20.33203125" customWidth="1"/>
    <col min="4113" max="4113" width="6" customWidth="1"/>
    <col min="4114" max="4114" width="1.33203125" customWidth="1"/>
    <col min="4115" max="4115" width="3.6640625" customWidth="1"/>
    <col min="4116" max="4116" width="0.33203125" customWidth="1"/>
    <col min="4117" max="4117" width="3.44140625" customWidth="1"/>
    <col min="4353" max="4353" width="3.44140625" customWidth="1"/>
    <col min="4354" max="4354" width="0.5546875" customWidth="1"/>
    <col min="4355" max="4355" width="22.6640625" customWidth="1"/>
    <col min="4356" max="4356" width="19.33203125" customWidth="1"/>
    <col min="4357" max="4357" width="12.33203125" customWidth="1"/>
    <col min="4358" max="4358" width="24.33203125" customWidth="1"/>
    <col min="4359" max="4359" width="1.6640625" customWidth="1"/>
    <col min="4360" max="4360" width="0.33203125" customWidth="1"/>
    <col min="4361" max="4361" width="3.88671875" customWidth="1"/>
    <col min="4362" max="4362" width="15.6640625" customWidth="1"/>
    <col min="4363" max="4363" width="13" customWidth="1"/>
    <col min="4364" max="4364" width="14.109375" customWidth="1"/>
    <col min="4365" max="4365" width="27" customWidth="1"/>
    <col min="4366" max="4366" width="26" customWidth="1"/>
    <col min="4367" max="4367" width="15.33203125" customWidth="1"/>
    <col min="4368" max="4368" width="20.33203125" customWidth="1"/>
    <col min="4369" max="4369" width="6" customWidth="1"/>
    <col min="4370" max="4370" width="1.33203125" customWidth="1"/>
    <col min="4371" max="4371" width="3.6640625" customWidth="1"/>
    <col min="4372" max="4372" width="0.33203125" customWidth="1"/>
    <col min="4373" max="4373" width="3.44140625" customWidth="1"/>
    <col min="4609" max="4609" width="3.44140625" customWidth="1"/>
    <col min="4610" max="4610" width="0.5546875" customWidth="1"/>
    <col min="4611" max="4611" width="22.6640625" customWidth="1"/>
    <col min="4612" max="4612" width="19.33203125" customWidth="1"/>
    <col min="4613" max="4613" width="12.33203125" customWidth="1"/>
    <col min="4614" max="4614" width="24.33203125" customWidth="1"/>
    <col min="4615" max="4615" width="1.6640625" customWidth="1"/>
    <col min="4616" max="4616" width="0.33203125" customWidth="1"/>
    <col min="4617" max="4617" width="3.88671875" customWidth="1"/>
    <col min="4618" max="4618" width="15.6640625" customWidth="1"/>
    <col min="4619" max="4619" width="13" customWidth="1"/>
    <col min="4620" max="4620" width="14.109375" customWidth="1"/>
    <col min="4621" max="4621" width="27" customWidth="1"/>
    <col min="4622" max="4622" width="26" customWidth="1"/>
    <col min="4623" max="4623" width="15.33203125" customWidth="1"/>
    <col min="4624" max="4624" width="20.33203125" customWidth="1"/>
    <col min="4625" max="4625" width="6" customWidth="1"/>
    <col min="4626" max="4626" width="1.33203125" customWidth="1"/>
    <col min="4627" max="4627" width="3.6640625" customWidth="1"/>
    <col min="4628" max="4628" width="0.33203125" customWidth="1"/>
    <col min="4629" max="4629" width="3.44140625" customWidth="1"/>
    <col min="4865" max="4865" width="3.44140625" customWidth="1"/>
    <col min="4866" max="4866" width="0.5546875" customWidth="1"/>
    <col min="4867" max="4867" width="22.6640625" customWidth="1"/>
    <col min="4868" max="4868" width="19.33203125" customWidth="1"/>
    <col min="4869" max="4869" width="12.33203125" customWidth="1"/>
    <col min="4870" max="4870" width="24.33203125" customWidth="1"/>
    <col min="4871" max="4871" width="1.6640625" customWidth="1"/>
    <col min="4872" max="4872" width="0.33203125" customWidth="1"/>
    <col min="4873" max="4873" width="3.88671875" customWidth="1"/>
    <col min="4874" max="4874" width="15.6640625" customWidth="1"/>
    <col min="4875" max="4875" width="13" customWidth="1"/>
    <col min="4876" max="4876" width="14.109375" customWidth="1"/>
    <col min="4877" max="4877" width="27" customWidth="1"/>
    <col min="4878" max="4878" width="26" customWidth="1"/>
    <col min="4879" max="4879" width="15.33203125" customWidth="1"/>
    <col min="4880" max="4880" width="20.33203125" customWidth="1"/>
    <col min="4881" max="4881" width="6" customWidth="1"/>
    <col min="4882" max="4882" width="1.33203125" customWidth="1"/>
    <col min="4883" max="4883" width="3.6640625" customWidth="1"/>
    <col min="4884" max="4884" width="0.33203125" customWidth="1"/>
    <col min="4885" max="4885" width="3.44140625" customWidth="1"/>
    <col min="5121" max="5121" width="3.44140625" customWidth="1"/>
    <col min="5122" max="5122" width="0.5546875" customWidth="1"/>
    <col min="5123" max="5123" width="22.6640625" customWidth="1"/>
    <col min="5124" max="5124" width="19.33203125" customWidth="1"/>
    <col min="5125" max="5125" width="12.33203125" customWidth="1"/>
    <col min="5126" max="5126" width="24.33203125" customWidth="1"/>
    <col min="5127" max="5127" width="1.6640625" customWidth="1"/>
    <col min="5128" max="5128" width="0.33203125" customWidth="1"/>
    <col min="5129" max="5129" width="3.88671875" customWidth="1"/>
    <col min="5130" max="5130" width="15.6640625" customWidth="1"/>
    <col min="5131" max="5131" width="13" customWidth="1"/>
    <col min="5132" max="5132" width="14.109375" customWidth="1"/>
    <col min="5133" max="5133" width="27" customWidth="1"/>
    <col min="5134" max="5134" width="26" customWidth="1"/>
    <col min="5135" max="5135" width="15.33203125" customWidth="1"/>
    <col min="5136" max="5136" width="20.33203125" customWidth="1"/>
    <col min="5137" max="5137" width="6" customWidth="1"/>
    <col min="5138" max="5138" width="1.33203125" customWidth="1"/>
    <col min="5139" max="5139" width="3.6640625" customWidth="1"/>
    <col min="5140" max="5140" width="0.33203125" customWidth="1"/>
    <col min="5141" max="5141" width="3.44140625" customWidth="1"/>
    <col min="5377" max="5377" width="3.44140625" customWidth="1"/>
    <col min="5378" max="5378" width="0.5546875" customWidth="1"/>
    <col min="5379" max="5379" width="22.6640625" customWidth="1"/>
    <col min="5380" max="5380" width="19.33203125" customWidth="1"/>
    <col min="5381" max="5381" width="12.33203125" customWidth="1"/>
    <col min="5382" max="5382" width="24.33203125" customWidth="1"/>
    <col min="5383" max="5383" width="1.6640625" customWidth="1"/>
    <col min="5384" max="5384" width="0.33203125" customWidth="1"/>
    <col min="5385" max="5385" width="3.88671875" customWidth="1"/>
    <col min="5386" max="5386" width="15.6640625" customWidth="1"/>
    <col min="5387" max="5387" width="13" customWidth="1"/>
    <col min="5388" max="5388" width="14.109375" customWidth="1"/>
    <col min="5389" max="5389" width="27" customWidth="1"/>
    <col min="5390" max="5390" width="26" customWidth="1"/>
    <col min="5391" max="5391" width="15.33203125" customWidth="1"/>
    <col min="5392" max="5392" width="20.33203125" customWidth="1"/>
    <col min="5393" max="5393" width="6" customWidth="1"/>
    <col min="5394" max="5394" width="1.33203125" customWidth="1"/>
    <col min="5395" max="5395" width="3.6640625" customWidth="1"/>
    <col min="5396" max="5396" width="0.33203125" customWidth="1"/>
    <col min="5397" max="5397" width="3.44140625" customWidth="1"/>
    <col min="5633" max="5633" width="3.44140625" customWidth="1"/>
    <col min="5634" max="5634" width="0.5546875" customWidth="1"/>
    <col min="5635" max="5635" width="22.6640625" customWidth="1"/>
    <col min="5636" max="5636" width="19.33203125" customWidth="1"/>
    <col min="5637" max="5637" width="12.33203125" customWidth="1"/>
    <col min="5638" max="5638" width="24.33203125" customWidth="1"/>
    <col min="5639" max="5639" width="1.6640625" customWidth="1"/>
    <col min="5640" max="5640" width="0.33203125" customWidth="1"/>
    <col min="5641" max="5641" width="3.88671875" customWidth="1"/>
    <col min="5642" max="5642" width="15.6640625" customWidth="1"/>
    <col min="5643" max="5643" width="13" customWidth="1"/>
    <col min="5644" max="5644" width="14.109375" customWidth="1"/>
    <col min="5645" max="5645" width="27" customWidth="1"/>
    <col min="5646" max="5646" width="26" customWidth="1"/>
    <col min="5647" max="5647" width="15.33203125" customWidth="1"/>
    <col min="5648" max="5648" width="20.33203125" customWidth="1"/>
    <col min="5649" max="5649" width="6" customWidth="1"/>
    <col min="5650" max="5650" width="1.33203125" customWidth="1"/>
    <col min="5651" max="5651" width="3.6640625" customWidth="1"/>
    <col min="5652" max="5652" width="0.33203125" customWidth="1"/>
    <col min="5653" max="5653" width="3.44140625" customWidth="1"/>
    <col min="5889" max="5889" width="3.44140625" customWidth="1"/>
    <col min="5890" max="5890" width="0.5546875" customWidth="1"/>
    <col min="5891" max="5891" width="22.6640625" customWidth="1"/>
    <col min="5892" max="5892" width="19.33203125" customWidth="1"/>
    <col min="5893" max="5893" width="12.33203125" customWidth="1"/>
    <col min="5894" max="5894" width="24.33203125" customWidth="1"/>
    <col min="5895" max="5895" width="1.6640625" customWidth="1"/>
    <col min="5896" max="5896" width="0.33203125" customWidth="1"/>
    <col min="5897" max="5897" width="3.88671875" customWidth="1"/>
    <col min="5898" max="5898" width="15.6640625" customWidth="1"/>
    <col min="5899" max="5899" width="13" customWidth="1"/>
    <col min="5900" max="5900" width="14.109375" customWidth="1"/>
    <col min="5901" max="5901" width="27" customWidth="1"/>
    <col min="5902" max="5902" width="26" customWidth="1"/>
    <col min="5903" max="5903" width="15.33203125" customWidth="1"/>
    <col min="5904" max="5904" width="20.33203125" customWidth="1"/>
    <col min="5905" max="5905" width="6" customWidth="1"/>
    <col min="5906" max="5906" width="1.33203125" customWidth="1"/>
    <col min="5907" max="5907" width="3.6640625" customWidth="1"/>
    <col min="5908" max="5908" width="0.33203125" customWidth="1"/>
    <col min="5909" max="5909" width="3.44140625" customWidth="1"/>
    <col min="6145" max="6145" width="3.44140625" customWidth="1"/>
    <col min="6146" max="6146" width="0.5546875" customWidth="1"/>
    <col min="6147" max="6147" width="22.6640625" customWidth="1"/>
    <col min="6148" max="6148" width="19.33203125" customWidth="1"/>
    <col min="6149" max="6149" width="12.33203125" customWidth="1"/>
    <col min="6150" max="6150" width="24.33203125" customWidth="1"/>
    <col min="6151" max="6151" width="1.6640625" customWidth="1"/>
    <col min="6152" max="6152" width="0.33203125" customWidth="1"/>
    <col min="6153" max="6153" width="3.88671875" customWidth="1"/>
    <col min="6154" max="6154" width="15.6640625" customWidth="1"/>
    <col min="6155" max="6155" width="13" customWidth="1"/>
    <col min="6156" max="6156" width="14.109375" customWidth="1"/>
    <col min="6157" max="6157" width="27" customWidth="1"/>
    <col min="6158" max="6158" width="26" customWidth="1"/>
    <col min="6159" max="6159" width="15.33203125" customWidth="1"/>
    <col min="6160" max="6160" width="20.33203125" customWidth="1"/>
    <col min="6161" max="6161" width="6" customWidth="1"/>
    <col min="6162" max="6162" width="1.33203125" customWidth="1"/>
    <col min="6163" max="6163" width="3.6640625" customWidth="1"/>
    <col min="6164" max="6164" width="0.33203125" customWidth="1"/>
    <col min="6165" max="6165" width="3.44140625" customWidth="1"/>
    <col min="6401" max="6401" width="3.44140625" customWidth="1"/>
    <col min="6402" max="6402" width="0.5546875" customWidth="1"/>
    <col min="6403" max="6403" width="22.6640625" customWidth="1"/>
    <col min="6404" max="6404" width="19.33203125" customWidth="1"/>
    <col min="6405" max="6405" width="12.33203125" customWidth="1"/>
    <col min="6406" max="6406" width="24.33203125" customWidth="1"/>
    <col min="6407" max="6407" width="1.6640625" customWidth="1"/>
    <col min="6408" max="6408" width="0.33203125" customWidth="1"/>
    <col min="6409" max="6409" width="3.88671875" customWidth="1"/>
    <col min="6410" max="6410" width="15.6640625" customWidth="1"/>
    <col min="6411" max="6411" width="13" customWidth="1"/>
    <col min="6412" max="6412" width="14.109375" customWidth="1"/>
    <col min="6413" max="6413" width="27" customWidth="1"/>
    <col min="6414" max="6414" width="26" customWidth="1"/>
    <col min="6415" max="6415" width="15.33203125" customWidth="1"/>
    <col min="6416" max="6416" width="20.33203125" customWidth="1"/>
    <col min="6417" max="6417" width="6" customWidth="1"/>
    <col min="6418" max="6418" width="1.33203125" customWidth="1"/>
    <col min="6419" max="6419" width="3.6640625" customWidth="1"/>
    <col min="6420" max="6420" width="0.33203125" customWidth="1"/>
    <col min="6421" max="6421" width="3.44140625" customWidth="1"/>
    <col min="6657" max="6657" width="3.44140625" customWidth="1"/>
    <col min="6658" max="6658" width="0.5546875" customWidth="1"/>
    <col min="6659" max="6659" width="22.6640625" customWidth="1"/>
    <col min="6660" max="6660" width="19.33203125" customWidth="1"/>
    <col min="6661" max="6661" width="12.33203125" customWidth="1"/>
    <col min="6662" max="6662" width="24.33203125" customWidth="1"/>
    <col min="6663" max="6663" width="1.6640625" customWidth="1"/>
    <col min="6664" max="6664" width="0.33203125" customWidth="1"/>
    <col min="6665" max="6665" width="3.88671875" customWidth="1"/>
    <col min="6666" max="6666" width="15.6640625" customWidth="1"/>
    <col min="6667" max="6667" width="13" customWidth="1"/>
    <col min="6668" max="6668" width="14.109375" customWidth="1"/>
    <col min="6669" max="6669" width="27" customWidth="1"/>
    <col min="6670" max="6670" width="26" customWidth="1"/>
    <col min="6671" max="6671" width="15.33203125" customWidth="1"/>
    <col min="6672" max="6672" width="20.33203125" customWidth="1"/>
    <col min="6673" max="6673" width="6" customWidth="1"/>
    <col min="6674" max="6674" width="1.33203125" customWidth="1"/>
    <col min="6675" max="6675" width="3.6640625" customWidth="1"/>
    <col min="6676" max="6676" width="0.33203125" customWidth="1"/>
    <col min="6677" max="6677" width="3.44140625" customWidth="1"/>
    <col min="6913" max="6913" width="3.44140625" customWidth="1"/>
    <col min="6914" max="6914" width="0.5546875" customWidth="1"/>
    <col min="6915" max="6915" width="22.6640625" customWidth="1"/>
    <col min="6916" max="6916" width="19.33203125" customWidth="1"/>
    <col min="6917" max="6917" width="12.33203125" customWidth="1"/>
    <col min="6918" max="6918" width="24.33203125" customWidth="1"/>
    <col min="6919" max="6919" width="1.6640625" customWidth="1"/>
    <col min="6920" max="6920" width="0.33203125" customWidth="1"/>
    <col min="6921" max="6921" width="3.88671875" customWidth="1"/>
    <col min="6922" max="6922" width="15.6640625" customWidth="1"/>
    <col min="6923" max="6923" width="13" customWidth="1"/>
    <col min="6924" max="6924" width="14.109375" customWidth="1"/>
    <col min="6925" max="6925" width="27" customWidth="1"/>
    <col min="6926" max="6926" width="26" customWidth="1"/>
    <col min="6927" max="6927" width="15.33203125" customWidth="1"/>
    <col min="6928" max="6928" width="20.33203125" customWidth="1"/>
    <col min="6929" max="6929" width="6" customWidth="1"/>
    <col min="6930" max="6930" width="1.33203125" customWidth="1"/>
    <col min="6931" max="6931" width="3.6640625" customWidth="1"/>
    <col min="6932" max="6932" width="0.33203125" customWidth="1"/>
    <col min="6933" max="6933" width="3.44140625" customWidth="1"/>
    <col min="7169" max="7169" width="3.44140625" customWidth="1"/>
    <col min="7170" max="7170" width="0.5546875" customWidth="1"/>
    <col min="7171" max="7171" width="22.6640625" customWidth="1"/>
    <col min="7172" max="7172" width="19.33203125" customWidth="1"/>
    <col min="7173" max="7173" width="12.33203125" customWidth="1"/>
    <col min="7174" max="7174" width="24.33203125" customWidth="1"/>
    <col min="7175" max="7175" width="1.6640625" customWidth="1"/>
    <col min="7176" max="7176" width="0.33203125" customWidth="1"/>
    <col min="7177" max="7177" width="3.88671875" customWidth="1"/>
    <col min="7178" max="7178" width="15.6640625" customWidth="1"/>
    <col min="7179" max="7179" width="13" customWidth="1"/>
    <col min="7180" max="7180" width="14.109375" customWidth="1"/>
    <col min="7181" max="7181" width="27" customWidth="1"/>
    <col min="7182" max="7182" width="26" customWidth="1"/>
    <col min="7183" max="7183" width="15.33203125" customWidth="1"/>
    <col min="7184" max="7184" width="20.33203125" customWidth="1"/>
    <col min="7185" max="7185" width="6" customWidth="1"/>
    <col min="7186" max="7186" width="1.33203125" customWidth="1"/>
    <col min="7187" max="7187" width="3.6640625" customWidth="1"/>
    <col min="7188" max="7188" width="0.33203125" customWidth="1"/>
    <col min="7189" max="7189" width="3.44140625" customWidth="1"/>
    <col min="7425" max="7425" width="3.44140625" customWidth="1"/>
    <col min="7426" max="7426" width="0.5546875" customWidth="1"/>
    <col min="7427" max="7427" width="22.6640625" customWidth="1"/>
    <col min="7428" max="7428" width="19.33203125" customWidth="1"/>
    <col min="7429" max="7429" width="12.33203125" customWidth="1"/>
    <col min="7430" max="7430" width="24.33203125" customWidth="1"/>
    <col min="7431" max="7431" width="1.6640625" customWidth="1"/>
    <col min="7432" max="7432" width="0.33203125" customWidth="1"/>
    <col min="7433" max="7433" width="3.88671875" customWidth="1"/>
    <col min="7434" max="7434" width="15.6640625" customWidth="1"/>
    <col min="7435" max="7435" width="13" customWidth="1"/>
    <col min="7436" max="7436" width="14.109375" customWidth="1"/>
    <col min="7437" max="7437" width="27" customWidth="1"/>
    <col min="7438" max="7438" width="26" customWidth="1"/>
    <col min="7439" max="7439" width="15.33203125" customWidth="1"/>
    <col min="7440" max="7440" width="20.33203125" customWidth="1"/>
    <col min="7441" max="7441" width="6" customWidth="1"/>
    <col min="7442" max="7442" width="1.33203125" customWidth="1"/>
    <col min="7443" max="7443" width="3.6640625" customWidth="1"/>
    <col min="7444" max="7444" width="0.33203125" customWidth="1"/>
    <col min="7445" max="7445" width="3.44140625" customWidth="1"/>
    <col min="7681" max="7681" width="3.44140625" customWidth="1"/>
    <col min="7682" max="7682" width="0.5546875" customWidth="1"/>
    <col min="7683" max="7683" width="22.6640625" customWidth="1"/>
    <col min="7684" max="7684" width="19.33203125" customWidth="1"/>
    <col min="7685" max="7685" width="12.33203125" customWidth="1"/>
    <col min="7686" max="7686" width="24.33203125" customWidth="1"/>
    <col min="7687" max="7687" width="1.6640625" customWidth="1"/>
    <col min="7688" max="7688" width="0.33203125" customWidth="1"/>
    <col min="7689" max="7689" width="3.88671875" customWidth="1"/>
    <col min="7690" max="7690" width="15.6640625" customWidth="1"/>
    <col min="7691" max="7691" width="13" customWidth="1"/>
    <col min="7692" max="7692" width="14.109375" customWidth="1"/>
    <col min="7693" max="7693" width="27" customWidth="1"/>
    <col min="7694" max="7694" width="26" customWidth="1"/>
    <col min="7695" max="7695" width="15.33203125" customWidth="1"/>
    <col min="7696" max="7696" width="20.33203125" customWidth="1"/>
    <col min="7697" max="7697" width="6" customWidth="1"/>
    <col min="7698" max="7698" width="1.33203125" customWidth="1"/>
    <col min="7699" max="7699" width="3.6640625" customWidth="1"/>
    <col min="7700" max="7700" width="0.33203125" customWidth="1"/>
    <col min="7701" max="7701" width="3.44140625" customWidth="1"/>
    <col min="7937" max="7937" width="3.44140625" customWidth="1"/>
    <col min="7938" max="7938" width="0.5546875" customWidth="1"/>
    <col min="7939" max="7939" width="22.6640625" customWidth="1"/>
    <col min="7940" max="7940" width="19.33203125" customWidth="1"/>
    <col min="7941" max="7941" width="12.33203125" customWidth="1"/>
    <col min="7942" max="7942" width="24.33203125" customWidth="1"/>
    <col min="7943" max="7943" width="1.6640625" customWidth="1"/>
    <col min="7944" max="7944" width="0.33203125" customWidth="1"/>
    <col min="7945" max="7945" width="3.88671875" customWidth="1"/>
    <col min="7946" max="7946" width="15.6640625" customWidth="1"/>
    <col min="7947" max="7947" width="13" customWidth="1"/>
    <col min="7948" max="7948" width="14.109375" customWidth="1"/>
    <col min="7949" max="7949" width="27" customWidth="1"/>
    <col min="7950" max="7950" width="26" customWidth="1"/>
    <col min="7951" max="7951" width="15.33203125" customWidth="1"/>
    <col min="7952" max="7952" width="20.33203125" customWidth="1"/>
    <col min="7953" max="7953" width="6" customWidth="1"/>
    <col min="7954" max="7954" width="1.33203125" customWidth="1"/>
    <col min="7955" max="7955" width="3.6640625" customWidth="1"/>
    <col min="7956" max="7956" width="0.33203125" customWidth="1"/>
    <col min="7957" max="7957" width="3.44140625" customWidth="1"/>
    <col min="8193" max="8193" width="3.44140625" customWidth="1"/>
    <col min="8194" max="8194" width="0.5546875" customWidth="1"/>
    <col min="8195" max="8195" width="22.6640625" customWidth="1"/>
    <col min="8196" max="8196" width="19.33203125" customWidth="1"/>
    <col min="8197" max="8197" width="12.33203125" customWidth="1"/>
    <col min="8198" max="8198" width="24.33203125" customWidth="1"/>
    <col min="8199" max="8199" width="1.6640625" customWidth="1"/>
    <col min="8200" max="8200" width="0.33203125" customWidth="1"/>
    <col min="8201" max="8201" width="3.88671875" customWidth="1"/>
    <col min="8202" max="8202" width="15.6640625" customWidth="1"/>
    <col min="8203" max="8203" width="13" customWidth="1"/>
    <col min="8204" max="8204" width="14.109375" customWidth="1"/>
    <col min="8205" max="8205" width="27" customWidth="1"/>
    <col min="8206" max="8206" width="26" customWidth="1"/>
    <col min="8207" max="8207" width="15.33203125" customWidth="1"/>
    <col min="8208" max="8208" width="20.33203125" customWidth="1"/>
    <col min="8209" max="8209" width="6" customWidth="1"/>
    <col min="8210" max="8210" width="1.33203125" customWidth="1"/>
    <col min="8211" max="8211" width="3.6640625" customWidth="1"/>
    <col min="8212" max="8212" width="0.33203125" customWidth="1"/>
    <col min="8213" max="8213" width="3.44140625" customWidth="1"/>
    <col min="8449" max="8449" width="3.44140625" customWidth="1"/>
    <col min="8450" max="8450" width="0.5546875" customWidth="1"/>
    <col min="8451" max="8451" width="22.6640625" customWidth="1"/>
    <col min="8452" max="8452" width="19.33203125" customWidth="1"/>
    <col min="8453" max="8453" width="12.33203125" customWidth="1"/>
    <col min="8454" max="8454" width="24.33203125" customWidth="1"/>
    <col min="8455" max="8455" width="1.6640625" customWidth="1"/>
    <col min="8456" max="8456" width="0.33203125" customWidth="1"/>
    <col min="8457" max="8457" width="3.88671875" customWidth="1"/>
    <col min="8458" max="8458" width="15.6640625" customWidth="1"/>
    <col min="8459" max="8459" width="13" customWidth="1"/>
    <col min="8460" max="8460" width="14.109375" customWidth="1"/>
    <col min="8461" max="8461" width="27" customWidth="1"/>
    <col min="8462" max="8462" width="26" customWidth="1"/>
    <col min="8463" max="8463" width="15.33203125" customWidth="1"/>
    <col min="8464" max="8464" width="20.33203125" customWidth="1"/>
    <col min="8465" max="8465" width="6" customWidth="1"/>
    <col min="8466" max="8466" width="1.33203125" customWidth="1"/>
    <col min="8467" max="8467" width="3.6640625" customWidth="1"/>
    <col min="8468" max="8468" width="0.33203125" customWidth="1"/>
    <col min="8469" max="8469" width="3.44140625" customWidth="1"/>
    <col min="8705" max="8705" width="3.44140625" customWidth="1"/>
    <col min="8706" max="8706" width="0.5546875" customWidth="1"/>
    <col min="8707" max="8707" width="22.6640625" customWidth="1"/>
    <col min="8708" max="8708" width="19.33203125" customWidth="1"/>
    <col min="8709" max="8709" width="12.33203125" customWidth="1"/>
    <col min="8710" max="8710" width="24.33203125" customWidth="1"/>
    <col min="8711" max="8711" width="1.6640625" customWidth="1"/>
    <col min="8712" max="8712" width="0.33203125" customWidth="1"/>
    <col min="8713" max="8713" width="3.88671875" customWidth="1"/>
    <col min="8714" max="8714" width="15.6640625" customWidth="1"/>
    <col min="8715" max="8715" width="13" customWidth="1"/>
    <col min="8716" max="8716" width="14.109375" customWidth="1"/>
    <col min="8717" max="8717" width="27" customWidth="1"/>
    <col min="8718" max="8718" width="26" customWidth="1"/>
    <col min="8719" max="8719" width="15.33203125" customWidth="1"/>
    <col min="8720" max="8720" width="20.33203125" customWidth="1"/>
    <col min="8721" max="8721" width="6" customWidth="1"/>
    <col min="8722" max="8722" width="1.33203125" customWidth="1"/>
    <col min="8723" max="8723" width="3.6640625" customWidth="1"/>
    <col min="8724" max="8724" width="0.33203125" customWidth="1"/>
    <col min="8725" max="8725" width="3.44140625" customWidth="1"/>
    <col min="8961" max="8961" width="3.44140625" customWidth="1"/>
    <col min="8962" max="8962" width="0.5546875" customWidth="1"/>
    <col min="8963" max="8963" width="22.6640625" customWidth="1"/>
    <col min="8964" max="8964" width="19.33203125" customWidth="1"/>
    <col min="8965" max="8965" width="12.33203125" customWidth="1"/>
    <col min="8966" max="8966" width="24.33203125" customWidth="1"/>
    <col min="8967" max="8967" width="1.6640625" customWidth="1"/>
    <col min="8968" max="8968" width="0.33203125" customWidth="1"/>
    <col min="8969" max="8969" width="3.88671875" customWidth="1"/>
    <col min="8970" max="8970" width="15.6640625" customWidth="1"/>
    <col min="8971" max="8971" width="13" customWidth="1"/>
    <col min="8972" max="8972" width="14.109375" customWidth="1"/>
    <col min="8973" max="8973" width="27" customWidth="1"/>
    <col min="8974" max="8974" width="26" customWidth="1"/>
    <col min="8975" max="8975" width="15.33203125" customWidth="1"/>
    <col min="8976" max="8976" width="20.33203125" customWidth="1"/>
    <col min="8977" max="8977" width="6" customWidth="1"/>
    <col min="8978" max="8978" width="1.33203125" customWidth="1"/>
    <col min="8979" max="8979" width="3.6640625" customWidth="1"/>
    <col min="8980" max="8980" width="0.33203125" customWidth="1"/>
    <col min="8981" max="8981" width="3.44140625" customWidth="1"/>
    <col min="9217" max="9217" width="3.44140625" customWidth="1"/>
    <col min="9218" max="9218" width="0.5546875" customWidth="1"/>
    <col min="9219" max="9219" width="22.6640625" customWidth="1"/>
    <col min="9220" max="9220" width="19.33203125" customWidth="1"/>
    <col min="9221" max="9221" width="12.33203125" customWidth="1"/>
    <col min="9222" max="9222" width="24.33203125" customWidth="1"/>
    <col min="9223" max="9223" width="1.6640625" customWidth="1"/>
    <col min="9224" max="9224" width="0.33203125" customWidth="1"/>
    <col min="9225" max="9225" width="3.88671875" customWidth="1"/>
    <col min="9226" max="9226" width="15.6640625" customWidth="1"/>
    <col min="9227" max="9227" width="13" customWidth="1"/>
    <col min="9228" max="9228" width="14.109375" customWidth="1"/>
    <col min="9229" max="9229" width="27" customWidth="1"/>
    <col min="9230" max="9230" width="26" customWidth="1"/>
    <col min="9231" max="9231" width="15.33203125" customWidth="1"/>
    <col min="9232" max="9232" width="20.33203125" customWidth="1"/>
    <col min="9233" max="9233" width="6" customWidth="1"/>
    <col min="9234" max="9234" width="1.33203125" customWidth="1"/>
    <col min="9235" max="9235" width="3.6640625" customWidth="1"/>
    <col min="9236" max="9236" width="0.33203125" customWidth="1"/>
    <col min="9237" max="9237" width="3.44140625" customWidth="1"/>
    <col min="9473" max="9473" width="3.44140625" customWidth="1"/>
    <col min="9474" max="9474" width="0.5546875" customWidth="1"/>
    <col min="9475" max="9475" width="22.6640625" customWidth="1"/>
    <col min="9476" max="9476" width="19.33203125" customWidth="1"/>
    <col min="9477" max="9477" width="12.33203125" customWidth="1"/>
    <col min="9478" max="9478" width="24.33203125" customWidth="1"/>
    <col min="9479" max="9479" width="1.6640625" customWidth="1"/>
    <col min="9480" max="9480" width="0.33203125" customWidth="1"/>
    <col min="9481" max="9481" width="3.88671875" customWidth="1"/>
    <col min="9482" max="9482" width="15.6640625" customWidth="1"/>
    <col min="9483" max="9483" width="13" customWidth="1"/>
    <col min="9484" max="9484" width="14.109375" customWidth="1"/>
    <col min="9485" max="9485" width="27" customWidth="1"/>
    <col min="9486" max="9486" width="26" customWidth="1"/>
    <col min="9487" max="9487" width="15.33203125" customWidth="1"/>
    <col min="9488" max="9488" width="20.33203125" customWidth="1"/>
    <col min="9489" max="9489" width="6" customWidth="1"/>
    <col min="9490" max="9490" width="1.33203125" customWidth="1"/>
    <col min="9491" max="9491" width="3.6640625" customWidth="1"/>
    <col min="9492" max="9492" width="0.33203125" customWidth="1"/>
    <col min="9493" max="9493" width="3.44140625" customWidth="1"/>
    <col min="9729" max="9729" width="3.44140625" customWidth="1"/>
    <col min="9730" max="9730" width="0.5546875" customWidth="1"/>
    <col min="9731" max="9731" width="22.6640625" customWidth="1"/>
    <col min="9732" max="9732" width="19.33203125" customWidth="1"/>
    <col min="9733" max="9733" width="12.33203125" customWidth="1"/>
    <col min="9734" max="9734" width="24.33203125" customWidth="1"/>
    <col min="9735" max="9735" width="1.6640625" customWidth="1"/>
    <col min="9736" max="9736" width="0.33203125" customWidth="1"/>
    <col min="9737" max="9737" width="3.88671875" customWidth="1"/>
    <col min="9738" max="9738" width="15.6640625" customWidth="1"/>
    <col min="9739" max="9739" width="13" customWidth="1"/>
    <col min="9740" max="9740" width="14.109375" customWidth="1"/>
    <col min="9741" max="9741" width="27" customWidth="1"/>
    <col min="9742" max="9742" width="26" customWidth="1"/>
    <col min="9743" max="9743" width="15.33203125" customWidth="1"/>
    <col min="9744" max="9744" width="20.33203125" customWidth="1"/>
    <col min="9745" max="9745" width="6" customWidth="1"/>
    <col min="9746" max="9746" width="1.33203125" customWidth="1"/>
    <col min="9747" max="9747" width="3.6640625" customWidth="1"/>
    <col min="9748" max="9748" width="0.33203125" customWidth="1"/>
    <col min="9749" max="9749" width="3.44140625" customWidth="1"/>
    <col min="9985" max="9985" width="3.44140625" customWidth="1"/>
    <col min="9986" max="9986" width="0.5546875" customWidth="1"/>
    <col min="9987" max="9987" width="22.6640625" customWidth="1"/>
    <col min="9988" max="9988" width="19.33203125" customWidth="1"/>
    <col min="9989" max="9989" width="12.33203125" customWidth="1"/>
    <col min="9990" max="9990" width="24.33203125" customWidth="1"/>
    <col min="9991" max="9991" width="1.6640625" customWidth="1"/>
    <col min="9992" max="9992" width="0.33203125" customWidth="1"/>
    <col min="9993" max="9993" width="3.88671875" customWidth="1"/>
    <col min="9994" max="9994" width="15.6640625" customWidth="1"/>
    <col min="9995" max="9995" width="13" customWidth="1"/>
    <col min="9996" max="9996" width="14.109375" customWidth="1"/>
    <col min="9997" max="9997" width="27" customWidth="1"/>
    <col min="9998" max="9998" width="26" customWidth="1"/>
    <col min="9999" max="9999" width="15.33203125" customWidth="1"/>
    <col min="10000" max="10000" width="20.33203125" customWidth="1"/>
    <col min="10001" max="10001" width="6" customWidth="1"/>
    <col min="10002" max="10002" width="1.33203125" customWidth="1"/>
    <col min="10003" max="10003" width="3.6640625" customWidth="1"/>
    <col min="10004" max="10004" width="0.33203125" customWidth="1"/>
    <col min="10005" max="10005" width="3.44140625" customWidth="1"/>
    <col min="10241" max="10241" width="3.44140625" customWidth="1"/>
    <col min="10242" max="10242" width="0.5546875" customWidth="1"/>
    <col min="10243" max="10243" width="22.6640625" customWidth="1"/>
    <col min="10244" max="10244" width="19.33203125" customWidth="1"/>
    <col min="10245" max="10245" width="12.33203125" customWidth="1"/>
    <col min="10246" max="10246" width="24.33203125" customWidth="1"/>
    <col min="10247" max="10247" width="1.6640625" customWidth="1"/>
    <col min="10248" max="10248" width="0.33203125" customWidth="1"/>
    <col min="10249" max="10249" width="3.88671875" customWidth="1"/>
    <col min="10250" max="10250" width="15.6640625" customWidth="1"/>
    <col min="10251" max="10251" width="13" customWidth="1"/>
    <col min="10252" max="10252" width="14.109375" customWidth="1"/>
    <col min="10253" max="10253" width="27" customWidth="1"/>
    <col min="10254" max="10254" width="26" customWidth="1"/>
    <col min="10255" max="10255" width="15.33203125" customWidth="1"/>
    <col min="10256" max="10256" width="20.33203125" customWidth="1"/>
    <col min="10257" max="10257" width="6" customWidth="1"/>
    <col min="10258" max="10258" width="1.33203125" customWidth="1"/>
    <col min="10259" max="10259" width="3.6640625" customWidth="1"/>
    <col min="10260" max="10260" width="0.33203125" customWidth="1"/>
    <col min="10261" max="10261" width="3.44140625" customWidth="1"/>
    <col min="10497" max="10497" width="3.44140625" customWidth="1"/>
    <col min="10498" max="10498" width="0.5546875" customWidth="1"/>
    <col min="10499" max="10499" width="22.6640625" customWidth="1"/>
    <col min="10500" max="10500" width="19.33203125" customWidth="1"/>
    <col min="10501" max="10501" width="12.33203125" customWidth="1"/>
    <col min="10502" max="10502" width="24.33203125" customWidth="1"/>
    <col min="10503" max="10503" width="1.6640625" customWidth="1"/>
    <col min="10504" max="10504" width="0.33203125" customWidth="1"/>
    <col min="10505" max="10505" width="3.88671875" customWidth="1"/>
    <col min="10506" max="10506" width="15.6640625" customWidth="1"/>
    <col min="10507" max="10507" width="13" customWidth="1"/>
    <col min="10508" max="10508" width="14.109375" customWidth="1"/>
    <col min="10509" max="10509" width="27" customWidth="1"/>
    <col min="10510" max="10510" width="26" customWidth="1"/>
    <col min="10511" max="10511" width="15.33203125" customWidth="1"/>
    <col min="10512" max="10512" width="20.33203125" customWidth="1"/>
    <col min="10513" max="10513" width="6" customWidth="1"/>
    <col min="10514" max="10514" width="1.33203125" customWidth="1"/>
    <col min="10515" max="10515" width="3.6640625" customWidth="1"/>
    <col min="10516" max="10516" width="0.33203125" customWidth="1"/>
    <col min="10517" max="10517" width="3.44140625" customWidth="1"/>
    <col min="10753" max="10753" width="3.44140625" customWidth="1"/>
    <col min="10754" max="10754" width="0.5546875" customWidth="1"/>
    <col min="10755" max="10755" width="22.6640625" customWidth="1"/>
    <col min="10756" max="10756" width="19.33203125" customWidth="1"/>
    <col min="10757" max="10757" width="12.33203125" customWidth="1"/>
    <col min="10758" max="10758" width="24.33203125" customWidth="1"/>
    <col min="10759" max="10759" width="1.6640625" customWidth="1"/>
    <col min="10760" max="10760" width="0.33203125" customWidth="1"/>
    <col min="10761" max="10761" width="3.88671875" customWidth="1"/>
    <col min="10762" max="10762" width="15.6640625" customWidth="1"/>
    <col min="10763" max="10763" width="13" customWidth="1"/>
    <col min="10764" max="10764" width="14.109375" customWidth="1"/>
    <col min="10765" max="10765" width="27" customWidth="1"/>
    <col min="10766" max="10766" width="26" customWidth="1"/>
    <col min="10767" max="10767" width="15.33203125" customWidth="1"/>
    <col min="10768" max="10768" width="20.33203125" customWidth="1"/>
    <col min="10769" max="10769" width="6" customWidth="1"/>
    <col min="10770" max="10770" width="1.33203125" customWidth="1"/>
    <col min="10771" max="10771" width="3.6640625" customWidth="1"/>
    <col min="10772" max="10772" width="0.33203125" customWidth="1"/>
    <col min="10773" max="10773" width="3.44140625" customWidth="1"/>
    <col min="11009" max="11009" width="3.44140625" customWidth="1"/>
    <col min="11010" max="11010" width="0.5546875" customWidth="1"/>
    <col min="11011" max="11011" width="22.6640625" customWidth="1"/>
    <col min="11012" max="11012" width="19.33203125" customWidth="1"/>
    <col min="11013" max="11013" width="12.33203125" customWidth="1"/>
    <col min="11014" max="11014" width="24.33203125" customWidth="1"/>
    <col min="11015" max="11015" width="1.6640625" customWidth="1"/>
    <col min="11016" max="11016" width="0.33203125" customWidth="1"/>
    <col min="11017" max="11017" width="3.88671875" customWidth="1"/>
    <col min="11018" max="11018" width="15.6640625" customWidth="1"/>
    <col min="11019" max="11019" width="13" customWidth="1"/>
    <col min="11020" max="11020" width="14.109375" customWidth="1"/>
    <col min="11021" max="11021" width="27" customWidth="1"/>
    <col min="11022" max="11022" width="26" customWidth="1"/>
    <col min="11023" max="11023" width="15.33203125" customWidth="1"/>
    <col min="11024" max="11024" width="20.33203125" customWidth="1"/>
    <col min="11025" max="11025" width="6" customWidth="1"/>
    <col min="11026" max="11026" width="1.33203125" customWidth="1"/>
    <col min="11027" max="11027" width="3.6640625" customWidth="1"/>
    <col min="11028" max="11028" width="0.33203125" customWidth="1"/>
    <col min="11029" max="11029" width="3.44140625" customWidth="1"/>
    <col min="11265" max="11265" width="3.44140625" customWidth="1"/>
    <col min="11266" max="11266" width="0.5546875" customWidth="1"/>
    <col min="11267" max="11267" width="22.6640625" customWidth="1"/>
    <col min="11268" max="11268" width="19.33203125" customWidth="1"/>
    <col min="11269" max="11269" width="12.33203125" customWidth="1"/>
    <col min="11270" max="11270" width="24.33203125" customWidth="1"/>
    <col min="11271" max="11271" width="1.6640625" customWidth="1"/>
    <col min="11272" max="11272" width="0.33203125" customWidth="1"/>
    <col min="11273" max="11273" width="3.88671875" customWidth="1"/>
    <col min="11274" max="11274" width="15.6640625" customWidth="1"/>
    <col min="11275" max="11275" width="13" customWidth="1"/>
    <col min="11276" max="11276" width="14.109375" customWidth="1"/>
    <col min="11277" max="11277" width="27" customWidth="1"/>
    <col min="11278" max="11278" width="26" customWidth="1"/>
    <col min="11279" max="11279" width="15.33203125" customWidth="1"/>
    <col min="11280" max="11280" width="20.33203125" customWidth="1"/>
    <col min="11281" max="11281" width="6" customWidth="1"/>
    <col min="11282" max="11282" width="1.33203125" customWidth="1"/>
    <col min="11283" max="11283" width="3.6640625" customWidth="1"/>
    <col min="11284" max="11284" width="0.33203125" customWidth="1"/>
    <col min="11285" max="11285" width="3.44140625" customWidth="1"/>
    <col min="11521" max="11521" width="3.44140625" customWidth="1"/>
    <col min="11522" max="11522" width="0.5546875" customWidth="1"/>
    <col min="11523" max="11523" width="22.6640625" customWidth="1"/>
    <col min="11524" max="11524" width="19.33203125" customWidth="1"/>
    <col min="11525" max="11525" width="12.33203125" customWidth="1"/>
    <col min="11526" max="11526" width="24.33203125" customWidth="1"/>
    <col min="11527" max="11527" width="1.6640625" customWidth="1"/>
    <col min="11528" max="11528" width="0.33203125" customWidth="1"/>
    <col min="11529" max="11529" width="3.88671875" customWidth="1"/>
    <col min="11530" max="11530" width="15.6640625" customWidth="1"/>
    <col min="11531" max="11531" width="13" customWidth="1"/>
    <col min="11532" max="11532" width="14.109375" customWidth="1"/>
    <col min="11533" max="11533" width="27" customWidth="1"/>
    <col min="11534" max="11534" width="26" customWidth="1"/>
    <col min="11535" max="11535" width="15.33203125" customWidth="1"/>
    <col min="11536" max="11536" width="20.33203125" customWidth="1"/>
    <col min="11537" max="11537" width="6" customWidth="1"/>
    <col min="11538" max="11538" width="1.33203125" customWidth="1"/>
    <col min="11539" max="11539" width="3.6640625" customWidth="1"/>
    <col min="11540" max="11540" width="0.33203125" customWidth="1"/>
    <col min="11541" max="11541" width="3.44140625" customWidth="1"/>
    <col min="11777" max="11777" width="3.44140625" customWidth="1"/>
    <col min="11778" max="11778" width="0.5546875" customWidth="1"/>
    <col min="11779" max="11779" width="22.6640625" customWidth="1"/>
    <col min="11780" max="11780" width="19.33203125" customWidth="1"/>
    <col min="11781" max="11781" width="12.33203125" customWidth="1"/>
    <col min="11782" max="11782" width="24.33203125" customWidth="1"/>
    <col min="11783" max="11783" width="1.6640625" customWidth="1"/>
    <col min="11784" max="11784" width="0.33203125" customWidth="1"/>
    <col min="11785" max="11785" width="3.88671875" customWidth="1"/>
    <col min="11786" max="11786" width="15.6640625" customWidth="1"/>
    <col min="11787" max="11787" width="13" customWidth="1"/>
    <col min="11788" max="11788" width="14.109375" customWidth="1"/>
    <col min="11789" max="11789" width="27" customWidth="1"/>
    <col min="11790" max="11790" width="26" customWidth="1"/>
    <col min="11791" max="11791" width="15.33203125" customWidth="1"/>
    <col min="11792" max="11792" width="20.33203125" customWidth="1"/>
    <col min="11793" max="11793" width="6" customWidth="1"/>
    <col min="11794" max="11794" width="1.33203125" customWidth="1"/>
    <col min="11795" max="11795" width="3.6640625" customWidth="1"/>
    <col min="11796" max="11796" width="0.33203125" customWidth="1"/>
    <col min="11797" max="11797" width="3.44140625" customWidth="1"/>
    <col min="12033" max="12033" width="3.44140625" customWidth="1"/>
    <col min="12034" max="12034" width="0.5546875" customWidth="1"/>
    <col min="12035" max="12035" width="22.6640625" customWidth="1"/>
    <col min="12036" max="12036" width="19.33203125" customWidth="1"/>
    <col min="12037" max="12037" width="12.33203125" customWidth="1"/>
    <col min="12038" max="12038" width="24.33203125" customWidth="1"/>
    <col min="12039" max="12039" width="1.6640625" customWidth="1"/>
    <col min="12040" max="12040" width="0.33203125" customWidth="1"/>
    <col min="12041" max="12041" width="3.88671875" customWidth="1"/>
    <col min="12042" max="12042" width="15.6640625" customWidth="1"/>
    <col min="12043" max="12043" width="13" customWidth="1"/>
    <col min="12044" max="12044" width="14.109375" customWidth="1"/>
    <col min="12045" max="12045" width="27" customWidth="1"/>
    <col min="12046" max="12046" width="26" customWidth="1"/>
    <col min="12047" max="12047" width="15.33203125" customWidth="1"/>
    <col min="12048" max="12048" width="20.33203125" customWidth="1"/>
    <col min="12049" max="12049" width="6" customWidth="1"/>
    <col min="12050" max="12050" width="1.33203125" customWidth="1"/>
    <col min="12051" max="12051" width="3.6640625" customWidth="1"/>
    <col min="12052" max="12052" width="0.33203125" customWidth="1"/>
    <col min="12053" max="12053" width="3.44140625" customWidth="1"/>
    <col min="12289" max="12289" width="3.44140625" customWidth="1"/>
    <col min="12290" max="12290" width="0.5546875" customWidth="1"/>
    <col min="12291" max="12291" width="22.6640625" customWidth="1"/>
    <col min="12292" max="12292" width="19.33203125" customWidth="1"/>
    <col min="12293" max="12293" width="12.33203125" customWidth="1"/>
    <col min="12294" max="12294" width="24.33203125" customWidth="1"/>
    <col min="12295" max="12295" width="1.6640625" customWidth="1"/>
    <col min="12296" max="12296" width="0.33203125" customWidth="1"/>
    <col min="12297" max="12297" width="3.88671875" customWidth="1"/>
    <col min="12298" max="12298" width="15.6640625" customWidth="1"/>
    <col min="12299" max="12299" width="13" customWidth="1"/>
    <col min="12300" max="12300" width="14.109375" customWidth="1"/>
    <col min="12301" max="12301" width="27" customWidth="1"/>
    <col min="12302" max="12302" width="26" customWidth="1"/>
    <col min="12303" max="12303" width="15.33203125" customWidth="1"/>
    <col min="12304" max="12304" width="20.33203125" customWidth="1"/>
    <col min="12305" max="12305" width="6" customWidth="1"/>
    <col min="12306" max="12306" width="1.33203125" customWidth="1"/>
    <col min="12307" max="12307" width="3.6640625" customWidth="1"/>
    <col min="12308" max="12308" width="0.33203125" customWidth="1"/>
    <col min="12309" max="12309" width="3.44140625" customWidth="1"/>
    <col min="12545" max="12545" width="3.44140625" customWidth="1"/>
    <col min="12546" max="12546" width="0.5546875" customWidth="1"/>
    <col min="12547" max="12547" width="22.6640625" customWidth="1"/>
    <col min="12548" max="12548" width="19.33203125" customWidth="1"/>
    <col min="12549" max="12549" width="12.33203125" customWidth="1"/>
    <col min="12550" max="12550" width="24.33203125" customWidth="1"/>
    <col min="12551" max="12551" width="1.6640625" customWidth="1"/>
    <col min="12552" max="12552" width="0.33203125" customWidth="1"/>
    <col min="12553" max="12553" width="3.88671875" customWidth="1"/>
    <col min="12554" max="12554" width="15.6640625" customWidth="1"/>
    <col min="12555" max="12555" width="13" customWidth="1"/>
    <col min="12556" max="12556" width="14.109375" customWidth="1"/>
    <col min="12557" max="12557" width="27" customWidth="1"/>
    <col min="12558" max="12558" width="26" customWidth="1"/>
    <col min="12559" max="12559" width="15.33203125" customWidth="1"/>
    <col min="12560" max="12560" width="20.33203125" customWidth="1"/>
    <col min="12561" max="12561" width="6" customWidth="1"/>
    <col min="12562" max="12562" width="1.33203125" customWidth="1"/>
    <col min="12563" max="12563" width="3.6640625" customWidth="1"/>
    <col min="12564" max="12564" width="0.33203125" customWidth="1"/>
    <col min="12565" max="12565" width="3.44140625" customWidth="1"/>
    <col min="12801" max="12801" width="3.44140625" customWidth="1"/>
    <col min="12802" max="12802" width="0.5546875" customWidth="1"/>
    <col min="12803" max="12803" width="22.6640625" customWidth="1"/>
    <col min="12804" max="12804" width="19.33203125" customWidth="1"/>
    <col min="12805" max="12805" width="12.33203125" customWidth="1"/>
    <col min="12806" max="12806" width="24.33203125" customWidth="1"/>
    <col min="12807" max="12807" width="1.6640625" customWidth="1"/>
    <col min="12808" max="12808" width="0.33203125" customWidth="1"/>
    <col min="12809" max="12809" width="3.88671875" customWidth="1"/>
    <col min="12810" max="12810" width="15.6640625" customWidth="1"/>
    <col min="12811" max="12811" width="13" customWidth="1"/>
    <col min="12812" max="12812" width="14.109375" customWidth="1"/>
    <col min="12813" max="12813" width="27" customWidth="1"/>
    <col min="12814" max="12814" width="26" customWidth="1"/>
    <col min="12815" max="12815" width="15.33203125" customWidth="1"/>
    <col min="12816" max="12816" width="20.33203125" customWidth="1"/>
    <col min="12817" max="12817" width="6" customWidth="1"/>
    <col min="12818" max="12818" width="1.33203125" customWidth="1"/>
    <col min="12819" max="12819" width="3.6640625" customWidth="1"/>
    <col min="12820" max="12820" width="0.33203125" customWidth="1"/>
    <col min="12821" max="12821" width="3.44140625" customWidth="1"/>
    <col min="13057" max="13057" width="3.44140625" customWidth="1"/>
    <col min="13058" max="13058" width="0.5546875" customWidth="1"/>
    <col min="13059" max="13059" width="22.6640625" customWidth="1"/>
    <col min="13060" max="13060" width="19.33203125" customWidth="1"/>
    <col min="13061" max="13061" width="12.33203125" customWidth="1"/>
    <col min="13062" max="13062" width="24.33203125" customWidth="1"/>
    <col min="13063" max="13063" width="1.6640625" customWidth="1"/>
    <col min="13064" max="13064" width="0.33203125" customWidth="1"/>
    <col min="13065" max="13065" width="3.88671875" customWidth="1"/>
    <col min="13066" max="13066" width="15.6640625" customWidth="1"/>
    <col min="13067" max="13067" width="13" customWidth="1"/>
    <col min="13068" max="13068" width="14.109375" customWidth="1"/>
    <col min="13069" max="13069" width="27" customWidth="1"/>
    <col min="13070" max="13070" width="26" customWidth="1"/>
    <col min="13071" max="13071" width="15.33203125" customWidth="1"/>
    <col min="13072" max="13072" width="20.33203125" customWidth="1"/>
    <col min="13073" max="13073" width="6" customWidth="1"/>
    <col min="13074" max="13074" width="1.33203125" customWidth="1"/>
    <col min="13075" max="13075" width="3.6640625" customWidth="1"/>
    <col min="13076" max="13076" width="0.33203125" customWidth="1"/>
    <col min="13077" max="13077" width="3.44140625" customWidth="1"/>
    <col min="13313" max="13313" width="3.44140625" customWidth="1"/>
    <col min="13314" max="13314" width="0.5546875" customWidth="1"/>
    <col min="13315" max="13315" width="22.6640625" customWidth="1"/>
    <col min="13316" max="13316" width="19.33203125" customWidth="1"/>
    <col min="13317" max="13317" width="12.33203125" customWidth="1"/>
    <col min="13318" max="13318" width="24.33203125" customWidth="1"/>
    <col min="13319" max="13319" width="1.6640625" customWidth="1"/>
    <col min="13320" max="13320" width="0.33203125" customWidth="1"/>
    <col min="13321" max="13321" width="3.88671875" customWidth="1"/>
    <col min="13322" max="13322" width="15.6640625" customWidth="1"/>
    <col min="13323" max="13323" width="13" customWidth="1"/>
    <col min="13324" max="13324" width="14.109375" customWidth="1"/>
    <col min="13325" max="13325" width="27" customWidth="1"/>
    <col min="13326" max="13326" width="26" customWidth="1"/>
    <col min="13327" max="13327" width="15.33203125" customWidth="1"/>
    <col min="13328" max="13328" width="20.33203125" customWidth="1"/>
    <col min="13329" max="13329" width="6" customWidth="1"/>
    <col min="13330" max="13330" width="1.33203125" customWidth="1"/>
    <col min="13331" max="13331" width="3.6640625" customWidth="1"/>
    <col min="13332" max="13332" width="0.33203125" customWidth="1"/>
    <col min="13333" max="13333" width="3.44140625" customWidth="1"/>
    <col min="13569" max="13569" width="3.44140625" customWidth="1"/>
    <col min="13570" max="13570" width="0.5546875" customWidth="1"/>
    <col min="13571" max="13571" width="22.6640625" customWidth="1"/>
    <col min="13572" max="13572" width="19.33203125" customWidth="1"/>
    <col min="13573" max="13573" width="12.33203125" customWidth="1"/>
    <col min="13574" max="13574" width="24.33203125" customWidth="1"/>
    <col min="13575" max="13575" width="1.6640625" customWidth="1"/>
    <col min="13576" max="13576" width="0.33203125" customWidth="1"/>
    <col min="13577" max="13577" width="3.88671875" customWidth="1"/>
    <col min="13578" max="13578" width="15.6640625" customWidth="1"/>
    <col min="13579" max="13579" width="13" customWidth="1"/>
    <col min="13580" max="13580" width="14.109375" customWidth="1"/>
    <col min="13581" max="13581" width="27" customWidth="1"/>
    <col min="13582" max="13582" width="26" customWidth="1"/>
    <col min="13583" max="13583" width="15.33203125" customWidth="1"/>
    <col min="13584" max="13584" width="20.33203125" customWidth="1"/>
    <col min="13585" max="13585" width="6" customWidth="1"/>
    <col min="13586" max="13586" width="1.33203125" customWidth="1"/>
    <col min="13587" max="13587" width="3.6640625" customWidth="1"/>
    <col min="13588" max="13588" width="0.33203125" customWidth="1"/>
    <col min="13589" max="13589" width="3.44140625" customWidth="1"/>
    <col min="13825" max="13825" width="3.44140625" customWidth="1"/>
    <col min="13826" max="13826" width="0.5546875" customWidth="1"/>
    <col min="13827" max="13827" width="22.6640625" customWidth="1"/>
    <col min="13828" max="13828" width="19.33203125" customWidth="1"/>
    <col min="13829" max="13829" width="12.33203125" customWidth="1"/>
    <col min="13830" max="13830" width="24.33203125" customWidth="1"/>
    <col min="13831" max="13831" width="1.6640625" customWidth="1"/>
    <col min="13832" max="13832" width="0.33203125" customWidth="1"/>
    <col min="13833" max="13833" width="3.88671875" customWidth="1"/>
    <col min="13834" max="13834" width="15.6640625" customWidth="1"/>
    <col min="13835" max="13835" width="13" customWidth="1"/>
    <col min="13836" max="13836" width="14.109375" customWidth="1"/>
    <col min="13837" max="13837" width="27" customWidth="1"/>
    <col min="13838" max="13838" width="26" customWidth="1"/>
    <col min="13839" max="13839" width="15.33203125" customWidth="1"/>
    <col min="13840" max="13840" width="20.33203125" customWidth="1"/>
    <col min="13841" max="13841" width="6" customWidth="1"/>
    <col min="13842" max="13842" width="1.33203125" customWidth="1"/>
    <col min="13843" max="13843" width="3.6640625" customWidth="1"/>
    <col min="13844" max="13844" width="0.33203125" customWidth="1"/>
    <col min="13845" max="13845" width="3.44140625" customWidth="1"/>
    <col min="14081" max="14081" width="3.44140625" customWidth="1"/>
    <col min="14082" max="14082" width="0.5546875" customWidth="1"/>
    <col min="14083" max="14083" width="22.6640625" customWidth="1"/>
    <col min="14084" max="14084" width="19.33203125" customWidth="1"/>
    <col min="14085" max="14085" width="12.33203125" customWidth="1"/>
    <col min="14086" max="14086" width="24.33203125" customWidth="1"/>
    <col min="14087" max="14087" width="1.6640625" customWidth="1"/>
    <col min="14088" max="14088" width="0.33203125" customWidth="1"/>
    <col min="14089" max="14089" width="3.88671875" customWidth="1"/>
    <col min="14090" max="14090" width="15.6640625" customWidth="1"/>
    <col min="14091" max="14091" width="13" customWidth="1"/>
    <col min="14092" max="14092" width="14.109375" customWidth="1"/>
    <col min="14093" max="14093" width="27" customWidth="1"/>
    <col min="14094" max="14094" width="26" customWidth="1"/>
    <col min="14095" max="14095" width="15.33203125" customWidth="1"/>
    <col min="14096" max="14096" width="20.33203125" customWidth="1"/>
    <col min="14097" max="14097" width="6" customWidth="1"/>
    <col min="14098" max="14098" width="1.33203125" customWidth="1"/>
    <col min="14099" max="14099" width="3.6640625" customWidth="1"/>
    <col min="14100" max="14100" width="0.33203125" customWidth="1"/>
    <col min="14101" max="14101" width="3.44140625" customWidth="1"/>
    <col min="14337" max="14337" width="3.44140625" customWidth="1"/>
    <col min="14338" max="14338" width="0.5546875" customWidth="1"/>
    <col min="14339" max="14339" width="22.6640625" customWidth="1"/>
    <col min="14340" max="14340" width="19.33203125" customWidth="1"/>
    <col min="14341" max="14341" width="12.33203125" customWidth="1"/>
    <col min="14342" max="14342" width="24.33203125" customWidth="1"/>
    <col min="14343" max="14343" width="1.6640625" customWidth="1"/>
    <col min="14344" max="14344" width="0.33203125" customWidth="1"/>
    <col min="14345" max="14345" width="3.88671875" customWidth="1"/>
    <col min="14346" max="14346" width="15.6640625" customWidth="1"/>
    <col min="14347" max="14347" width="13" customWidth="1"/>
    <col min="14348" max="14348" width="14.109375" customWidth="1"/>
    <col min="14349" max="14349" width="27" customWidth="1"/>
    <col min="14350" max="14350" width="26" customWidth="1"/>
    <col min="14351" max="14351" width="15.33203125" customWidth="1"/>
    <col min="14352" max="14352" width="20.33203125" customWidth="1"/>
    <col min="14353" max="14353" width="6" customWidth="1"/>
    <col min="14354" max="14354" width="1.33203125" customWidth="1"/>
    <col min="14355" max="14355" width="3.6640625" customWidth="1"/>
    <col min="14356" max="14356" width="0.33203125" customWidth="1"/>
    <col min="14357" max="14357" width="3.44140625" customWidth="1"/>
    <col min="14593" max="14593" width="3.44140625" customWidth="1"/>
    <col min="14594" max="14594" width="0.5546875" customWidth="1"/>
    <col min="14595" max="14595" width="22.6640625" customWidth="1"/>
    <col min="14596" max="14596" width="19.33203125" customWidth="1"/>
    <col min="14597" max="14597" width="12.33203125" customWidth="1"/>
    <col min="14598" max="14598" width="24.33203125" customWidth="1"/>
    <col min="14599" max="14599" width="1.6640625" customWidth="1"/>
    <col min="14600" max="14600" width="0.33203125" customWidth="1"/>
    <col min="14601" max="14601" width="3.88671875" customWidth="1"/>
    <col min="14602" max="14602" width="15.6640625" customWidth="1"/>
    <col min="14603" max="14603" width="13" customWidth="1"/>
    <col min="14604" max="14604" width="14.109375" customWidth="1"/>
    <col min="14605" max="14605" width="27" customWidth="1"/>
    <col min="14606" max="14606" width="26" customWidth="1"/>
    <col min="14607" max="14607" width="15.33203125" customWidth="1"/>
    <col min="14608" max="14608" width="20.33203125" customWidth="1"/>
    <col min="14609" max="14609" width="6" customWidth="1"/>
    <col min="14610" max="14610" width="1.33203125" customWidth="1"/>
    <col min="14611" max="14611" width="3.6640625" customWidth="1"/>
    <col min="14612" max="14612" width="0.33203125" customWidth="1"/>
    <col min="14613" max="14613" width="3.44140625" customWidth="1"/>
    <col min="14849" max="14849" width="3.44140625" customWidth="1"/>
    <col min="14850" max="14850" width="0.5546875" customWidth="1"/>
    <col min="14851" max="14851" width="22.6640625" customWidth="1"/>
    <col min="14852" max="14852" width="19.33203125" customWidth="1"/>
    <col min="14853" max="14853" width="12.33203125" customWidth="1"/>
    <col min="14854" max="14854" width="24.33203125" customWidth="1"/>
    <col min="14855" max="14855" width="1.6640625" customWidth="1"/>
    <col min="14856" max="14856" width="0.33203125" customWidth="1"/>
    <col min="14857" max="14857" width="3.88671875" customWidth="1"/>
    <col min="14858" max="14858" width="15.6640625" customWidth="1"/>
    <col min="14859" max="14859" width="13" customWidth="1"/>
    <col min="14860" max="14860" width="14.109375" customWidth="1"/>
    <col min="14861" max="14861" width="27" customWidth="1"/>
    <col min="14862" max="14862" width="26" customWidth="1"/>
    <col min="14863" max="14863" width="15.33203125" customWidth="1"/>
    <col min="14864" max="14864" width="20.33203125" customWidth="1"/>
    <col min="14865" max="14865" width="6" customWidth="1"/>
    <col min="14866" max="14866" width="1.33203125" customWidth="1"/>
    <col min="14867" max="14867" width="3.6640625" customWidth="1"/>
    <col min="14868" max="14868" width="0.33203125" customWidth="1"/>
    <col min="14869" max="14869" width="3.44140625" customWidth="1"/>
    <col min="15105" max="15105" width="3.44140625" customWidth="1"/>
    <col min="15106" max="15106" width="0.5546875" customWidth="1"/>
    <col min="15107" max="15107" width="22.6640625" customWidth="1"/>
    <col min="15108" max="15108" width="19.33203125" customWidth="1"/>
    <col min="15109" max="15109" width="12.33203125" customWidth="1"/>
    <col min="15110" max="15110" width="24.33203125" customWidth="1"/>
    <col min="15111" max="15111" width="1.6640625" customWidth="1"/>
    <col min="15112" max="15112" width="0.33203125" customWidth="1"/>
    <col min="15113" max="15113" width="3.88671875" customWidth="1"/>
    <col min="15114" max="15114" width="15.6640625" customWidth="1"/>
    <col min="15115" max="15115" width="13" customWidth="1"/>
    <col min="15116" max="15116" width="14.109375" customWidth="1"/>
    <col min="15117" max="15117" width="27" customWidth="1"/>
    <col min="15118" max="15118" width="26" customWidth="1"/>
    <col min="15119" max="15119" width="15.33203125" customWidth="1"/>
    <col min="15120" max="15120" width="20.33203125" customWidth="1"/>
    <col min="15121" max="15121" width="6" customWidth="1"/>
    <col min="15122" max="15122" width="1.33203125" customWidth="1"/>
    <col min="15123" max="15123" width="3.6640625" customWidth="1"/>
    <col min="15124" max="15124" width="0.33203125" customWidth="1"/>
    <col min="15125" max="15125" width="3.44140625" customWidth="1"/>
    <col min="15361" max="15361" width="3.44140625" customWidth="1"/>
    <col min="15362" max="15362" width="0.5546875" customWidth="1"/>
    <col min="15363" max="15363" width="22.6640625" customWidth="1"/>
    <col min="15364" max="15364" width="19.33203125" customWidth="1"/>
    <col min="15365" max="15365" width="12.33203125" customWidth="1"/>
    <col min="15366" max="15366" width="24.33203125" customWidth="1"/>
    <col min="15367" max="15367" width="1.6640625" customWidth="1"/>
    <col min="15368" max="15368" width="0.33203125" customWidth="1"/>
    <col min="15369" max="15369" width="3.88671875" customWidth="1"/>
    <col min="15370" max="15370" width="15.6640625" customWidth="1"/>
    <col min="15371" max="15371" width="13" customWidth="1"/>
    <col min="15372" max="15372" width="14.109375" customWidth="1"/>
    <col min="15373" max="15373" width="27" customWidth="1"/>
    <col min="15374" max="15374" width="26" customWidth="1"/>
    <col min="15375" max="15375" width="15.33203125" customWidth="1"/>
    <col min="15376" max="15376" width="20.33203125" customWidth="1"/>
    <col min="15377" max="15377" width="6" customWidth="1"/>
    <col min="15378" max="15378" width="1.33203125" customWidth="1"/>
    <col min="15379" max="15379" width="3.6640625" customWidth="1"/>
    <col min="15380" max="15380" width="0.33203125" customWidth="1"/>
    <col min="15381" max="15381" width="3.44140625" customWidth="1"/>
    <col min="15617" max="15617" width="3.44140625" customWidth="1"/>
    <col min="15618" max="15618" width="0.5546875" customWidth="1"/>
    <col min="15619" max="15619" width="22.6640625" customWidth="1"/>
    <col min="15620" max="15620" width="19.33203125" customWidth="1"/>
    <col min="15621" max="15621" width="12.33203125" customWidth="1"/>
    <col min="15622" max="15622" width="24.33203125" customWidth="1"/>
    <col min="15623" max="15623" width="1.6640625" customWidth="1"/>
    <col min="15624" max="15624" width="0.33203125" customWidth="1"/>
    <col min="15625" max="15625" width="3.88671875" customWidth="1"/>
    <col min="15626" max="15626" width="15.6640625" customWidth="1"/>
    <col min="15627" max="15627" width="13" customWidth="1"/>
    <col min="15628" max="15628" width="14.109375" customWidth="1"/>
    <col min="15629" max="15629" width="27" customWidth="1"/>
    <col min="15630" max="15630" width="26" customWidth="1"/>
    <col min="15631" max="15631" width="15.33203125" customWidth="1"/>
    <col min="15632" max="15632" width="20.33203125" customWidth="1"/>
    <col min="15633" max="15633" width="6" customWidth="1"/>
    <col min="15634" max="15634" width="1.33203125" customWidth="1"/>
    <col min="15635" max="15635" width="3.6640625" customWidth="1"/>
    <col min="15636" max="15636" width="0.33203125" customWidth="1"/>
    <col min="15637" max="15637" width="3.44140625" customWidth="1"/>
    <col min="15873" max="15873" width="3.44140625" customWidth="1"/>
    <col min="15874" max="15874" width="0.5546875" customWidth="1"/>
    <col min="15875" max="15875" width="22.6640625" customWidth="1"/>
    <col min="15876" max="15876" width="19.33203125" customWidth="1"/>
    <col min="15877" max="15877" width="12.33203125" customWidth="1"/>
    <col min="15878" max="15878" width="24.33203125" customWidth="1"/>
    <col min="15879" max="15879" width="1.6640625" customWidth="1"/>
    <col min="15880" max="15880" width="0.33203125" customWidth="1"/>
    <col min="15881" max="15881" width="3.88671875" customWidth="1"/>
    <col min="15882" max="15882" width="15.6640625" customWidth="1"/>
    <col min="15883" max="15883" width="13" customWidth="1"/>
    <col min="15884" max="15884" width="14.109375" customWidth="1"/>
    <col min="15885" max="15885" width="27" customWidth="1"/>
    <col min="15886" max="15886" width="26" customWidth="1"/>
    <col min="15887" max="15887" width="15.33203125" customWidth="1"/>
    <col min="15888" max="15888" width="20.33203125" customWidth="1"/>
    <col min="15889" max="15889" width="6" customWidth="1"/>
    <col min="15890" max="15890" width="1.33203125" customWidth="1"/>
    <col min="15891" max="15891" width="3.6640625" customWidth="1"/>
    <col min="15892" max="15892" width="0.33203125" customWidth="1"/>
    <col min="15893" max="15893" width="3.44140625" customWidth="1"/>
    <col min="16129" max="16129" width="3.44140625" customWidth="1"/>
    <col min="16130" max="16130" width="0.5546875" customWidth="1"/>
    <col min="16131" max="16131" width="22.6640625" customWidth="1"/>
    <col min="16132" max="16132" width="19.33203125" customWidth="1"/>
    <col min="16133" max="16133" width="12.33203125" customWidth="1"/>
    <col min="16134" max="16134" width="24.33203125" customWidth="1"/>
    <col min="16135" max="16135" width="1.6640625" customWidth="1"/>
    <col min="16136" max="16136" width="0.33203125" customWidth="1"/>
    <col min="16137" max="16137" width="3.88671875" customWidth="1"/>
    <col min="16138" max="16138" width="15.6640625" customWidth="1"/>
    <col min="16139" max="16139" width="13" customWidth="1"/>
    <col min="16140" max="16140" width="14.109375" customWidth="1"/>
    <col min="16141" max="16141" width="27" customWidth="1"/>
    <col min="16142" max="16142" width="26" customWidth="1"/>
    <col min="16143" max="16143" width="15.33203125" customWidth="1"/>
    <col min="16144" max="16144" width="20.33203125" customWidth="1"/>
    <col min="16145" max="16145" width="6" customWidth="1"/>
    <col min="16146" max="16146" width="1.33203125" customWidth="1"/>
    <col min="16147" max="16147" width="3.6640625" customWidth="1"/>
    <col min="16148" max="16148" width="0.33203125" customWidth="1"/>
    <col min="16149" max="16149" width="3.44140625" customWidth="1"/>
  </cols>
  <sheetData>
    <row r="1" spans="1:21">
      <c r="A1" s="1"/>
      <c r="B1" s="1"/>
      <c r="C1" s="49" t="s">
        <v>1</v>
      </c>
      <c r="D1" s="49"/>
      <c r="E1" s="1"/>
      <c r="F1" s="1"/>
      <c r="G1" s="1"/>
      <c r="H1" s="1"/>
      <c r="I1" s="1"/>
      <c r="J1" s="1"/>
      <c r="K1" s="1"/>
      <c r="L1" s="1"/>
      <c r="M1" s="1"/>
      <c r="N1" s="1"/>
      <c r="O1" s="1"/>
      <c r="P1" s="50" t="s">
        <v>2</v>
      </c>
      <c r="Q1" s="50"/>
      <c r="R1" s="1"/>
      <c r="S1" s="1" t="s">
        <v>3</v>
      </c>
      <c r="T1" s="1"/>
      <c r="U1" s="1"/>
    </row>
    <row r="2" spans="1:21">
      <c r="A2" s="1"/>
      <c r="B2" s="1"/>
      <c r="C2" s="49"/>
      <c r="D2" s="49"/>
      <c r="E2" s="1"/>
      <c r="F2" s="1"/>
      <c r="G2" s="1"/>
      <c r="H2" s="1"/>
      <c r="I2" s="1"/>
      <c r="J2" s="1"/>
      <c r="K2" s="1"/>
      <c r="L2" s="1"/>
      <c r="M2" s="1"/>
      <c r="N2" s="1"/>
      <c r="O2" s="1"/>
      <c r="P2" s="1"/>
      <c r="Q2" s="1"/>
      <c r="R2" s="1"/>
      <c r="S2" s="1"/>
      <c r="T2" s="1"/>
      <c r="U2" s="1"/>
    </row>
    <row r="3" spans="1:21">
      <c r="A3" s="1"/>
      <c r="B3" s="1"/>
      <c r="C3" s="49"/>
      <c r="D3" s="49"/>
      <c r="E3" s="49"/>
      <c r="F3" s="49"/>
      <c r="G3" s="1"/>
      <c r="H3" s="1"/>
      <c r="I3" s="1"/>
      <c r="J3" s="1"/>
      <c r="K3" s="1"/>
      <c r="L3" s="1"/>
      <c r="M3" s="1"/>
      <c r="N3" s="1"/>
      <c r="O3" s="1"/>
      <c r="P3" s="1"/>
      <c r="Q3" s="1"/>
      <c r="R3" s="1"/>
      <c r="S3" s="1"/>
      <c r="T3" s="1"/>
      <c r="U3" s="1"/>
    </row>
    <row r="4" spans="1:21" ht="24.6">
      <c r="A4" s="1"/>
      <c r="B4" s="1"/>
      <c r="C4" s="49"/>
      <c r="D4" s="49"/>
      <c r="E4" s="49"/>
      <c r="F4" s="49"/>
      <c r="G4" s="1"/>
      <c r="H4" s="1"/>
      <c r="I4" s="51" t="s">
        <v>4</v>
      </c>
      <c r="J4" s="51"/>
      <c r="K4" s="51"/>
      <c r="L4" s="51"/>
      <c r="M4" s="51"/>
      <c r="N4" s="51"/>
      <c r="O4" s="51"/>
      <c r="P4" s="51"/>
      <c r="Q4" s="51"/>
      <c r="R4" s="51"/>
      <c r="S4" s="51"/>
      <c r="T4" s="51"/>
      <c r="U4" s="1"/>
    </row>
    <row r="5" spans="1:21">
      <c r="A5" s="1"/>
      <c r="B5" s="1"/>
      <c r="C5" s="49"/>
      <c r="D5" s="49"/>
      <c r="E5" s="49"/>
      <c r="F5" s="49"/>
      <c r="G5" s="1"/>
      <c r="H5" s="1"/>
      <c r="I5" s="1"/>
      <c r="J5" s="1"/>
      <c r="K5" s="1"/>
      <c r="L5" s="1"/>
      <c r="M5" s="1"/>
      <c r="N5" s="1"/>
      <c r="O5" s="1"/>
      <c r="P5" s="1"/>
      <c r="Q5" s="1"/>
      <c r="R5" s="1"/>
      <c r="S5" s="1"/>
      <c r="T5" s="1"/>
      <c r="U5" s="1"/>
    </row>
    <row r="6" spans="1:21" ht="17.399999999999999">
      <c r="A6" s="1"/>
      <c r="B6" s="1"/>
      <c r="C6" s="49"/>
      <c r="D6" s="49"/>
      <c r="E6" s="49"/>
      <c r="F6" s="49"/>
      <c r="G6" s="1"/>
      <c r="H6" s="52" t="s">
        <v>5</v>
      </c>
      <c r="I6" s="52"/>
      <c r="J6" s="52"/>
      <c r="K6" s="52"/>
      <c r="L6" s="52"/>
      <c r="M6" s="52"/>
      <c r="N6" s="52"/>
      <c r="O6" s="52"/>
      <c r="P6" s="52"/>
      <c r="Q6" s="52"/>
      <c r="R6" s="52"/>
      <c r="S6" s="52"/>
      <c r="T6" s="1"/>
      <c r="U6" s="1"/>
    </row>
    <row r="7" spans="1:21">
      <c r="A7" s="1"/>
      <c r="B7" s="1"/>
      <c r="C7" s="49"/>
      <c r="D7" s="49"/>
      <c r="E7" s="49"/>
      <c r="F7" s="49"/>
      <c r="G7" s="1"/>
      <c r="H7" s="1"/>
      <c r="I7" s="1"/>
      <c r="J7" s="1"/>
      <c r="K7" s="1"/>
      <c r="L7" s="1"/>
      <c r="M7" s="1"/>
      <c r="N7" s="1"/>
      <c r="O7" s="1"/>
      <c r="P7" s="1"/>
      <c r="Q7" s="1"/>
      <c r="R7" s="1"/>
      <c r="S7" s="1"/>
      <c r="T7" s="1"/>
      <c r="U7" s="1"/>
    </row>
    <row r="8" spans="1:21">
      <c r="A8" s="1"/>
      <c r="B8" s="1"/>
      <c r="C8" s="49"/>
      <c r="D8" s="49"/>
      <c r="E8" s="49"/>
      <c r="F8" s="49"/>
      <c r="G8" s="1"/>
      <c r="H8" s="52" t="s">
        <v>6</v>
      </c>
      <c r="I8" s="52"/>
      <c r="J8" s="52"/>
      <c r="K8" s="52"/>
      <c r="L8" s="52"/>
      <c r="M8" s="52"/>
      <c r="N8" s="52"/>
      <c r="O8" s="52"/>
      <c r="P8" s="52"/>
      <c r="Q8" s="52"/>
      <c r="R8" s="52"/>
      <c r="S8" s="52"/>
      <c r="T8" s="52"/>
      <c r="U8" s="1"/>
    </row>
    <row r="9" spans="1:21">
      <c r="A9" s="1"/>
      <c r="B9" s="1"/>
      <c r="C9" s="1"/>
      <c r="D9" s="1"/>
      <c r="E9" s="1"/>
      <c r="F9" s="1"/>
      <c r="G9" s="1"/>
      <c r="H9" s="52"/>
      <c r="I9" s="52"/>
      <c r="J9" s="52"/>
      <c r="K9" s="52"/>
      <c r="L9" s="52"/>
      <c r="M9" s="52"/>
      <c r="N9" s="52"/>
      <c r="O9" s="52"/>
      <c r="P9" s="52"/>
      <c r="Q9" s="52"/>
      <c r="R9" s="52"/>
      <c r="S9" s="52"/>
      <c r="T9" s="52"/>
      <c r="U9" s="1"/>
    </row>
    <row r="10" spans="1:21" ht="66" customHeight="1">
      <c r="A10" s="1"/>
      <c r="B10" s="56" t="s">
        <v>7</v>
      </c>
      <c r="C10" s="56"/>
      <c r="D10" s="56" t="s">
        <v>8</v>
      </c>
      <c r="E10" s="56"/>
      <c r="F10" s="56" t="s">
        <v>9</v>
      </c>
      <c r="G10" s="56"/>
      <c r="H10" s="56"/>
      <c r="I10" s="56"/>
      <c r="J10" s="2" t="s">
        <v>10</v>
      </c>
      <c r="K10" s="2" t="s">
        <v>11</v>
      </c>
      <c r="L10" s="2" t="s">
        <v>12</v>
      </c>
      <c r="M10" s="3" t="s">
        <v>13</v>
      </c>
      <c r="N10" s="3" t="s">
        <v>14</v>
      </c>
      <c r="O10" s="57" t="s">
        <v>15</v>
      </c>
      <c r="P10" s="57"/>
      <c r="Q10" s="57" t="s">
        <v>16</v>
      </c>
      <c r="R10" s="57"/>
      <c r="S10" s="57"/>
      <c r="T10" s="57"/>
      <c r="U10" s="1"/>
    </row>
    <row r="11" spans="1:21" ht="30" customHeight="1">
      <c r="A11" s="1"/>
      <c r="B11" s="53" t="s">
        <v>17</v>
      </c>
      <c r="C11" s="53"/>
      <c r="D11" s="54" t="s">
        <v>18</v>
      </c>
      <c r="E11" s="54"/>
      <c r="F11" s="54" t="s">
        <v>19</v>
      </c>
      <c r="G11" s="54"/>
      <c r="H11" s="54"/>
      <c r="I11" s="54"/>
      <c r="J11" s="4" t="s">
        <v>20</v>
      </c>
      <c r="K11" s="4" t="s">
        <v>21</v>
      </c>
      <c r="L11" s="4" t="s">
        <v>22</v>
      </c>
      <c r="M11" s="5" t="s">
        <v>23</v>
      </c>
      <c r="N11" s="5" t="s">
        <v>24</v>
      </c>
      <c r="O11" s="55" t="s">
        <v>23</v>
      </c>
      <c r="P11" s="55"/>
      <c r="Q11" s="55" t="s">
        <v>25</v>
      </c>
      <c r="R11" s="55"/>
      <c r="S11" s="55"/>
      <c r="T11" s="55"/>
      <c r="U11" s="1"/>
    </row>
    <row r="12" spans="1:21" ht="30" customHeight="1">
      <c r="A12" s="1"/>
      <c r="B12" s="53" t="s">
        <v>17</v>
      </c>
      <c r="C12" s="53"/>
      <c r="D12" s="54" t="s">
        <v>26</v>
      </c>
      <c r="E12" s="54"/>
      <c r="F12" s="54" t="s">
        <v>27</v>
      </c>
      <c r="G12" s="54"/>
      <c r="H12" s="54"/>
      <c r="I12" s="54"/>
      <c r="J12" s="4" t="s">
        <v>20</v>
      </c>
      <c r="K12" s="4" t="s">
        <v>21</v>
      </c>
      <c r="L12" s="4" t="s">
        <v>22</v>
      </c>
      <c r="M12" s="5" t="s">
        <v>28</v>
      </c>
      <c r="N12" s="5" t="s">
        <v>24</v>
      </c>
      <c r="O12" s="55" t="s">
        <v>29</v>
      </c>
      <c r="P12" s="55"/>
      <c r="Q12" s="55" t="s">
        <v>30</v>
      </c>
      <c r="R12" s="55"/>
      <c r="S12" s="55"/>
      <c r="T12" s="55"/>
      <c r="U12" s="1"/>
    </row>
    <row r="13" spans="1:21" ht="30" customHeight="1">
      <c r="A13" s="1"/>
      <c r="B13" s="53" t="s">
        <v>31</v>
      </c>
      <c r="C13" s="53"/>
      <c r="D13" s="54" t="s">
        <v>32</v>
      </c>
      <c r="E13" s="54"/>
      <c r="F13" s="54" t="s">
        <v>19</v>
      </c>
      <c r="G13" s="54"/>
      <c r="H13" s="54"/>
      <c r="I13" s="54"/>
      <c r="J13" s="4" t="s">
        <v>20</v>
      </c>
      <c r="K13" s="4" t="s">
        <v>33</v>
      </c>
      <c r="L13" s="4" t="s">
        <v>22</v>
      </c>
      <c r="M13" s="5" t="s">
        <v>23</v>
      </c>
      <c r="N13" s="5" t="s">
        <v>34</v>
      </c>
      <c r="O13" s="55" t="s">
        <v>23</v>
      </c>
      <c r="P13" s="55"/>
      <c r="Q13" s="55" t="s">
        <v>28</v>
      </c>
      <c r="R13" s="55"/>
      <c r="S13" s="55"/>
      <c r="T13" s="55"/>
      <c r="U13" s="1"/>
    </row>
    <row r="14" spans="1:21" ht="30" customHeight="1">
      <c r="A14" s="1"/>
      <c r="B14" s="53" t="s">
        <v>31</v>
      </c>
      <c r="C14" s="53"/>
      <c r="D14" s="54" t="s">
        <v>35</v>
      </c>
      <c r="E14" s="54"/>
      <c r="F14" s="54" t="s">
        <v>27</v>
      </c>
      <c r="G14" s="54"/>
      <c r="H14" s="54"/>
      <c r="I14" s="54"/>
      <c r="J14" s="4" t="s">
        <v>20</v>
      </c>
      <c r="K14" s="4" t="s">
        <v>33</v>
      </c>
      <c r="L14" s="4" t="s">
        <v>22</v>
      </c>
      <c r="M14" s="5" t="s">
        <v>28</v>
      </c>
      <c r="N14" s="5" t="s">
        <v>34</v>
      </c>
      <c r="O14" s="55" t="s">
        <v>29</v>
      </c>
      <c r="P14" s="55"/>
      <c r="Q14" s="55" t="s">
        <v>30</v>
      </c>
      <c r="R14" s="55"/>
      <c r="S14" s="55"/>
      <c r="T14" s="55"/>
      <c r="U14" s="1"/>
    </row>
    <row r="15" spans="1:21" ht="30" customHeight="1">
      <c r="A15" s="1"/>
      <c r="B15" s="53" t="s">
        <v>36</v>
      </c>
      <c r="C15" s="53"/>
      <c r="D15" s="54" t="s">
        <v>37</v>
      </c>
      <c r="E15" s="54"/>
      <c r="F15" s="54" t="s">
        <v>19</v>
      </c>
      <c r="G15" s="54"/>
      <c r="H15" s="54"/>
      <c r="I15" s="54"/>
      <c r="J15" s="4" t="s">
        <v>20</v>
      </c>
      <c r="K15" s="4" t="s">
        <v>21</v>
      </c>
      <c r="L15" s="4" t="s">
        <v>38</v>
      </c>
      <c r="M15" s="5" t="s">
        <v>39</v>
      </c>
      <c r="N15" s="5" t="s">
        <v>40</v>
      </c>
      <c r="O15" s="55" t="s">
        <v>39</v>
      </c>
      <c r="P15" s="55"/>
      <c r="Q15" s="55" t="s">
        <v>41</v>
      </c>
      <c r="R15" s="55"/>
      <c r="S15" s="55"/>
      <c r="T15" s="55"/>
      <c r="U15" s="1"/>
    </row>
    <row r="16" spans="1:21" ht="30" customHeight="1">
      <c r="A16" s="1"/>
      <c r="B16" s="53" t="s">
        <v>36</v>
      </c>
      <c r="C16" s="53"/>
      <c r="D16" s="54" t="s">
        <v>42</v>
      </c>
      <c r="E16" s="54"/>
      <c r="F16" s="54" t="s">
        <v>27</v>
      </c>
      <c r="G16" s="54"/>
      <c r="H16" s="54"/>
      <c r="I16" s="54"/>
      <c r="J16" s="4" t="s">
        <v>20</v>
      </c>
      <c r="K16" s="4" t="s">
        <v>21</v>
      </c>
      <c r="L16" s="4" t="s">
        <v>38</v>
      </c>
      <c r="M16" s="5" t="s">
        <v>43</v>
      </c>
      <c r="N16" s="5" t="s">
        <v>40</v>
      </c>
      <c r="O16" s="55" t="s">
        <v>44</v>
      </c>
      <c r="P16" s="55"/>
      <c r="Q16" s="55" t="s">
        <v>30</v>
      </c>
      <c r="R16" s="55"/>
      <c r="S16" s="55"/>
      <c r="T16" s="55"/>
      <c r="U16" s="1"/>
    </row>
    <row r="17" spans="1:21" ht="30" customHeight="1">
      <c r="A17" s="1"/>
      <c r="B17" s="53" t="s">
        <v>45</v>
      </c>
      <c r="C17" s="53"/>
      <c r="D17" s="54" t="s">
        <v>46</v>
      </c>
      <c r="E17" s="54"/>
      <c r="F17" s="54" t="s">
        <v>27</v>
      </c>
      <c r="G17" s="54"/>
      <c r="H17" s="54"/>
      <c r="I17" s="54"/>
      <c r="J17" s="4" t="s">
        <v>20</v>
      </c>
      <c r="K17" s="4" t="s">
        <v>21</v>
      </c>
      <c r="L17" s="4" t="s">
        <v>47</v>
      </c>
      <c r="M17" s="5" t="s">
        <v>48</v>
      </c>
      <c r="N17" s="5" t="s">
        <v>49</v>
      </c>
      <c r="O17" s="55" t="s">
        <v>48</v>
      </c>
      <c r="P17" s="55"/>
      <c r="Q17" s="55" t="s">
        <v>30</v>
      </c>
      <c r="R17" s="55"/>
      <c r="S17" s="55"/>
      <c r="T17" s="55"/>
      <c r="U17" s="1"/>
    </row>
    <row r="18" spans="1:21" ht="30" customHeight="1">
      <c r="A18" s="1"/>
      <c r="B18" s="53" t="s">
        <v>50</v>
      </c>
      <c r="C18" s="53"/>
      <c r="D18" s="54" t="s">
        <v>51</v>
      </c>
      <c r="E18" s="54"/>
      <c r="F18" s="54" t="s">
        <v>19</v>
      </c>
      <c r="G18" s="54"/>
      <c r="H18" s="54"/>
      <c r="I18" s="54"/>
      <c r="J18" s="4" t="s">
        <v>20</v>
      </c>
      <c r="K18" s="4" t="s">
        <v>21</v>
      </c>
      <c r="L18" s="4" t="s">
        <v>52</v>
      </c>
      <c r="M18" s="5" t="s">
        <v>53</v>
      </c>
      <c r="N18" s="5" t="s">
        <v>54</v>
      </c>
      <c r="O18" s="55" t="s">
        <v>53</v>
      </c>
      <c r="P18" s="55"/>
      <c r="Q18" s="55" t="s">
        <v>55</v>
      </c>
      <c r="R18" s="55"/>
      <c r="S18" s="55"/>
      <c r="T18" s="55"/>
      <c r="U18" s="1"/>
    </row>
    <row r="19" spans="1:21" ht="30" customHeight="1">
      <c r="A19" s="1"/>
      <c r="B19" s="53" t="s">
        <v>50</v>
      </c>
      <c r="C19" s="53"/>
      <c r="D19" s="54" t="s">
        <v>56</v>
      </c>
      <c r="E19" s="54"/>
      <c r="F19" s="54" t="s">
        <v>27</v>
      </c>
      <c r="G19" s="54"/>
      <c r="H19" s="54"/>
      <c r="I19" s="54"/>
      <c r="J19" s="4" t="s">
        <v>20</v>
      </c>
      <c r="K19" s="4" t="s">
        <v>21</v>
      </c>
      <c r="L19" s="4" t="s">
        <v>52</v>
      </c>
      <c r="M19" s="5" t="s">
        <v>57</v>
      </c>
      <c r="N19" s="5" t="s">
        <v>54</v>
      </c>
      <c r="O19" s="55" t="s">
        <v>58</v>
      </c>
      <c r="P19" s="55"/>
      <c r="Q19" s="55" t="s">
        <v>30</v>
      </c>
      <c r="R19" s="55"/>
      <c r="S19" s="55"/>
      <c r="T19" s="55"/>
      <c r="U19" s="1"/>
    </row>
    <row r="20" spans="1:21" ht="30" customHeight="1">
      <c r="A20" s="1"/>
      <c r="B20" s="53" t="s">
        <v>59</v>
      </c>
      <c r="C20" s="53"/>
      <c r="D20" s="54" t="s">
        <v>60</v>
      </c>
      <c r="E20" s="54"/>
      <c r="F20" s="54" t="s">
        <v>19</v>
      </c>
      <c r="G20" s="54"/>
      <c r="H20" s="54"/>
      <c r="I20" s="54"/>
      <c r="J20" s="4" t="s">
        <v>20</v>
      </c>
      <c r="K20" s="4" t="s">
        <v>21</v>
      </c>
      <c r="L20" s="4" t="s">
        <v>61</v>
      </c>
      <c r="M20" s="5" t="s">
        <v>62</v>
      </c>
      <c r="N20" s="5" t="s">
        <v>63</v>
      </c>
      <c r="O20" s="55" t="s">
        <v>62</v>
      </c>
      <c r="P20" s="55"/>
      <c r="Q20" s="55" t="s">
        <v>64</v>
      </c>
      <c r="R20" s="55"/>
      <c r="S20" s="55"/>
      <c r="T20" s="55"/>
      <c r="U20" s="1"/>
    </row>
    <row r="21" spans="1:21" ht="30" customHeight="1">
      <c r="A21" s="1"/>
      <c r="B21" s="53" t="s">
        <v>59</v>
      </c>
      <c r="C21" s="53"/>
      <c r="D21" s="54" t="s">
        <v>65</v>
      </c>
      <c r="E21" s="54"/>
      <c r="F21" s="54" t="s">
        <v>27</v>
      </c>
      <c r="G21" s="54"/>
      <c r="H21" s="54"/>
      <c r="I21" s="54"/>
      <c r="J21" s="4" t="s">
        <v>20</v>
      </c>
      <c r="K21" s="4" t="s">
        <v>21</v>
      </c>
      <c r="L21" s="4" t="s">
        <v>61</v>
      </c>
      <c r="M21" s="5" t="s">
        <v>64</v>
      </c>
      <c r="N21" s="5" t="s">
        <v>63</v>
      </c>
      <c r="O21" s="55" t="s">
        <v>66</v>
      </c>
      <c r="P21" s="55"/>
      <c r="Q21" s="55" t="s">
        <v>30</v>
      </c>
      <c r="R21" s="55"/>
      <c r="S21" s="55"/>
      <c r="T21" s="55"/>
      <c r="U21" s="1"/>
    </row>
    <row r="22" spans="1:21" ht="30" customHeight="1">
      <c r="A22" s="1"/>
      <c r="B22" s="53" t="s">
        <v>67</v>
      </c>
      <c r="C22" s="53"/>
      <c r="D22" s="54" t="s">
        <v>68</v>
      </c>
      <c r="E22" s="54"/>
      <c r="F22" s="54" t="s">
        <v>19</v>
      </c>
      <c r="G22" s="54"/>
      <c r="H22" s="54"/>
      <c r="I22" s="54"/>
      <c r="J22" s="4" t="s">
        <v>20</v>
      </c>
      <c r="K22" s="4" t="s">
        <v>21</v>
      </c>
      <c r="L22" s="4" t="s">
        <v>61</v>
      </c>
      <c r="M22" s="5" t="s">
        <v>69</v>
      </c>
      <c r="N22" s="5" t="s">
        <v>70</v>
      </c>
      <c r="O22" s="55" t="s">
        <v>69</v>
      </c>
      <c r="P22" s="55"/>
      <c r="Q22" s="55" t="s">
        <v>71</v>
      </c>
      <c r="R22" s="55"/>
      <c r="S22" s="55"/>
      <c r="T22" s="55"/>
      <c r="U22" s="1"/>
    </row>
    <row r="23" spans="1:21" ht="30" customHeight="1">
      <c r="A23" s="1"/>
      <c r="B23" s="53" t="s">
        <v>67</v>
      </c>
      <c r="C23" s="53"/>
      <c r="D23" s="54" t="s">
        <v>72</v>
      </c>
      <c r="E23" s="54"/>
      <c r="F23" s="54" t="s">
        <v>27</v>
      </c>
      <c r="G23" s="54"/>
      <c r="H23" s="54"/>
      <c r="I23" s="54"/>
      <c r="J23" s="4" t="s">
        <v>20</v>
      </c>
      <c r="K23" s="4" t="s">
        <v>21</v>
      </c>
      <c r="L23" s="4" t="s">
        <v>61</v>
      </c>
      <c r="M23" s="5" t="s">
        <v>73</v>
      </c>
      <c r="N23" s="5" t="s">
        <v>70</v>
      </c>
      <c r="O23" s="55" t="s">
        <v>74</v>
      </c>
      <c r="P23" s="55"/>
      <c r="Q23" s="55" t="s">
        <v>30</v>
      </c>
      <c r="R23" s="55"/>
      <c r="S23" s="55"/>
      <c r="T23" s="55"/>
      <c r="U23" s="1"/>
    </row>
    <row r="24" spans="1:21" ht="30" customHeight="1">
      <c r="A24" s="1"/>
      <c r="B24" s="53" t="s">
        <v>75</v>
      </c>
      <c r="C24" s="53"/>
      <c r="D24" s="54" t="s">
        <v>76</v>
      </c>
      <c r="E24" s="54"/>
      <c r="F24" s="54" t="s">
        <v>19</v>
      </c>
      <c r="G24" s="54"/>
      <c r="H24" s="54"/>
      <c r="I24" s="54"/>
      <c r="J24" s="4" t="s">
        <v>20</v>
      </c>
      <c r="K24" s="4" t="s">
        <v>33</v>
      </c>
      <c r="L24" s="4" t="s">
        <v>52</v>
      </c>
      <c r="M24" s="5" t="s">
        <v>53</v>
      </c>
      <c r="N24" s="5" t="s">
        <v>77</v>
      </c>
      <c r="O24" s="55" t="s">
        <v>53</v>
      </c>
      <c r="P24" s="55"/>
      <c r="Q24" s="55" t="s">
        <v>57</v>
      </c>
      <c r="R24" s="55"/>
      <c r="S24" s="55"/>
      <c r="T24" s="55"/>
      <c r="U24" s="1"/>
    </row>
    <row r="25" spans="1:21" ht="30" customHeight="1">
      <c r="A25" s="1"/>
      <c r="B25" s="53" t="s">
        <v>75</v>
      </c>
      <c r="C25" s="53"/>
      <c r="D25" s="54" t="s">
        <v>78</v>
      </c>
      <c r="E25" s="54"/>
      <c r="F25" s="54" t="s">
        <v>27</v>
      </c>
      <c r="G25" s="54"/>
      <c r="H25" s="54"/>
      <c r="I25" s="54"/>
      <c r="J25" s="4" t="s">
        <v>20</v>
      </c>
      <c r="K25" s="4" t="s">
        <v>33</v>
      </c>
      <c r="L25" s="4" t="s">
        <v>52</v>
      </c>
      <c r="M25" s="5" t="s">
        <v>57</v>
      </c>
      <c r="N25" s="5" t="s">
        <v>77</v>
      </c>
      <c r="O25" s="55" t="s">
        <v>58</v>
      </c>
      <c r="P25" s="55"/>
      <c r="Q25" s="55" t="s">
        <v>30</v>
      </c>
      <c r="R25" s="55"/>
      <c r="S25" s="55"/>
      <c r="T25" s="55"/>
      <c r="U25" s="1"/>
    </row>
    <row r="26" spans="1:21" ht="30" customHeight="1">
      <c r="A26" s="1"/>
      <c r="B26" s="1"/>
      <c r="C26" s="58" t="s">
        <v>79</v>
      </c>
      <c r="D26" s="58"/>
      <c r="E26" s="58"/>
      <c r="F26" s="58"/>
      <c r="G26" s="58"/>
      <c r="H26" s="58"/>
      <c r="I26" s="58"/>
      <c r="J26" s="58"/>
      <c r="K26" s="58"/>
      <c r="L26" s="58"/>
      <c r="M26" s="58"/>
      <c r="N26" s="58"/>
      <c r="O26" s="58"/>
      <c r="P26" s="58"/>
      <c r="Q26" s="58"/>
      <c r="R26" s="58"/>
      <c r="S26" s="58"/>
      <c r="T26" s="1"/>
      <c r="U26" s="1"/>
    </row>
  </sheetData>
  <mergeCells count="87">
    <mergeCell ref="C26:S26"/>
    <mergeCell ref="B24:C24"/>
    <mergeCell ref="D24:E24"/>
    <mergeCell ref="F24:I24"/>
    <mergeCell ref="O24:P24"/>
    <mergeCell ref="Q24:T24"/>
    <mergeCell ref="B25:C25"/>
    <mergeCell ref="D25:E25"/>
    <mergeCell ref="F25:I25"/>
    <mergeCell ref="O25:P25"/>
    <mergeCell ref="Q25:T25"/>
    <mergeCell ref="B22:C22"/>
    <mergeCell ref="D22:E22"/>
    <mergeCell ref="F22:I22"/>
    <mergeCell ref="O22:P22"/>
    <mergeCell ref="Q22:T22"/>
    <mergeCell ref="B23:C23"/>
    <mergeCell ref="D23:E23"/>
    <mergeCell ref="F23:I23"/>
    <mergeCell ref="O23:P23"/>
    <mergeCell ref="Q23:T23"/>
    <mergeCell ref="B20:C20"/>
    <mergeCell ref="D20:E20"/>
    <mergeCell ref="F20:I20"/>
    <mergeCell ref="O20:P20"/>
    <mergeCell ref="Q20:T20"/>
    <mergeCell ref="B21:C21"/>
    <mergeCell ref="D21:E21"/>
    <mergeCell ref="F21:I21"/>
    <mergeCell ref="O21:P21"/>
    <mergeCell ref="Q21:T21"/>
    <mergeCell ref="B18:C18"/>
    <mergeCell ref="D18:E18"/>
    <mergeCell ref="F18:I18"/>
    <mergeCell ref="O18:P18"/>
    <mergeCell ref="Q18:T18"/>
    <mergeCell ref="B19:C19"/>
    <mergeCell ref="D19:E19"/>
    <mergeCell ref="F19:I19"/>
    <mergeCell ref="O19:P19"/>
    <mergeCell ref="Q19:T19"/>
    <mergeCell ref="B16:C16"/>
    <mergeCell ref="D16:E16"/>
    <mergeCell ref="F16:I16"/>
    <mergeCell ref="O16:P16"/>
    <mergeCell ref="Q16:T16"/>
    <mergeCell ref="B17:C17"/>
    <mergeCell ref="D17:E17"/>
    <mergeCell ref="F17:I17"/>
    <mergeCell ref="O17:P17"/>
    <mergeCell ref="Q17:T17"/>
    <mergeCell ref="B14:C14"/>
    <mergeCell ref="D14:E14"/>
    <mergeCell ref="F14:I14"/>
    <mergeCell ref="O14:P14"/>
    <mergeCell ref="Q14:T14"/>
    <mergeCell ref="B15:C15"/>
    <mergeCell ref="D15:E15"/>
    <mergeCell ref="F15:I15"/>
    <mergeCell ref="O15:P15"/>
    <mergeCell ref="Q15:T15"/>
    <mergeCell ref="B12:C12"/>
    <mergeCell ref="D12:E12"/>
    <mergeCell ref="F12:I12"/>
    <mergeCell ref="O12:P12"/>
    <mergeCell ref="Q12:T12"/>
    <mergeCell ref="B13:C13"/>
    <mergeCell ref="D13:E13"/>
    <mergeCell ref="F13:I13"/>
    <mergeCell ref="O13:P13"/>
    <mergeCell ref="Q13:T13"/>
    <mergeCell ref="B10:C10"/>
    <mergeCell ref="D10:E10"/>
    <mergeCell ref="F10:I10"/>
    <mergeCell ref="O10:P10"/>
    <mergeCell ref="Q10:T10"/>
    <mergeCell ref="B11:C11"/>
    <mergeCell ref="D11:E11"/>
    <mergeCell ref="F11:I11"/>
    <mergeCell ref="O11:P11"/>
    <mergeCell ref="Q11:T11"/>
    <mergeCell ref="C1:D2"/>
    <mergeCell ref="P1:Q1"/>
    <mergeCell ref="C3:F8"/>
    <mergeCell ref="I4:T4"/>
    <mergeCell ref="H6:S6"/>
    <mergeCell ref="H8:T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FF1AD-2461-4F54-A91A-26E69E9B2A3C}">
  <sheetPr>
    <tabColor rgb="FFFF0000"/>
  </sheetPr>
  <dimension ref="B3:R26"/>
  <sheetViews>
    <sheetView showGridLines="0" tabSelected="1" zoomScale="115" zoomScaleNormal="115" workbookViewId="0">
      <selection activeCell="B7" sqref="B7:J26"/>
    </sheetView>
  </sheetViews>
  <sheetFormatPr defaultColWidth="9.109375" defaultRowHeight="14.4"/>
  <cols>
    <col min="1" max="1" width="4.88671875" customWidth="1"/>
    <col min="2" max="2" width="20.109375" customWidth="1"/>
    <col min="3" max="3" width="11.6640625" customWidth="1"/>
    <col min="4" max="4" width="10.109375" customWidth="1"/>
    <col min="5" max="5" width="9.6640625" customWidth="1"/>
    <col min="6" max="6" width="14.109375" customWidth="1"/>
    <col min="7" max="7" width="16" customWidth="1"/>
    <col min="8" max="8" width="8.5546875" customWidth="1"/>
    <col min="9" max="9" width="18.6640625" customWidth="1"/>
    <col min="10" max="10" width="17.109375" customWidth="1"/>
    <col min="11" max="11" width="12.6640625" bestFit="1" customWidth="1"/>
    <col min="12" max="12" width="8.6640625" customWidth="1"/>
    <col min="13" max="13" width="12.6640625" bestFit="1" customWidth="1"/>
    <col min="14" max="14" width="17.33203125" customWidth="1"/>
    <col min="15" max="15" width="19" customWidth="1"/>
    <col min="16" max="16" width="12.6640625" bestFit="1" customWidth="1"/>
    <col min="17" max="17" width="12" bestFit="1" customWidth="1"/>
    <col min="18" max="18" width="28.44140625" customWidth="1"/>
    <col min="19" max="21" width="12" bestFit="1" customWidth="1"/>
    <col min="22" max="22" width="11" bestFit="1" customWidth="1"/>
    <col min="23" max="24" width="12" bestFit="1" customWidth="1"/>
    <col min="25" max="25" width="7" bestFit="1" customWidth="1"/>
    <col min="26" max="29" width="12" bestFit="1" customWidth="1"/>
    <col min="30" max="30" width="7.33203125" bestFit="1" customWidth="1"/>
    <col min="31" max="31" width="14.6640625" bestFit="1" customWidth="1"/>
    <col min="32" max="32" width="6.6640625" bestFit="1" customWidth="1"/>
    <col min="33" max="34" width="12.6640625" bestFit="1" customWidth="1"/>
    <col min="35" max="35" width="11.6640625" bestFit="1" customWidth="1"/>
    <col min="36" max="39" width="12.6640625" bestFit="1" customWidth="1"/>
    <col min="40" max="44" width="12" bestFit="1" customWidth="1"/>
    <col min="45" max="45" width="11" bestFit="1" customWidth="1"/>
    <col min="46" max="47" width="12" bestFit="1" customWidth="1"/>
    <col min="48" max="48" width="6" bestFit="1" customWidth="1"/>
    <col min="49" max="52" width="12" bestFit="1" customWidth="1"/>
    <col min="53" max="53" width="7.33203125" bestFit="1" customWidth="1"/>
    <col min="54" max="54" width="22.33203125" bestFit="1" customWidth="1"/>
    <col min="55" max="55" width="19.6640625" bestFit="1" customWidth="1"/>
    <col min="56" max="56" width="12.5546875" bestFit="1" customWidth="1"/>
    <col min="57" max="57" width="14.5546875" bestFit="1" customWidth="1"/>
    <col min="58" max="58" width="22.5546875" bestFit="1" customWidth="1"/>
    <col min="59" max="59" width="14.5546875" bestFit="1" customWidth="1"/>
    <col min="60" max="60" width="22.5546875" bestFit="1" customWidth="1"/>
    <col min="61" max="61" width="14.5546875" bestFit="1" customWidth="1"/>
    <col min="62" max="62" width="22.5546875" bestFit="1" customWidth="1"/>
    <col min="63" max="63" width="14.5546875" bestFit="1" customWidth="1"/>
    <col min="64" max="64" width="22.5546875" bestFit="1" customWidth="1"/>
    <col min="65" max="65" width="12.6640625" bestFit="1" customWidth="1"/>
    <col min="66" max="66" width="13.33203125" bestFit="1" customWidth="1"/>
    <col min="67" max="67" width="14.5546875" bestFit="1" customWidth="1"/>
    <col min="68" max="68" width="22.5546875" bestFit="1" customWidth="1"/>
    <col min="69" max="69" width="13.5546875" bestFit="1" customWidth="1"/>
    <col min="70" max="70" width="16.33203125" bestFit="1" customWidth="1"/>
    <col min="71" max="71" width="12.6640625" bestFit="1" customWidth="1"/>
    <col min="72" max="72" width="22.5546875" bestFit="1" customWidth="1"/>
    <col min="73" max="73" width="7.33203125" bestFit="1" customWidth="1"/>
    <col min="74" max="74" width="6.88671875" bestFit="1" customWidth="1"/>
    <col min="75" max="75" width="12" bestFit="1" customWidth="1"/>
    <col min="76" max="76" width="21.88671875" bestFit="1" customWidth="1"/>
    <col min="77" max="77" width="13.88671875" bestFit="1" customWidth="1"/>
    <col min="78" max="78" width="21.88671875" bestFit="1" customWidth="1"/>
    <col min="79" max="80" width="12" bestFit="1" customWidth="1"/>
    <col min="81" max="81" width="12.88671875" bestFit="1" customWidth="1"/>
    <col min="82" max="82" width="21.88671875" bestFit="1" customWidth="1"/>
    <col min="83" max="83" width="13.88671875" bestFit="1" customWidth="1"/>
    <col min="84" max="84" width="21.88671875" bestFit="1" customWidth="1"/>
    <col min="85" max="85" width="11" bestFit="1" customWidth="1"/>
    <col min="86" max="86" width="12.44140625" bestFit="1" customWidth="1"/>
    <col min="87" max="87" width="12" bestFit="1" customWidth="1"/>
    <col min="88" max="88" width="12.44140625" bestFit="1" customWidth="1"/>
    <col min="89" max="89" width="12" bestFit="1" customWidth="1"/>
    <col min="90" max="90" width="12.44140625" bestFit="1" customWidth="1"/>
    <col min="91" max="91" width="13.88671875" bestFit="1" customWidth="1"/>
    <col min="92" max="92" width="20.6640625" bestFit="1" customWidth="1"/>
    <col min="93" max="93" width="13.88671875" bestFit="1" customWidth="1"/>
    <col min="94" max="94" width="21.88671875" bestFit="1" customWidth="1"/>
    <col min="95" max="95" width="13.88671875" bestFit="1" customWidth="1"/>
    <col min="96" max="96" width="21.88671875" bestFit="1" customWidth="1"/>
    <col min="97" max="97" width="8.88671875" bestFit="1" customWidth="1"/>
    <col min="98" max="98" width="11.88671875" bestFit="1" customWidth="1"/>
    <col min="99" max="100" width="12" bestFit="1" customWidth="1"/>
    <col min="102" max="102" width="12.109375" bestFit="1" customWidth="1"/>
    <col min="103" max="103" width="22.33203125" bestFit="1" customWidth="1"/>
    <col min="104" max="104" width="19.6640625" bestFit="1" customWidth="1"/>
  </cols>
  <sheetData>
    <row r="3" spans="2:18" ht="20.399999999999999" thickBot="1">
      <c r="B3" s="8" t="s">
        <v>131</v>
      </c>
      <c r="C3" s="8"/>
      <c r="D3" s="8"/>
      <c r="E3" s="8"/>
      <c r="F3" s="8"/>
      <c r="G3" s="8"/>
      <c r="H3" s="8"/>
      <c r="I3" s="8"/>
      <c r="J3" s="8"/>
      <c r="K3" s="8"/>
      <c r="L3" s="8"/>
      <c r="M3" s="8"/>
      <c r="N3" s="8"/>
      <c r="O3" s="8"/>
      <c r="P3" s="8"/>
      <c r="Q3" s="8"/>
      <c r="R3" s="8"/>
    </row>
    <row r="4" spans="2:18" ht="15" thickTop="1">
      <c r="B4" s="11" t="s">
        <v>101</v>
      </c>
      <c r="C4" s="25">
        <v>45689</v>
      </c>
      <c r="D4" s="25"/>
      <c r="J4" s="24"/>
      <c r="K4" s="26"/>
      <c r="L4" s="24"/>
      <c r="M4" s="25"/>
      <c r="N4" s="25"/>
    </row>
    <row r="7" spans="2:18" ht="28.8">
      <c r="B7" s="37" t="s">
        <v>80</v>
      </c>
      <c r="C7" s="37" t="s">
        <v>97</v>
      </c>
      <c r="D7" s="37" t="s">
        <v>119</v>
      </c>
      <c r="E7" s="37" t="s">
        <v>129</v>
      </c>
      <c r="F7" s="38" t="s">
        <v>86</v>
      </c>
      <c r="G7" s="38" t="s">
        <v>85</v>
      </c>
      <c r="H7" s="38" t="s">
        <v>103</v>
      </c>
      <c r="I7" s="37" t="s">
        <v>13</v>
      </c>
      <c r="J7" s="37" t="s">
        <v>14</v>
      </c>
      <c r="K7" s="37" t="s">
        <v>92</v>
      </c>
      <c r="L7" s="37" t="s">
        <v>93</v>
      </c>
      <c r="M7" s="37" t="s">
        <v>89</v>
      </c>
    </row>
    <row r="8" spans="2:18">
      <c r="B8" s="39">
        <v>46093.999827638283</v>
      </c>
      <c r="C8" s="39" t="s">
        <v>106</v>
      </c>
      <c r="D8" s="40" t="s">
        <v>120</v>
      </c>
      <c r="E8" s="40" t="s">
        <v>109</v>
      </c>
      <c r="F8" s="41">
        <v>5.55</v>
      </c>
      <c r="G8" s="42">
        <v>46093.999827638283</v>
      </c>
      <c r="H8" s="42" t="s">
        <v>104</v>
      </c>
      <c r="I8" s="43">
        <v>66.334991700000003</v>
      </c>
      <c r="J8" s="44">
        <v>60.3</v>
      </c>
      <c r="K8" s="45"/>
      <c r="L8" s="46"/>
      <c r="M8" s="45"/>
    </row>
    <row r="9" spans="2:18">
      <c r="B9" s="13">
        <v>46093.999972546095</v>
      </c>
      <c r="C9" s="13" t="s">
        <v>106</v>
      </c>
      <c r="D9" s="14" t="s">
        <v>120</v>
      </c>
      <c r="E9" s="14" t="s">
        <v>47</v>
      </c>
      <c r="F9" s="10">
        <v>209.53</v>
      </c>
      <c r="G9" s="6">
        <v>46093.999972546095</v>
      </c>
      <c r="H9" s="6" t="s">
        <v>104</v>
      </c>
      <c r="I9" s="15">
        <v>20</v>
      </c>
      <c r="J9" s="47">
        <v>160</v>
      </c>
      <c r="K9" s="16"/>
      <c r="L9" s="20"/>
      <c r="M9" s="16"/>
    </row>
    <row r="10" spans="2:18">
      <c r="B10" s="39">
        <v>46093.997114617967</v>
      </c>
      <c r="C10" s="39" t="s">
        <v>106</v>
      </c>
      <c r="D10" s="40" t="s">
        <v>120</v>
      </c>
      <c r="E10" s="40" t="s">
        <v>111</v>
      </c>
      <c r="F10" s="41">
        <v>70.650000000000006</v>
      </c>
      <c r="G10" s="42">
        <v>46093.997114617967</v>
      </c>
      <c r="H10" s="42" t="s">
        <v>104</v>
      </c>
      <c r="I10" s="43">
        <v>31.17692907</v>
      </c>
      <c r="J10" s="44">
        <v>128.30000000000001</v>
      </c>
      <c r="K10" s="45"/>
      <c r="L10" s="46"/>
      <c r="M10" s="45"/>
    </row>
    <row r="11" spans="2:18">
      <c r="B11" s="13">
        <v>46093.999850613283</v>
      </c>
      <c r="C11" s="13" t="s">
        <v>106</v>
      </c>
      <c r="D11" s="14" t="s">
        <v>120</v>
      </c>
      <c r="E11" s="14" t="s">
        <v>110</v>
      </c>
      <c r="F11" s="10">
        <v>99.43</v>
      </c>
      <c r="G11" s="6">
        <v>46093.999850613283</v>
      </c>
      <c r="H11" s="6" t="s">
        <v>104</v>
      </c>
      <c r="I11" s="15">
        <v>21.350947420000001</v>
      </c>
      <c r="J11" s="47">
        <v>187.35</v>
      </c>
      <c r="K11" s="16"/>
      <c r="L11" s="20"/>
      <c r="M11" s="16"/>
    </row>
    <row r="12" spans="2:18">
      <c r="B12" s="39">
        <v>46093.991623830472</v>
      </c>
      <c r="C12" s="39" t="s">
        <v>106</v>
      </c>
      <c r="D12" s="40" t="s">
        <v>120</v>
      </c>
      <c r="E12" s="40" t="s">
        <v>108</v>
      </c>
      <c r="F12" s="41">
        <v>353.13</v>
      </c>
      <c r="G12" s="42">
        <v>46093.991623830472</v>
      </c>
      <c r="H12" s="42" t="s">
        <v>104</v>
      </c>
      <c r="I12" s="43">
        <v>13.630454540000001</v>
      </c>
      <c r="J12" s="44">
        <v>264</v>
      </c>
      <c r="K12" s="45"/>
      <c r="L12" s="46"/>
      <c r="M12" s="45"/>
    </row>
    <row r="13" spans="2:18">
      <c r="B13" s="13">
        <v>46093.999989050782</v>
      </c>
      <c r="C13" s="13" t="s">
        <v>106</v>
      </c>
      <c r="D13" s="14" t="s">
        <v>120</v>
      </c>
      <c r="E13" s="14" t="s">
        <v>61</v>
      </c>
      <c r="F13" s="10">
        <v>395.01</v>
      </c>
      <c r="G13" s="6">
        <v>46093.999989050782</v>
      </c>
      <c r="H13" s="6" t="s">
        <v>104</v>
      </c>
      <c r="I13" s="15">
        <v>120.9</v>
      </c>
      <c r="J13" s="47">
        <v>297.17</v>
      </c>
      <c r="K13" s="16"/>
      <c r="L13" s="20"/>
      <c r="M13" s="16"/>
    </row>
    <row r="14" spans="2:18">
      <c r="B14" s="39">
        <v>46094.333344907405</v>
      </c>
      <c r="C14" s="39" t="s">
        <v>106</v>
      </c>
      <c r="D14" s="40" t="s">
        <v>120</v>
      </c>
      <c r="E14" s="40" t="s">
        <v>126</v>
      </c>
      <c r="F14" s="41">
        <v>51.26</v>
      </c>
      <c r="G14" s="42">
        <v>46094.333344907405</v>
      </c>
      <c r="H14" s="42" t="s">
        <v>105</v>
      </c>
      <c r="I14" s="43">
        <v>233</v>
      </c>
      <c r="J14" s="44">
        <v>28.9</v>
      </c>
      <c r="K14" s="45"/>
      <c r="L14" s="46"/>
      <c r="M14" s="45"/>
    </row>
    <row r="15" spans="2:18">
      <c r="B15" s="13">
        <v>46094.333344907405</v>
      </c>
      <c r="C15" s="13" t="s">
        <v>106</v>
      </c>
      <c r="D15" s="14" t="s">
        <v>120</v>
      </c>
      <c r="E15" s="14" t="s">
        <v>127</v>
      </c>
      <c r="F15" s="10">
        <v>107.6</v>
      </c>
      <c r="G15" s="6">
        <v>46094.333344907405</v>
      </c>
      <c r="H15" s="6" t="s">
        <v>105</v>
      </c>
      <c r="I15" s="15">
        <v>48</v>
      </c>
      <c r="J15" s="47">
        <v>80.92</v>
      </c>
      <c r="K15" s="16"/>
      <c r="L15" s="20"/>
      <c r="M15" s="16"/>
    </row>
    <row r="16" spans="2:18">
      <c r="B16" s="39">
        <v>46093.999960265624</v>
      </c>
      <c r="C16" s="39" t="s">
        <v>98</v>
      </c>
      <c r="D16" s="40" t="s">
        <v>120</v>
      </c>
      <c r="E16" s="48" t="s">
        <v>87</v>
      </c>
      <c r="F16" s="41">
        <v>199.28</v>
      </c>
      <c r="G16" s="42">
        <v>46093.999960265624</v>
      </c>
      <c r="H16" s="42" t="s">
        <v>104</v>
      </c>
      <c r="I16" s="43">
        <v>27.7088</v>
      </c>
      <c r="J16" s="44">
        <v>235</v>
      </c>
      <c r="K16" s="45"/>
      <c r="L16" s="46"/>
      <c r="M16" s="45"/>
    </row>
    <row r="17" spans="2:13">
      <c r="B17" s="13">
        <v>46093.999972546095</v>
      </c>
      <c r="C17" s="13" t="s">
        <v>98</v>
      </c>
      <c r="D17" s="14" t="s">
        <v>120</v>
      </c>
      <c r="E17" s="14" t="s">
        <v>47</v>
      </c>
      <c r="F17" s="10">
        <v>209.53</v>
      </c>
      <c r="G17" s="6">
        <v>46093.999972546095</v>
      </c>
      <c r="H17" s="6" t="s">
        <v>104</v>
      </c>
      <c r="I17" s="15">
        <v>63.36</v>
      </c>
      <c r="J17" s="47">
        <v>157.8295</v>
      </c>
      <c r="K17" s="16"/>
      <c r="L17" s="20"/>
      <c r="M17" s="16"/>
    </row>
    <row r="18" spans="2:13">
      <c r="B18" s="39">
        <v>46093.999936967186</v>
      </c>
      <c r="C18" s="39" t="s">
        <v>98</v>
      </c>
      <c r="D18" s="40" t="s">
        <v>120</v>
      </c>
      <c r="E18" s="40" t="s">
        <v>38</v>
      </c>
      <c r="F18" s="41">
        <v>401.86</v>
      </c>
      <c r="G18" s="42">
        <v>46093.999936967186</v>
      </c>
      <c r="H18" s="42" t="s">
        <v>104</v>
      </c>
      <c r="I18" s="43">
        <v>33.178800000000003</v>
      </c>
      <c r="J18" s="44">
        <v>214.6</v>
      </c>
      <c r="K18" s="45"/>
      <c r="L18" s="46"/>
      <c r="M18" s="45"/>
    </row>
    <row r="19" spans="2:13">
      <c r="B19" s="13">
        <v>46093.999994733596</v>
      </c>
      <c r="C19" s="13" t="s">
        <v>98</v>
      </c>
      <c r="D19" s="14" t="s">
        <v>120</v>
      </c>
      <c r="E19" s="14" t="s">
        <v>84</v>
      </c>
      <c r="F19" s="10">
        <v>255.76</v>
      </c>
      <c r="G19" s="6">
        <v>46093.999994733596</v>
      </c>
      <c r="H19" s="6" t="s">
        <v>104</v>
      </c>
      <c r="I19" s="15">
        <v>83.430700000000002</v>
      </c>
      <c r="J19" s="47">
        <v>119.86</v>
      </c>
      <c r="K19" s="16"/>
      <c r="L19" s="20"/>
      <c r="M19" s="16"/>
    </row>
    <row r="20" spans="2:13">
      <c r="B20" s="39">
        <v>46093.999989050782</v>
      </c>
      <c r="C20" s="39" t="s">
        <v>98</v>
      </c>
      <c r="D20" s="40" t="s">
        <v>120</v>
      </c>
      <c r="E20" s="40" t="s">
        <v>61</v>
      </c>
      <c r="F20" s="41">
        <v>395.01</v>
      </c>
      <c r="G20" s="42">
        <v>46093.999989050782</v>
      </c>
      <c r="H20" s="42" t="s">
        <v>104</v>
      </c>
      <c r="I20" s="43">
        <v>57.31</v>
      </c>
      <c r="J20" s="44">
        <v>140.13</v>
      </c>
      <c r="K20" s="45"/>
      <c r="L20" s="46"/>
      <c r="M20" s="45"/>
    </row>
    <row r="21" spans="2:13">
      <c r="B21" s="13">
        <v>46094.333344907405</v>
      </c>
      <c r="C21" s="13" t="s">
        <v>98</v>
      </c>
      <c r="D21" s="14" t="s">
        <v>120</v>
      </c>
      <c r="E21" s="14" t="s">
        <v>126</v>
      </c>
      <c r="F21" s="10">
        <v>51.26</v>
      </c>
      <c r="G21" s="6">
        <v>46094.333344907405</v>
      </c>
      <c r="H21" s="6" t="s">
        <v>105</v>
      </c>
      <c r="I21" s="15">
        <v>258</v>
      </c>
      <c r="J21" s="47">
        <v>27.6</v>
      </c>
      <c r="K21" s="16"/>
      <c r="L21" s="20"/>
      <c r="M21" s="16"/>
    </row>
    <row r="22" spans="2:13">
      <c r="B22" s="39">
        <v>46094.333344907405</v>
      </c>
      <c r="C22" s="39" t="s">
        <v>98</v>
      </c>
      <c r="D22" s="40" t="s">
        <v>120</v>
      </c>
      <c r="E22" s="40" t="s">
        <v>127</v>
      </c>
      <c r="F22" s="41">
        <v>107.6</v>
      </c>
      <c r="G22" s="42">
        <v>46094.333344907405</v>
      </c>
      <c r="H22" s="42" t="s">
        <v>105</v>
      </c>
      <c r="I22" s="43">
        <v>125</v>
      </c>
      <c r="J22" s="44">
        <v>77.45</v>
      </c>
      <c r="K22" s="45"/>
      <c r="L22" s="46"/>
      <c r="M22" s="45"/>
    </row>
    <row r="23" spans="2:13">
      <c r="B23" s="13">
        <v>46094.333344907405</v>
      </c>
      <c r="C23" s="13" t="s">
        <v>98</v>
      </c>
      <c r="D23" s="14" t="s">
        <v>120</v>
      </c>
      <c r="E23" s="14" t="s">
        <v>124</v>
      </c>
      <c r="F23" s="10">
        <v>107.56</v>
      </c>
      <c r="G23" s="6">
        <v>46094.333344907405</v>
      </c>
      <c r="H23" s="6" t="s">
        <v>105</v>
      </c>
      <c r="I23" s="15">
        <v>29</v>
      </c>
      <c r="J23" s="47">
        <v>255.38</v>
      </c>
      <c r="K23" s="16"/>
      <c r="L23" s="20"/>
      <c r="M23" s="16"/>
    </row>
    <row r="24" spans="2:13">
      <c r="B24" s="39">
        <v>46094.333344907405</v>
      </c>
      <c r="C24" s="39" t="s">
        <v>98</v>
      </c>
      <c r="D24" s="40" t="s">
        <v>120</v>
      </c>
      <c r="E24" s="40" t="s">
        <v>124</v>
      </c>
      <c r="F24" s="41">
        <v>107.56</v>
      </c>
      <c r="G24" s="42">
        <v>46094.333344907405</v>
      </c>
      <c r="H24" s="42" t="s">
        <v>105</v>
      </c>
      <c r="I24" s="43">
        <v>178</v>
      </c>
      <c r="J24" s="44">
        <v>85.91</v>
      </c>
      <c r="K24" s="45"/>
      <c r="L24" s="46"/>
      <c r="M24" s="45"/>
    </row>
    <row r="25" spans="2:13">
      <c r="B25" s="13">
        <v>46094.409791666665</v>
      </c>
      <c r="C25" s="13" t="s">
        <v>98</v>
      </c>
      <c r="D25" s="14" t="s">
        <v>120</v>
      </c>
      <c r="E25" s="14" t="s">
        <v>114</v>
      </c>
      <c r="F25" s="10">
        <v>102308.56660000001</v>
      </c>
      <c r="G25" s="6">
        <v>46094.409791666665</v>
      </c>
      <c r="H25" s="6" t="s">
        <v>105</v>
      </c>
      <c r="I25" s="15">
        <v>7.2340000000000002E-2</v>
      </c>
      <c r="J25" s="47">
        <v>69214</v>
      </c>
      <c r="K25" s="16"/>
      <c r="L25" s="20"/>
      <c r="M25" s="16"/>
    </row>
    <row r="26" spans="2:13">
      <c r="B26" s="39">
        <v>46094.409756944442</v>
      </c>
      <c r="C26" s="39" t="s">
        <v>98</v>
      </c>
      <c r="D26" s="40" t="s">
        <v>120</v>
      </c>
      <c r="E26" s="40" t="s">
        <v>115</v>
      </c>
      <c r="F26" s="41">
        <v>2999.0770000000002</v>
      </c>
      <c r="G26" s="42">
        <v>46094.409756944442</v>
      </c>
      <c r="H26" s="42" t="s">
        <v>105</v>
      </c>
      <c r="I26" s="43">
        <v>0.89</v>
      </c>
      <c r="J26" s="44">
        <v>5571</v>
      </c>
      <c r="K26" s="45"/>
      <c r="L26" s="46"/>
      <c r="M26" s="45"/>
    </row>
  </sheetData>
  <dataValidations count="3">
    <dataValidation type="list" allowBlank="1" showInputMessage="1" showErrorMessage="1" sqref="D8:D26" xr:uid="{CA632DCB-2F27-4106-BD7B-0FC27288FEDF}">
      <formula1>"Property,Stock"</formula1>
    </dataValidation>
    <dataValidation type="list" allowBlank="1" showInputMessage="1" showErrorMessage="1" sqref="H8:H26" xr:uid="{8E280884-565E-4F98-9590-E591D29D55EA}">
      <formula1>"Yes,No"</formula1>
    </dataValidation>
    <dataValidation type="list" allowBlank="1" showInputMessage="1" showErrorMessage="1" sqref="C8:C26" xr:uid="{9B689A13-5D33-4BEA-80D3-DD39B6714993}">
      <formula1>"Gabriel,Arina,Both"</formula1>
    </dataValidation>
  </dataValidations>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F7258-F45A-43DD-AF2A-59028B78EB60}">
  <sheetPr>
    <tabColor rgb="FFFF0000"/>
  </sheetPr>
  <dimension ref="B3:Z57"/>
  <sheetViews>
    <sheetView showGridLines="0" topLeftCell="A9" zoomScale="115" zoomScaleNormal="115" workbookViewId="0">
      <selection activeCell="B66" sqref="B66"/>
    </sheetView>
  </sheetViews>
  <sheetFormatPr defaultColWidth="9.109375" defaultRowHeight="14.4"/>
  <cols>
    <col min="1" max="1" width="4.88671875" customWidth="1"/>
    <col min="2" max="2" width="20.109375" customWidth="1"/>
    <col min="3" max="3" width="11.6640625" customWidth="1"/>
    <col min="4" max="4" width="10.109375" customWidth="1"/>
    <col min="5" max="5" width="9.6640625" customWidth="1"/>
    <col min="6" max="6" width="14.109375" customWidth="1"/>
    <col min="7" max="7" width="16" customWidth="1"/>
    <col min="8" max="8" width="8.5546875" customWidth="1"/>
    <col min="9" max="9" width="18.6640625" customWidth="1"/>
    <col min="10" max="10" width="17.109375" customWidth="1"/>
    <col min="11" max="11" width="12.6640625" bestFit="1" customWidth="1"/>
    <col min="12" max="12" width="8.6640625" customWidth="1"/>
    <col min="13" max="13" width="12.6640625" bestFit="1" customWidth="1"/>
    <col min="14" max="14" width="17.33203125" customWidth="1"/>
    <col min="15" max="15" width="19" customWidth="1"/>
    <col min="16" max="16" width="12.6640625" bestFit="1" customWidth="1"/>
    <col min="17" max="17" width="12" bestFit="1" customWidth="1"/>
    <col min="18" max="18" width="28.44140625" customWidth="1"/>
    <col min="19" max="21" width="12" bestFit="1" customWidth="1"/>
    <col min="22" max="22" width="11" bestFit="1" customWidth="1"/>
    <col min="23" max="24" width="12" bestFit="1" customWidth="1"/>
    <col min="25" max="25" width="7" bestFit="1" customWidth="1"/>
    <col min="26" max="29" width="12" bestFit="1" customWidth="1"/>
    <col min="30" max="30" width="7.33203125" bestFit="1" customWidth="1"/>
    <col min="31" max="31" width="14.6640625" bestFit="1" customWidth="1"/>
    <col min="32" max="32" width="6.6640625" bestFit="1" customWidth="1"/>
    <col min="33" max="34" width="12.6640625" bestFit="1" customWidth="1"/>
    <col min="35" max="35" width="11.6640625" bestFit="1" customWidth="1"/>
    <col min="36" max="39" width="12.6640625" bestFit="1" customWidth="1"/>
    <col min="40" max="44" width="12" bestFit="1" customWidth="1"/>
    <col min="45" max="45" width="11" bestFit="1" customWidth="1"/>
    <col min="46" max="47" width="12" bestFit="1" customWidth="1"/>
    <col min="48" max="48" width="6" bestFit="1" customWidth="1"/>
    <col min="49" max="52" width="12" bestFit="1" customWidth="1"/>
    <col min="53" max="53" width="7.33203125" bestFit="1" customWidth="1"/>
    <col min="54" max="54" width="22.33203125" bestFit="1" customWidth="1"/>
    <col min="55" max="55" width="19.6640625" bestFit="1" customWidth="1"/>
    <col min="56" max="56" width="12.5546875" bestFit="1" customWidth="1"/>
    <col min="57" max="57" width="14.5546875" bestFit="1" customWidth="1"/>
    <col min="58" max="58" width="22.5546875" bestFit="1" customWidth="1"/>
    <col min="59" max="59" width="14.5546875" bestFit="1" customWidth="1"/>
    <col min="60" max="60" width="22.5546875" bestFit="1" customWidth="1"/>
    <col min="61" max="61" width="14.5546875" bestFit="1" customWidth="1"/>
    <col min="62" max="62" width="22.5546875" bestFit="1" customWidth="1"/>
    <col min="63" max="63" width="14.5546875" bestFit="1" customWidth="1"/>
    <col min="64" max="64" width="22.5546875" bestFit="1" customWidth="1"/>
    <col min="65" max="65" width="12.6640625" bestFit="1" customWidth="1"/>
    <col min="66" max="66" width="13.33203125" bestFit="1" customWidth="1"/>
    <col min="67" max="67" width="14.5546875" bestFit="1" customWidth="1"/>
    <col min="68" max="68" width="22.5546875" bestFit="1" customWidth="1"/>
    <col min="69" max="69" width="13.5546875" bestFit="1" customWidth="1"/>
    <col min="70" max="70" width="16.33203125" bestFit="1" customWidth="1"/>
    <col min="71" max="71" width="12.6640625" bestFit="1" customWidth="1"/>
    <col min="72" max="72" width="22.5546875" bestFit="1" customWidth="1"/>
    <col min="73" max="73" width="7.33203125" bestFit="1" customWidth="1"/>
    <col min="74" max="74" width="6.88671875" bestFit="1" customWidth="1"/>
    <col min="75" max="75" width="12" bestFit="1" customWidth="1"/>
    <col min="76" max="76" width="21.88671875" bestFit="1" customWidth="1"/>
    <col min="77" max="77" width="13.88671875" bestFit="1" customWidth="1"/>
    <col min="78" max="78" width="21.88671875" bestFit="1" customWidth="1"/>
    <col min="79" max="80" width="12" bestFit="1" customWidth="1"/>
    <col min="81" max="81" width="12.88671875" bestFit="1" customWidth="1"/>
    <col min="82" max="82" width="21.88671875" bestFit="1" customWidth="1"/>
    <col min="83" max="83" width="13.88671875" bestFit="1" customWidth="1"/>
    <col min="84" max="84" width="21.88671875" bestFit="1" customWidth="1"/>
    <col min="85" max="85" width="11" bestFit="1" customWidth="1"/>
    <col min="86" max="86" width="12.44140625" bestFit="1" customWidth="1"/>
    <col min="87" max="87" width="12" bestFit="1" customWidth="1"/>
    <col min="88" max="88" width="12.44140625" bestFit="1" customWidth="1"/>
    <col min="89" max="89" width="12" bestFit="1" customWidth="1"/>
    <col min="90" max="90" width="12.44140625" bestFit="1" customWidth="1"/>
    <col min="91" max="91" width="13.88671875" bestFit="1" customWidth="1"/>
    <col min="92" max="92" width="20.6640625" bestFit="1" customWidth="1"/>
    <col min="93" max="93" width="13.88671875" bestFit="1" customWidth="1"/>
    <col min="94" max="94" width="21.88671875" bestFit="1" customWidth="1"/>
    <col min="95" max="95" width="13.88671875" bestFit="1" customWidth="1"/>
    <col min="96" max="96" width="21.88671875" bestFit="1" customWidth="1"/>
    <col min="97" max="97" width="8.88671875" bestFit="1" customWidth="1"/>
    <col min="98" max="98" width="11.88671875" bestFit="1" customWidth="1"/>
    <col min="99" max="100" width="12" bestFit="1" customWidth="1"/>
    <col min="102" max="102" width="12.109375" bestFit="1" customWidth="1"/>
    <col min="103" max="103" width="22.33203125" bestFit="1" customWidth="1"/>
    <col min="104" max="104" width="19.6640625" bestFit="1" customWidth="1"/>
  </cols>
  <sheetData>
    <row r="3" spans="2:26" ht="20.399999999999999" thickBot="1">
      <c r="B3" s="8" t="s">
        <v>0</v>
      </c>
      <c r="C3" s="8"/>
      <c r="D3" s="8"/>
      <c r="E3" s="8"/>
      <c r="F3" s="8"/>
      <c r="G3" s="8"/>
      <c r="H3" s="8"/>
      <c r="I3" s="8"/>
      <c r="J3" s="8"/>
      <c r="K3" s="8"/>
      <c r="L3" s="8"/>
      <c r="M3" s="8"/>
      <c r="N3" s="8"/>
      <c r="O3" s="8"/>
      <c r="P3" s="8"/>
      <c r="Q3" s="8"/>
      <c r="R3" s="8"/>
    </row>
    <row r="4" spans="2:26" ht="15" thickTop="1">
      <c r="B4" s="11" t="s">
        <v>101</v>
      </c>
      <c r="C4" s="25">
        <v>45689</v>
      </c>
      <c r="D4" s="25"/>
      <c r="J4" s="24" t="s">
        <v>100</v>
      </c>
      <c r="K4" s="26">
        <v>0.65</v>
      </c>
      <c r="L4" s="24" t="s">
        <v>102</v>
      </c>
      <c r="M4" s="25">
        <v>45123</v>
      </c>
      <c r="N4" s="25"/>
    </row>
    <row r="6" spans="2:26" ht="32.25" customHeight="1">
      <c r="B6" t="s">
        <v>80</v>
      </c>
      <c r="C6" t="s">
        <v>97</v>
      </c>
      <c r="D6" t="s">
        <v>119</v>
      </c>
      <c r="E6" t="s">
        <v>129</v>
      </c>
      <c r="F6" s="12" t="s">
        <v>86</v>
      </c>
      <c r="G6" s="12" t="s">
        <v>85</v>
      </c>
      <c r="H6" s="12" t="s">
        <v>103</v>
      </c>
      <c r="I6" t="s">
        <v>13</v>
      </c>
      <c r="J6" t="s">
        <v>14</v>
      </c>
      <c r="K6" t="s">
        <v>92</v>
      </c>
      <c r="L6" t="s">
        <v>93</v>
      </c>
      <c r="M6" t="s">
        <v>89</v>
      </c>
      <c r="N6" t="s">
        <v>91</v>
      </c>
      <c r="O6" s="12" t="s">
        <v>90</v>
      </c>
      <c r="P6" s="12" t="s">
        <v>112</v>
      </c>
      <c r="Q6" s="12" t="s">
        <v>113</v>
      </c>
      <c r="R6" t="s">
        <v>96</v>
      </c>
      <c r="S6" t="s">
        <v>82</v>
      </c>
      <c r="T6" s="12" t="s">
        <v>83</v>
      </c>
    </row>
    <row r="7" spans="2:26">
      <c r="B7" s="13">
        <f ca="1">_xlfn.XLOOKUP(Table139[[#This Row],[Stock Name]],StockPrice[Ticker symbol],StockPrice[Last trade time])</f>
        <v>46093.999827638283</v>
      </c>
      <c r="C7" s="13" t="s">
        <v>106</v>
      </c>
      <c r="D7" s="14" t="s">
        <v>120</v>
      </c>
      <c r="E7" s="14" t="s">
        <v>109</v>
      </c>
      <c r="F7" s="10">
        <f ca="1">_xlfn.XLOOKUP(Table139[[#This Row],[Stock Name]],StockPrice[Ticker symbol],StockPrice[Price])</f>
        <v>5.55</v>
      </c>
      <c r="G7" s="6">
        <f ca="1">_xlfn.XLOOKUP(Table139[[#This Row],[Stock Name]],StockPrice[Ticker symbol],StockPrice[Last trade time])</f>
        <v>46093.999827638283</v>
      </c>
      <c r="H7" s="6" t="s">
        <v>104</v>
      </c>
      <c r="I7" s="15">
        <v>66.334991700000003</v>
      </c>
      <c r="J7" s="28">
        <v>60.3</v>
      </c>
      <c r="K7" s="16">
        <f>IF(Table139[[#This Row],[Is USD]]="Yes",Table139[[#This Row],[Qty]]*Table139[[#This Row],[Price]],"")</f>
        <v>3999.9999995100002</v>
      </c>
      <c r="L7" s="20">
        <v>0.77</v>
      </c>
      <c r="M7" s="16">
        <f>IF(Table139[[#This Row],[Is USD]]="Yes",Table139[[#This Row],[Total US]]/Table139[[#This Row],[AUD-&gt;US Rate]],Table139[[#This Row],[Price]]*Table139[[#This Row],[Qty]])</f>
        <v>5194.8051941688309</v>
      </c>
      <c r="N7" s="16">
        <f ca="1">IF(Table139[[#This Row],[Is USD]]="Yes",(Table139[[#This Row],[Curr.  Share 
Price]]*Table139[[#This Row],[Qty]]),"")</f>
        <v>368.15920393499999</v>
      </c>
      <c r="O7" s="16">
        <f ca="1">IF(Table139[[#This Row],[Is USD]]="Yes",(Table139[[#This Row],[Curr.  Share 
Price]]*Table139[[#This Row],[Qty]])/$K$4,Table139[[#This Row],[Curr.  Share 
Price]]*Table139[[#This Row],[Qty]])</f>
        <v>566.39877528461534</v>
      </c>
      <c r="P7" s="16">
        <f ca="1">IF(Table139[[#This Row],[Is USD]]="Yes",(Table139[[#This Row],[Curr.  Share 
Price]]*Table139[[#This Row],[Qty]] - Table139[[#This Row],[Total US]]),"")</f>
        <v>-3631.8407955750004</v>
      </c>
      <c r="Q7" s="18">
        <f ca="1">IF(Table139[[#This Row],[Is USD]]="Yes",Table139[[#This Row],[Profit US]]/Table139[[#This Row],[Total US]],"")</f>
        <v>-0.90796019900497515</v>
      </c>
      <c r="R7" s="16">
        <f ca="1">Table139[[#This Row],[Curr. Equit AUD]]-Table139[[#This Row],[Total AUD]]</f>
        <v>-4628.4064188842158</v>
      </c>
      <c r="S7" s="18">
        <f ca="1">Table139[[#This Row],[Profit AUD]]/Table139[[#This Row],[Total AUD]]</f>
        <v>-0.89096823574435524</v>
      </c>
      <c r="T7" s="17">
        <f ca="1">DATEDIF(Table139[[#This Row],[Date]],TODAY(),"D")</f>
        <v>1</v>
      </c>
    </row>
    <row r="8" spans="2:26">
      <c r="B8" s="13">
        <f ca="1">_xlfn.XLOOKUP(Table139[[#This Row],[Stock Name]],StockPrice[Ticker symbol],StockPrice[Last trade time])</f>
        <v>46093.999972546095</v>
      </c>
      <c r="C8" s="13" t="s">
        <v>106</v>
      </c>
      <c r="D8" s="14" t="s">
        <v>120</v>
      </c>
      <c r="E8" s="14" t="s">
        <v>47</v>
      </c>
      <c r="F8" s="10">
        <f ca="1">_xlfn.XLOOKUP(Table139[[#This Row],[Stock Name]],StockPrice[Ticker symbol],StockPrice[Price])</f>
        <v>209.53</v>
      </c>
      <c r="G8" s="6">
        <f ca="1">_xlfn.XLOOKUP(Table139[[#This Row],[Stock Name]],StockPrice[Ticker symbol],StockPrice[Last trade time])</f>
        <v>46093.999972546095</v>
      </c>
      <c r="H8" s="6" t="s">
        <v>104</v>
      </c>
      <c r="I8" s="15">
        <v>20</v>
      </c>
      <c r="J8" s="28">
        <v>160</v>
      </c>
      <c r="K8" s="16">
        <f>IF(Table139[[#This Row],[Is USD]]="Yes",Table139[[#This Row],[Qty]]*Table139[[#This Row],[Price]],"")</f>
        <v>3200</v>
      </c>
      <c r="L8" s="20">
        <v>0.77</v>
      </c>
      <c r="M8" s="16">
        <f>IF(Table139[[#This Row],[Is USD]]="Yes",Table139[[#This Row],[Total US]]/Table139[[#This Row],[AUD-&gt;US Rate]],Table139[[#This Row],[Price]]*Table139[[#This Row],[Qty]])</f>
        <v>4155.8441558441555</v>
      </c>
      <c r="N8" s="16">
        <f ca="1">IF(Table139[[#This Row],[Is USD]]="Yes",(Table139[[#This Row],[Curr.  Share 
Price]]*Table139[[#This Row],[Qty]]),"")</f>
        <v>4190.6000000000004</v>
      </c>
      <c r="O8" s="16">
        <f ca="1">IF(Table139[[#This Row],[Is USD]]="Yes",(Table139[[#This Row],[Curr.  Share 
Price]]*Table139[[#This Row],[Qty]])/$K$4,Table139[[#This Row],[Curr.  Share 
Price]]*Table139[[#This Row],[Qty]])</f>
        <v>6447.0769230769238</v>
      </c>
      <c r="P8" s="16">
        <f ca="1">IF(Table139[[#This Row],[Is USD]]="Yes",(Table139[[#This Row],[Curr.  Share 
Price]]*Table139[[#This Row],[Qty]] - Table139[[#This Row],[Total US]]),"")</f>
        <v>990.60000000000036</v>
      </c>
      <c r="Q8" s="18">
        <f ca="1">IF(Table139[[#This Row],[Is USD]]="Yes",Table139[[#This Row],[Profit US]]/Table139[[#This Row],[Total US]],"")</f>
        <v>0.30956250000000013</v>
      </c>
      <c r="R8" s="16">
        <f ca="1">Table139[[#This Row],[Curr. Equit AUD]]-Table139[[#This Row],[Total AUD]]</f>
        <v>2291.2327672327683</v>
      </c>
      <c r="S8" s="18">
        <f ca="1">Table139[[#This Row],[Profit AUD]]/Table139[[#This Row],[Total AUD]]</f>
        <v>0.55132788461538496</v>
      </c>
      <c r="T8" s="17">
        <f ca="1">DATEDIF(Table139[[#This Row],[Date]],TODAY(),"D")</f>
        <v>1</v>
      </c>
      <c r="Z8" s="7"/>
    </row>
    <row r="9" spans="2:26">
      <c r="B9" s="13">
        <f ca="1">_xlfn.XLOOKUP(Table139[[#This Row],[Stock Name]],StockPrice[Ticker symbol],StockPrice[Last trade time])</f>
        <v>46093.997114617967</v>
      </c>
      <c r="C9" s="13" t="s">
        <v>106</v>
      </c>
      <c r="D9" s="14" t="s">
        <v>120</v>
      </c>
      <c r="E9" s="14" t="s">
        <v>111</v>
      </c>
      <c r="F9" s="10">
        <f ca="1">_xlfn.XLOOKUP(Table139[[#This Row],[Stock Name]],StockPrice[Ticker symbol],StockPrice[Price])</f>
        <v>70.650000000000006</v>
      </c>
      <c r="G9" s="6">
        <f ca="1">_xlfn.XLOOKUP(Table139[[#This Row],[Stock Name]],StockPrice[Ticker symbol],StockPrice[Last trade time])</f>
        <v>46093.997114617967</v>
      </c>
      <c r="H9" s="6" t="s">
        <v>104</v>
      </c>
      <c r="I9" s="15">
        <v>31.17692907</v>
      </c>
      <c r="J9" s="28">
        <v>128.30000000000001</v>
      </c>
      <c r="K9" s="16">
        <f>IF(Table139[[#This Row],[Is USD]]="Yes",Table139[[#This Row],[Qty]]*Table139[[#This Row],[Price]],"")</f>
        <v>3999.9999996810002</v>
      </c>
      <c r="L9" s="20">
        <v>0.76</v>
      </c>
      <c r="M9" s="16">
        <f>IF(Table139[[#This Row],[Is USD]]="Yes",Table139[[#This Row],[Total US]]/Table139[[#This Row],[AUD-&gt;US Rate]],Table139[[#This Row],[Price]]*Table139[[#This Row],[Qty]])</f>
        <v>5263.1578943171053</v>
      </c>
      <c r="N9" s="16">
        <f ca="1">IF(Table139[[#This Row],[Is USD]]="Yes",(Table139[[#This Row],[Curr.  Share 
Price]]*Table139[[#This Row],[Qty]]),"")</f>
        <v>2202.6500387955002</v>
      </c>
      <c r="O9" s="16">
        <f ca="1">IF(Table139[[#This Row],[Is USD]]="Yes",(Table139[[#This Row],[Curr.  Share 
Price]]*Table139[[#This Row],[Qty]])/$K$4,Table139[[#This Row],[Curr.  Share 
Price]]*Table139[[#This Row],[Qty]])</f>
        <v>3388.6923673776923</v>
      </c>
      <c r="P9" s="16">
        <f ca="1">IF(Table139[[#This Row],[Is USD]]="Yes",(Table139[[#This Row],[Curr.  Share 
Price]]*Table139[[#This Row],[Qty]] - Table139[[#This Row],[Total US]]),"")</f>
        <v>-1797.3499608855</v>
      </c>
      <c r="Q9" s="18">
        <f ca="1">IF(Table139[[#This Row],[Is USD]]="Yes",Table139[[#This Row],[Profit US]]/Table139[[#This Row],[Total US]],"")</f>
        <v>-0.44933749025720965</v>
      </c>
      <c r="R9" s="16">
        <f ca="1">Table139[[#This Row],[Curr. Equit AUD]]-Table139[[#This Row],[Total AUD]]</f>
        <v>-1874.4655269394129</v>
      </c>
      <c r="S9" s="18">
        <f ca="1">Table139[[#This Row],[Profit AUD]]/Table139[[#This Row],[Total AUD]]</f>
        <v>-0.35614845014689128</v>
      </c>
      <c r="T9" s="17">
        <f ca="1">DATEDIF(Table139[[#This Row],[Date]],TODAY(),"D")</f>
        <v>1</v>
      </c>
    </row>
    <row r="10" spans="2:26">
      <c r="B10" s="13">
        <f ca="1">_xlfn.XLOOKUP(Table139[[#This Row],[Stock Name]],StockPrice[Ticker symbol],StockPrice[Last trade time])</f>
        <v>46093.999850613283</v>
      </c>
      <c r="C10" s="13" t="s">
        <v>106</v>
      </c>
      <c r="D10" s="14" t="s">
        <v>120</v>
      </c>
      <c r="E10" s="14" t="s">
        <v>110</v>
      </c>
      <c r="F10" s="10">
        <f ca="1">_xlfn.XLOOKUP(Table139[[#This Row],[Stock Name]],StockPrice[Ticker symbol],StockPrice[Price])</f>
        <v>99.43</v>
      </c>
      <c r="G10" s="6">
        <f ca="1">_xlfn.XLOOKUP(Table139[[#This Row],[Stock Name]],StockPrice[Ticker symbol],StockPrice[Last trade time])</f>
        <v>46093.999850613283</v>
      </c>
      <c r="H10" s="6" t="s">
        <v>104</v>
      </c>
      <c r="I10" s="15">
        <v>21.350947420000001</v>
      </c>
      <c r="J10" s="28">
        <v>187.35</v>
      </c>
      <c r="K10" s="16">
        <f>IF(Table139[[#This Row],[Is USD]]="Yes",Table139[[#This Row],[Qty]]*Table139[[#This Row],[Price]],"")</f>
        <v>4000.0999991369999</v>
      </c>
      <c r="L10" s="20">
        <v>0.76</v>
      </c>
      <c r="M10" s="16">
        <f>IF(Table139[[#This Row],[Is USD]]="Yes",Table139[[#This Row],[Total US]]/Table139[[#This Row],[AUD-&gt;US Rate]],Table139[[#This Row],[Price]]*Table139[[#This Row],[Qty]])</f>
        <v>5263.289472548684</v>
      </c>
      <c r="N10" s="16">
        <f ca="1">IF(Table139[[#This Row],[Is USD]]="Yes",(Table139[[#This Row],[Curr.  Share 
Price]]*Table139[[#This Row],[Qty]]),"")</f>
        <v>2122.9247019706004</v>
      </c>
      <c r="O10" s="16">
        <f ca="1">IF(Table139[[#This Row],[Is USD]]="Yes",(Table139[[#This Row],[Curr.  Share 
Price]]*Table139[[#This Row],[Qty]])/$K$4,Table139[[#This Row],[Curr.  Share 
Price]]*Table139[[#This Row],[Qty]])</f>
        <v>3266.0380030316928</v>
      </c>
      <c r="P10" s="16">
        <f ca="1">IF(Table139[[#This Row],[Is USD]]="Yes",(Table139[[#This Row],[Curr.  Share 
Price]]*Table139[[#This Row],[Qty]] - Table139[[#This Row],[Total US]]),"")</f>
        <v>-1877.1752971663996</v>
      </c>
      <c r="Q10" s="18">
        <f ca="1">IF(Table139[[#This Row],[Is USD]]="Yes",Table139[[#This Row],[Profit US]]/Table139[[#This Row],[Total US]],"")</f>
        <v>-0.46928209234053897</v>
      </c>
      <c r="R10" s="16">
        <f ca="1">Table139[[#This Row],[Curr. Equit AUD]]-Table139[[#This Row],[Total AUD]]</f>
        <v>-1997.2514695169912</v>
      </c>
      <c r="S10" s="18">
        <f ca="1">Table139[[#This Row],[Profit AUD]]/Table139[[#This Row],[Total AUD]]</f>
        <v>-0.37946829258278403</v>
      </c>
      <c r="T10" s="17">
        <f ca="1">DATEDIF(Table139[[#This Row],[Date]],TODAY(),"D")</f>
        <v>1</v>
      </c>
    </row>
    <row r="11" spans="2:26">
      <c r="B11" s="13">
        <f ca="1">_xlfn.XLOOKUP(Table139[[#This Row],[Stock Name]],StockPrice[Ticker symbol],StockPrice[Last trade time])</f>
        <v>46093.991623830472</v>
      </c>
      <c r="C11" s="13" t="s">
        <v>106</v>
      </c>
      <c r="D11" s="14" t="s">
        <v>120</v>
      </c>
      <c r="E11" s="14" t="s">
        <v>108</v>
      </c>
      <c r="F11" s="10">
        <f ca="1">_xlfn.XLOOKUP(Table139[[#This Row],[Stock Name]],StockPrice[Ticker symbol],StockPrice[Price])</f>
        <v>353.13</v>
      </c>
      <c r="G11" s="6">
        <f ca="1">_xlfn.XLOOKUP(Table139[[#This Row],[Stock Name]],StockPrice[Ticker symbol],StockPrice[Last trade time])</f>
        <v>46093.991623830472</v>
      </c>
      <c r="H11" s="6" t="s">
        <v>104</v>
      </c>
      <c r="I11" s="15">
        <v>13.630454540000001</v>
      </c>
      <c r="J11" s="28">
        <v>264</v>
      </c>
      <c r="K11" s="16">
        <f>IF(Table139[[#This Row],[Is USD]]="Yes",Table139[[#This Row],[Qty]]*Table139[[#This Row],[Price]],"")</f>
        <v>3598.4399985600003</v>
      </c>
      <c r="L11" s="20">
        <v>0.77</v>
      </c>
      <c r="M11" s="16">
        <f>IF(Table139[[#This Row],[Is USD]]="Yes",Table139[[#This Row],[Total US]]/Table139[[#This Row],[AUD-&gt;US Rate]],Table139[[#This Row],[Price]]*Table139[[#This Row],[Qty]])</f>
        <v>4673.298699428572</v>
      </c>
      <c r="N11" s="16">
        <f ca="1">IF(Table139[[#This Row],[Is USD]]="Yes",(Table139[[#This Row],[Curr.  Share 
Price]]*Table139[[#This Row],[Qty]]),"")</f>
        <v>4813.3224117102</v>
      </c>
      <c r="O11" s="16">
        <f ca="1">IF(Table139[[#This Row],[Is USD]]="Yes",(Table139[[#This Row],[Curr.  Share 
Price]]*Table139[[#This Row],[Qty]])/$K$4,Table139[[#This Row],[Curr.  Share 
Price]]*Table139[[#This Row],[Qty]])</f>
        <v>7405.111402631077</v>
      </c>
      <c r="P11" s="16">
        <f ca="1">IF(Table139[[#This Row],[Is USD]]="Yes",(Table139[[#This Row],[Curr.  Share 
Price]]*Table139[[#This Row],[Qty]] - Table139[[#This Row],[Total US]]),"")</f>
        <v>1214.8824131501997</v>
      </c>
      <c r="Q11" s="18">
        <f ca="1">IF(Table139[[#This Row],[Is USD]]="Yes",Table139[[#This Row],[Profit US]]/Table139[[#This Row],[Total US]],"")</f>
        <v>0.33761363636363623</v>
      </c>
      <c r="R11" s="16">
        <f ca="1">Table139[[#This Row],[Curr. Equit AUD]]-Table139[[#This Row],[Total AUD]]</f>
        <v>2731.812703202505</v>
      </c>
      <c r="S11" s="18">
        <f ca="1">Table139[[#This Row],[Profit AUD]]/Table139[[#This Row],[Total AUD]]</f>
        <v>0.58455769230769217</v>
      </c>
      <c r="T11" s="17">
        <f ca="1">DATEDIF(Table139[[#This Row],[Date]],TODAY(),"D")</f>
        <v>1</v>
      </c>
    </row>
    <row r="12" spans="2:26">
      <c r="B12" s="13">
        <f ca="1">_xlfn.XLOOKUP(Table139[[#This Row],[Stock Name]],StockPrice[Ticker symbol],StockPrice[Last trade time])</f>
        <v>46093.999989050782</v>
      </c>
      <c r="C12" s="13" t="s">
        <v>106</v>
      </c>
      <c r="D12" s="14" t="s">
        <v>120</v>
      </c>
      <c r="E12" s="14" t="s">
        <v>61</v>
      </c>
      <c r="F12" s="10">
        <f ca="1">_xlfn.XLOOKUP(Table139[[#This Row],[Stock Name]],StockPrice[Ticker symbol],StockPrice[Price])</f>
        <v>395.01</v>
      </c>
      <c r="G12" s="6">
        <f ca="1">_xlfn.XLOOKUP(Table139[[#This Row],[Stock Name]],StockPrice[Ticker symbol],StockPrice[Last trade time])</f>
        <v>46093.999989050782</v>
      </c>
      <c r="H12" s="6" t="s">
        <v>104</v>
      </c>
      <c r="I12" s="15">
        <v>120.9</v>
      </c>
      <c r="J12" s="28">
        <v>297.17</v>
      </c>
      <c r="K12" s="16">
        <f>IF(Table139[[#This Row],[Is USD]]="Yes",Table139[[#This Row],[Qty]]*Table139[[#This Row],[Price]],"")</f>
        <v>35927.853000000003</v>
      </c>
      <c r="L12" s="20">
        <v>0.76</v>
      </c>
      <c r="M12" s="16">
        <f>IF(Table139[[#This Row],[Is USD]]="Yes",Table139[[#This Row],[Total US]]/Table139[[#This Row],[AUD-&gt;US Rate]],Table139[[#This Row],[Price]]*Table139[[#This Row],[Qty]])</f>
        <v>47273.49078947369</v>
      </c>
      <c r="N12" s="16">
        <f ca="1">IF(Table139[[#This Row],[Is USD]]="Yes",(Table139[[#This Row],[Curr.  Share 
Price]]*Table139[[#This Row],[Qty]]),"")</f>
        <v>47756.709000000003</v>
      </c>
      <c r="O12" s="16">
        <f ca="1">IF(Table139[[#This Row],[Is USD]]="Yes",(Table139[[#This Row],[Curr.  Share 
Price]]*Table139[[#This Row],[Qty]])/$K$4,Table139[[#This Row],[Curr.  Share 
Price]]*Table139[[#This Row],[Qty]])</f>
        <v>73471.86</v>
      </c>
      <c r="P12" s="16">
        <f ca="1">IF(Table139[[#This Row],[Is USD]]="Yes",(Table139[[#This Row],[Curr.  Share 
Price]]*Table139[[#This Row],[Qty]] - Table139[[#This Row],[Total US]]),"")</f>
        <v>11828.856</v>
      </c>
      <c r="Q12" s="18">
        <f ca="1">IF(Table139[[#This Row],[Is USD]]="Yes",Table139[[#This Row],[Profit US]]/Table139[[#This Row],[Total US]],"")</f>
        <v>0.32923915603863108</v>
      </c>
      <c r="R12" s="16">
        <f ca="1">Table139[[#This Row],[Curr. Equit AUD]]-Table139[[#This Row],[Total AUD]]</f>
        <v>26198.369210526311</v>
      </c>
      <c r="S12" s="18">
        <f ca="1">Table139[[#This Row],[Profit AUD]]/Table139[[#This Row],[Total AUD]]</f>
        <v>0.55418732090670697</v>
      </c>
      <c r="T12" s="17">
        <f ca="1">DATEDIF(Table139[[#This Row],[Date]],TODAY(),"D")</f>
        <v>1</v>
      </c>
    </row>
    <row r="13" spans="2:26">
      <c r="B13" s="13">
        <f ca="1">_xlfn.XLOOKUP(Table139[[#This Row],[Stock Name]],StockPrice[Ticker symbol],StockPrice[Last trade time])</f>
        <v>46094.333344907405</v>
      </c>
      <c r="C13" s="13" t="s">
        <v>106</v>
      </c>
      <c r="D13" s="14" t="s">
        <v>120</v>
      </c>
      <c r="E13" s="14" t="s">
        <v>126</v>
      </c>
      <c r="F13" s="10">
        <f ca="1">_xlfn.XLOOKUP(Table139[[#This Row],[Stock Name]],StockPrice[Ticker symbol],StockPrice[Price])</f>
        <v>51.26</v>
      </c>
      <c r="G13" s="6">
        <f ca="1">_xlfn.XLOOKUP(Table139[[#This Row],[Stock Name]],StockPrice[Ticker symbol],StockPrice[Last trade time])</f>
        <v>46094.333344907405</v>
      </c>
      <c r="H13" s="6" t="s">
        <v>105</v>
      </c>
      <c r="I13" s="15">
        <v>233</v>
      </c>
      <c r="J13" s="28">
        <v>28.9</v>
      </c>
      <c r="K13" s="16" t="str">
        <f>IF(Table139[[#This Row],[Is USD]]="Yes",Table139[[#This Row],[Qty]]*Table139[[#This Row],[Price]],"")</f>
        <v/>
      </c>
      <c r="L13" s="20"/>
      <c r="M13" s="16">
        <f>IF(Table139[[#This Row],[Is USD]]="Yes",Table139[[#This Row],[Total US]]/Table139[[#This Row],[AUD-&gt;US Rate]],Table139[[#This Row],[Price]]*Table139[[#This Row],[Qty]])</f>
        <v>6733.7</v>
      </c>
      <c r="N13" s="16" t="str">
        <f>IF(Table139[[#This Row],[Is USD]]="Yes",(Table139[[#This Row],[Curr.  Share 
Price]]*Table139[[#This Row],[Qty]]),"")</f>
        <v/>
      </c>
      <c r="O13" s="16">
        <f ca="1">IF(Table139[[#This Row],[Is USD]]="Yes",(Table139[[#This Row],[Curr.  Share 
Price]]*Table139[[#This Row],[Qty]])/$K$4,Table139[[#This Row],[Curr.  Share 
Price]]*Table139[[#This Row],[Qty]])</f>
        <v>11943.58</v>
      </c>
      <c r="P13" s="16" t="str">
        <f>IF(Table139[[#This Row],[Is USD]]="Yes",(Table139[[#This Row],[Curr.  Share 
Price]]*Table139[[#This Row],[Qty]] - Table139[[#This Row],[Total US]]),"")</f>
        <v/>
      </c>
      <c r="Q13" s="18" t="str">
        <f>IF(Table139[[#This Row],[Is USD]]="Yes",Table139[[#This Row],[Profit US]]/Table139[[#This Row],[Total US]],"")</f>
        <v/>
      </c>
      <c r="R13" s="16">
        <f ca="1">Table139[[#This Row],[Curr. Equit AUD]]-Table139[[#This Row],[Total AUD]]</f>
        <v>5209.88</v>
      </c>
      <c r="S13" s="18">
        <f ca="1">Table139[[#This Row],[Profit AUD]]/Table139[[#This Row],[Total AUD]]</f>
        <v>0.77370242214532881</v>
      </c>
      <c r="T13" s="17">
        <f ca="1">DATEDIF(Table139[[#This Row],[Date]],TODAY(),"D")</f>
        <v>0</v>
      </c>
    </row>
    <row r="14" spans="2:26">
      <c r="B14" s="13">
        <f ca="1">_xlfn.XLOOKUP(Table139[[#This Row],[Stock Name]],StockPrice[Ticker symbol],StockPrice[Last trade time])</f>
        <v>46094.333344907405</v>
      </c>
      <c r="C14" s="13" t="s">
        <v>106</v>
      </c>
      <c r="D14" s="14" t="s">
        <v>120</v>
      </c>
      <c r="E14" s="14" t="s">
        <v>127</v>
      </c>
      <c r="F14" s="10">
        <f ca="1">_xlfn.XLOOKUP(Table139[[#This Row],[Stock Name]],StockPrice[Ticker symbol],StockPrice[Price])</f>
        <v>107.6</v>
      </c>
      <c r="G14" s="6">
        <f ca="1">_xlfn.XLOOKUP(Table139[[#This Row],[Stock Name]],StockPrice[Ticker symbol],StockPrice[Last trade time])</f>
        <v>46094.333344907405</v>
      </c>
      <c r="H14" s="6" t="s">
        <v>105</v>
      </c>
      <c r="I14" s="15">
        <v>48</v>
      </c>
      <c r="J14" s="28">
        <v>80.92</v>
      </c>
      <c r="K14" s="16" t="str">
        <f>IF(Table139[[#This Row],[Is USD]]="Yes",Table139[[#This Row],[Qty]]*Table139[[#This Row],[Price]],"")</f>
        <v/>
      </c>
      <c r="L14" s="20"/>
      <c r="M14" s="16">
        <f>IF(Table139[[#This Row],[Is USD]]="Yes",Table139[[#This Row],[Total US]]/Table139[[#This Row],[AUD-&gt;US Rate]],Table139[[#This Row],[Price]]*Table139[[#This Row],[Qty]])</f>
        <v>3884.16</v>
      </c>
      <c r="N14" s="16" t="str">
        <f>IF(Table139[[#This Row],[Is USD]]="Yes",(Table139[[#This Row],[Curr.  Share 
Price]]*Table139[[#This Row],[Qty]]),"")</f>
        <v/>
      </c>
      <c r="O14" s="16">
        <f ca="1">IF(Table139[[#This Row],[Is USD]]="Yes",(Table139[[#This Row],[Curr.  Share 
Price]]*Table139[[#This Row],[Qty]])/$K$4,Table139[[#This Row],[Curr.  Share 
Price]]*Table139[[#This Row],[Qty]])</f>
        <v>5164.7999999999993</v>
      </c>
      <c r="P14" s="16" t="str">
        <f>IF(Table139[[#This Row],[Is USD]]="Yes",(Table139[[#This Row],[Curr.  Share 
Price]]*Table139[[#This Row],[Qty]] - Table139[[#This Row],[Total US]]),"")</f>
        <v/>
      </c>
      <c r="Q14" s="18" t="str">
        <f>IF(Table139[[#This Row],[Is USD]]="Yes",Table139[[#This Row],[Profit US]]/Table139[[#This Row],[Total US]],"")</f>
        <v/>
      </c>
      <c r="R14" s="16">
        <f ca="1">Table139[[#This Row],[Curr. Equit AUD]]-Table139[[#This Row],[Total AUD]]</f>
        <v>1280.6399999999994</v>
      </c>
      <c r="S14" s="18">
        <f ca="1">Table139[[#This Row],[Profit AUD]]/Table139[[#This Row],[Total AUD]]</f>
        <v>0.32970835392980707</v>
      </c>
      <c r="T14" s="17">
        <f ca="1">DATEDIF(Table139[[#This Row],[Date]],TODAY(),"D")</f>
        <v>0</v>
      </c>
    </row>
    <row r="15" spans="2:26" hidden="1">
      <c r="B15" s="13">
        <v>44581</v>
      </c>
      <c r="C15" s="13" t="s">
        <v>106</v>
      </c>
      <c r="D15" s="14" t="s">
        <v>121</v>
      </c>
      <c r="E15" s="14" t="s">
        <v>116</v>
      </c>
      <c r="F15" s="10" t="e">
        <f>#REF!</f>
        <v>#REF!</v>
      </c>
      <c r="G15" s="6">
        <v>44658</v>
      </c>
      <c r="H15" s="6" t="s">
        <v>105</v>
      </c>
      <c r="I15" s="15">
        <v>1</v>
      </c>
      <c r="J15" s="29">
        <v>200000</v>
      </c>
      <c r="K15" s="16" t="str">
        <f>IF(Table139[[#This Row],[Is USD]]="Yes",Table139[[#This Row],[Qty]]*Table139[[#This Row],[Price]],"")</f>
        <v/>
      </c>
      <c r="L15" s="20"/>
      <c r="M15" s="16">
        <f>IF(Table139[[#This Row],[Is USD]]="Yes",Table139[[#This Row],[Total US]]/Table139[[#This Row],[AUD-&gt;US Rate]],Table139[[#This Row],[Price]]*Table139[[#This Row],[Qty]])</f>
        <v>200000</v>
      </c>
      <c r="N15" s="16" t="str">
        <f>IF(Table139[[#This Row],[Is USD]]="Yes",(Table139[[#This Row],[Curr.  Share 
Price]]*Table139[[#This Row],[Qty]]),"")</f>
        <v/>
      </c>
      <c r="O15" s="16" t="e">
        <f>Table139[[#This Row],[Curr.  Share 
Price]]-935000</f>
        <v>#REF!</v>
      </c>
      <c r="P15" s="16" t="str">
        <f>IF(Table139[[#This Row],[Is USD]]="Yes",(Table139[[#This Row],[Curr.  Share 
Price]]*Table139[[#This Row],[Qty]] - Table139[[#This Row],[Total US]]),"")</f>
        <v/>
      </c>
      <c r="Q15" s="18" t="str">
        <f>IF(Table139[[#This Row],[Is USD]]="Yes",Table139[[#This Row],[Profit US]]/Table139[[#This Row],[Total US]],"")</f>
        <v/>
      </c>
      <c r="R15" s="16" t="e">
        <f>Table139[[#This Row],[Curr. Equit AUD]]-Table139[[#This Row],[Total AUD]]</f>
        <v>#REF!</v>
      </c>
      <c r="S15" s="18" t="e">
        <f>Table139[[#This Row],[Profit AUD]]/Table139[[#This Row],[Price]]</f>
        <v>#REF!</v>
      </c>
      <c r="T15" s="17">
        <f ca="1">DATEDIF(Table139[[#This Row],[Date]],TODAY(),"D")</f>
        <v>1513</v>
      </c>
    </row>
    <row r="16" spans="2:26" hidden="1">
      <c r="B16" s="13">
        <v>43480</v>
      </c>
      <c r="C16" s="13" t="s">
        <v>106</v>
      </c>
      <c r="D16" s="14" t="s">
        <v>121</v>
      </c>
      <c r="E16" s="14" t="s">
        <v>94</v>
      </c>
      <c r="F16" s="10" t="e">
        <f>#REF!</f>
        <v>#REF!</v>
      </c>
      <c r="G16" s="6">
        <v>44658</v>
      </c>
      <c r="H16" s="6" t="s">
        <v>105</v>
      </c>
      <c r="I16" s="15">
        <v>1</v>
      </c>
      <c r="J16" s="29">
        <v>130000</v>
      </c>
      <c r="K16" s="16" t="str">
        <f>IF(Table139[[#This Row],[Is USD]]="Yes",Table139[[#This Row],[Qty]]*Table139[[#This Row],[Price]],"")</f>
        <v/>
      </c>
      <c r="L16" s="20"/>
      <c r="M16" s="16">
        <f>IF(Table139[[#This Row],[Is USD]]="Yes",Table139[[#This Row],[Total US]]/Table139[[#This Row],[AUD-&gt;US Rate]],Table139[[#This Row],[Price]]*Table139[[#This Row],[Qty]])</f>
        <v>130000</v>
      </c>
      <c r="N16" s="16" t="str">
        <f>IF(Table139[[#This Row],[Is USD]]="Yes",(Table139[[#This Row],[Curr.  Share 
Price]]*Table139[[#This Row],[Qty]]),"")</f>
        <v/>
      </c>
      <c r="O16" s="16" t="e">
        <f>Table139[[#This Row],[Curr.  Share 
Price]]-625000</f>
        <v>#REF!</v>
      </c>
      <c r="P16" s="16"/>
      <c r="Q16" s="18"/>
      <c r="R16" s="16" t="e">
        <f>Table139[[#This Row],[Curr. Equit AUD]]-Table139[[#This Row],[Price]]</f>
        <v>#REF!</v>
      </c>
      <c r="S16" s="18" t="e">
        <f>Table139[[#This Row],[Profit AUD]]/Table139[[#This Row],[Price]]</f>
        <v>#REF!</v>
      </c>
      <c r="T16" s="17">
        <f ca="1">DATEDIF(Table139[[#This Row],[Date]],TODAY(),"D")</f>
        <v>2614</v>
      </c>
      <c r="W16" s="7"/>
    </row>
    <row r="17" spans="2:24" hidden="1">
      <c r="B17" s="13"/>
      <c r="C17" s="13" t="s">
        <v>107</v>
      </c>
      <c r="D17" s="14"/>
      <c r="E17" s="14" t="s">
        <v>88</v>
      </c>
      <c r="F17" s="10"/>
      <c r="G17" s="6"/>
      <c r="H17" s="6" t="s">
        <v>105</v>
      </c>
      <c r="I17" s="15"/>
      <c r="J17" s="28"/>
      <c r="K17" s="16" t="str">
        <f>IF(Table139[[#This Row],[Is USD]]="Yes",Table139[[#This Row],[Qty]]*Table139[[#This Row],[Price]],"")</f>
        <v/>
      </c>
      <c r="L17" s="20"/>
      <c r="M17" s="16" t="e">
        <f>SUM(#REF!,#REF!)</f>
        <v>#REF!</v>
      </c>
      <c r="N17" s="16" t="str">
        <f>IF(Table139[[#This Row],[Is USD]]="Yes",(Table139[[#This Row],[Curr.  Share 
Price]]*Table139[[#This Row],[Qty]]),"")</f>
        <v/>
      </c>
      <c r="O17" s="16"/>
      <c r="P17" s="16"/>
      <c r="Q17" s="18"/>
      <c r="R17" s="16"/>
      <c r="S17" s="18"/>
      <c r="T17" s="17"/>
    </row>
    <row r="18" spans="2:24">
      <c r="B18" s="13">
        <f ca="1">_xlfn.XLOOKUP(Table139[[#This Row],[Stock Name]],StockPrice[Ticker symbol],StockPrice[Last trade time])</f>
        <v>46093.999960265624</v>
      </c>
      <c r="C18" s="13" t="s">
        <v>98</v>
      </c>
      <c r="D18" s="14" t="s">
        <v>120</v>
      </c>
      <c r="E18" s="33" t="s">
        <v>87</v>
      </c>
      <c r="F18" s="10">
        <f ca="1">_xlfn.XLOOKUP(Table139[[#This Row],[Stock Name]],StockPrice[Ticker symbol],StockPrice[Price])</f>
        <v>199.28</v>
      </c>
      <c r="G18" s="6">
        <f ca="1">_xlfn.XLOOKUP(Table139[[#This Row],[Stock Name]],StockPrice[Ticker symbol],StockPrice[Last trade time])</f>
        <v>46093.999960265624</v>
      </c>
      <c r="H18" s="6" t="s">
        <v>104</v>
      </c>
      <c r="I18" s="15">
        <v>27.7088</v>
      </c>
      <c r="J18" s="28">
        <v>235</v>
      </c>
      <c r="K18" s="16">
        <f>IF(Table139[[#This Row],[Is USD]]="Yes",Table139[[#This Row],[Qty]]*Table139[[#This Row],[Price]],"")</f>
        <v>6511.5680000000002</v>
      </c>
      <c r="L18" s="20">
        <v>0.77</v>
      </c>
      <c r="M18" s="16">
        <f>IF(Table139[[#This Row],[Is USD]]="Yes",Table139[[#This Row],[Total US]]/Table139[[#This Row],[AUD-&gt;US Rate]],Table139[[#This Row],[Price]]*Table139[[#This Row],[Qty]])</f>
        <v>8456.5818181818177</v>
      </c>
      <c r="N18" s="16">
        <f ca="1">IF(Table139[[#This Row],[Is USD]]="Yes",(Table139[[#This Row],[Curr.  Share 
Price]]*Table139[[#This Row],[Qty]]),"")</f>
        <v>5521.8096640000003</v>
      </c>
      <c r="O18" s="16">
        <f ca="1">IF(Table139[[#This Row],[Is USD]]="Yes",(Table139[[#This Row],[Curr.  Share 
Price]]*Table139[[#This Row],[Qty]])/$K$4,Table139[[#This Row],[Curr.  Share 
Price]]*Table139[[#This Row],[Qty]])</f>
        <v>8495.091790769231</v>
      </c>
      <c r="P18" s="16">
        <f ca="1">IF(Table139[[#This Row],[Is USD]]="Yes",(Table139[[#This Row],[Curr.  Share 
Price]]*Table139[[#This Row],[Qty]] - Table139[[#This Row],[Total US]]),"")</f>
        <v>-989.75833599999987</v>
      </c>
      <c r="Q18" s="18">
        <f ca="1">IF(Table139[[#This Row],[Is USD]]="Yes",Table139[[#This Row],[Profit US]]/Table139[[#This Row],[Total US]],"")</f>
        <v>-0.15199999999999997</v>
      </c>
      <c r="R18" s="16">
        <f ca="1">Table139[[#This Row],[Curr. Equit AUD]]-Table139[[#This Row],[Total AUD]]</f>
        <v>38.509972587413358</v>
      </c>
      <c r="S18" s="18">
        <f ca="1">Table139[[#This Row],[Profit AUD]]/Table139[[#This Row],[Total AUD]]</f>
        <v>4.5538461538462451E-3</v>
      </c>
      <c r="T18" s="17">
        <f ca="1">DATEDIF(Table139[[#This Row],[Date]],TODAY(),"D")</f>
        <v>1</v>
      </c>
    </row>
    <row r="19" spans="2:24">
      <c r="B19" s="13">
        <f ca="1">_xlfn.XLOOKUP(Table139[[#This Row],[Stock Name]],StockPrice[Ticker symbol],StockPrice[Last trade time])</f>
        <v>46093.999972546095</v>
      </c>
      <c r="C19" s="13" t="s">
        <v>98</v>
      </c>
      <c r="D19" s="14" t="s">
        <v>120</v>
      </c>
      <c r="E19" s="14" t="s">
        <v>47</v>
      </c>
      <c r="F19" s="10">
        <f ca="1">_xlfn.XLOOKUP(Table139[[#This Row],[Stock Name]],StockPrice[Ticker symbol],StockPrice[Price])</f>
        <v>209.53</v>
      </c>
      <c r="G19" s="6">
        <f ca="1">_xlfn.XLOOKUP(Table139[[#This Row],[Stock Name]],StockPrice[Ticker symbol],StockPrice[Last trade time])</f>
        <v>46093.999972546095</v>
      </c>
      <c r="H19" s="6" t="s">
        <v>104</v>
      </c>
      <c r="I19" s="15">
        <v>63.36</v>
      </c>
      <c r="J19" s="28">
        <f>3156.59/20</f>
        <v>157.8295</v>
      </c>
      <c r="K19" s="16">
        <f>IF(Table139[[#This Row],[Is USD]]="Yes",Table139[[#This Row],[Qty]]*Table139[[#This Row],[Price]],"")</f>
        <v>10000.07712</v>
      </c>
      <c r="L19" s="20">
        <v>0.77</v>
      </c>
      <c r="M19" s="16">
        <f>IF(Table139[[#This Row],[Is USD]]="Yes",Table139[[#This Row],[Total US]]/Table139[[#This Row],[AUD-&gt;US Rate]],Table139[[#This Row],[Price]]*Table139[[#This Row],[Qty]])</f>
        <v>12987.113142857143</v>
      </c>
      <c r="N19" s="16">
        <f ca="1">IF(Table139[[#This Row],[Is USD]]="Yes",(Table139[[#This Row],[Curr.  Share 
Price]]*Table139[[#This Row],[Qty]]),"")</f>
        <v>13275.8208</v>
      </c>
      <c r="O19" s="16">
        <f ca="1">IF(Table139[[#This Row],[Is USD]]="Yes",(Table139[[#This Row],[Curr.  Share 
Price]]*Table139[[#This Row],[Qty]])/$K$4,Table139[[#This Row],[Curr.  Share 
Price]]*Table139[[#This Row],[Qty]])</f>
        <v>20424.339692307691</v>
      </c>
      <c r="P19" s="16">
        <f ca="1">IF(Table139[[#This Row],[Is USD]]="Yes",(Table139[[#This Row],[Curr.  Share 
Price]]*Table139[[#This Row],[Qty]] - Table139[[#This Row],[Total US]]),"")</f>
        <v>3275.7436799999996</v>
      </c>
      <c r="Q19" s="18">
        <f ca="1">IF(Table139[[#This Row],[Is USD]]="Yes",Table139[[#This Row],[Profit US]]/Table139[[#This Row],[Total US]],"")</f>
        <v>0.32757184176595627</v>
      </c>
      <c r="R19" s="16">
        <f ca="1">Table139[[#This Row],[Curr. Equit AUD]]-Table139[[#This Row],[Total AUD]]</f>
        <v>7437.2265494505482</v>
      </c>
      <c r="S19" s="18">
        <f ca="1">Table139[[#This Row],[Profit AUD]]/Table139[[#This Row],[Total AUD]]</f>
        <v>0.57266202793813281</v>
      </c>
      <c r="T19" s="17">
        <f ca="1">DATEDIF(Table139[[#This Row],[Date]],TODAY(),"D")</f>
        <v>1</v>
      </c>
      <c r="X19" s="7"/>
    </row>
    <row r="20" spans="2:24">
      <c r="B20" s="13">
        <f ca="1">_xlfn.XLOOKUP(Table139[[#This Row],[Stock Name]],StockPrice[Ticker symbol],StockPrice[Last trade time])</f>
        <v>46093.999936967186</v>
      </c>
      <c r="C20" s="13" t="s">
        <v>98</v>
      </c>
      <c r="D20" s="14" t="s">
        <v>120</v>
      </c>
      <c r="E20" s="14" t="s">
        <v>38</v>
      </c>
      <c r="F20" s="10">
        <f ca="1">_xlfn.XLOOKUP(Table139[[#This Row],[Stock Name]],StockPrice[Ticker symbol],StockPrice[Price])</f>
        <v>401.86</v>
      </c>
      <c r="G20" s="6">
        <f ca="1">_xlfn.XLOOKUP(Table139[[#This Row],[Stock Name]],StockPrice[Ticker symbol],StockPrice[Last trade time])</f>
        <v>46093.999936967186</v>
      </c>
      <c r="H20" s="6" t="s">
        <v>104</v>
      </c>
      <c r="I20" s="15">
        <v>33.178800000000003</v>
      </c>
      <c r="J20" s="28">
        <v>214.6</v>
      </c>
      <c r="K20" s="16">
        <f>IF(Table139[[#This Row],[Is USD]]="Yes",Table139[[#This Row],[Qty]]*Table139[[#This Row],[Price]],"")</f>
        <v>7120.1704800000007</v>
      </c>
      <c r="L20" s="20">
        <v>0.77</v>
      </c>
      <c r="M20" s="16">
        <f>IF(Table139[[#This Row],[Is USD]]="Yes",Table139[[#This Row],[Total US]]/Table139[[#This Row],[AUD-&gt;US Rate]],Table139[[#This Row],[Price]]*Table139[[#This Row],[Qty]])</f>
        <v>9246.97464935065</v>
      </c>
      <c r="N20" s="16">
        <f ca="1">IF(Table139[[#This Row],[Is USD]]="Yes",(Table139[[#This Row],[Curr.  Share 
Price]]*Table139[[#This Row],[Qty]]),"")</f>
        <v>13333.232568000001</v>
      </c>
      <c r="O20" s="16">
        <f ca="1">IF(Table139[[#This Row],[Is USD]]="Yes",(Table139[[#This Row],[Curr.  Share 
Price]]*Table139[[#This Row],[Qty]])/$K$4,Table139[[#This Row],[Curr.  Share 
Price]]*Table139[[#This Row],[Qty]])</f>
        <v>20512.665489230771</v>
      </c>
      <c r="P20" s="16">
        <f ca="1">IF(Table139[[#This Row],[Is USD]]="Yes",(Table139[[#This Row],[Curr.  Share 
Price]]*Table139[[#This Row],[Qty]] - Table139[[#This Row],[Total US]]),"")</f>
        <v>6213.0620880000006</v>
      </c>
      <c r="Q20" s="18">
        <f ca="1">IF(Table139[[#This Row],[Is USD]]="Yes",Table139[[#This Row],[Profit US]]/Table139[[#This Row],[Total US]],"")</f>
        <v>0.87260018639328985</v>
      </c>
      <c r="R20" s="16">
        <f ca="1">Table139[[#This Row],[Curr. Equit AUD]]-Table139[[#This Row],[Total AUD]]</f>
        <v>11265.690839880121</v>
      </c>
      <c r="S20" s="18">
        <f ca="1">Table139[[#This Row],[Profit AUD]]/Table139[[#This Row],[Total AUD]]</f>
        <v>1.2183109900351279</v>
      </c>
      <c r="T20" s="17">
        <f ca="1">DATEDIF(Table139[[#This Row],[Date]],TODAY(),"D")</f>
        <v>1</v>
      </c>
    </row>
    <row r="21" spans="2:24">
      <c r="B21" s="13">
        <f ca="1">_xlfn.XLOOKUP(Table139[[#This Row],[Stock Name]],StockPrice[Ticker symbol],StockPrice[Last trade time])</f>
        <v>46093.999994733596</v>
      </c>
      <c r="C21" s="13" t="s">
        <v>98</v>
      </c>
      <c r="D21" s="14" t="s">
        <v>120</v>
      </c>
      <c r="E21" s="14" t="s">
        <v>84</v>
      </c>
      <c r="F21" s="10">
        <f ca="1">_xlfn.XLOOKUP(Table139[[#This Row],[Stock Name]],StockPrice[Ticker symbol],StockPrice[Price])</f>
        <v>255.76</v>
      </c>
      <c r="G21" s="6">
        <f ca="1">_xlfn.XLOOKUP(Table139[[#This Row],[Stock Name]],StockPrice[Ticker symbol],StockPrice[Last trade time])</f>
        <v>46093.999994733596</v>
      </c>
      <c r="H21" s="6" t="s">
        <v>104</v>
      </c>
      <c r="I21" s="15">
        <v>83.430700000000002</v>
      </c>
      <c r="J21" s="28">
        <v>119.86</v>
      </c>
      <c r="K21" s="16">
        <f>IF(Table139[[#This Row],[Is USD]]="Yes",Table139[[#This Row],[Qty]]*Table139[[#This Row],[Price]],"")</f>
        <v>10000.003702</v>
      </c>
      <c r="L21" s="20">
        <v>0.77</v>
      </c>
      <c r="M21" s="16">
        <f>IF(Table139[[#This Row],[Is USD]]="Yes",Table139[[#This Row],[Total US]]/Table139[[#This Row],[AUD-&gt;US Rate]],Table139[[#This Row],[Price]]*Table139[[#This Row],[Qty]])</f>
        <v>12987.017794805195</v>
      </c>
      <c r="N21" s="16">
        <f ca="1">IF(Table139[[#This Row],[Is USD]]="Yes",(Table139[[#This Row],[Curr.  Share 
Price]]*Table139[[#This Row],[Qty]]),"")</f>
        <v>21338.235831999998</v>
      </c>
      <c r="O21" s="16">
        <f ca="1">IF(Table139[[#This Row],[Is USD]]="Yes",(Table139[[#This Row],[Curr.  Share 
Price]]*Table139[[#This Row],[Qty]])/$K$4,Table139[[#This Row],[Curr.  Share 
Price]]*Table139[[#This Row],[Qty]])</f>
        <v>32828.055126153842</v>
      </c>
      <c r="P21" s="16">
        <f ca="1">IF(Table139[[#This Row],[Is USD]]="Yes",(Table139[[#This Row],[Curr.  Share 
Price]]*Table139[[#This Row],[Qty]] - Table139[[#This Row],[Total US]]),"")</f>
        <v>11338.232129999999</v>
      </c>
      <c r="Q21" s="18">
        <f ca="1">IF(Table139[[#This Row],[Is USD]]="Yes",Table139[[#This Row],[Profit US]]/Table139[[#This Row],[Total US]],"")</f>
        <v>1.1338227932588019</v>
      </c>
      <c r="R21" s="16">
        <f ca="1">Table139[[#This Row],[Curr. Equit AUD]]-Table139[[#This Row],[Total AUD]]</f>
        <v>19841.037331348649</v>
      </c>
      <c r="S21" s="18">
        <f ca="1">Table139[[#This Row],[Profit AUD]]/Table139[[#This Row],[Total AUD]]</f>
        <v>1.5277593089373498</v>
      </c>
      <c r="T21" s="17">
        <f ca="1">DATEDIF(Table139[[#This Row],[Date]],TODAY(),"D")</f>
        <v>1</v>
      </c>
    </row>
    <row r="22" spans="2:24">
      <c r="B22" s="13">
        <f ca="1">_xlfn.XLOOKUP(Table139[[#This Row],[Stock Name]],StockPrice[Ticker symbol],StockPrice[Last trade time])</f>
        <v>46093.999989050782</v>
      </c>
      <c r="C22" s="13" t="s">
        <v>98</v>
      </c>
      <c r="D22" s="14" t="s">
        <v>120</v>
      </c>
      <c r="E22" s="14" t="s">
        <v>61</v>
      </c>
      <c r="F22" s="10">
        <f ca="1">_xlfn.XLOOKUP(Table139[[#This Row],[Stock Name]],StockPrice[Ticker symbol],StockPrice[Price])</f>
        <v>395.01</v>
      </c>
      <c r="G22" s="6">
        <f ca="1">_xlfn.XLOOKUP(Table139[[#This Row],[Stock Name]],StockPrice[Ticker symbol],StockPrice[Last trade time])</f>
        <v>46093.999989050782</v>
      </c>
      <c r="H22" s="6" t="s">
        <v>104</v>
      </c>
      <c r="I22" s="15">
        <v>57.31</v>
      </c>
      <c r="J22" s="28">
        <v>140.13</v>
      </c>
      <c r="K22" s="16">
        <f>IF(Table139[[#This Row],[Is USD]]="Yes",Table139[[#This Row],[Qty]]*Table139[[#This Row],[Price]],"")</f>
        <v>8030.8503000000001</v>
      </c>
      <c r="L22" s="20">
        <v>0.77</v>
      </c>
      <c r="M22" s="16">
        <f>IF(Table139[[#This Row],[Is USD]]="Yes",Table139[[#This Row],[Total US]]/Table139[[#This Row],[AUD-&gt;US Rate]],Table139[[#This Row],[Price]]*Table139[[#This Row],[Qty]])</f>
        <v>10429.675714285715</v>
      </c>
      <c r="N22" s="16">
        <f ca="1">IF(Table139[[#This Row],[Is USD]]="Yes",(Table139[[#This Row],[Curr.  Share 
Price]]*Table139[[#This Row],[Qty]]),"")</f>
        <v>22638.023100000002</v>
      </c>
      <c r="O22" s="16">
        <f ca="1">IF(Table139[[#This Row],[Is USD]]="Yes",(Table139[[#This Row],[Curr.  Share 
Price]]*Table139[[#This Row],[Qty]])/$K$4,Table139[[#This Row],[Curr.  Share 
Price]]*Table139[[#This Row],[Qty]])</f>
        <v>34827.727846153852</v>
      </c>
      <c r="P22" s="16">
        <f ca="1">IF(Table139[[#This Row],[Is USD]]="Yes",(Table139[[#This Row],[Curr.  Share 
Price]]*Table139[[#This Row],[Qty]] - Table139[[#This Row],[Total US]]),"")</f>
        <v>14607.172800000002</v>
      </c>
      <c r="Q22" s="18">
        <f ca="1">IF(Table139[[#This Row],[Is USD]]="Yes",Table139[[#This Row],[Profit US]]/Table139[[#This Row],[Total US]],"")</f>
        <v>1.8188824662813106</v>
      </c>
      <c r="R22" s="16">
        <f ca="1">Table139[[#This Row],[Curr. Equit AUD]]-Table139[[#This Row],[Total AUD]]</f>
        <v>24398.052131868135</v>
      </c>
      <c r="S22" s="18">
        <f ca="1">Table139[[#This Row],[Profit AUD]]/Table139[[#This Row],[Total AUD]]</f>
        <v>2.3392915369793985</v>
      </c>
      <c r="T22" s="17">
        <f ca="1">DATEDIF(Table139[[#This Row],[Date]],TODAY(),"D")</f>
        <v>1</v>
      </c>
    </row>
    <row r="23" spans="2:24">
      <c r="B23" s="13">
        <f ca="1">_xlfn.XLOOKUP(Table139[[#This Row],[Stock Name]],StockPrice[Ticker symbol],StockPrice[Last trade time])</f>
        <v>46094.333344907405</v>
      </c>
      <c r="C23" s="13" t="s">
        <v>98</v>
      </c>
      <c r="D23" s="14" t="s">
        <v>120</v>
      </c>
      <c r="E23" s="14" t="s">
        <v>126</v>
      </c>
      <c r="F23" s="10">
        <f ca="1">_xlfn.XLOOKUP(Table139[[#This Row],[Stock Name]],StockPrice[Ticker symbol],StockPrice[Price])</f>
        <v>51.26</v>
      </c>
      <c r="G23" s="6">
        <f ca="1">_xlfn.XLOOKUP(Table139[[#This Row],[Stock Name]],StockPrice[Ticker symbol],StockPrice[Last trade time])</f>
        <v>46094.333344907405</v>
      </c>
      <c r="H23" s="6" t="s">
        <v>105</v>
      </c>
      <c r="I23" s="15">
        <v>258</v>
      </c>
      <c r="J23" s="28">
        <v>27.6</v>
      </c>
      <c r="K23" s="16" t="str">
        <f>IF(Table139[[#This Row],[Is USD]]="Yes",Table139[[#This Row],[Qty]]*Table139[[#This Row],[Price]],"")</f>
        <v/>
      </c>
      <c r="L23" s="20"/>
      <c r="M23" s="16">
        <f>IF(Table139[[#This Row],[Is USD]]="Yes",Table139[[#This Row],[Total US]]/Table139[[#This Row],[AUD-&gt;US Rate]],Table139[[#This Row],[Price]]*Table139[[#This Row],[Qty]])</f>
        <v>7120.8</v>
      </c>
      <c r="N23" s="16" t="str">
        <f>IF(Table139[[#This Row],[Is USD]]="Yes",(Table139[[#This Row],[Curr.  Share 
Price]]*Table139[[#This Row],[Qty]]),"")</f>
        <v/>
      </c>
      <c r="O23" s="16">
        <f ca="1">IF(Table139[[#This Row],[Is USD]]="Yes",(Table139[[#This Row],[Curr.  Share 
Price]]*Table139[[#This Row],[Qty]])/$K$4,Table139[[#This Row],[Curr.  Share 
Price]]*Table139[[#This Row],[Qty]])</f>
        <v>13225.08</v>
      </c>
      <c r="P23" s="16" t="str">
        <f>IF(Table139[[#This Row],[Is USD]]="Yes",(Table139[[#This Row],[Curr.  Share 
Price]]*Table139[[#This Row],[Qty]] - Table139[[#This Row],[Total US]]),"")</f>
        <v/>
      </c>
      <c r="Q23" s="18" t="str">
        <f>IF(Table139[[#This Row],[Is USD]]="Yes",Table139[[#This Row],[Profit US]]/Table139[[#This Row],[Total US]],"")</f>
        <v/>
      </c>
      <c r="R23" s="16">
        <f ca="1">Table139[[#This Row],[Curr. Equit AUD]]-Table139[[#This Row],[Total AUD]]</f>
        <v>6104.28</v>
      </c>
      <c r="S23" s="18">
        <f ca="1">Table139[[#This Row],[Profit AUD]]/Table139[[#This Row],[Total AUD]]</f>
        <v>0.8572463768115941</v>
      </c>
      <c r="T23" s="17">
        <f ca="1">DATEDIF(Table139[[#This Row],[Date]],TODAY(),"D")</f>
        <v>0</v>
      </c>
    </row>
    <row r="24" spans="2:24">
      <c r="B24" s="13">
        <f ca="1">_xlfn.XLOOKUP(Table139[[#This Row],[Stock Name]],StockPrice[Ticker symbol],StockPrice[Last trade time])</f>
        <v>46094.333344907405</v>
      </c>
      <c r="C24" s="13" t="s">
        <v>98</v>
      </c>
      <c r="D24" s="14" t="s">
        <v>120</v>
      </c>
      <c r="E24" s="14" t="s">
        <v>127</v>
      </c>
      <c r="F24" s="10">
        <f ca="1">_xlfn.XLOOKUP(Table139[[#This Row],[Stock Name]],StockPrice[Ticker symbol],StockPrice[Price])</f>
        <v>107.6</v>
      </c>
      <c r="G24" s="6">
        <f ca="1">_xlfn.XLOOKUP(Table139[[#This Row],[Stock Name]],StockPrice[Ticker symbol],StockPrice[Last trade time])</f>
        <v>46094.333344907405</v>
      </c>
      <c r="H24" s="6" t="s">
        <v>105</v>
      </c>
      <c r="I24" s="15">
        <v>125</v>
      </c>
      <c r="J24" s="28">
        <v>77.45</v>
      </c>
      <c r="K24" s="16" t="str">
        <f>IF(Table139[[#This Row],[Is USD]]="Yes",Table139[[#This Row],[Qty]]*Table139[[#This Row],[Price]],"")</f>
        <v/>
      </c>
      <c r="L24" s="20"/>
      <c r="M24" s="16">
        <f>IF(Table139[[#This Row],[Is USD]]="Yes",Table139[[#This Row],[Total US]]/Table139[[#This Row],[AUD-&gt;US Rate]],Table139[[#This Row],[Price]]*Table139[[#This Row],[Qty]])</f>
        <v>9681.25</v>
      </c>
      <c r="N24" s="16" t="str">
        <f>IF(Table139[[#This Row],[Is USD]]="Yes",(Table139[[#This Row],[Curr.  Share 
Price]]*Table139[[#This Row],[Qty]]),"")</f>
        <v/>
      </c>
      <c r="O24" s="16">
        <f ca="1">IF(Table139[[#This Row],[Is USD]]="Yes",(Table139[[#This Row],[Curr.  Share 
Price]]*Table139[[#This Row],[Qty]])/$K$4,Table139[[#This Row],[Curr.  Share 
Price]]*Table139[[#This Row],[Qty]])</f>
        <v>13450</v>
      </c>
      <c r="P24" s="16" t="str">
        <f>IF(Table139[[#This Row],[Is USD]]="Yes",(Table139[[#This Row],[Curr.  Share 
Price]]*Table139[[#This Row],[Qty]] - Table139[[#This Row],[Total US]]),"")</f>
        <v/>
      </c>
      <c r="Q24" s="18" t="str">
        <f>IF(Table139[[#This Row],[Is USD]]="Yes",Table139[[#This Row],[Profit US]]/Table139[[#This Row],[Total US]],"")</f>
        <v/>
      </c>
      <c r="R24" s="16">
        <f ca="1">Table139[[#This Row],[Curr. Equit AUD]]-Table139[[#This Row],[Total AUD]]</f>
        <v>3768.75</v>
      </c>
      <c r="S24" s="18">
        <f ca="1">Table139[[#This Row],[Profit AUD]]/Table139[[#This Row],[Total AUD]]</f>
        <v>0.3892834086507424</v>
      </c>
      <c r="T24" s="17">
        <f ca="1">DATEDIF(Table139[[#This Row],[Date]],TODAY(),"D")</f>
        <v>0</v>
      </c>
    </row>
    <row r="25" spans="2:24">
      <c r="B25" s="13">
        <f ca="1">_xlfn.XLOOKUP(Table139[[#This Row],[Stock Name]],StockPrice[Ticker symbol],StockPrice[Last trade time])</f>
        <v>46094.333344907405</v>
      </c>
      <c r="C25" s="13" t="s">
        <v>98</v>
      </c>
      <c r="D25" s="14" t="s">
        <v>120</v>
      </c>
      <c r="E25" s="14" t="s">
        <v>124</v>
      </c>
      <c r="F25" s="10">
        <f ca="1">_xlfn.XLOOKUP(Table139[[#This Row],[Stock Name]],StockPrice[Ticker symbol],StockPrice[Price])</f>
        <v>107.56</v>
      </c>
      <c r="G25" s="6">
        <f ca="1">_xlfn.XLOOKUP(Table139[[#This Row],[Stock Name]],StockPrice[Ticker symbol],StockPrice[Last trade time])</f>
        <v>46094.333344907405</v>
      </c>
      <c r="H25" s="6" t="s">
        <v>105</v>
      </c>
      <c r="I25" s="15">
        <v>29</v>
      </c>
      <c r="J25" s="28">
        <v>255.38</v>
      </c>
      <c r="K25" s="16" t="str">
        <f>IF(Table139[[#This Row],[Is USD]]="Yes",Table139[[#This Row],[Qty]]*Table139[[#This Row],[Price]],"")</f>
        <v/>
      </c>
      <c r="L25" s="20"/>
      <c r="M25" s="16">
        <f>IF(Table139[[#This Row],[Is USD]]="Yes",Table139[[#This Row],[Total US]]/Table139[[#This Row],[AUD-&gt;US Rate]],Table139[[#This Row],[Price]]*Table139[[#This Row],[Qty]])</f>
        <v>7406.0199999999995</v>
      </c>
      <c r="N25" s="16" t="str">
        <f>IF(Table139[[#This Row],[Is USD]]="Yes",(Table139[[#This Row],[Curr.  Share 
Price]]*Table139[[#This Row],[Qty]]),"")</f>
        <v/>
      </c>
      <c r="O25" s="16">
        <f ca="1">IF(Table139[[#This Row],[Is USD]]="Yes",(Table139[[#This Row],[Curr.  Share 
Price]]*Table139[[#This Row],[Qty]])/$K$4,Table139[[#This Row],[Curr.  Share 
Price]]*Table139[[#This Row],[Qty]])</f>
        <v>3119.2400000000002</v>
      </c>
      <c r="P25" s="16" t="str">
        <f>IF(Table139[[#This Row],[Is USD]]="Yes",(Table139[[#This Row],[Curr.  Share 
Price]]*Table139[[#This Row],[Qty]] - Table139[[#This Row],[Total US]]),"")</f>
        <v/>
      </c>
      <c r="Q25" s="18" t="str">
        <f>IF(Table139[[#This Row],[Is USD]]="Yes",Table139[[#This Row],[Profit US]]/Table139[[#This Row],[Total US]],"")</f>
        <v/>
      </c>
      <c r="R25" s="16">
        <f ca="1">Table139[[#This Row],[Curr. Equit AUD]]-Table139[[#This Row],[Total AUD]]</f>
        <v>-4286.7799999999988</v>
      </c>
      <c r="S25" s="18">
        <f ca="1">Table139[[#This Row],[Profit AUD]]/Table139[[#This Row],[Total AUD]]</f>
        <v>-0.57882371368157248</v>
      </c>
      <c r="T25" s="17">
        <f ca="1">DATEDIF(Table139[[#This Row],[Date]],TODAY(),"D")</f>
        <v>0</v>
      </c>
    </row>
    <row r="26" spans="2:24">
      <c r="B26" s="13">
        <f ca="1">_xlfn.XLOOKUP(Table139[[#This Row],[Stock Name]],StockPrice[Ticker symbol],StockPrice[Last trade time])</f>
        <v>46094.333344907405</v>
      </c>
      <c r="C26" s="13" t="s">
        <v>98</v>
      </c>
      <c r="D26" s="14" t="s">
        <v>120</v>
      </c>
      <c r="E26" s="14" t="s">
        <v>124</v>
      </c>
      <c r="F26" s="10">
        <f ca="1">_xlfn.XLOOKUP(Table139[[#This Row],[Stock Name]],StockPrice[Ticker symbol],StockPrice[Price])</f>
        <v>107.56</v>
      </c>
      <c r="G26" s="6">
        <f ca="1">_xlfn.XLOOKUP(Table139[[#This Row],[Stock Name]],StockPrice[Ticker symbol],StockPrice[Last trade time])</f>
        <v>46094.333344907405</v>
      </c>
      <c r="H26" s="6" t="s">
        <v>105</v>
      </c>
      <c r="I26" s="15">
        <v>178</v>
      </c>
      <c r="J26" s="28">
        <v>85.91</v>
      </c>
      <c r="K26" s="16" t="str">
        <f>IF(Table139[[#This Row],[Is USD]]="Yes",Table139[[#This Row],[Qty]]*Table139[[#This Row],[Price]],"")</f>
        <v/>
      </c>
      <c r="L26" s="20"/>
      <c r="M26" s="16">
        <f>IF(Table139[[#This Row],[Is USD]]="Yes",Table139[[#This Row],[Total US]]/Table139[[#This Row],[AUD-&gt;US Rate]],Table139[[#This Row],[Price]]*Table139[[#This Row],[Qty]])</f>
        <v>15291.98</v>
      </c>
      <c r="N26" s="16" t="str">
        <f>IF(Table139[[#This Row],[Is USD]]="Yes",(Table139[[#This Row],[Curr.  Share 
Price]]*Table139[[#This Row],[Qty]]),"")</f>
        <v/>
      </c>
      <c r="O26" s="16">
        <f ca="1">IF(Table139[[#This Row],[Is USD]]="Yes",(Table139[[#This Row],[Curr.  Share 
Price]]*Table139[[#This Row],[Qty]])/$K$4,Table139[[#This Row],[Curr.  Share 
Price]]*Table139[[#This Row],[Qty]])</f>
        <v>19145.68</v>
      </c>
      <c r="P26" s="16" t="str">
        <f>IF(Table139[[#This Row],[Is USD]]="Yes",(Table139[[#This Row],[Curr.  Share 
Price]]*Table139[[#This Row],[Qty]] - Table139[[#This Row],[Total US]]),"")</f>
        <v/>
      </c>
      <c r="Q26" s="18" t="str">
        <f>IF(Table139[[#This Row],[Is USD]]="Yes",Table139[[#This Row],[Profit US]]/Table139[[#This Row],[Total US]],"")</f>
        <v/>
      </c>
      <c r="R26" s="16">
        <f ca="1">Table139[[#This Row],[Curr. Equit AUD]]-Table139[[#This Row],[Total AUD]]</f>
        <v>3853.7000000000007</v>
      </c>
      <c r="S26" s="18">
        <f ca="1">Table139[[#This Row],[Profit AUD]]/Table139[[#This Row],[Total AUD]]</f>
        <v>0.25200791526015603</v>
      </c>
      <c r="T26" s="17">
        <f ca="1">DATEDIF(Table139[[#This Row],[Date]],TODAY(),"D")</f>
        <v>0</v>
      </c>
    </row>
    <row r="27" spans="2:24">
      <c r="B27" s="13">
        <f ca="1">_xlfn.XLOOKUP(Table139[[#This Row],[Stock Name]],StockPrice[Ticker symbol],StockPrice[Last trade time])</f>
        <v>46094.412488425929</v>
      </c>
      <c r="C27" s="13" t="s">
        <v>98</v>
      </c>
      <c r="D27" s="14" t="s">
        <v>120</v>
      </c>
      <c r="E27" s="14" t="s">
        <v>114</v>
      </c>
      <c r="F27" s="10">
        <f ca="1">_xlfn.XLOOKUP(Table139[[#This Row],[Stock Name]],StockPrice[Ticker symbol],StockPrice[Price])</f>
        <v>102361.1308</v>
      </c>
      <c r="G27" s="6">
        <f ca="1">_xlfn.XLOOKUP(Table139[[#This Row],[Stock Name]],StockPrice[Ticker symbol],StockPrice[Last trade time])</f>
        <v>46094.412488425929</v>
      </c>
      <c r="H27" s="6" t="s">
        <v>105</v>
      </c>
      <c r="I27" s="15">
        <v>7.2340000000000002E-2</v>
      </c>
      <c r="J27" s="28">
        <v>69214</v>
      </c>
      <c r="K27" s="16">
        <f>Table139[[#This Row],[Qty]]*Table139[[#This Row],[Price]]</f>
        <v>5006.9407600000004</v>
      </c>
      <c r="L27" s="20">
        <v>0.72</v>
      </c>
      <c r="M27" s="16">
        <f>IF(Table139[[#This Row],[Is USD]]="Yes",Table139[[#This Row],[Total US]]/Table139[[#This Row],[AUD-&gt;US Rate]],Table139[[#This Row],[Price]]*Table139[[#This Row],[Qty]])</f>
        <v>5006.9407600000004</v>
      </c>
      <c r="N27" s="16" t="str">
        <f>IF(Table139[[#This Row],[Is USD]]="Yes",(Table139[[#This Row],[Curr.  Share 
Price]]*Table139[[#This Row],[Qty]]),"")</f>
        <v/>
      </c>
      <c r="O27" s="16">
        <f ca="1">IF(Table139[[#This Row],[Is USD]]="Yes",(Table139[[#This Row],[Curr.  Share 
Price]]*Table139[[#This Row],[Qty]])/$K$4,Table139[[#This Row],[Curr.  Share 
Price]]*Table139[[#This Row],[Qty]])</f>
        <v>7404.8042020720004</v>
      </c>
      <c r="P27" s="16" t="str">
        <f>IF(Table139[[#This Row],[Is USD]]="Yes",(Table139[[#This Row],[Curr.  Share 
Price]]*Table139[[#This Row],[Qty]] - Table139[[#This Row],[Total US]]),"")</f>
        <v/>
      </c>
      <c r="Q27" s="18" t="str">
        <f>IF(Table139[[#This Row],[Is USD]]="Yes",Table139[[#This Row],[Profit US]]/Table139[[#This Row],[Total US]],"")</f>
        <v/>
      </c>
      <c r="R27" s="16">
        <f ca="1">Table139[[#This Row],[Curr. Equit AUD]]-Table139[[#This Row],[Total AUD]]</f>
        <v>2397.863442072</v>
      </c>
      <c r="S27" s="18">
        <f ca="1">Table139[[#This Row],[Profit AUD]]/Table139[[#This Row],[Total AUD]]</f>
        <v>0.47890789146704421</v>
      </c>
      <c r="T27" s="17">
        <f ca="1">DATEDIF(Table139[[#This Row],[Date]],TODAY(),"D")</f>
        <v>0</v>
      </c>
      <c r="X27" s="7"/>
    </row>
    <row r="28" spans="2:24">
      <c r="B28" s="13">
        <f ca="1">_xlfn.XLOOKUP(Table139[[#This Row],[Stock Name]],StockPrice[Ticker symbol],StockPrice[Last trade time])</f>
        <v>46094.412442129629</v>
      </c>
      <c r="C28" s="13" t="s">
        <v>98</v>
      </c>
      <c r="D28" s="14" t="s">
        <v>120</v>
      </c>
      <c r="E28" s="14" t="s">
        <v>115</v>
      </c>
      <c r="F28" s="10">
        <f ca="1">_xlfn.XLOOKUP(Table139[[#This Row],[Stock Name]],StockPrice[Ticker symbol],StockPrice[Price])</f>
        <v>3003.125</v>
      </c>
      <c r="G28" s="6">
        <f ca="1">_xlfn.XLOOKUP(Table139[[#This Row],[Stock Name]],StockPrice[Ticker symbol],StockPrice[Last trade time])</f>
        <v>46094.412442129629</v>
      </c>
      <c r="H28" s="6" t="s">
        <v>105</v>
      </c>
      <c r="I28" s="15">
        <v>0.89</v>
      </c>
      <c r="J28" s="28">
        <v>5571</v>
      </c>
      <c r="K28" s="16">
        <f>Table139[[#This Row],[Qty]]*Table139[[#This Row],[Price]]</f>
        <v>4958.1900000000005</v>
      </c>
      <c r="L28" s="20">
        <v>0.72</v>
      </c>
      <c r="M28" s="16">
        <f>IF(Table139[[#This Row],[Is USD]]="Yes",Table139[[#This Row],[Total US]]/Table139[[#This Row],[AUD-&gt;US Rate]],Table139[[#This Row],[Price]]*Table139[[#This Row],[Qty]])</f>
        <v>4958.1900000000005</v>
      </c>
      <c r="N28" s="16" t="str">
        <f>IF(Table139[[#This Row],[Is USD]]="Yes",(Table139[[#This Row],[Curr.  Share 
Price]]*Table139[[#This Row],[Qty]]),"")</f>
        <v/>
      </c>
      <c r="O28" s="16">
        <f ca="1">IF(Table139[[#This Row],[Is USD]]="Yes",(Table139[[#This Row],[Curr.  Share 
Price]]*Table139[[#This Row],[Qty]])/$K$4,Table139[[#This Row],[Curr.  Share 
Price]]*Table139[[#This Row],[Qty]])</f>
        <v>2672.78125</v>
      </c>
      <c r="P28" s="16" t="str">
        <f>IF(Table139[[#This Row],[Is USD]]="Yes",(Table139[[#This Row],[Curr.  Share 
Price]]*Table139[[#This Row],[Qty]] - Table139[[#This Row],[Total US]]),"")</f>
        <v/>
      </c>
      <c r="Q28" s="18" t="str">
        <f>IF(Table139[[#This Row],[Is USD]]="Yes",Table139[[#This Row],[Profit US]]/Table139[[#This Row],[Total US]],"")</f>
        <v/>
      </c>
      <c r="R28" s="16">
        <f ca="1">Table139[[#This Row],[Curr. Equit AUD]]-Table139[[#This Row],[Total AUD]]</f>
        <v>-2285.4087500000005</v>
      </c>
      <c r="S28" s="18">
        <f ca="1">Table139[[#This Row],[Profit AUD]]/Table139[[#This Row],[Total AUD]]</f>
        <v>-0.4609360976485371</v>
      </c>
      <c r="T28" s="17">
        <f ca="1">DATEDIF(Table139[[#This Row],[Date]],TODAY(),"D")</f>
        <v>0</v>
      </c>
    </row>
    <row r="29" spans="2:24" hidden="1">
      <c r="B29" s="13">
        <v>43852</v>
      </c>
      <c r="C29" s="13" t="s">
        <v>98</v>
      </c>
      <c r="D29" s="14" t="s">
        <v>121</v>
      </c>
      <c r="E29" s="14" t="s">
        <v>95</v>
      </c>
      <c r="F29" s="22" t="e">
        <f>#REF!</f>
        <v>#REF!</v>
      </c>
      <c r="G29" s="6">
        <v>44658</v>
      </c>
      <c r="H29" s="6" t="s">
        <v>105</v>
      </c>
      <c r="I29" s="15">
        <v>1</v>
      </c>
      <c r="J29" s="29">
        <v>200000</v>
      </c>
      <c r="K29" s="16" t="str">
        <f>IF(Table139[[#This Row],[Is USD]]="Yes",Table139[[#This Row],[Qty]]*Table139[[#This Row],[Price]],"")</f>
        <v/>
      </c>
      <c r="L29" s="20"/>
      <c r="M29" s="16">
        <f>IF(Table139[[#This Row],[Is USD]]="Yes",Table139[[#This Row],[Total US]]/Table139[[#This Row],[AUD-&gt;US Rate]],Table139[[#This Row],[Price]]*Table139[[#This Row],[Qty]])</f>
        <v>200000</v>
      </c>
      <c r="N29" s="7" t="str">
        <f>IF(Table139[[#This Row],[Is USD]]="Yes",(Table139[[#This Row],[Curr.  Share 
Price]]*Table139[[#This Row],[Qty]]),"")</f>
        <v/>
      </c>
      <c r="O29" s="16" t="e">
        <f>Table139[[#This Row],[Curr.  Share 
Price]]-935000</f>
        <v>#REF!</v>
      </c>
      <c r="P29" s="16"/>
      <c r="Q29" s="18"/>
      <c r="R29" s="16" t="e">
        <f>Table139[[#This Row],[Curr. Equit AUD]]-Table139[[#This Row],[Price]]</f>
        <v>#REF!</v>
      </c>
      <c r="S29" s="18" t="e">
        <f>Table139[[#This Row],[Profit AUD]]/Table139[[#This Row],[Price]]</f>
        <v>#REF!</v>
      </c>
      <c r="T29" s="17">
        <f ca="1">DATEDIF(Table139[[#This Row],[Date]],TODAY(),"D")</f>
        <v>2242</v>
      </c>
    </row>
    <row r="30" spans="2:24" hidden="1">
      <c r="B30" s="13"/>
      <c r="C30" s="13"/>
      <c r="D30" s="14"/>
      <c r="E30" s="14"/>
      <c r="F30" s="22"/>
      <c r="G30" s="6"/>
      <c r="H30" s="6"/>
      <c r="I30" s="15"/>
      <c r="J30" s="28"/>
      <c r="K30" s="16"/>
      <c r="L30" s="20"/>
      <c r="M30" s="16">
        <f>IF(Table139[[#This Row],[Is USD]]="Yes",Table139[[#This Row],[Total US]]/Table139[[#This Row],[AUD-&gt;US Rate]],Table139[[#This Row],[Price]]*Table139[[#This Row],[Qty]])</f>
        <v>0</v>
      </c>
      <c r="N30" s="16"/>
      <c r="O30" s="16">
        <f>IF(Table139[[#This Row],[Is USD]]="Yes",(Table139[[#This Row],[Curr.  Share 
Price]]*Table139[[#This Row],[Qty]])/$K$4,Table139[[#This Row],[Curr.  Share 
Price]]*Table139[[#This Row],[Qty]])</f>
        <v>0</v>
      </c>
      <c r="P30" s="16"/>
      <c r="Q30" s="18"/>
      <c r="R30" s="16"/>
      <c r="S30" s="18"/>
      <c r="T30" s="17"/>
    </row>
    <row r="31" spans="2:24" hidden="1">
      <c r="B31" s="13"/>
      <c r="C31" s="13"/>
      <c r="D31" s="14"/>
      <c r="E31" s="14"/>
      <c r="F31" s="22"/>
      <c r="G31" s="6"/>
      <c r="H31" s="6"/>
      <c r="I31" s="15"/>
      <c r="J31" s="28"/>
      <c r="K31" s="16"/>
      <c r="L31" s="20"/>
      <c r="M31" s="16"/>
      <c r="N31" s="16" t="str">
        <f>IF(Table139[[#This Row],[Is USD]]="Yes",(Table139[[#This Row],[Curr.  Share 
Price]]*Table139[[#This Row],[Qty]]),"")</f>
        <v/>
      </c>
      <c r="O31" s="16"/>
      <c r="P31" s="16"/>
      <c r="Q31" s="18"/>
      <c r="R31" s="16">
        <f>Table139[[#This Row],[Curr. Equit AUD]]-Table139[[#This Row],[Total AUD]]</f>
        <v>0</v>
      </c>
      <c r="S31" s="23"/>
      <c r="T31" s="17"/>
    </row>
    <row r="32" spans="2:24">
      <c r="B32" s="19" t="s">
        <v>81</v>
      </c>
      <c r="C32" s="19"/>
      <c r="D32" s="19"/>
      <c r="E32" s="19"/>
      <c r="I32" s="19"/>
      <c r="J32" s="31"/>
      <c r="K32" s="19"/>
      <c r="L32" s="19"/>
      <c r="M32" s="16">
        <f>SUBTOTAL(109,Table139[Total AUD])</f>
        <v>186014.29008526154</v>
      </c>
      <c r="N32" s="16"/>
      <c r="O32" s="16">
        <f ca="1">SUBTOTAL(109,Table139[Curr. Equit AUD])</f>
        <v>287759.02286808938</v>
      </c>
      <c r="P32" s="19"/>
      <c r="Q32" s="19"/>
      <c r="R32" s="16">
        <f ca="1">SUBTOTAL(109,Table139[Profit AUD])</f>
        <v>101744.73278282782</v>
      </c>
      <c r="S32" s="23">
        <f ca="1">SUBTOTAL(9,Table139[Profit AUD])/SUBTOTAL(9,Table139[Total AUD])</f>
        <v>0.54697266933735089</v>
      </c>
      <c r="T32" s="17"/>
    </row>
    <row r="33" spans="2:20">
      <c r="B33" s="13" t="s">
        <v>117</v>
      </c>
      <c r="C33" s="13"/>
      <c r="D33" s="13"/>
      <c r="E33" s="14"/>
      <c r="G33" s="6"/>
      <c r="H33" s="6"/>
      <c r="I33" s="15"/>
      <c r="J33" s="16"/>
      <c r="K33" s="16"/>
      <c r="L33" s="20"/>
      <c r="M33" s="16" t="e">
        <f>SUM(M9:M27)</f>
        <v>#REF!</v>
      </c>
      <c r="N33" s="16"/>
      <c r="O33" s="16" t="e">
        <f ca="1">SUM(O7:O25)</f>
        <v>#REF!</v>
      </c>
      <c r="P33" s="16"/>
      <c r="Q33" s="16"/>
      <c r="R33" s="16" t="e">
        <f ca="1">SUM(R7:R25)</f>
        <v>#REF!</v>
      </c>
      <c r="S33" s="30">
        <f ca="1">SUBTOTAL(9,R7:R25)/SUBTOTAL(9,M7:M25)</f>
        <v>0.6082377067149175</v>
      </c>
      <c r="T33" s="17"/>
    </row>
    <row r="34" spans="2:20">
      <c r="N34" s="27"/>
      <c r="O34" s="7"/>
    </row>
    <row r="38" spans="2:20" ht="28.8">
      <c r="B38" s="37" t="s">
        <v>80</v>
      </c>
      <c r="C38" s="37" t="s">
        <v>97</v>
      </c>
      <c r="D38" s="37" t="s">
        <v>119</v>
      </c>
      <c r="E38" s="37" t="s">
        <v>129</v>
      </c>
      <c r="F38" s="38" t="s">
        <v>86</v>
      </c>
      <c r="G38" s="38" t="s">
        <v>85</v>
      </c>
      <c r="H38" s="38" t="s">
        <v>103</v>
      </c>
      <c r="I38" s="37" t="s">
        <v>13</v>
      </c>
      <c r="J38" s="37" t="s">
        <v>14</v>
      </c>
      <c r="K38" s="37" t="s">
        <v>92</v>
      </c>
      <c r="L38" s="37" t="s">
        <v>93</v>
      </c>
      <c r="M38" s="37" t="s">
        <v>89</v>
      </c>
    </row>
    <row r="39" spans="2:20">
      <c r="B39" s="39">
        <v>46093.999827638283</v>
      </c>
      <c r="C39" s="39" t="s">
        <v>106</v>
      </c>
      <c r="D39" s="40" t="s">
        <v>120</v>
      </c>
      <c r="E39" s="40" t="s">
        <v>109</v>
      </c>
      <c r="F39" s="41">
        <v>5.55</v>
      </c>
      <c r="G39" s="42">
        <v>46093.999827638283</v>
      </c>
      <c r="H39" s="42" t="s">
        <v>104</v>
      </c>
      <c r="I39" s="43">
        <v>66.334991700000003</v>
      </c>
      <c r="J39" s="44">
        <v>60.3</v>
      </c>
      <c r="K39" s="45">
        <v>3999.9999995100002</v>
      </c>
      <c r="L39" s="46">
        <v>0.77</v>
      </c>
      <c r="M39" s="45">
        <v>5194.8051941688309</v>
      </c>
    </row>
    <row r="40" spans="2:20">
      <c r="B40" s="13">
        <v>46093.999972546095</v>
      </c>
      <c r="C40" s="13" t="s">
        <v>106</v>
      </c>
      <c r="D40" s="14" t="s">
        <v>120</v>
      </c>
      <c r="E40" s="14" t="s">
        <v>47</v>
      </c>
      <c r="F40" s="10">
        <v>209.53</v>
      </c>
      <c r="G40" s="6">
        <v>46093.999972546095</v>
      </c>
      <c r="H40" s="6" t="s">
        <v>104</v>
      </c>
      <c r="I40" s="15">
        <v>20</v>
      </c>
      <c r="J40" s="47">
        <v>160</v>
      </c>
      <c r="K40" s="16">
        <v>3200</v>
      </c>
      <c r="L40" s="20">
        <v>0.77</v>
      </c>
      <c r="M40" s="16">
        <v>4155.8441558441555</v>
      </c>
    </row>
    <row r="41" spans="2:20">
      <c r="B41" s="39">
        <v>46093.997114617967</v>
      </c>
      <c r="C41" s="39" t="s">
        <v>106</v>
      </c>
      <c r="D41" s="40" t="s">
        <v>120</v>
      </c>
      <c r="E41" s="40" t="s">
        <v>111</v>
      </c>
      <c r="F41" s="41">
        <v>70.650000000000006</v>
      </c>
      <c r="G41" s="42">
        <v>46093.997114617967</v>
      </c>
      <c r="H41" s="42" t="s">
        <v>104</v>
      </c>
      <c r="I41" s="43">
        <v>31.17692907</v>
      </c>
      <c r="J41" s="44">
        <v>128.30000000000001</v>
      </c>
      <c r="K41" s="45">
        <v>3999.9999996810002</v>
      </c>
      <c r="L41" s="46">
        <v>0.76</v>
      </c>
      <c r="M41" s="45">
        <v>5263.1578943171053</v>
      </c>
    </row>
    <row r="42" spans="2:20">
      <c r="B42" s="13">
        <v>46093.999850613283</v>
      </c>
      <c r="C42" s="13" t="s">
        <v>106</v>
      </c>
      <c r="D42" s="14" t="s">
        <v>120</v>
      </c>
      <c r="E42" s="14" t="s">
        <v>110</v>
      </c>
      <c r="F42" s="10">
        <v>99.43</v>
      </c>
      <c r="G42" s="6">
        <v>46093.999850613283</v>
      </c>
      <c r="H42" s="6" t="s">
        <v>104</v>
      </c>
      <c r="I42" s="15">
        <v>21.350947420000001</v>
      </c>
      <c r="J42" s="47">
        <v>187.35</v>
      </c>
      <c r="K42" s="16">
        <v>4000.0999991369999</v>
      </c>
      <c r="L42" s="20">
        <v>0.76</v>
      </c>
      <c r="M42" s="16">
        <v>5263.289472548684</v>
      </c>
    </row>
    <row r="43" spans="2:20">
      <c r="B43" s="39">
        <v>46093.991623830472</v>
      </c>
      <c r="C43" s="39" t="s">
        <v>106</v>
      </c>
      <c r="D43" s="40" t="s">
        <v>120</v>
      </c>
      <c r="E43" s="40" t="s">
        <v>108</v>
      </c>
      <c r="F43" s="41">
        <v>353.13</v>
      </c>
      <c r="G43" s="42">
        <v>46093.991623830472</v>
      </c>
      <c r="H43" s="42" t="s">
        <v>104</v>
      </c>
      <c r="I43" s="43">
        <v>13.630454540000001</v>
      </c>
      <c r="J43" s="44">
        <v>264</v>
      </c>
      <c r="K43" s="45">
        <v>3598.4399985600003</v>
      </c>
      <c r="L43" s="46">
        <v>0.77</v>
      </c>
      <c r="M43" s="45">
        <v>4673.298699428572</v>
      </c>
    </row>
    <row r="44" spans="2:20">
      <c r="B44" s="13">
        <v>46093.999989050782</v>
      </c>
      <c r="C44" s="13" t="s">
        <v>106</v>
      </c>
      <c r="D44" s="14" t="s">
        <v>120</v>
      </c>
      <c r="E44" s="14" t="s">
        <v>61</v>
      </c>
      <c r="F44" s="10">
        <v>395.01</v>
      </c>
      <c r="G44" s="6">
        <v>46093.999989050782</v>
      </c>
      <c r="H44" s="6" t="s">
        <v>104</v>
      </c>
      <c r="I44" s="15">
        <v>120.9</v>
      </c>
      <c r="J44" s="47">
        <v>297.17</v>
      </c>
      <c r="K44" s="16">
        <v>35927.853000000003</v>
      </c>
      <c r="L44" s="20">
        <v>0.76</v>
      </c>
      <c r="M44" s="16">
        <v>47273.49078947369</v>
      </c>
    </row>
    <row r="45" spans="2:20">
      <c r="B45" s="39">
        <v>46094.333344907405</v>
      </c>
      <c r="C45" s="39" t="s">
        <v>106</v>
      </c>
      <c r="D45" s="40" t="s">
        <v>120</v>
      </c>
      <c r="E45" s="40" t="s">
        <v>126</v>
      </c>
      <c r="F45" s="41">
        <v>51.26</v>
      </c>
      <c r="G45" s="42">
        <v>46094.333344907405</v>
      </c>
      <c r="H45" s="42" t="s">
        <v>105</v>
      </c>
      <c r="I45" s="43">
        <v>233</v>
      </c>
      <c r="J45" s="44">
        <v>28.9</v>
      </c>
      <c r="K45" s="45" t="s">
        <v>130</v>
      </c>
      <c r="L45" s="46"/>
      <c r="M45" s="45">
        <v>6733.7</v>
      </c>
    </row>
    <row r="46" spans="2:20">
      <c r="B46" s="13">
        <v>46094.333344907405</v>
      </c>
      <c r="C46" s="13" t="s">
        <v>106</v>
      </c>
      <c r="D46" s="14" t="s">
        <v>120</v>
      </c>
      <c r="E46" s="14" t="s">
        <v>127</v>
      </c>
      <c r="F46" s="10">
        <v>107.6</v>
      </c>
      <c r="G46" s="6">
        <v>46094.333344907405</v>
      </c>
      <c r="H46" s="6" t="s">
        <v>105</v>
      </c>
      <c r="I46" s="15">
        <v>48</v>
      </c>
      <c r="J46" s="47">
        <v>80.92</v>
      </c>
      <c r="K46" s="16" t="s">
        <v>130</v>
      </c>
      <c r="L46" s="20"/>
      <c r="M46" s="16">
        <v>3884.16</v>
      </c>
    </row>
    <row r="47" spans="2:20">
      <c r="B47" s="39">
        <v>46093.999960265624</v>
      </c>
      <c r="C47" s="39" t="s">
        <v>98</v>
      </c>
      <c r="D47" s="40" t="s">
        <v>120</v>
      </c>
      <c r="E47" s="48" t="s">
        <v>87</v>
      </c>
      <c r="F47" s="41">
        <v>199.28</v>
      </c>
      <c r="G47" s="42">
        <v>46093.999960265624</v>
      </c>
      <c r="H47" s="42" t="s">
        <v>104</v>
      </c>
      <c r="I47" s="43">
        <v>27.7088</v>
      </c>
      <c r="J47" s="44">
        <v>235</v>
      </c>
      <c r="K47" s="45">
        <v>6511.5680000000002</v>
      </c>
      <c r="L47" s="46">
        <v>0.77</v>
      </c>
      <c r="M47" s="45">
        <v>8456.5818181818177</v>
      </c>
    </row>
    <row r="48" spans="2:20">
      <c r="B48" s="13">
        <v>46093.999972546095</v>
      </c>
      <c r="C48" s="13" t="s">
        <v>98</v>
      </c>
      <c r="D48" s="14" t="s">
        <v>120</v>
      </c>
      <c r="E48" s="14" t="s">
        <v>47</v>
      </c>
      <c r="F48" s="10">
        <v>209.53</v>
      </c>
      <c r="G48" s="6">
        <v>46093.999972546095</v>
      </c>
      <c r="H48" s="6" t="s">
        <v>104</v>
      </c>
      <c r="I48" s="15">
        <v>63.36</v>
      </c>
      <c r="J48" s="47">
        <v>157.8295</v>
      </c>
      <c r="K48" s="16">
        <v>10000.07712</v>
      </c>
      <c r="L48" s="20">
        <v>0.77</v>
      </c>
      <c r="M48" s="16">
        <v>12987.113142857143</v>
      </c>
    </row>
    <row r="49" spans="2:13">
      <c r="B49" s="39">
        <v>46093.999936967186</v>
      </c>
      <c r="C49" s="39" t="s">
        <v>98</v>
      </c>
      <c r="D49" s="40" t="s">
        <v>120</v>
      </c>
      <c r="E49" s="40" t="s">
        <v>38</v>
      </c>
      <c r="F49" s="41">
        <v>401.86</v>
      </c>
      <c r="G49" s="42">
        <v>46093.999936967186</v>
      </c>
      <c r="H49" s="42" t="s">
        <v>104</v>
      </c>
      <c r="I49" s="43">
        <v>33.178800000000003</v>
      </c>
      <c r="J49" s="44">
        <v>214.6</v>
      </c>
      <c r="K49" s="45">
        <v>7120.1704800000007</v>
      </c>
      <c r="L49" s="46">
        <v>0.77</v>
      </c>
      <c r="M49" s="45">
        <v>9246.97464935065</v>
      </c>
    </row>
    <row r="50" spans="2:13">
      <c r="B50" s="13">
        <v>46093.999994733596</v>
      </c>
      <c r="C50" s="13" t="s">
        <v>98</v>
      </c>
      <c r="D50" s="14" t="s">
        <v>120</v>
      </c>
      <c r="E50" s="14" t="s">
        <v>84</v>
      </c>
      <c r="F50" s="10">
        <v>255.76</v>
      </c>
      <c r="G50" s="6">
        <v>46093.999994733596</v>
      </c>
      <c r="H50" s="6" t="s">
        <v>104</v>
      </c>
      <c r="I50" s="15">
        <v>83.430700000000002</v>
      </c>
      <c r="J50" s="47">
        <v>119.86</v>
      </c>
      <c r="K50" s="16">
        <v>10000.003702</v>
      </c>
      <c r="L50" s="20">
        <v>0.77</v>
      </c>
      <c r="M50" s="16">
        <v>12987.017794805195</v>
      </c>
    </row>
    <row r="51" spans="2:13">
      <c r="B51" s="39">
        <v>46093.999989050782</v>
      </c>
      <c r="C51" s="39" t="s">
        <v>98</v>
      </c>
      <c r="D51" s="40" t="s">
        <v>120</v>
      </c>
      <c r="E51" s="40" t="s">
        <v>61</v>
      </c>
      <c r="F51" s="41">
        <v>395.01</v>
      </c>
      <c r="G51" s="42">
        <v>46093.999989050782</v>
      </c>
      <c r="H51" s="42" t="s">
        <v>104</v>
      </c>
      <c r="I51" s="43">
        <v>57.31</v>
      </c>
      <c r="J51" s="44">
        <v>140.13</v>
      </c>
      <c r="K51" s="45">
        <v>8030.8503000000001</v>
      </c>
      <c r="L51" s="46">
        <v>0.77</v>
      </c>
      <c r="M51" s="45">
        <v>10429.675714285715</v>
      </c>
    </row>
    <row r="52" spans="2:13">
      <c r="B52" s="13">
        <v>46094.333344907405</v>
      </c>
      <c r="C52" s="13" t="s">
        <v>98</v>
      </c>
      <c r="D52" s="14" t="s">
        <v>120</v>
      </c>
      <c r="E52" s="14" t="s">
        <v>126</v>
      </c>
      <c r="F52" s="10">
        <v>51.26</v>
      </c>
      <c r="G52" s="6">
        <v>46094.333344907405</v>
      </c>
      <c r="H52" s="6" t="s">
        <v>105</v>
      </c>
      <c r="I52" s="15">
        <v>258</v>
      </c>
      <c r="J52" s="47">
        <v>27.6</v>
      </c>
      <c r="K52" s="16" t="s">
        <v>130</v>
      </c>
      <c r="L52" s="20"/>
      <c r="M52" s="16">
        <v>7120.8</v>
      </c>
    </row>
    <row r="53" spans="2:13">
      <c r="B53" s="39">
        <v>46094.333344907405</v>
      </c>
      <c r="C53" s="39" t="s">
        <v>98</v>
      </c>
      <c r="D53" s="40" t="s">
        <v>120</v>
      </c>
      <c r="E53" s="40" t="s">
        <v>127</v>
      </c>
      <c r="F53" s="41">
        <v>107.6</v>
      </c>
      <c r="G53" s="42">
        <v>46094.333344907405</v>
      </c>
      <c r="H53" s="42" t="s">
        <v>105</v>
      </c>
      <c r="I53" s="43">
        <v>125</v>
      </c>
      <c r="J53" s="44">
        <v>77.45</v>
      </c>
      <c r="K53" s="45" t="s">
        <v>130</v>
      </c>
      <c r="L53" s="46"/>
      <c r="M53" s="45">
        <v>9681.25</v>
      </c>
    </row>
    <row r="54" spans="2:13">
      <c r="B54" s="13">
        <v>46094.333344907405</v>
      </c>
      <c r="C54" s="13" t="s">
        <v>98</v>
      </c>
      <c r="D54" s="14" t="s">
        <v>120</v>
      </c>
      <c r="E54" s="14" t="s">
        <v>124</v>
      </c>
      <c r="F54" s="10">
        <v>107.56</v>
      </c>
      <c r="G54" s="6">
        <v>46094.333344907405</v>
      </c>
      <c r="H54" s="6" t="s">
        <v>105</v>
      </c>
      <c r="I54" s="15">
        <v>29</v>
      </c>
      <c r="J54" s="47">
        <v>255.38</v>
      </c>
      <c r="K54" s="16" t="s">
        <v>130</v>
      </c>
      <c r="L54" s="20"/>
      <c r="M54" s="16">
        <v>7406.0199999999995</v>
      </c>
    </row>
    <row r="55" spans="2:13">
      <c r="B55" s="39">
        <v>46094.333344907405</v>
      </c>
      <c r="C55" s="39" t="s">
        <v>98</v>
      </c>
      <c r="D55" s="40" t="s">
        <v>120</v>
      </c>
      <c r="E55" s="40" t="s">
        <v>124</v>
      </c>
      <c r="F55" s="41">
        <v>107.56</v>
      </c>
      <c r="G55" s="42">
        <v>46094.333344907405</v>
      </c>
      <c r="H55" s="42" t="s">
        <v>105</v>
      </c>
      <c r="I55" s="43">
        <v>178</v>
      </c>
      <c r="J55" s="44">
        <v>85.91</v>
      </c>
      <c r="K55" s="45" t="s">
        <v>130</v>
      </c>
      <c r="L55" s="46"/>
      <c r="M55" s="45">
        <v>15291.98</v>
      </c>
    </row>
    <row r="56" spans="2:13">
      <c r="B56" s="13">
        <v>46094.409791666665</v>
      </c>
      <c r="C56" s="13" t="s">
        <v>98</v>
      </c>
      <c r="D56" s="14" t="s">
        <v>120</v>
      </c>
      <c r="E56" s="14" t="s">
        <v>114</v>
      </c>
      <c r="F56" s="10">
        <v>102308.56660000001</v>
      </c>
      <c r="G56" s="6">
        <v>46094.409791666665</v>
      </c>
      <c r="H56" s="6" t="s">
        <v>105</v>
      </c>
      <c r="I56" s="15">
        <v>7.2340000000000002E-2</v>
      </c>
      <c r="J56" s="47">
        <v>69214</v>
      </c>
      <c r="K56" s="16">
        <v>5006.9407600000004</v>
      </c>
      <c r="L56" s="20">
        <v>0.72</v>
      </c>
      <c r="M56" s="16">
        <v>5006.9407600000004</v>
      </c>
    </row>
    <row r="57" spans="2:13">
      <c r="B57" s="39">
        <v>46094.409756944442</v>
      </c>
      <c r="C57" s="39" t="s">
        <v>98</v>
      </c>
      <c r="D57" s="40" t="s">
        <v>120</v>
      </c>
      <c r="E57" s="40" t="s">
        <v>115</v>
      </c>
      <c r="F57" s="41">
        <v>2999.0770000000002</v>
      </c>
      <c r="G57" s="42">
        <v>46094.409756944442</v>
      </c>
      <c r="H57" s="42" t="s">
        <v>105</v>
      </c>
      <c r="I57" s="43">
        <v>0.89</v>
      </c>
      <c r="J57" s="44">
        <v>5571</v>
      </c>
      <c r="K57" s="45">
        <v>4958.1900000000005</v>
      </c>
      <c r="L57" s="46">
        <v>0.72</v>
      </c>
      <c r="M57" s="45">
        <v>4958.1900000000005</v>
      </c>
    </row>
  </sheetData>
  <conditionalFormatting sqref="R7:S23 P7:Q31">
    <cfRule type="cellIs" dxfId="3" priority="1" operator="greaterThan">
      <formula>0</formula>
    </cfRule>
    <cfRule type="cellIs" dxfId="2" priority="2" operator="lessThan">
      <formula>0</formula>
    </cfRule>
  </conditionalFormatting>
  <conditionalFormatting sqref="S24:S30 R24:R31 R33">
    <cfRule type="cellIs" dxfId="1" priority="13" operator="greaterThan">
      <formula>0</formula>
    </cfRule>
    <cfRule type="cellIs" dxfId="0" priority="14" operator="lessThan">
      <formula>0</formula>
    </cfRule>
  </conditionalFormatting>
  <dataValidations count="3">
    <dataValidation type="list" allowBlank="1" showInputMessage="1" showErrorMessage="1" sqref="C33:D33 C7:C30 C39:C57" xr:uid="{0CD3A861-3900-4D00-87DA-80EFFA75FE73}">
      <formula1>"Gabriel,Arina,Both"</formula1>
    </dataValidation>
    <dataValidation type="list" allowBlank="1" showInputMessage="1" showErrorMessage="1" sqref="H33 H7:H30 H39:H57" xr:uid="{DA162120-F1D4-4637-8458-A2AB99D8D2AB}">
      <formula1>"Yes,No"</formula1>
    </dataValidation>
    <dataValidation type="list" allowBlank="1" showInputMessage="1" showErrorMessage="1" sqref="D7:D31 D39:D57" xr:uid="{0AF43236-95A8-41A3-93B9-CBF3CA2D287C}">
      <formula1>"Property,Stock"</formula1>
    </dataValidation>
  </dataValidations>
  <pageMargins left="0.7" right="0.7" top="0.75" bottom="0.75" header="0.3" footer="0.3"/>
  <pageSetup paperSize="9" orientation="portrait" horizontalDpi="4294967293"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A9AD8-3795-49A3-8CD3-48F2766E7D28}">
  <sheetPr>
    <tabColor rgb="FFFF0000"/>
  </sheetPr>
  <dimension ref="B3:F24"/>
  <sheetViews>
    <sheetView showGridLines="0" zoomScale="130" zoomScaleNormal="130" workbookViewId="0">
      <selection activeCell="F7" sqref="F7"/>
    </sheetView>
  </sheetViews>
  <sheetFormatPr defaultRowHeight="14.4"/>
  <cols>
    <col min="2" max="2" width="17.88671875" customWidth="1"/>
    <col min="3" max="3" width="64.5546875" customWidth="1"/>
    <col min="4" max="4" width="14.5546875" customWidth="1"/>
    <col min="5" max="5" width="18.6640625" customWidth="1"/>
    <col min="6" max="6" width="16.44140625" customWidth="1"/>
    <col min="7" max="7" width="9.109375" customWidth="1"/>
    <col min="10" max="10" width="9.109375" customWidth="1"/>
  </cols>
  <sheetData>
    <row r="3" spans="2:6" ht="20.399999999999999" thickBot="1">
      <c r="B3" s="9" t="s">
        <v>99</v>
      </c>
      <c r="C3" s="9"/>
    </row>
    <row r="4" spans="2:6" ht="15" thickTop="1">
      <c r="B4" s="21" t="s">
        <v>125</v>
      </c>
    </row>
    <row r="6" spans="2:6">
      <c r="B6" t="s">
        <v>123</v>
      </c>
      <c r="C6" t="s">
        <v>118</v>
      </c>
      <c r="D6" t="s">
        <v>14</v>
      </c>
      <c r="E6" t="s">
        <v>122</v>
      </c>
      <c r="F6" t="s">
        <v>128</v>
      </c>
    </row>
    <row r="7" spans="2:6">
      <c r="B7" s="33" t="str" cm="1">
        <f t="array" aca="1" ref="B7" ca="1">_FV(StockPrice[[#This Row],[Name]],"Ticker symbol",TRUE)</f>
        <v>AMZN</v>
      </c>
      <c r="C7" s="14" t="e" vm="1">
        <v>#VALUE!</v>
      </c>
      <c r="D7" s="34" cm="1">
        <f t="array" aca="1" ref="D7" ca="1">_FV(StockPrice[[#This Row],[Name]],"Price")</f>
        <v>209.53</v>
      </c>
      <c r="E7" s="36" cm="1">
        <f t="array" aca="1" ref="E7" ca="1">_FV(StockPrice[[#This Row],[Name]],"Last trade time",TRUE)</f>
        <v>46093.999972546095</v>
      </c>
      <c r="F7" s="33" t="str" cm="1">
        <f t="array" aca="1" ref="F7" ca="1">_FV(StockPrice[[#This Row],[Name]],"Currency")</f>
        <v>USD</v>
      </c>
    </row>
    <row r="8" spans="2:6">
      <c r="B8" s="33" t="str" cm="1">
        <f t="array" aca="1" ref="B8" ca="1">_FV(StockPrice[[#This Row],[Name]],"Ticker symbol",TRUE)</f>
        <v>AAPL</v>
      </c>
      <c r="C8" s="14" t="e" vm="2">
        <v>#VALUE!</v>
      </c>
      <c r="D8" s="34" cm="1">
        <f t="array" aca="1" ref="D8" ca="1">_FV(StockPrice[[#This Row],[Name]],"Price")</f>
        <v>255.76</v>
      </c>
      <c r="E8" s="36" cm="1">
        <f t="array" aca="1" ref="E8" ca="1">_FV(StockPrice[[#This Row],[Name]],"Last trade time",TRUE)</f>
        <v>46093.999994733596</v>
      </c>
      <c r="F8" s="33" t="str" cm="1">
        <f t="array" aca="1" ref="F8" ca="1">_FV(StockPrice[[#This Row],[Name]],"Currency")</f>
        <v>USD</v>
      </c>
    </row>
    <row r="9" spans="2:6">
      <c r="B9" s="33" t="str" cm="1">
        <f t="array" aca="1" ref="B9" ca="1">_FV(StockPrice[[#This Row],[Name]],"Ticker symbol",TRUE)</f>
        <v>TSLA</v>
      </c>
      <c r="C9" s="14" t="e" vm="3">
        <v>#VALUE!</v>
      </c>
      <c r="D9" s="34" cm="1">
        <f t="array" aca="1" ref="D9" ca="1">_FV(StockPrice[[#This Row],[Name]],"Price")</f>
        <v>395.01</v>
      </c>
      <c r="E9" s="36" cm="1">
        <f t="array" aca="1" ref="E9" ca="1">_FV(StockPrice[[#This Row],[Name]],"Last trade time",TRUE)</f>
        <v>46093.999989050782</v>
      </c>
      <c r="F9" s="33" t="str" cm="1">
        <f t="array" aca="1" ref="F9" ca="1">_FV(StockPrice[[#This Row],[Name]],"Currency")</f>
        <v>USD</v>
      </c>
    </row>
    <row r="10" spans="2:6">
      <c r="B10" s="33" t="str" cm="1">
        <f t="array" aca="1" ref="B10" ca="1">_FV(StockPrice[[#This Row],[Name]],"Ticker symbol",TRUE)</f>
        <v>MSFT</v>
      </c>
      <c r="C10" s="14" t="e" vm="4">
        <v>#VALUE!</v>
      </c>
      <c r="D10" s="34" cm="1">
        <f t="array" aca="1" ref="D10" ca="1">_FV(StockPrice[[#This Row],[Name]],"Price")</f>
        <v>401.86</v>
      </c>
      <c r="E10" s="36" cm="1">
        <f t="array" aca="1" ref="E10" ca="1">_FV(StockPrice[[#This Row],[Name]],"Last trade time",TRUE)</f>
        <v>46093.999936967186</v>
      </c>
      <c r="F10" s="33" t="str" cm="1">
        <f t="array" aca="1" ref="F10" ca="1">_FV(StockPrice[[#This Row],[Name]],"Currency")</f>
        <v>USD</v>
      </c>
    </row>
    <row r="11" spans="2:6">
      <c r="B11" s="33" t="str" cm="1">
        <f t="array" aca="1" ref="B11" ca="1">_FV(StockPrice[[#This Row],[Name]],"Ticker symbol",TRUE)</f>
        <v>CRM</v>
      </c>
      <c r="C11" s="14" t="e" vm="5">
        <v>#VALUE!</v>
      </c>
      <c r="D11" s="34" cm="1">
        <f t="array" aca="1" ref="D11" ca="1">_FV(StockPrice[[#This Row],[Name]],"Price")</f>
        <v>199.28</v>
      </c>
      <c r="E11" s="36" cm="1">
        <f t="array" aca="1" ref="E11" ca="1">_FV(StockPrice[[#This Row],[Name]],"Last trade time",TRUE)</f>
        <v>46093.999960265624</v>
      </c>
      <c r="F11" s="33" t="str" cm="1">
        <f t="array" aca="1" ref="F11" ca="1">_FV(StockPrice[[#This Row],[Name]],"Currency")</f>
        <v>USD</v>
      </c>
    </row>
    <row r="12" spans="2:6">
      <c r="B12" s="33" t="str" cm="1">
        <f t="array" aca="1" ref="B12" ca="1">_FV(StockPrice[[#This Row],[Name]],"Ticker symbol",TRUE)</f>
        <v>NIO</v>
      </c>
      <c r="C12" s="14" t="e" vm="6">
        <v>#VALUE!</v>
      </c>
      <c r="D12" s="34" cm="1">
        <f t="array" aca="1" ref="D12" ca="1">_FV(StockPrice[[#This Row],[Name]],"Price")</f>
        <v>5.55</v>
      </c>
      <c r="E12" s="36" cm="1">
        <f t="array" aca="1" ref="E12" ca="1">_FV(StockPrice[[#This Row],[Name]],"Last trade time",TRUE)</f>
        <v>46093.999827638283</v>
      </c>
      <c r="F12" s="33" t="str" cm="1">
        <f t="array" aca="1" ref="F12" ca="1">_FV(StockPrice[[#This Row],[Name]],"Currency")</f>
        <v>USD</v>
      </c>
    </row>
    <row r="13" spans="2:6">
      <c r="B13" s="33" t="str" cm="1">
        <f t="array" aca="1" ref="B13" ca="1">_FV(StockPrice[[#This Row],[Name]],"Ticker symbol",TRUE)</f>
        <v>FDX</v>
      </c>
      <c r="C13" s="14" t="e" vm="7">
        <v>#VALUE!</v>
      </c>
      <c r="D13" s="34" cm="1">
        <f t="array" aca="1" ref="D13" ca="1">_FV(StockPrice[[#This Row],[Name]],"Price")</f>
        <v>353.13</v>
      </c>
      <c r="E13" s="36" cm="1">
        <f t="array" aca="1" ref="E13" ca="1">_FV(StockPrice[[#This Row],[Name]],"Last trade time",TRUE)</f>
        <v>46093.991623830472</v>
      </c>
      <c r="F13" s="33" t="str" cm="1">
        <f t="array" aca="1" ref="F13" ca="1">_FV(StockPrice[[#This Row],[Name]],"Currency")</f>
        <v>USD</v>
      </c>
    </row>
    <row r="14" spans="2:6">
      <c r="B14" s="33" t="str" cm="1">
        <f t="array" aca="1" ref="B14" ca="1">_FV(StockPrice[[#This Row],[Name]],"Ticker symbol",TRUE)</f>
        <v>DIS</v>
      </c>
      <c r="C14" s="14" t="e" vm="8">
        <v>#VALUE!</v>
      </c>
      <c r="D14" s="34" cm="1">
        <f t="array" aca="1" ref="D14" ca="1">_FV(StockPrice[[#This Row],[Name]],"Price")</f>
        <v>99.43</v>
      </c>
      <c r="E14" s="36" cm="1">
        <f t="array" aca="1" ref="E14" ca="1">_FV(StockPrice[[#This Row],[Name]],"Last trade time",TRUE)</f>
        <v>46093.999850613283</v>
      </c>
      <c r="F14" s="33" t="str" cm="1">
        <f t="array" aca="1" ref="F14" ca="1">_FV(StockPrice[[#This Row],[Name]],"Currency")</f>
        <v>USD</v>
      </c>
    </row>
    <row r="15" spans="2:6">
      <c r="B15" s="33" t="str" cm="1">
        <f t="array" aca="1" ref="B15" ca="1">_FV(StockPrice[[#This Row],[Name]],"Ticker symbol",TRUE)</f>
        <v>ARKK</v>
      </c>
      <c r="C15" s="14" t="e" vm="9">
        <v>#VALUE!</v>
      </c>
      <c r="D15" s="34" cm="1">
        <f t="array" aca="1" ref="D15" ca="1">_FV(StockPrice[[#This Row],[Name]],"Price")</f>
        <v>70.650000000000006</v>
      </c>
      <c r="E15" s="36" cm="1">
        <f t="array" aca="1" ref="E15" ca="1">_FV(StockPrice[[#This Row],[Name]],"Last trade time",TRUE)</f>
        <v>46093.997114617967</v>
      </c>
      <c r="F15" s="33" t="str" cm="1">
        <f t="array" aca="1" ref="F15" ca="1">_FV(StockPrice[[#This Row],[Name]],"Currency")</f>
        <v>USD</v>
      </c>
    </row>
    <row r="16" spans="2:6">
      <c r="B16" s="33" t="str" cm="1">
        <f t="array" aca="1" ref="B16" ca="1">_FV(StockPrice[[#This Row],[Name]],"Ticker symbol",TRUE)</f>
        <v>BTCAUD</v>
      </c>
      <c r="C16" s="14" t="e" vm="10">
        <v>#VALUE!</v>
      </c>
      <c r="D16" s="35" cm="1">
        <f t="array" aca="1" ref="D16" ca="1">_FV(StockPrice[[#This Row],[Name]],"Price")</f>
        <v>102361.1308</v>
      </c>
      <c r="E16" s="36" cm="1">
        <f t="array" aca="1" ref="E16" ca="1">_FV(StockPrice[[#This Row],[Name]],"Last trade time",TRUE)</f>
        <v>46094.412488425929</v>
      </c>
      <c r="F16" s="33" t="str" cm="1">
        <f t="array" aca="1" ref="F16" ca="1">_FV(StockPrice[[#This Row],[Name]],"Currency")</f>
        <v>AUD</v>
      </c>
    </row>
    <row r="17" spans="2:6">
      <c r="B17" s="33" t="str" cm="1">
        <f t="array" aca="1" ref="B17" ca="1">_FV(StockPrice[[#This Row],[Name]],"Ticker symbol",TRUE)</f>
        <v>ETHAUD</v>
      </c>
      <c r="C17" s="14" t="e" vm="11">
        <v>#VALUE!</v>
      </c>
      <c r="D17" s="35" cm="1">
        <f t="array" aca="1" ref="D17" ca="1">_FV(StockPrice[[#This Row],[Name]],"Price")</f>
        <v>3003.125</v>
      </c>
      <c r="E17" s="36" cm="1">
        <f t="array" aca="1" ref="E17" ca="1">_FV(StockPrice[[#This Row],[Name]],"Last trade time",TRUE)</f>
        <v>46094.412442129629</v>
      </c>
      <c r="F17" s="33" t="str" cm="1">
        <f t="array" aca="1" ref="F17" ca="1">_FV(StockPrice[[#This Row],[Name]],"Currency")</f>
        <v>AUD</v>
      </c>
    </row>
    <row r="18" spans="2:6">
      <c r="B18" s="33" t="str" cm="1">
        <f t="array" aca="1" ref="B18" ca="1">_FV(StockPrice[[#This Row],[Name]],"Ticker symbol",TRUE)</f>
        <v>QQQ</v>
      </c>
      <c r="C18" s="14" t="e" vm="12">
        <v>#VALUE!</v>
      </c>
      <c r="D18" s="34" cm="1">
        <f t="array" aca="1" ref="D18" ca="1">_FV(StockPrice[[#This Row],[Name]],"Price")</f>
        <v>597.26</v>
      </c>
      <c r="E18" s="36" cm="1">
        <f t="array" aca="1" ref="E18" ca="1">_FV(StockPrice[[#This Row],[Name]],"Last trade time",TRUE)</f>
        <v>46093.999983992966</v>
      </c>
      <c r="F18" s="33" t="str" cm="1">
        <f t="array" aca="1" ref="F18" ca="1">_FV(StockPrice[[#This Row],[Name]],"Currency")</f>
        <v>USD</v>
      </c>
    </row>
    <row r="19" spans="2:6">
      <c r="B19" s="33" t="str" cm="1">
        <f t="array" aca="1" ref="B19" ca="1">_FV(StockPrice[[#This Row],[Name]],"Ticker symbol",TRUE)</f>
        <v>GOOG</v>
      </c>
      <c r="C19" s="14" t="e" vm="13">
        <v>#VALUE!</v>
      </c>
      <c r="D19" s="34" cm="1">
        <f t="array" aca="1" ref="D19" ca="1">_FV(StockPrice[[#This Row],[Name]],"Price")</f>
        <v>303.20999999999998</v>
      </c>
      <c r="E19" s="36" cm="1">
        <f t="array" aca="1" ref="E19" ca="1">_FV(StockPrice[[#This Row],[Name]],"Last trade time",TRUE)</f>
        <v>46093.999777314064</v>
      </c>
      <c r="F19" s="33" t="str" cm="1">
        <f t="array" aca="1" ref="F19" ca="1">_FV(StockPrice[[#This Row],[Name]],"Currency")</f>
        <v>USD</v>
      </c>
    </row>
    <row r="20" spans="2:6">
      <c r="B20" s="33" t="str" cm="1">
        <f t="array" aca="1" ref="B20" ca="1">_FV(StockPrice[[#This Row],[Name]],"Ticker symbol",TRUE)</f>
        <v>NDQ</v>
      </c>
      <c r="C20" s="32" t="e" vm="14">
        <v>#VALUE!</v>
      </c>
      <c r="D20" s="34" cm="1">
        <f t="array" aca="1" ref="D20" ca="1">_FV(StockPrice[[#This Row],[Name]],"Price")</f>
        <v>51.26</v>
      </c>
      <c r="E20" s="36" cm="1">
        <f t="array" aca="1" ref="E20" ca="1">_FV(StockPrice[[#This Row],[Name]],"Last trade time",TRUE)</f>
        <v>46094.333344907405</v>
      </c>
      <c r="F20" s="33" t="str" cm="1">
        <f t="array" aca="1" ref="F20" ca="1">_FV(StockPrice[[#This Row],[Name]],"Currency")</f>
        <v>AUD</v>
      </c>
    </row>
    <row r="21" spans="2:6">
      <c r="B21" s="33" t="str" cm="1">
        <f t="array" aca="1" ref="B21" ca="1">_FV(StockPrice[[#This Row],[Name]],"Ticker symbol",TRUE)</f>
        <v>VAS</v>
      </c>
      <c r="C21" s="32" t="e" vm="15">
        <v>#VALUE!</v>
      </c>
      <c r="D21" s="34" cm="1">
        <f t="array" aca="1" ref="D21" ca="1">_FV(StockPrice[[#This Row],[Name]],"Price")</f>
        <v>107.56</v>
      </c>
      <c r="E21" s="36" cm="1">
        <f t="array" aca="1" ref="E21" ca="1">_FV(StockPrice[[#This Row],[Name]],"Last trade time",TRUE)</f>
        <v>46094.333344907405</v>
      </c>
      <c r="F21" s="33" t="str" cm="1">
        <f t="array" aca="1" ref="F21" ca="1">_FV(StockPrice[[#This Row],[Name]],"Currency")</f>
        <v>AUD</v>
      </c>
    </row>
    <row r="22" spans="2:6">
      <c r="B22" s="32" t="str" cm="1">
        <f t="array" aca="1" ref="B22" ca="1">_FV(StockPrice[[#This Row],[Name]],"Ticker symbol",TRUE)</f>
        <v>VEU</v>
      </c>
      <c r="C22" s="32" t="e" vm="16">
        <v>#VALUE!</v>
      </c>
      <c r="D22" s="34" cm="1">
        <f t="array" aca="1" ref="D22" ca="1">_FV(StockPrice[[#This Row],[Name]],"Price")</f>
        <v>107.6</v>
      </c>
      <c r="E22" s="36" cm="1">
        <f t="array" aca="1" ref="E22" ca="1">_FV(StockPrice[[#This Row],[Name]],"Last trade time",TRUE)</f>
        <v>46094.333344907405</v>
      </c>
      <c r="F22" s="33" t="str" cm="1">
        <f t="array" aca="1" ref="F22" ca="1">_FV(StockPrice[[#This Row],[Name]],"Currency")</f>
        <v>AUD</v>
      </c>
    </row>
    <row r="23" spans="2:6">
      <c r="B23" s="32" t="str" cm="1">
        <f t="array" aca="1" ref="B23" ca="1">_FV(StockPrice[[#This Row],[Name]],"Ticker symbol",TRUE)</f>
        <v>VTS</v>
      </c>
      <c r="C23" s="32" t="e" vm="17">
        <v>#VALUE!</v>
      </c>
      <c r="D23" s="34" cm="1">
        <f t="array" aca="1" ref="D23" ca="1">_FV(StockPrice[[#This Row],[Name]],"Price")</f>
        <v>465.47</v>
      </c>
      <c r="E23" s="36" cm="1">
        <f t="array" aca="1" ref="E23" ca="1">_FV(StockPrice[[#This Row],[Name]],"Last trade time",TRUE)</f>
        <v>46094.333344907405</v>
      </c>
      <c r="F23" s="33" t="str" cm="1">
        <f t="array" aca="1" ref="F23" ca="1">_FV(StockPrice[[#This Row],[Name]],"Currency")</f>
        <v>AUD</v>
      </c>
    </row>
    <row r="24" spans="2:6">
      <c r="B24" s="2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865400A-0296-4CE8-90E6-44A951C74B9A}">
  <ds:schemaRefs>
    <ds:schemaRef ds:uri="http://schemas.microsoft.com/PowerBIAddIn"/>
    <ds:schemaRef ds:uri="http://www.w3.org/2000/xmln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Stake Raw</vt:lpstr>
      <vt:lpstr>Portfolio</vt:lpstr>
      <vt:lpstr>Source  Graphs</vt:lpstr>
      <vt:lpstr>Stock Prices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Serra</dc:creator>
  <cp:lastModifiedBy>Gabriel Serra</cp:lastModifiedBy>
  <dcterms:created xsi:type="dcterms:W3CDTF">2015-06-05T18:17:20Z</dcterms:created>
  <dcterms:modified xsi:type="dcterms:W3CDTF">2026-03-13T09:55:53Z</dcterms:modified>
</cp:coreProperties>
</file>